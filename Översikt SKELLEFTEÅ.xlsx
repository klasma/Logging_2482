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45718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45718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45718</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45718</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45718</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45718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45718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45718</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45718</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45718</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45718</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45718</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45718</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45718</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45718</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45718</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45718</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45718</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45718</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45718</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45718</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45718</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45718</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45718</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45718</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45718</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45718</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45718</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45718</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45718</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45718</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45718</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45718</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45718</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45718</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45718</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45718</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45718</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45718</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45718</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45718</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45718</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45718</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45718</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45718</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45718</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45718</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45718</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45718</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45718</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45718</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45718</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45718</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45718</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45718</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45718</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45718</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45718</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45718</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45718</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45718</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45718</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45718</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45718</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45718</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45718</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45718</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45718</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45718</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45718</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45718</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45718</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45718</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45718</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45718</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45718</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45718</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45718</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45718</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45718</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45718</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45718</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45718</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45718</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45718</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45718</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45718</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45718</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45718</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45718</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45718</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45718</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45718</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45718</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45718</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45718</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45718</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45718</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45718</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45718</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45718</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45718</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45718</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45718</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45718</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45718</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45718</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45718</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45718</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45718</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45718</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45718</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45718</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45718</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45718</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45718</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45718</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45718</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45718</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45718</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45718</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45718</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45718</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45718</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45718</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45718</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45718</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45718</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45718</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45718</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45718</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45718</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18882-2019</t>
        </is>
      </c>
      <c r="B134" s="1" t="n">
        <v>43563</v>
      </c>
      <c r="C134" s="1" t="n">
        <v>45718</v>
      </c>
      <c r="D134" t="inlineStr">
        <is>
          <t>VÄSTERBOTTENS LÄN</t>
        </is>
      </c>
      <c r="E134" t="inlineStr">
        <is>
          <t>SKELLEFTEÅ</t>
        </is>
      </c>
      <c r="F134" t="inlineStr">
        <is>
          <t>Kommuner</t>
        </is>
      </c>
      <c r="G134" t="n">
        <v>33.1</v>
      </c>
      <c r="H134" t="n">
        <v>2</v>
      </c>
      <c r="I134" t="n">
        <v>1</v>
      </c>
      <c r="J134" t="n">
        <v>0</v>
      </c>
      <c r="K134" t="n">
        <v>0</v>
      </c>
      <c r="L134" t="n">
        <v>0</v>
      </c>
      <c r="M134" t="n">
        <v>0</v>
      </c>
      <c r="N134" t="n">
        <v>0</v>
      </c>
      <c r="O134" t="n">
        <v>0</v>
      </c>
      <c r="P134" t="n">
        <v>0</v>
      </c>
      <c r="Q134" t="n">
        <v>2</v>
      </c>
      <c r="R134" s="2" t="inlineStr">
        <is>
          <t>Plattlummer
Revlummer</t>
        </is>
      </c>
      <c r="S134">
        <f>HYPERLINK("https://klasma.github.io/Logging_2482/artfynd/A 18882-2019 artfynd.xlsx", "A 18882-2019")</f>
        <v/>
      </c>
      <c r="T134">
        <f>HYPERLINK("https://klasma.github.io/Logging_2482/kartor/A 18882-2019 karta.png", "A 18882-2019")</f>
        <v/>
      </c>
      <c r="V134">
        <f>HYPERLINK("https://klasma.github.io/Logging_2482/klagomål/A 18882-2019 FSC-klagomål.docx", "A 18882-2019")</f>
        <v/>
      </c>
      <c r="W134">
        <f>HYPERLINK("https://klasma.github.io/Logging_2482/klagomålsmail/A 18882-2019 FSC-klagomål mail.docx", "A 18882-2019")</f>
        <v/>
      </c>
      <c r="X134">
        <f>HYPERLINK("https://klasma.github.io/Logging_2482/tillsyn/A 18882-2019 tillsynsbegäran.docx", "A 18882-2019")</f>
        <v/>
      </c>
      <c r="Y134">
        <f>HYPERLINK("https://klasma.github.io/Logging_2482/tillsynsmail/A 18882-2019 tillsynsbegäran mail.docx", "A 18882-2019")</f>
        <v/>
      </c>
    </row>
    <row r="135" ht="15" customHeight="1">
      <c r="A135" t="inlineStr">
        <is>
          <t>A 29514-2019</t>
        </is>
      </c>
      <c r="B135" s="1" t="n">
        <v>43627</v>
      </c>
      <c r="C135" s="1" t="n">
        <v>45718</v>
      </c>
      <c r="D135" t="inlineStr">
        <is>
          <t>VÄSTERBOTTENS LÄN</t>
        </is>
      </c>
      <c r="E135" t="inlineStr">
        <is>
          <t>SKELLEFTEÅ</t>
        </is>
      </c>
      <c r="G135" t="n">
        <v>9.5</v>
      </c>
      <c r="H135" t="n">
        <v>1</v>
      </c>
      <c r="I135" t="n">
        <v>1</v>
      </c>
      <c r="J135" t="n">
        <v>1</v>
      </c>
      <c r="K135" t="n">
        <v>0</v>
      </c>
      <c r="L135" t="n">
        <v>0</v>
      </c>
      <c r="M135" t="n">
        <v>0</v>
      </c>
      <c r="N135" t="n">
        <v>0</v>
      </c>
      <c r="O135" t="n">
        <v>1</v>
      </c>
      <c r="P135" t="n">
        <v>0</v>
      </c>
      <c r="Q135" t="n">
        <v>2</v>
      </c>
      <c r="R135" s="2" t="inlineStr">
        <is>
          <t>Ullticka
Lappranunkel</t>
        </is>
      </c>
      <c r="S135">
        <f>HYPERLINK("https://klasma.github.io/Logging_2482/artfynd/A 29514-2019 artfynd.xlsx", "A 29514-2019")</f>
        <v/>
      </c>
      <c r="T135">
        <f>HYPERLINK("https://klasma.github.io/Logging_2482/kartor/A 29514-2019 karta.png", "A 29514-2019")</f>
        <v/>
      </c>
      <c r="V135">
        <f>HYPERLINK("https://klasma.github.io/Logging_2482/klagomål/A 29514-2019 FSC-klagomål.docx", "A 29514-2019")</f>
        <v/>
      </c>
      <c r="W135">
        <f>HYPERLINK("https://klasma.github.io/Logging_2482/klagomålsmail/A 29514-2019 FSC-klagomål mail.docx", "A 29514-2019")</f>
        <v/>
      </c>
      <c r="X135">
        <f>HYPERLINK("https://klasma.github.io/Logging_2482/tillsyn/A 29514-2019 tillsynsbegäran.docx", "A 29514-2019")</f>
        <v/>
      </c>
      <c r="Y135">
        <f>HYPERLINK("https://klasma.github.io/Logging_2482/tillsynsmail/A 29514-2019 tillsynsbegäran mail.docx", "A 29514-2019")</f>
        <v/>
      </c>
    </row>
    <row r="136" ht="15" customHeight="1">
      <c r="A136" t="inlineStr">
        <is>
          <t>A 35097-2019</t>
        </is>
      </c>
      <c r="B136" s="1" t="n">
        <v>43661</v>
      </c>
      <c r="C136" s="1" t="n">
        <v>45718</v>
      </c>
      <c r="D136" t="inlineStr">
        <is>
          <t>VÄSTERBOTTENS LÄN</t>
        </is>
      </c>
      <c r="E136" t="inlineStr">
        <is>
          <t>SKELLEFTEÅ</t>
        </is>
      </c>
      <c r="F136" t="inlineStr">
        <is>
          <t>Sveaskog</t>
        </is>
      </c>
      <c r="G136" t="n">
        <v>19.2</v>
      </c>
      <c r="H136" t="n">
        <v>0</v>
      </c>
      <c r="I136" t="n">
        <v>1</v>
      </c>
      <c r="J136" t="n">
        <v>1</v>
      </c>
      <c r="K136" t="n">
        <v>0</v>
      </c>
      <c r="L136" t="n">
        <v>0</v>
      </c>
      <c r="M136" t="n">
        <v>0</v>
      </c>
      <c r="N136" t="n">
        <v>0</v>
      </c>
      <c r="O136" t="n">
        <v>1</v>
      </c>
      <c r="P136" t="n">
        <v>0</v>
      </c>
      <c r="Q136" t="n">
        <v>2</v>
      </c>
      <c r="R136" s="2" t="inlineStr">
        <is>
          <t>Grönhjon
Bronshjon</t>
        </is>
      </c>
      <c r="S136">
        <f>HYPERLINK("https://klasma.github.io/Logging_2482/artfynd/A 35097-2019 artfynd.xlsx", "A 35097-2019")</f>
        <v/>
      </c>
      <c r="T136">
        <f>HYPERLINK("https://klasma.github.io/Logging_2482/kartor/A 35097-2019 karta.png", "A 35097-2019")</f>
        <v/>
      </c>
      <c r="V136">
        <f>HYPERLINK("https://klasma.github.io/Logging_2482/klagomål/A 35097-2019 FSC-klagomål.docx", "A 35097-2019")</f>
        <v/>
      </c>
      <c r="W136">
        <f>HYPERLINK("https://klasma.github.io/Logging_2482/klagomålsmail/A 35097-2019 FSC-klagomål mail.docx", "A 35097-2019")</f>
        <v/>
      </c>
      <c r="X136">
        <f>HYPERLINK("https://klasma.github.io/Logging_2482/tillsyn/A 35097-2019 tillsynsbegäran.docx", "A 35097-2019")</f>
        <v/>
      </c>
      <c r="Y136">
        <f>HYPERLINK("https://klasma.github.io/Logging_2482/tillsynsmail/A 35097-2019 tillsynsbegäran mail.docx", "A 35097-2019")</f>
        <v/>
      </c>
    </row>
    <row r="137" ht="15" customHeight="1">
      <c r="A137" t="inlineStr">
        <is>
          <t>A 46354-2019</t>
        </is>
      </c>
      <c r="B137" s="1" t="n">
        <v>43718</v>
      </c>
      <c r="C137" s="1" t="n">
        <v>45718</v>
      </c>
      <c r="D137" t="inlineStr">
        <is>
          <t>VÄSTERBOTTENS LÄN</t>
        </is>
      </c>
      <c r="E137" t="inlineStr">
        <is>
          <t>SKELLEFTEÅ</t>
        </is>
      </c>
      <c r="F137" t="inlineStr">
        <is>
          <t>SCA</t>
        </is>
      </c>
      <c r="G137" t="n">
        <v>5.5</v>
      </c>
      <c r="H137" t="n">
        <v>2</v>
      </c>
      <c r="I137" t="n">
        <v>0</v>
      </c>
      <c r="J137" t="n">
        <v>0</v>
      </c>
      <c r="K137" t="n">
        <v>0</v>
      </c>
      <c r="L137" t="n">
        <v>0</v>
      </c>
      <c r="M137" t="n">
        <v>0</v>
      </c>
      <c r="N137" t="n">
        <v>0</v>
      </c>
      <c r="O137" t="n">
        <v>0</v>
      </c>
      <c r="P137" t="n">
        <v>0</v>
      </c>
      <c r="Q137" t="n">
        <v>2</v>
      </c>
      <c r="R137" s="2" t="inlineStr">
        <is>
          <t>Vanlig groda
Revlummer</t>
        </is>
      </c>
      <c r="S137">
        <f>HYPERLINK("https://klasma.github.io/Logging_2482/artfynd/A 46354-2019 artfynd.xlsx", "A 46354-2019")</f>
        <v/>
      </c>
      <c r="T137">
        <f>HYPERLINK("https://klasma.github.io/Logging_2482/kartor/A 46354-2019 karta.png", "A 46354-2019")</f>
        <v/>
      </c>
      <c r="V137">
        <f>HYPERLINK("https://klasma.github.io/Logging_2482/klagomål/A 46354-2019 FSC-klagomål.docx", "A 46354-2019")</f>
        <v/>
      </c>
      <c r="W137">
        <f>HYPERLINK("https://klasma.github.io/Logging_2482/klagomålsmail/A 46354-2019 FSC-klagomål mail.docx", "A 46354-2019")</f>
        <v/>
      </c>
      <c r="X137">
        <f>HYPERLINK("https://klasma.github.io/Logging_2482/tillsyn/A 46354-2019 tillsynsbegäran.docx", "A 46354-2019")</f>
        <v/>
      </c>
      <c r="Y137">
        <f>HYPERLINK("https://klasma.github.io/Logging_2482/tillsynsmail/A 46354-2019 tillsynsbegäran mail.docx", "A 46354-2019")</f>
        <v/>
      </c>
    </row>
    <row r="138" ht="15" customHeight="1">
      <c r="A138" t="inlineStr">
        <is>
          <t>A 65623-2019</t>
        </is>
      </c>
      <c r="B138" s="1" t="n">
        <v>43804</v>
      </c>
      <c r="C138" s="1" t="n">
        <v>45718</v>
      </c>
      <c r="D138" t="inlineStr">
        <is>
          <t>VÄSTERBOTTENS LÄN</t>
        </is>
      </c>
      <c r="E138" t="inlineStr">
        <is>
          <t>SKELLEFTEÅ</t>
        </is>
      </c>
      <c r="G138" t="n">
        <v>1.2</v>
      </c>
      <c r="H138" t="n">
        <v>0</v>
      </c>
      <c r="I138" t="n">
        <v>1</v>
      </c>
      <c r="J138" t="n">
        <v>1</v>
      </c>
      <c r="K138" t="n">
        <v>0</v>
      </c>
      <c r="L138" t="n">
        <v>0</v>
      </c>
      <c r="M138" t="n">
        <v>0</v>
      </c>
      <c r="N138" t="n">
        <v>0</v>
      </c>
      <c r="O138" t="n">
        <v>1</v>
      </c>
      <c r="P138" t="n">
        <v>0</v>
      </c>
      <c r="Q138" t="n">
        <v>2</v>
      </c>
      <c r="R138" s="2" t="inlineStr">
        <is>
          <t>Granticka
Vedticka</t>
        </is>
      </c>
      <c r="S138">
        <f>HYPERLINK("https://klasma.github.io/Logging_2482/artfynd/A 65623-2019 artfynd.xlsx", "A 65623-2019")</f>
        <v/>
      </c>
      <c r="T138">
        <f>HYPERLINK("https://klasma.github.io/Logging_2482/kartor/A 65623-2019 karta.png", "A 65623-2019")</f>
        <v/>
      </c>
      <c r="V138">
        <f>HYPERLINK("https://klasma.github.io/Logging_2482/klagomål/A 65623-2019 FSC-klagomål.docx", "A 65623-2019")</f>
        <v/>
      </c>
      <c r="W138">
        <f>HYPERLINK("https://klasma.github.io/Logging_2482/klagomålsmail/A 65623-2019 FSC-klagomål mail.docx", "A 65623-2019")</f>
        <v/>
      </c>
      <c r="X138">
        <f>HYPERLINK("https://klasma.github.io/Logging_2482/tillsyn/A 65623-2019 tillsynsbegäran.docx", "A 65623-2019")</f>
        <v/>
      </c>
      <c r="Y138">
        <f>HYPERLINK("https://klasma.github.io/Logging_2482/tillsynsmail/A 65623-2019 tillsynsbegäran mail.docx", "A 65623-2019")</f>
        <v/>
      </c>
    </row>
    <row r="139" ht="15" customHeight="1">
      <c r="A139" t="inlineStr">
        <is>
          <t>A 40134-2020</t>
        </is>
      </c>
      <c r="B139" s="1" t="n">
        <v>44067</v>
      </c>
      <c r="C139" s="1" t="n">
        <v>45718</v>
      </c>
      <c r="D139" t="inlineStr">
        <is>
          <t>VÄSTERBOTTENS LÄN</t>
        </is>
      </c>
      <c r="E139" t="inlineStr">
        <is>
          <t>SKELLEFTEÅ</t>
        </is>
      </c>
      <c r="G139" t="n">
        <v>6.1</v>
      </c>
      <c r="H139" t="n">
        <v>0</v>
      </c>
      <c r="I139" t="n">
        <v>1</v>
      </c>
      <c r="J139" t="n">
        <v>0</v>
      </c>
      <c r="K139" t="n">
        <v>0</v>
      </c>
      <c r="L139" t="n">
        <v>1</v>
      </c>
      <c r="M139" t="n">
        <v>0</v>
      </c>
      <c r="N139" t="n">
        <v>0</v>
      </c>
      <c r="O139" t="n">
        <v>1</v>
      </c>
      <c r="P139" t="n">
        <v>1</v>
      </c>
      <c r="Q139" t="n">
        <v>2</v>
      </c>
      <c r="R139" s="2" t="inlineStr">
        <is>
          <t>Större svartbagge
Stekelbock</t>
        </is>
      </c>
      <c r="S139">
        <f>HYPERLINK("https://klasma.github.io/Logging_2482/artfynd/A 40134-2020 artfynd.xlsx", "A 40134-2020")</f>
        <v/>
      </c>
      <c r="T139">
        <f>HYPERLINK("https://klasma.github.io/Logging_2482/kartor/A 40134-2020 karta.png", "A 40134-2020")</f>
        <v/>
      </c>
      <c r="V139">
        <f>HYPERLINK("https://klasma.github.io/Logging_2482/klagomål/A 40134-2020 FSC-klagomål.docx", "A 40134-2020")</f>
        <v/>
      </c>
      <c r="W139">
        <f>HYPERLINK("https://klasma.github.io/Logging_2482/klagomålsmail/A 40134-2020 FSC-klagomål mail.docx", "A 40134-2020")</f>
        <v/>
      </c>
      <c r="X139">
        <f>HYPERLINK("https://klasma.github.io/Logging_2482/tillsyn/A 40134-2020 tillsynsbegäran.docx", "A 40134-2020")</f>
        <v/>
      </c>
      <c r="Y139">
        <f>HYPERLINK("https://klasma.github.io/Logging_2482/tillsynsmail/A 40134-2020 tillsynsbegäran mail.docx", "A 40134-2020")</f>
        <v/>
      </c>
    </row>
    <row r="140" ht="15" customHeight="1">
      <c r="A140" t="inlineStr">
        <is>
          <t>A 53541-2020</t>
        </is>
      </c>
      <c r="B140" s="1" t="n">
        <v>44124</v>
      </c>
      <c r="C140" s="1" t="n">
        <v>45718</v>
      </c>
      <c r="D140" t="inlineStr">
        <is>
          <t>VÄSTERBOTTENS LÄN</t>
        </is>
      </c>
      <c r="E140" t="inlineStr">
        <is>
          <t>SKELLEFTEÅ</t>
        </is>
      </c>
      <c r="F140" t="inlineStr">
        <is>
          <t>Sveaskog</t>
        </is>
      </c>
      <c r="G140" t="n">
        <v>4.4</v>
      </c>
      <c r="H140" t="n">
        <v>0</v>
      </c>
      <c r="I140" t="n">
        <v>1</v>
      </c>
      <c r="J140" t="n">
        <v>1</v>
      </c>
      <c r="K140" t="n">
        <v>0</v>
      </c>
      <c r="L140" t="n">
        <v>0</v>
      </c>
      <c r="M140" t="n">
        <v>0</v>
      </c>
      <c r="N140" t="n">
        <v>0</v>
      </c>
      <c r="O140" t="n">
        <v>1</v>
      </c>
      <c r="P140" t="n">
        <v>0</v>
      </c>
      <c r="Q140" t="n">
        <v>2</v>
      </c>
      <c r="R140" s="2" t="inlineStr">
        <is>
          <t>Motaggsvamp
Dropptaggsvamp</t>
        </is>
      </c>
      <c r="S140">
        <f>HYPERLINK("https://klasma.github.io/Logging_2482/artfynd/A 53541-2020 artfynd.xlsx", "A 53541-2020")</f>
        <v/>
      </c>
      <c r="T140">
        <f>HYPERLINK("https://klasma.github.io/Logging_2482/kartor/A 53541-2020 karta.png", "A 53541-2020")</f>
        <v/>
      </c>
      <c r="V140">
        <f>HYPERLINK("https://klasma.github.io/Logging_2482/klagomål/A 53541-2020 FSC-klagomål.docx", "A 53541-2020")</f>
        <v/>
      </c>
      <c r="W140">
        <f>HYPERLINK("https://klasma.github.io/Logging_2482/klagomålsmail/A 53541-2020 FSC-klagomål mail.docx", "A 53541-2020")</f>
        <v/>
      </c>
      <c r="X140">
        <f>HYPERLINK("https://klasma.github.io/Logging_2482/tillsyn/A 53541-2020 tillsynsbegäran.docx", "A 53541-2020")</f>
        <v/>
      </c>
      <c r="Y140">
        <f>HYPERLINK("https://klasma.github.io/Logging_2482/tillsynsmail/A 53541-2020 tillsynsbegäran mail.docx", "A 53541-2020")</f>
        <v/>
      </c>
    </row>
    <row r="141" ht="15" customHeight="1">
      <c r="A141" t="inlineStr">
        <is>
          <t>A 55809-2020</t>
        </is>
      </c>
      <c r="B141" s="1" t="n">
        <v>44132</v>
      </c>
      <c r="C141" s="1" t="n">
        <v>45718</v>
      </c>
      <c r="D141" t="inlineStr">
        <is>
          <t>VÄSTERBOTTENS LÄN</t>
        </is>
      </c>
      <c r="E141" t="inlineStr">
        <is>
          <t>SKELLEFTEÅ</t>
        </is>
      </c>
      <c r="F141" t="inlineStr">
        <is>
          <t>Sveaskog</t>
        </is>
      </c>
      <c r="G141" t="n">
        <v>9.9</v>
      </c>
      <c r="H141" t="n">
        <v>2</v>
      </c>
      <c r="I141" t="n">
        <v>0</v>
      </c>
      <c r="J141" t="n">
        <v>1</v>
      </c>
      <c r="K141" t="n">
        <v>0</v>
      </c>
      <c r="L141" t="n">
        <v>0</v>
      </c>
      <c r="M141" t="n">
        <v>0</v>
      </c>
      <c r="N141" t="n">
        <v>0</v>
      </c>
      <c r="O141" t="n">
        <v>1</v>
      </c>
      <c r="P141" t="n">
        <v>0</v>
      </c>
      <c r="Q141" t="n">
        <v>2</v>
      </c>
      <c r="R141" s="2" t="inlineStr">
        <is>
          <t>Nordfladdermus
Fläcknycklar</t>
        </is>
      </c>
      <c r="S141">
        <f>HYPERLINK("https://klasma.github.io/Logging_2482/artfynd/A 55809-2020 artfynd.xlsx", "A 55809-2020")</f>
        <v/>
      </c>
      <c r="T141">
        <f>HYPERLINK("https://klasma.github.io/Logging_2482/kartor/A 55809-2020 karta.png", "A 55809-2020")</f>
        <v/>
      </c>
      <c r="V141">
        <f>HYPERLINK("https://klasma.github.io/Logging_2482/klagomål/A 55809-2020 FSC-klagomål.docx", "A 55809-2020")</f>
        <v/>
      </c>
      <c r="W141">
        <f>HYPERLINK("https://klasma.github.io/Logging_2482/klagomålsmail/A 55809-2020 FSC-klagomål mail.docx", "A 55809-2020")</f>
        <v/>
      </c>
      <c r="X141">
        <f>HYPERLINK("https://klasma.github.io/Logging_2482/tillsyn/A 55809-2020 tillsynsbegäran.docx", "A 55809-2020")</f>
        <v/>
      </c>
      <c r="Y141">
        <f>HYPERLINK("https://klasma.github.io/Logging_2482/tillsynsmail/A 55809-2020 tillsynsbegäran mail.docx", "A 55809-2020")</f>
        <v/>
      </c>
    </row>
    <row r="142" ht="15" customHeight="1">
      <c r="A142" t="inlineStr">
        <is>
          <t>A 64203-2020</t>
        </is>
      </c>
      <c r="B142" s="1" t="n">
        <v>44167</v>
      </c>
      <c r="C142" s="1" t="n">
        <v>45718</v>
      </c>
      <c r="D142" t="inlineStr">
        <is>
          <t>VÄSTERBOTTENS LÄN</t>
        </is>
      </c>
      <c r="E142" t="inlineStr">
        <is>
          <t>SKELLEFTEÅ</t>
        </is>
      </c>
      <c r="G142" t="n">
        <v>9.800000000000001</v>
      </c>
      <c r="H142" t="n">
        <v>2</v>
      </c>
      <c r="I142" t="n">
        <v>0</v>
      </c>
      <c r="J142" t="n">
        <v>0</v>
      </c>
      <c r="K142" t="n">
        <v>0</v>
      </c>
      <c r="L142" t="n">
        <v>0</v>
      </c>
      <c r="M142" t="n">
        <v>0</v>
      </c>
      <c r="N142" t="n">
        <v>0</v>
      </c>
      <c r="O142" t="n">
        <v>0</v>
      </c>
      <c r="P142" t="n">
        <v>0</v>
      </c>
      <c r="Q142" t="n">
        <v>2</v>
      </c>
      <c r="R142" s="2" t="inlineStr">
        <is>
          <t>Brudsporre
Fläcknycklar</t>
        </is>
      </c>
      <c r="S142">
        <f>HYPERLINK("https://klasma.github.io/Logging_2482/artfynd/A 64203-2020 artfynd.xlsx", "A 64203-2020")</f>
        <v/>
      </c>
      <c r="T142">
        <f>HYPERLINK("https://klasma.github.io/Logging_2482/kartor/A 64203-2020 karta.png", "A 64203-2020")</f>
        <v/>
      </c>
      <c r="V142">
        <f>HYPERLINK("https://klasma.github.io/Logging_2482/klagomål/A 64203-2020 FSC-klagomål.docx", "A 64203-2020")</f>
        <v/>
      </c>
      <c r="W142">
        <f>HYPERLINK("https://klasma.github.io/Logging_2482/klagomålsmail/A 64203-2020 FSC-klagomål mail.docx", "A 64203-2020")</f>
        <v/>
      </c>
      <c r="X142">
        <f>HYPERLINK("https://klasma.github.io/Logging_2482/tillsyn/A 64203-2020 tillsynsbegäran.docx", "A 64203-2020")</f>
        <v/>
      </c>
      <c r="Y142">
        <f>HYPERLINK("https://klasma.github.io/Logging_2482/tillsynsmail/A 64203-2020 tillsynsbegäran mail.docx", "A 64203-2020")</f>
        <v/>
      </c>
    </row>
    <row r="143" ht="15" customHeight="1">
      <c r="A143" t="inlineStr">
        <is>
          <t>A 35733-2021</t>
        </is>
      </c>
      <c r="B143" s="1" t="n">
        <v>44385</v>
      </c>
      <c r="C143" s="1" t="n">
        <v>45718</v>
      </c>
      <c r="D143" t="inlineStr">
        <is>
          <t>VÄSTERBOTTENS LÄN</t>
        </is>
      </c>
      <c r="E143" t="inlineStr">
        <is>
          <t>SKELLEFTEÅ</t>
        </is>
      </c>
      <c r="G143" t="n">
        <v>0.9</v>
      </c>
      <c r="H143" t="n">
        <v>2</v>
      </c>
      <c r="I143" t="n">
        <v>0</v>
      </c>
      <c r="J143" t="n">
        <v>1</v>
      </c>
      <c r="K143" t="n">
        <v>0</v>
      </c>
      <c r="L143" t="n">
        <v>0</v>
      </c>
      <c r="M143" t="n">
        <v>0</v>
      </c>
      <c r="N143" t="n">
        <v>0</v>
      </c>
      <c r="O143" t="n">
        <v>1</v>
      </c>
      <c r="P143" t="n">
        <v>0</v>
      </c>
      <c r="Q143" t="n">
        <v>2</v>
      </c>
      <c r="R143" s="2" t="inlineStr">
        <is>
          <t>Spillkråka
Tjäder</t>
        </is>
      </c>
      <c r="S143">
        <f>HYPERLINK("https://klasma.github.io/Logging_2482/artfynd/A 35733-2021 artfynd.xlsx", "A 35733-2021")</f>
        <v/>
      </c>
      <c r="T143">
        <f>HYPERLINK("https://klasma.github.io/Logging_2482/kartor/A 35733-2021 karta.png", "A 35733-2021")</f>
        <v/>
      </c>
      <c r="V143">
        <f>HYPERLINK("https://klasma.github.io/Logging_2482/klagomål/A 35733-2021 FSC-klagomål.docx", "A 35733-2021")</f>
        <v/>
      </c>
      <c r="W143">
        <f>HYPERLINK("https://klasma.github.io/Logging_2482/klagomålsmail/A 35733-2021 FSC-klagomål mail.docx", "A 35733-2021")</f>
        <v/>
      </c>
      <c r="X143">
        <f>HYPERLINK("https://klasma.github.io/Logging_2482/tillsyn/A 35733-2021 tillsynsbegäran.docx", "A 35733-2021")</f>
        <v/>
      </c>
      <c r="Y143">
        <f>HYPERLINK("https://klasma.github.io/Logging_2482/tillsynsmail/A 35733-2021 tillsynsbegäran mail.docx", "A 35733-2021")</f>
        <v/>
      </c>
      <c r="Z143">
        <f>HYPERLINK("https://klasma.github.io/Logging_2482/fåglar/A 35733-2021 prioriterade fågelarter.docx", "A 35733-2021")</f>
        <v/>
      </c>
    </row>
    <row r="144" ht="15" customHeight="1">
      <c r="A144" t="inlineStr">
        <is>
          <t>A 35585-2021</t>
        </is>
      </c>
      <c r="B144" s="1" t="n">
        <v>44386</v>
      </c>
      <c r="C144" s="1" t="n">
        <v>45718</v>
      </c>
      <c r="D144" t="inlineStr">
        <is>
          <t>VÄSTERBOTTENS LÄN</t>
        </is>
      </c>
      <c r="E144" t="inlineStr">
        <is>
          <t>SKELLEFTEÅ</t>
        </is>
      </c>
      <c r="F144" t="inlineStr">
        <is>
          <t>Holmen skog AB</t>
        </is>
      </c>
      <c r="G144" t="n">
        <v>8.4</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35585-2021 artfynd.xlsx", "A 35585-2021")</f>
        <v/>
      </c>
      <c r="T144">
        <f>HYPERLINK("https://klasma.github.io/Logging_2482/kartor/A 35585-2021 karta.png", "A 35585-2021")</f>
        <v/>
      </c>
      <c r="V144">
        <f>HYPERLINK("https://klasma.github.io/Logging_2482/klagomål/A 35585-2021 FSC-klagomål.docx", "A 35585-2021")</f>
        <v/>
      </c>
      <c r="W144">
        <f>HYPERLINK("https://klasma.github.io/Logging_2482/klagomålsmail/A 35585-2021 FSC-klagomål mail.docx", "A 35585-2021")</f>
        <v/>
      </c>
      <c r="X144">
        <f>HYPERLINK("https://klasma.github.io/Logging_2482/tillsyn/A 35585-2021 tillsynsbegäran.docx", "A 35585-2021")</f>
        <v/>
      </c>
      <c r="Y144">
        <f>HYPERLINK("https://klasma.github.io/Logging_2482/tillsynsmail/A 35585-2021 tillsynsbegäran mail.docx", "A 35585-2021")</f>
        <v/>
      </c>
    </row>
    <row r="145" ht="15" customHeight="1">
      <c r="A145" t="inlineStr">
        <is>
          <t>A 58661-2021</t>
        </is>
      </c>
      <c r="B145" s="1" t="n">
        <v>44489</v>
      </c>
      <c r="C145" s="1" t="n">
        <v>45718</v>
      </c>
      <c r="D145" t="inlineStr">
        <is>
          <t>VÄSTERBOTTENS LÄN</t>
        </is>
      </c>
      <c r="E145" t="inlineStr">
        <is>
          <t>SKELLEFTEÅ</t>
        </is>
      </c>
      <c r="F145" t="inlineStr">
        <is>
          <t>Sveaskog</t>
        </is>
      </c>
      <c r="G145" t="n">
        <v>3.2</v>
      </c>
      <c r="H145" t="n">
        <v>0</v>
      </c>
      <c r="I145" t="n">
        <v>1</v>
      </c>
      <c r="J145" t="n">
        <v>1</v>
      </c>
      <c r="K145" t="n">
        <v>0</v>
      </c>
      <c r="L145" t="n">
        <v>0</v>
      </c>
      <c r="M145" t="n">
        <v>0</v>
      </c>
      <c r="N145" t="n">
        <v>0</v>
      </c>
      <c r="O145" t="n">
        <v>1</v>
      </c>
      <c r="P145" t="n">
        <v>0</v>
      </c>
      <c r="Q145" t="n">
        <v>2</v>
      </c>
      <c r="R145" s="2" t="inlineStr">
        <is>
          <t>Vedskivlav
Bronshjon</t>
        </is>
      </c>
      <c r="S145">
        <f>HYPERLINK("https://klasma.github.io/Logging_2482/artfynd/A 58661-2021 artfynd.xlsx", "A 58661-2021")</f>
        <v/>
      </c>
      <c r="T145">
        <f>HYPERLINK("https://klasma.github.io/Logging_2482/kartor/A 58661-2021 karta.png", "A 58661-2021")</f>
        <v/>
      </c>
      <c r="V145">
        <f>HYPERLINK("https://klasma.github.io/Logging_2482/klagomål/A 58661-2021 FSC-klagomål.docx", "A 58661-2021")</f>
        <v/>
      </c>
      <c r="W145">
        <f>HYPERLINK("https://klasma.github.io/Logging_2482/klagomålsmail/A 58661-2021 FSC-klagomål mail.docx", "A 58661-2021")</f>
        <v/>
      </c>
      <c r="X145">
        <f>HYPERLINK("https://klasma.github.io/Logging_2482/tillsyn/A 58661-2021 tillsynsbegäran.docx", "A 58661-2021")</f>
        <v/>
      </c>
      <c r="Y145">
        <f>HYPERLINK("https://klasma.github.io/Logging_2482/tillsynsmail/A 58661-2021 tillsynsbegäran mail.docx", "A 58661-2021")</f>
        <v/>
      </c>
    </row>
    <row r="146" ht="15" customHeight="1">
      <c r="A146" t="inlineStr">
        <is>
          <t>A 58885-2021</t>
        </is>
      </c>
      <c r="B146" s="1" t="n">
        <v>44489</v>
      </c>
      <c r="C146" s="1" t="n">
        <v>45718</v>
      </c>
      <c r="D146" t="inlineStr">
        <is>
          <t>VÄSTERBOTTENS LÄN</t>
        </is>
      </c>
      <c r="E146" t="inlineStr">
        <is>
          <t>SKELLEFTEÅ</t>
        </is>
      </c>
      <c r="F146" t="inlineStr">
        <is>
          <t>Sveaskog</t>
        </is>
      </c>
      <c r="G146" t="n">
        <v>13.7</v>
      </c>
      <c r="H146" t="n">
        <v>0</v>
      </c>
      <c r="I146" t="n">
        <v>1</v>
      </c>
      <c r="J146" t="n">
        <v>1</v>
      </c>
      <c r="K146" t="n">
        <v>0</v>
      </c>
      <c r="L146" t="n">
        <v>0</v>
      </c>
      <c r="M146" t="n">
        <v>0</v>
      </c>
      <c r="N146" t="n">
        <v>0</v>
      </c>
      <c r="O146" t="n">
        <v>1</v>
      </c>
      <c r="P146" t="n">
        <v>0</v>
      </c>
      <c r="Q146" t="n">
        <v>2</v>
      </c>
      <c r="R146" s="2" t="inlineStr">
        <is>
          <t>Lunglav
Stuplav</t>
        </is>
      </c>
      <c r="S146">
        <f>HYPERLINK("https://klasma.github.io/Logging_2482/artfynd/A 58885-2021 artfynd.xlsx", "A 58885-2021")</f>
        <v/>
      </c>
      <c r="T146">
        <f>HYPERLINK("https://klasma.github.io/Logging_2482/kartor/A 58885-2021 karta.png", "A 58885-2021")</f>
        <v/>
      </c>
      <c r="V146">
        <f>HYPERLINK("https://klasma.github.io/Logging_2482/klagomål/A 58885-2021 FSC-klagomål.docx", "A 58885-2021")</f>
        <v/>
      </c>
      <c r="W146">
        <f>HYPERLINK("https://klasma.github.io/Logging_2482/klagomålsmail/A 58885-2021 FSC-klagomål mail.docx", "A 58885-2021")</f>
        <v/>
      </c>
      <c r="X146">
        <f>HYPERLINK("https://klasma.github.io/Logging_2482/tillsyn/A 58885-2021 tillsynsbegäran.docx", "A 58885-2021")</f>
        <v/>
      </c>
      <c r="Y146">
        <f>HYPERLINK("https://klasma.github.io/Logging_2482/tillsynsmail/A 58885-2021 tillsynsbegäran mail.docx", "A 58885-2021")</f>
        <v/>
      </c>
    </row>
    <row r="147" ht="15" customHeight="1">
      <c r="A147" t="inlineStr">
        <is>
          <t>A 59706-2021</t>
        </is>
      </c>
      <c r="B147" s="1" t="n">
        <v>44494</v>
      </c>
      <c r="C147" s="1" t="n">
        <v>45718</v>
      </c>
      <c r="D147" t="inlineStr">
        <is>
          <t>VÄSTERBOTTENS LÄN</t>
        </is>
      </c>
      <c r="E147" t="inlineStr">
        <is>
          <t>SKELLEFTEÅ</t>
        </is>
      </c>
      <c r="F147" t="inlineStr">
        <is>
          <t>Sveaskog</t>
        </is>
      </c>
      <c r="G147" t="n">
        <v>2.5</v>
      </c>
      <c r="H147" t="n">
        <v>0</v>
      </c>
      <c r="I147" t="n">
        <v>0</v>
      </c>
      <c r="J147" t="n">
        <v>2</v>
      </c>
      <c r="K147" t="n">
        <v>0</v>
      </c>
      <c r="L147" t="n">
        <v>0</v>
      </c>
      <c r="M147" t="n">
        <v>0</v>
      </c>
      <c r="N147" t="n">
        <v>0</v>
      </c>
      <c r="O147" t="n">
        <v>2</v>
      </c>
      <c r="P147" t="n">
        <v>0</v>
      </c>
      <c r="Q147" t="n">
        <v>2</v>
      </c>
      <c r="R147" s="2" t="inlineStr">
        <is>
          <t>Garnlav
Violettgrå tagellav</t>
        </is>
      </c>
      <c r="S147">
        <f>HYPERLINK("https://klasma.github.io/Logging_2482/artfynd/A 59706-2021 artfynd.xlsx", "A 59706-2021")</f>
        <v/>
      </c>
      <c r="T147">
        <f>HYPERLINK("https://klasma.github.io/Logging_2482/kartor/A 59706-2021 karta.png", "A 59706-2021")</f>
        <v/>
      </c>
      <c r="V147">
        <f>HYPERLINK("https://klasma.github.io/Logging_2482/klagomål/A 59706-2021 FSC-klagomål.docx", "A 59706-2021")</f>
        <v/>
      </c>
      <c r="W147">
        <f>HYPERLINK("https://klasma.github.io/Logging_2482/klagomålsmail/A 59706-2021 FSC-klagomål mail.docx", "A 59706-2021")</f>
        <v/>
      </c>
      <c r="X147">
        <f>HYPERLINK("https://klasma.github.io/Logging_2482/tillsyn/A 59706-2021 tillsynsbegäran.docx", "A 59706-2021")</f>
        <v/>
      </c>
      <c r="Y147">
        <f>HYPERLINK("https://klasma.github.io/Logging_2482/tillsynsmail/A 59706-2021 tillsynsbegäran mail.docx", "A 59706-2021")</f>
        <v/>
      </c>
    </row>
    <row r="148" ht="15" customHeight="1">
      <c r="A148" t="inlineStr">
        <is>
          <t>A 42694-2022</t>
        </is>
      </c>
      <c r="B148" s="1" t="n">
        <v>44831</v>
      </c>
      <c r="C148" s="1" t="n">
        <v>45718</v>
      </c>
      <c r="D148" t="inlineStr">
        <is>
          <t>VÄSTERBOTTENS LÄN</t>
        </is>
      </c>
      <c r="E148" t="inlineStr">
        <is>
          <t>SKELLEFTEÅ</t>
        </is>
      </c>
      <c r="G148" t="n">
        <v>5.6</v>
      </c>
      <c r="H148" t="n">
        <v>0</v>
      </c>
      <c r="I148" t="n">
        <v>1</v>
      </c>
      <c r="J148" t="n">
        <v>1</v>
      </c>
      <c r="K148" t="n">
        <v>0</v>
      </c>
      <c r="L148" t="n">
        <v>0</v>
      </c>
      <c r="M148" t="n">
        <v>0</v>
      </c>
      <c r="N148" t="n">
        <v>0</v>
      </c>
      <c r="O148" t="n">
        <v>1</v>
      </c>
      <c r="P148" t="n">
        <v>0</v>
      </c>
      <c r="Q148" t="n">
        <v>2</v>
      </c>
      <c r="R148" s="2" t="inlineStr">
        <is>
          <t>Granticka
Vedticka</t>
        </is>
      </c>
      <c r="S148">
        <f>HYPERLINK("https://klasma.github.io/Logging_2482/artfynd/A 42694-2022 artfynd.xlsx", "A 42694-2022")</f>
        <v/>
      </c>
      <c r="T148">
        <f>HYPERLINK("https://klasma.github.io/Logging_2482/kartor/A 42694-2022 karta.png", "A 42694-2022")</f>
        <v/>
      </c>
      <c r="V148">
        <f>HYPERLINK("https://klasma.github.io/Logging_2482/klagomål/A 42694-2022 FSC-klagomål.docx", "A 42694-2022")</f>
        <v/>
      </c>
      <c r="W148">
        <f>HYPERLINK("https://klasma.github.io/Logging_2482/klagomålsmail/A 42694-2022 FSC-klagomål mail.docx", "A 42694-2022")</f>
        <v/>
      </c>
      <c r="X148">
        <f>HYPERLINK("https://klasma.github.io/Logging_2482/tillsyn/A 42694-2022 tillsynsbegäran.docx", "A 42694-2022")</f>
        <v/>
      </c>
      <c r="Y148">
        <f>HYPERLINK("https://klasma.github.io/Logging_2482/tillsynsmail/A 42694-2022 tillsynsbegäran mail.docx", "A 42694-2022")</f>
        <v/>
      </c>
    </row>
    <row r="149" ht="15" customHeight="1">
      <c r="A149" t="inlineStr">
        <is>
          <t>A 49440-2022</t>
        </is>
      </c>
      <c r="B149" s="1" t="n">
        <v>44859</v>
      </c>
      <c r="C149" s="1" t="n">
        <v>45718</v>
      </c>
      <c r="D149" t="inlineStr">
        <is>
          <t>VÄSTERBOTTENS LÄN</t>
        </is>
      </c>
      <c r="E149" t="inlineStr">
        <is>
          <t>SKELLEFTEÅ</t>
        </is>
      </c>
      <c r="G149" t="n">
        <v>1.5</v>
      </c>
      <c r="H149" t="n">
        <v>0</v>
      </c>
      <c r="I149" t="n">
        <v>0</v>
      </c>
      <c r="J149" t="n">
        <v>2</v>
      </c>
      <c r="K149" t="n">
        <v>0</v>
      </c>
      <c r="L149" t="n">
        <v>0</v>
      </c>
      <c r="M149" t="n">
        <v>0</v>
      </c>
      <c r="N149" t="n">
        <v>0</v>
      </c>
      <c r="O149" t="n">
        <v>2</v>
      </c>
      <c r="P149" t="n">
        <v>0</v>
      </c>
      <c r="Q149" t="n">
        <v>2</v>
      </c>
      <c r="R149" s="2" t="inlineStr">
        <is>
          <t>Gränsticka
Ullticka</t>
        </is>
      </c>
      <c r="S149">
        <f>HYPERLINK("https://klasma.github.io/Logging_2482/artfynd/A 49440-2022 artfynd.xlsx", "A 49440-2022")</f>
        <v/>
      </c>
      <c r="T149">
        <f>HYPERLINK("https://klasma.github.io/Logging_2482/kartor/A 49440-2022 karta.png", "A 49440-2022")</f>
        <v/>
      </c>
      <c r="V149">
        <f>HYPERLINK("https://klasma.github.io/Logging_2482/klagomål/A 49440-2022 FSC-klagomål.docx", "A 49440-2022")</f>
        <v/>
      </c>
      <c r="W149">
        <f>HYPERLINK("https://klasma.github.io/Logging_2482/klagomålsmail/A 49440-2022 FSC-klagomål mail.docx", "A 49440-2022")</f>
        <v/>
      </c>
      <c r="X149">
        <f>HYPERLINK("https://klasma.github.io/Logging_2482/tillsyn/A 49440-2022 tillsynsbegäran.docx", "A 49440-2022")</f>
        <v/>
      </c>
      <c r="Y149">
        <f>HYPERLINK("https://klasma.github.io/Logging_2482/tillsynsmail/A 49440-2022 tillsynsbegäran mail.docx", "A 49440-2022")</f>
        <v/>
      </c>
    </row>
    <row r="150" ht="15" customHeight="1">
      <c r="A150" t="inlineStr">
        <is>
          <t>A 49578-2022</t>
        </is>
      </c>
      <c r="B150" s="1" t="n">
        <v>44862</v>
      </c>
      <c r="C150" s="1" t="n">
        <v>45718</v>
      </c>
      <c r="D150" t="inlineStr">
        <is>
          <t>VÄSTERBOTTENS LÄN</t>
        </is>
      </c>
      <c r="E150" t="inlineStr">
        <is>
          <t>SKELLEFTEÅ</t>
        </is>
      </c>
      <c r="F150" t="inlineStr">
        <is>
          <t>Holmen skog AB</t>
        </is>
      </c>
      <c r="G150" t="n">
        <v>7.6</v>
      </c>
      <c r="H150" t="n">
        <v>2</v>
      </c>
      <c r="I150" t="n">
        <v>0</v>
      </c>
      <c r="J150" t="n">
        <v>0</v>
      </c>
      <c r="K150" t="n">
        <v>0</v>
      </c>
      <c r="L150" t="n">
        <v>0</v>
      </c>
      <c r="M150" t="n">
        <v>0</v>
      </c>
      <c r="N150" t="n">
        <v>0</v>
      </c>
      <c r="O150" t="n">
        <v>0</v>
      </c>
      <c r="P150" t="n">
        <v>0</v>
      </c>
      <c r="Q150" t="n">
        <v>2</v>
      </c>
      <c r="R150" s="2" t="inlineStr">
        <is>
          <t>Orre
Tjäder</t>
        </is>
      </c>
      <c r="S150">
        <f>HYPERLINK("https://klasma.github.io/Logging_2482/artfynd/A 49578-2022 artfynd.xlsx", "A 49578-2022")</f>
        <v/>
      </c>
      <c r="T150">
        <f>HYPERLINK("https://klasma.github.io/Logging_2482/kartor/A 49578-2022 karta.png", "A 49578-2022")</f>
        <v/>
      </c>
      <c r="V150">
        <f>HYPERLINK("https://klasma.github.io/Logging_2482/klagomål/A 49578-2022 FSC-klagomål.docx", "A 49578-2022")</f>
        <v/>
      </c>
      <c r="W150">
        <f>HYPERLINK("https://klasma.github.io/Logging_2482/klagomålsmail/A 49578-2022 FSC-klagomål mail.docx", "A 49578-2022")</f>
        <v/>
      </c>
      <c r="X150">
        <f>HYPERLINK("https://klasma.github.io/Logging_2482/tillsyn/A 49578-2022 tillsynsbegäran.docx", "A 49578-2022")</f>
        <v/>
      </c>
      <c r="Y150">
        <f>HYPERLINK("https://klasma.github.io/Logging_2482/tillsynsmail/A 49578-2022 tillsynsbegäran mail.docx", "A 49578-2022")</f>
        <v/>
      </c>
      <c r="Z150">
        <f>HYPERLINK("https://klasma.github.io/Logging_2482/fåglar/A 49578-2022 prioriterade fågelarter.docx", "A 49578-2022")</f>
        <v/>
      </c>
    </row>
    <row r="151" ht="15" customHeight="1">
      <c r="A151" t="inlineStr">
        <is>
          <t>A 51945-2022</t>
        </is>
      </c>
      <c r="B151" s="1" t="n">
        <v>44872</v>
      </c>
      <c r="C151" s="1" t="n">
        <v>45718</v>
      </c>
      <c r="D151" t="inlineStr">
        <is>
          <t>VÄSTERBOTTENS LÄN</t>
        </is>
      </c>
      <c r="E151" t="inlineStr">
        <is>
          <t>SKELLEFTEÅ</t>
        </is>
      </c>
      <c r="F151" t="inlineStr">
        <is>
          <t>Holmen skog AB</t>
        </is>
      </c>
      <c r="G151" t="n">
        <v>7.1</v>
      </c>
      <c r="H151" t="n">
        <v>1</v>
      </c>
      <c r="I151" t="n">
        <v>1</v>
      </c>
      <c r="J151" t="n">
        <v>0</v>
      </c>
      <c r="K151" t="n">
        <v>0</v>
      </c>
      <c r="L151" t="n">
        <v>0</v>
      </c>
      <c r="M151" t="n">
        <v>0</v>
      </c>
      <c r="N151" t="n">
        <v>0</v>
      </c>
      <c r="O151" t="n">
        <v>0</v>
      </c>
      <c r="P151" t="n">
        <v>0</v>
      </c>
      <c r="Q151" t="n">
        <v>2</v>
      </c>
      <c r="R151" s="2" t="inlineStr">
        <is>
          <t>Trådticka
Revlummer</t>
        </is>
      </c>
      <c r="S151">
        <f>HYPERLINK("https://klasma.github.io/Logging_2482/artfynd/A 51945-2022 artfynd.xlsx", "A 51945-2022")</f>
        <v/>
      </c>
      <c r="T151">
        <f>HYPERLINK("https://klasma.github.io/Logging_2482/kartor/A 51945-2022 karta.png", "A 51945-2022")</f>
        <v/>
      </c>
      <c r="V151">
        <f>HYPERLINK("https://klasma.github.io/Logging_2482/klagomål/A 51945-2022 FSC-klagomål.docx", "A 51945-2022")</f>
        <v/>
      </c>
      <c r="W151">
        <f>HYPERLINK("https://klasma.github.io/Logging_2482/klagomålsmail/A 51945-2022 FSC-klagomål mail.docx", "A 51945-2022")</f>
        <v/>
      </c>
      <c r="X151">
        <f>HYPERLINK("https://klasma.github.io/Logging_2482/tillsyn/A 51945-2022 tillsynsbegäran.docx", "A 51945-2022")</f>
        <v/>
      </c>
      <c r="Y151">
        <f>HYPERLINK("https://klasma.github.io/Logging_2482/tillsynsmail/A 51945-2022 tillsynsbegäran mail.docx", "A 51945-2022")</f>
        <v/>
      </c>
    </row>
    <row r="152" ht="15" customHeight="1">
      <c r="A152" t="inlineStr">
        <is>
          <t>A 56157-2022</t>
        </is>
      </c>
      <c r="B152" s="1" t="n">
        <v>44889</v>
      </c>
      <c r="C152" s="1" t="n">
        <v>45718</v>
      </c>
      <c r="D152" t="inlineStr">
        <is>
          <t>VÄSTERBOTTENS LÄN</t>
        </is>
      </c>
      <c r="E152" t="inlineStr">
        <is>
          <t>SKELLEFTEÅ</t>
        </is>
      </c>
      <c r="G152" t="n">
        <v>3.9</v>
      </c>
      <c r="H152" t="n">
        <v>2</v>
      </c>
      <c r="I152" t="n">
        <v>0</v>
      </c>
      <c r="J152" t="n">
        <v>0</v>
      </c>
      <c r="K152" t="n">
        <v>0</v>
      </c>
      <c r="L152" t="n">
        <v>0</v>
      </c>
      <c r="M152" t="n">
        <v>0</v>
      </c>
      <c r="N152" t="n">
        <v>0</v>
      </c>
      <c r="O152" t="n">
        <v>0</v>
      </c>
      <c r="P152" t="n">
        <v>0</v>
      </c>
      <c r="Q152" t="n">
        <v>2</v>
      </c>
      <c r="R152" s="2" t="inlineStr">
        <is>
          <t>Fläcknycklar
Revlummer</t>
        </is>
      </c>
      <c r="S152">
        <f>HYPERLINK("https://klasma.github.io/Logging_2482/artfynd/A 56157-2022 artfynd.xlsx", "A 56157-2022")</f>
        <v/>
      </c>
      <c r="T152">
        <f>HYPERLINK("https://klasma.github.io/Logging_2482/kartor/A 56157-2022 karta.png", "A 56157-2022")</f>
        <v/>
      </c>
      <c r="V152">
        <f>HYPERLINK("https://klasma.github.io/Logging_2482/klagomål/A 56157-2022 FSC-klagomål.docx", "A 56157-2022")</f>
        <v/>
      </c>
      <c r="W152">
        <f>HYPERLINK("https://klasma.github.io/Logging_2482/klagomålsmail/A 56157-2022 FSC-klagomål mail.docx", "A 56157-2022")</f>
        <v/>
      </c>
      <c r="X152">
        <f>HYPERLINK("https://klasma.github.io/Logging_2482/tillsyn/A 56157-2022 tillsynsbegäran.docx", "A 56157-2022")</f>
        <v/>
      </c>
      <c r="Y152">
        <f>HYPERLINK("https://klasma.github.io/Logging_2482/tillsynsmail/A 56157-2022 tillsynsbegäran mail.docx", "A 56157-2022")</f>
        <v/>
      </c>
    </row>
    <row r="153" ht="15" customHeight="1">
      <c r="A153" t="inlineStr">
        <is>
          <t>A 787-2023</t>
        </is>
      </c>
      <c r="B153" s="1" t="n">
        <v>44931</v>
      </c>
      <c r="C153" s="1" t="n">
        <v>45718</v>
      </c>
      <c r="D153" t="inlineStr">
        <is>
          <t>VÄSTERBOTTENS LÄN</t>
        </is>
      </c>
      <c r="E153" t="inlineStr">
        <is>
          <t>SKELLEFTEÅ</t>
        </is>
      </c>
      <c r="G153" t="n">
        <v>13.9</v>
      </c>
      <c r="H153" t="n">
        <v>0</v>
      </c>
      <c r="I153" t="n">
        <v>1</v>
      </c>
      <c r="J153" t="n">
        <v>1</v>
      </c>
      <c r="K153" t="n">
        <v>0</v>
      </c>
      <c r="L153" t="n">
        <v>0</v>
      </c>
      <c r="M153" t="n">
        <v>0</v>
      </c>
      <c r="N153" t="n">
        <v>0</v>
      </c>
      <c r="O153" t="n">
        <v>1</v>
      </c>
      <c r="P153" t="n">
        <v>0</v>
      </c>
      <c r="Q153" t="n">
        <v>2</v>
      </c>
      <c r="R153" s="2" t="inlineStr">
        <is>
          <t>Storgröe
Ögonpyrola</t>
        </is>
      </c>
      <c r="S153">
        <f>HYPERLINK("https://klasma.github.io/Logging_2482/artfynd/A 787-2023 artfynd.xlsx", "A 787-2023")</f>
        <v/>
      </c>
      <c r="T153">
        <f>HYPERLINK("https://klasma.github.io/Logging_2482/kartor/A 787-2023 karta.png", "A 787-2023")</f>
        <v/>
      </c>
      <c r="V153">
        <f>HYPERLINK("https://klasma.github.io/Logging_2482/klagomål/A 787-2023 FSC-klagomål.docx", "A 787-2023")</f>
        <v/>
      </c>
      <c r="W153">
        <f>HYPERLINK("https://klasma.github.io/Logging_2482/klagomålsmail/A 787-2023 FSC-klagomål mail.docx", "A 787-2023")</f>
        <v/>
      </c>
      <c r="X153">
        <f>HYPERLINK("https://klasma.github.io/Logging_2482/tillsyn/A 787-2023 tillsynsbegäran.docx", "A 787-2023")</f>
        <v/>
      </c>
      <c r="Y153">
        <f>HYPERLINK("https://klasma.github.io/Logging_2482/tillsynsmail/A 787-2023 tillsynsbegäran mail.docx", "A 787-2023")</f>
        <v/>
      </c>
    </row>
    <row r="154" ht="15" customHeight="1">
      <c r="A154" t="inlineStr">
        <is>
          <t>A 901-2023</t>
        </is>
      </c>
      <c r="B154" s="1" t="n">
        <v>44931</v>
      </c>
      <c r="C154" s="1" t="n">
        <v>45718</v>
      </c>
      <c r="D154" t="inlineStr">
        <is>
          <t>VÄSTERBOTTENS LÄN</t>
        </is>
      </c>
      <c r="E154" t="inlineStr">
        <is>
          <t>SKELLEFTEÅ</t>
        </is>
      </c>
      <c r="G154" t="n">
        <v>7.7</v>
      </c>
      <c r="H154" t="n">
        <v>0</v>
      </c>
      <c r="I154" t="n">
        <v>0</v>
      </c>
      <c r="J154" t="n">
        <v>2</v>
      </c>
      <c r="K154" t="n">
        <v>0</v>
      </c>
      <c r="L154" t="n">
        <v>0</v>
      </c>
      <c r="M154" t="n">
        <v>0</v>
      </c>
      <c r="N154" t="n">
        <v>0</v>
      </c>
      <c r="O154" t="n">
        <v>2</v>
      </c>
      <c r="P154" t="n">
        <v>0</v>
      </c>
      <c r="Q154" t="n">
        <v>2</v>
      </c>
      <c r="R154" s="2" t="inlineStr">
        <is>
          <t>Garnlav
Skogshare</t>
        </is>
      </c>
      <c r="S154">
        <f>HYPERLINK("https://klasma.github.io/Logging_2482/artfynd/A 901-2023 artfynd.xlsx", "A 901-2023")</f>
        <v/>
      </c>
      <c r="T154">
        <f>HYPERLINK("https://klasma.github.io/Logging_2482/kartor/A 901-2023 karta.png", "A 901-2023")</f>
        <v/>
      </c>
      <c r="V154">
        <f>HYPERLINK("https://klasma.github.io/Logging_2482/klagomål/A 901-2023 FSC-klagomål.docx", "A 901-2023")</f>
        <v/>
      </c>
      <c r="W154">
        <f>HYPERLINK("https://klasma.github.io/Logging_2482/klagomålsmail/A 901-2023 FSC-klagomål mail.docx", "A 901-2023")</f>
        <v/>
      </c>
      <c r="X154">
        <f>HYPERLINK("https://klasma.github.io/Logging_2482/tillsyn/A 901-2023 tillsynsbegäran.docx", "A 901-2023")</f>
        <v/>
      </c>
      <c r="Y154">
        <f>HYPERLINK("https://klasma.github.io/Logging_2482/tillsynsmail/A 901-2023 tillsynsbegäran mail.docx", "A 901-2023")</f>
        <v/>
      </c>
    </row>
    <row r="155" ht="15" customHeight="1">
      <c r="A155" t="inlineStr">
        <is>
          <t>A 11627-2023</t>
        </is>
      </c>
      <c r="B155" s="1" t="n">
        <v>44994</v>
      </c>
      <c r="C155" s="1" t="n">
        <v>45718</v>
      </c>
      <c r="D155" t="inlineStr">
        <is>
          <t>VÄSTERBOTTENS LÄN</t>
        </is>
      </c>
      <c r="E155" t="inlineStr">
        <is>
          <t>SKELLEFTEÅ</t>
        </is>
      </c>
      <c r="G155" t="n">
        <v>16.6</v>
      </c>
      <c r="H155" t="n">
        <v>1</v>
      </c>
      <c r="I155" t="n">
        <v>1</v>
      </c>
      <c r="J155" t="n">
        <v>0</v>
      </c>
      <c r="K155" t="n">
        <v>0</v>
      </c>
      <c r="L155" t="n">
        <v>0</v>
      </c>
      <c r="M155" t="n">
        <v>0</v>
      </c>
      <c r="N155" t="n">
        <v>0</v>
      </c>
      <c r="O155" t="n">
        <v>0</v>
      </c>
      <c r="P155" t="n">
        <v>0</v>
      </c>
      <c r="Q155" t="n">
        <v>2</v>
      </c>
      <c r="R155" s="2" t="inlineStr">
        <is>
          <t>Norrlandslav
Revlummer</t>
        </is>
      </c>
      <c r="S155">
        <f>HYPERLINK("https://klasma.github.io/Logging_2482/artfynd/A 11627-2023 artfynd.xlsx", "A 11627-2023")</f>
        <v/>
      </c>
      <c r="T155">
        <f>HYPERLINK("https://klasma.github.io/Logging_2482/kartor/A 11627-2023 karta.png", "A 11627-2023")</f>
        <v/>
      </c>
      <c r="V155">
        <f>HYPERLINK("https://klasma.github.io/Logging_2482/klagomål/A 11627-2023 FSC-klagomål.docx", "A 11627-2023")</f>
        <v/>
      </c>
      <c r="W155">
        <f>HYPERLINK("https://klasma.github.io/Logging_2482/klagomålsmail/A 11627-2023 FSC-klagomål mail.docx", "A 11627-2023")</f>
        <v/>
      </c>
      <c r="X155">
        <f>HYPERLINK("https://klasma.github.io/Logging_2482/tillsyn/A 11627-2023 tillsynsbegäran.docx", "A 11627-2023")</f>
        <v/>
      </c>
      <c r="Y155">
        <f>HYPERLINK("https://klasma.github.io/Logging_2482/tillsynsmail/A 11627-2023 tillsynsbegäran mail.docx", "A 11627-2023")</f>
        <v/>
      </c>
    </row>
    <row r="156" ht="15" customHeight="1">
      <c r="A156" t="inlineStr">
        <is>
          <t>A 29998-2023</t>
        </is>
      </c>
      <c r="B156" s="1" t="n">
        <v>45109</v>
      </c>
      <c r="C156" s="1" t="n">
        <v>45718</v>
      </c>
      <c r="D156" t="inlineStr">
        <is>
          <t>VÄSTERBOTTENS LÄN</t>
        </is>
      </c>
      <c r="E156" t="inlineStr">
        <is>
          <t>SKELLEFTEÅ</t>
        </is>
      </c>
      <c r="F156" t="inlineStr">
        <is>
          <t>Sveaskog</t>
        </is>
      </c>
      <c r="G156" t="n">
        <v>10.2</v>
      </c>
      <c r="H156" t="n">
        <v>0</v>
      </c>
      <c r="I156" t="n">
        <v>1</v>
      </c>
      <c r="J156" t="n">
        <v>1</v>
      </c>
      <c r="K156" t="n">
        <v>0</v>
      </c>
      <c r="L156" t="n">
        <v>0</v>
      </c>
      <c r="M156" t="n">
        <v>0</v>
      </c>
      <c r="N156" t="n">
        <v>0</v>
      </c>
      <c r="O156" t="n">
        <v>1</v>
      </c>
      <c r="P156" t="n">
        <v>0</v>
      </c>
      <c r="Q156" t="n">
        <v>2</v>
      </c>
      <c r="R156" s="2" t="inlineStr">
        <is>
          <t>Ullticka
Luddlav</t>
        </is>
      </c>
      <c r="S156">
        <f>HYPERLINK("https://klasma.github.io/Logging_2482/artfynd/A 29998-2023 artfynd.xlsx", "A 29998-2023")</f>
        <v/>
      </c>
      <c r="T156">
        <f>HYPERLINK("https://klasma.github.io/Logging_2482/kartor/A 29998-2023 karta.png", "A 29998-2023")</f>
        <v/>
      </c>
      <c r="V156">
        <f>HYPERLINK("https://klasma.github.io/Logging_2482/klagomål/A 29998-2023 FSC-klagomål.docx", "A 29998-2023")</f>
        <v/>
      </c>
      <c r="W156">
        <f>HYPERLINK("https://klasma.github.io/Logging_2482/klagomålsmail/A 29998-2023 FSC-klagomål mail.docx", "A 29998-2023")</f>
        <v/>
      </c>
      <c r="X156">
        <f>HYPERLINK("https://klasma.github.io/Logging_2482/tillsyn/A 29998-2023 tillsynsbegäran.docx", "A 29998-2023")</f>
        <v/>
      </c>
      <c r="Y156">
        <f>HYPERLINK("https://klasma.github.io/Logging_2482/tillsynsmail/A 29998-2023 tillsynsbegäran mail.docx", "A 29998-2023")</f>
        <v/>
      </c>
    </row>
    <row r="157" ht="15" customHeight="1">
      <c r="A157" t="inlineStr">
        <is>
          <t>A 35513-2023</t>
        </is>
      </c>
      <c r="B157" s="1" t="n">
        <v>45147</v>
      </c>
      <c r="C157" s="1" t="n">
        <v>45718</v>
      </c>
      <c r="D157" t="inlineStr">
        <is>
          <t>VÄSTERBOTTENS LÄN</t>
        </is>
      </c>
      <c r="E157" t="inlineStr">
        <is>
          <t>SKELLEFTEÅ</t>
        </is>
      </c>
      <c r="F157" t="inlineStr">
        <is>
          <t>Holmen skog AB</t>
        </is>
      </c>
      <c r="G157" t="n">
        <v>16.9</v>
      </c>
      <c r="H157" t="n">
        <v>0</v>
      </c>
      <c r="I157" t="n">
        <v>0</v>
      </c>
      <c r="J157" t="n">
        <v>2</v>
      </c>
      <c r="K157" t="n">
        <v>0</v>
      </c>
      <c r="L157" t="n">
        <v>0</v>
      </c>
      <c r="M157" t="n">
        <v>0</v>
      </c>
      <c r="N157" t="n">
        <v>0</v>
      </c>
      <c r="O157" t="n">
        <v>2</v>
      </c>
      <c r="P157" t="n">
        <v>0</v>
      </c>
      <c r="Q157" t="n">
        <v>2</v>
      </c>
      <c r="R157" s="2" t="inlineStr">
        <is>
          <t>Gultoppig fingersvamp
Orange taggsvamp</t>
        </is>
      </c>
      <c r="S157">
        <f>HYPERLINK("https://klasma.github.io/Logging_2482/artfynd/A 35513-2023 artfynd.xlsx", "A 35513-2023")</f>
        <v/>
      </c>
      <c r="T157">
        <f>HYPERLINK("https://klasma.github.io/Logging_2482/kartor/A 35513-2023 karta.png", "A 35513-2023")</f>
        <v/>
      </c>
      <c r="V157">
        <f>HYPERLINK("https://klasma.github.io/Logging_2482/klagomål/A 35513-2023 FSC-klagomål.docx", "A 35513-2023")</f>
        <v/>
      </c>
      <c r="W157">
        <f>HYPERLINK("https://klasma.github.io/Logging_2482/klagomålsmail/A 35513-2023 FSC-klagomål mail.docx", "A 35513-2023")</f>
        <v/>
      </c>
      <c r="X157">
        <f>HYPERLINK("https://klasma.github.io/Logging_2482/tillsyn/A 35513-2023 tillsynsbegäran.docx", "A 35513-2023")</f>
        <v/>
      </c>
      <c r="Y157">
        <f>HYPERLINK("https://klasma.github.io/Logging_2482/tillsynsmail/A 35513-2023 tillsynsbegäran mail.docx", "A 35513-2023")</f>
        <v/>
      </c>
    </row>
    <row r="158" ht="15" customHeight="1">
      <c r="A158" t="inlineStr">
        <is>
          <t>A 40742-2023</t>
        </is>
      </c>
      <c r="B158" s="1" t="n">
        <v>45170</v>
      </c>
      <c r="C158" s="1" t="n">
        <v>45718</v>
      </c>
      <c r="D158" t="inlineStr">
        <is>
          <t>VÄSTERBOTTENS LÄN</t>
        </is>
      </c>
      <c r="E158" t="inlineStr">
        <is>
          <t>SKELLEFTEÅ</t>
        </is>
      </c>
      <c r="F158" t="inlineStr">
        <is>
          <t>Sveaskog</t>
        </is>
      </c>
      <c r="G158" t="n">
        <v>13.6</v>
      </c>
      <c r="H158" t="n">
        <v>0</v>
      </c>
      <c r="I158" t="n">
        <v>1</v>
      </c>
      <c r="J158" t="n">
        <v>1</v>
      </c>
      <c r="K158" t="n">
        <v>0</v>
      </c>
      <c r="L158" t="n">
        <v>0</v>
      </c>
      <c r="M158" t="n">
        <v>0</v>
      </c>
      <c r="N158" t="n">
        <v>0</v>
      </c>
      <c r="O158" t="n">
        <v>1</v>
      </c>
      <c r="P158" t="n">
        <v>0</v>
      </c>
      <c r="Q158" t="n">
        <v>2</v>
      </c>
      <c r="R158" s="2" t="inlineStr">
        <is>
          <t>Kolflarnlav
Stuplav</t>
        </is>
      </c>
      <c r="S158">
        <f>HYPERLINK("https://klasma.github.io/Logging_2482/artfynd/A 40742-2023 artfynd.xlsx", "A 40742-2023")</f>
        <v/>
      </c>
      <c r="T158">
        <f>HYPERLINK("https://klasma.github.io/Logging_2482/kartor/A 40742-2023 karta.png", "A 40742-2023")</f>
        <v/>
      </c>
      <c r="V158">
        <f>HYPERLINK("https://klasma.github.io/Logging_2482/klagomål/A 40742-2023 FSC-klagomål.docx", "A 40742-2023")</f>
        <v/>
      </c>
      <c r="W158">
        <f>HYPERLINK("https://klasma.github.io/Logging_2482/klagomålsmail/A 40742-2023 FSC-klagomål mail.docx", "A 40742-2023")</f>
        <v/>
      </c>
      <c r="X158">
        <f>HYPERLINK("https://klasma.github.io/Logging_2482/tillsyn/A 40742-2023 tillsynsbegäran.docx", "A 40742-2023")</f>
        <v/>
      </c>
      <c r="Y158">
        <f>HYPERLINK("https://klasma.github.io/Logging_2482/tillsynsmail/A 40742-2023 tillsynsbegäran mail.docx", "A 40742-2023")</f>
        <v/>
      </c>
    </row>
    <row r="159" ht="15" customHeight="1">
      <c r="A159" t="inlineStr">
        <is>
          <t>A 43250-2023</t>
        </is>
      </c>
      <c r="B159" s="1" t="n">
        <v>45180</v>
      </c>
      <c r="C159" s="1" t="n">
        <v>45718</v>
      </c>
      <c r="D159" t="inlineStr">
        <is>
          <t>VÄSTERBOTTENS LÄN</t>
        </is>
      </c>
      <c r="E159" t="inlineStr">
        <is>
          <t>SKELLEFTEÅ</t>
        </is>
      </c>
      <c r="G159" t="n">
        <v>3.3</v>
      </c>
      <c r="H159" t="n">
        <v>1</v>
      </c>
      <c r="I159" t="n">
        <v>0</v>
      </c>
      <c r="J159" t="n">
        <v>1</v>
      </c>
      <c r="K159" t="n">
        <v>1</v>
      </c>
      <c r="L159" t="n">
        <v>0</v>
      </c>
      <c r="M159" t="n">
        <v>0</v>
      </c>
      <c r="N159" t="n">
        <v>0</v>
      </c>
      <c r="O159" t="n">
        <v>2</v>
      </c>
      <c r="P159" t="n">
        <v>1</v>
      </c>
      <c r="Q159" t="n">
        <v>2</v>
      </c>
      <c r="R159" s="2" t="inlineStr">
        <is>
          <t>Knärot
Gammelgransskål</t>
        </is>
      </c>
      <c r="S159">
        <f>HYPERLINK("https://klasma.github.io/Logging_2482/artfynd/A 43250-2023 artfynd.xlsx", "A 43250-2023")</f>
        <v/>
      </c>
      <c r="T159">
        <f>HYPERLINK("https://klasma.github.io/Logging_2482/kartor/A 43250-2023 karta.png", "A 43250-2023")</f>
        <v/>
      </c>
      <c r="U159">
        <f>HYPERLINK("https://klasma.github.io/Logging_2482/knärot/A 43250-2023 karta knärot.png", "A 43250-2023")</f>
        <v/>
      </c>
      <c r="V159">
        <f>HYPERLINK("https://klasma.github.io/Logging_2482/klagomål/A 43250-2023 FSC-klagomål.docx", "A 43250-2023")</f>
        <v/>
      </c>
      <c r="W159">
        <f>HYPERLINK("https://klasma.github.io/Logging_2482/klagomålsmail/A 43250-2023 FSC-klagomål mail.docx", "A 43250-2023")</f>
        <v/>
      </c>
      <c r="X159">
        <f>HYPERLINK("https://klasma.github.io/Logging_2482/tillsyn/A 43250-2023 tillsynsbegäran.docx", "A 43250-2023")</f>
        <v/>
      </c>
      <c r="Y159">
        <f>HYPERLINK("https://klasma.github.io/Logging_2482/tillsynsmail/A 43250-2023 tillsynsbegäran mail.docx", "A 43250-2023")</f>
        <v/>
      </c>
    </row>
    <row r="160" ht="15" customHeight="1">
      <c r="A160" t="inlineStr">
        <is>
          <t>A 42786-2023</t>
        </is>
      </c>
      <c r="B160" s="1" t="n">
        <v>45181</v>
      </c>
      <c r="C160" s="1" t="n">
        <v>45718</v>
      </c>
      <c r="D160" t="inlineStr">
        <is>
          <t>VÄSTERBOTTENS LÄN</t>
        </is>
      </c>
      <c r="E160" t="inlineStr">
        <is>
          <t>SKELLEFTEÅ</t>
        </is>
      </c>
      <c r="G160" t="n">
        <v>9.199999999999999</v>
      </c>
      <c r="H160" t="n">
        <v>0</v>
      </c>
      <c r="I160" t="n">
        <v>0</v>
      </c>
      <c r="J160" t="n">
        <v>2</v>
      </c>
      <c r="K160" t="n">
        <v>0</v>
      </c>
      <c r="L160" t="n">
        <v>0</v>
      </c>
      <c r="M160" t="n">
        <v>0</v>
      </c>
      <c r="N160" t="n">
        <v>0</v>
      </c>
      <c r="O160" t="n">
        <v>2</v>
      </c>
      <c r="P160" t="n">
        <v>0</v>
      </c>
      <c r="Q160" t="n">
        <v>2</v>
      </c>
      <c r="R160" s="2" t="inlineStr">
        <is>
          <t>Garnlav
Kärrängsfly</t>
        </is>
      </c>
      <c r="S160">
        <f>HYPERLINK("https://klasma.github.io/Logging_2482/artfynd/A 42786-2023 artfynd.xlsx", "A 42786-2023")</f>
        <v/>
      </c>
      <c r="T160">
        <f>HYPERLINK("https://klasma.github.io/Logging_2482/kartor/A 42786-2023 karta.png", "A 42786-2023")</f>
        <v/>
      </c>
      <c r="V160">
        <f>HYPERLINK("https://klasma.github.io/Logging_2482/klagomål/A 42786-2023 FSC-klagomål.docx", "A 42786-2023")</f>
        <v/>
      </c>
      <c r="W160">
        <f>HYPERLINK("https://klasma.github.io/Logging_2482/klagomålsmail/A 42786-2023 FSC-klagomål mail.docx", "A 42786-2023")</f>
        <v/>
      </c>
      <c r="X160">
        <f>HYPERLINK("https://klasma.github.io/Logging_2482/tillsyn/A 42786-2023 tillsynsbegäran.docx", "A 42786-2023")</f>
        <v/>
      </c>
      <c r="Y160">
        <f>HYPERLINK("https://klasma.github.io/Logging_2482/tillsynsmail/A 42786-2023 tillsynsbegäran mail.docx", "A 42786-2023")</f>
        <v/>
      </c>
    </row>
    <row r="161" ht="15" customHeight="1">
      <c r="A161" t="inlineStr">
        <is>
          <t>A 62191-2023</t>
        </is>
      </c>
      <c r="B161" s="1" t="n">
        <v>45267</v>
      </c>
      <c r="C161" s="1" t="n">
        <v>45718</v>
      </c>
      <c r="D161" t="inlineStr">
        <is>
          <t>VÄSTERBOTTENS LÄN</t>
        </is>
      </c>
      <c r="E161" t="inlineStr">
        <is>
          <t>SKELLEFTEÅ</t>
        </is>
      </c>
      <c r="G161" t="n">
        <v>14.5</v>
      </c>
      <c r="H161" t="n">
        <v>1</v>
      </c>
      <c r="I161" t="n">
        <v>0</v>
      </c>
      <c r="J161" t="n">
        <v>1</v>
      </c>
      <c r="K161" t="n">
        <v>1</v>
      </c>
      <c r="L161" t="n">
        <v>0</v>
      </c>
      <c r="M161" t="n">
        <v>0</v>
      </c>
      <c r="N161" t="n">
        <v>0</v>
      </c>
      <c r="O161" t="n">
        <v>2</v>
      </c>
      <c r="P161" t="n">
        <v>1</v>
      </c>
      <c r="Q161" t="n">
        <v>2</v>
      </c>
      <c r="R161" s="2" t="inlineStr">
        <is>
          <t>Knärot
Lunglav</t>
        </is>
      </c>
      <c r="S161">
        <f>HYPERLINK("https://klasma.github.io/Logging_2482/artfynd/A 62191-2023 artfynd.xlsx", "A 62191-2023")</f>
        <v/>
      </c>
      <c r="T161">
        <f>HYPERLINK("https://klasma.github.io/Logging_2482/kartor/A 62191-2023 karta.png", "A 62191-2023")</f>
        <v/>
      </c>
      <c r="U161">
        <f>HYPERLINK("https://klasma.github.io/Logging_2482/knärot/A 62191-2023 karta knärot.png", "A 62191-2023")</f>
        <v/>
      </c>
      <c r="V161">
        <f>HYPERLINK("https://klasma.github.io/Logging_2482/klagomål/A 62191-2023 FSC-klagomål.docx", "A 62191-2023")</f>
        <v/>
      </c>
      <c r="W161">
        <f>HYPERLINK("https://klasma.github.io/Logging_2482/klagomålsmail/A 62191-2023 FSC-klagomål mail.docx", "A 62191-2023")</f>
        <v/>
      </c>
      <c r="X161">
        <f>HYPERLINK("https://klasma.github.io/Logging_2482/tillsyn/A 62191-2023 tillsynsbegäran.docx", "A 62191-2023")</f>
        <v/>
      </c>
      <c r="Y161">
        <f>HYPERLINK("https://klasma.github.io/Logging_2482/tillsynsmail/A 62191-2023 tillsynsbegäran mail.docx", "A 62191-2023")</f>
        <v/>
      </c>
    </row>
    <row r="162" ht="15" customHeight="1">
      <c r="A162" t="inlineStr">
        <is>
          <t>A 65013-2023</t>
        </is>
      </c>
      <c r="B162" s="1" t="n">
        <v>45287</v>
      </c>
      <c r="C162" s="1" t="n">
        <v>45718</v>
      </c>
      <c r="D162" t="inlineStr">
        <is>
          <t>VÄSTERBOTTENS LÄN</t>
        </is>
      </c>
      <c r="E162" t="inlineStr">
        <is>
          <t>SKELLEFTEÅ</t>
        </is>
      </c>
      <c r="G162" t="n">
        <v>7.7</v>
      </c>
      <c r="H162" t="n">
        <v>0</v>
      </c>
      <c r="I162" t="n">
        <v>0</v>
      </c>
      <c r="J162" t="n">
        <v>1</v>
      </c>
      <c r="K162" t="n">
        <v>1</v>
      </c>
      <c r="L162" t="n">
        <v>0</v>
      </c>
      <c r="M162" t="n">
        <v>0</v>
      </c>
      <c r="N162" t="n">
        <v>0</v>
      </c>
      <c r="O162" t="n">
        <v>2</v>
      </c>
      <c r="P162" t="n">
        <v>1</v>
      </c>
      <c r="Q162" t="n">
        <v>2</v>
      </c>
      <c r="R162" s="2" t="inlineStr">
        <is>
          <t>Smalfotad taggsvamp
Svartvit taggsvamp</t>
        </is>
      </c>
      <c r="S162">
        <f>HYPERLINK("https://klasma.github.io/Logging_2482/artfynd/A 65013-2023 artfynd.xlsx", "A 65013-2023")</f>
        <v/>
      </c>
      <c r="T162">
        <f>HYPERLINK("https://klasma.github.io/Logging_2482/kartor/A 65013-2023 karta.png", "A 65013-2023")</f>
        <v/>
      </c>
      <c r="V162">
        <f>HYPERLINK("https://klasma.github.io/Logging_2482/klagomål/A 65013-2023 FSC-klagomål.docx", "A 65013-2023")</f>
        <v/>
      </c>
      <c r="W162">
        <f>HYPERLINK("https://klasma.github.io/Logging_2482/klagomålsmail/A 65013-2023 FSC-klagomål mail.docx", "A 65013-2023")</f>
        <v/>
      </c>
      <c r="X162">
        <f>HYPERLINK("https://klasma.github.io/Logging_2482/tillsyn/A 65013-2023 tillsynsbegäran.docx", "A 65013-2023")</f>
        <v/>
      </c>
      <c r="Y162">
        <f>HYPERLINK("https://klasma.github.io/Logging_2482/tillsynsmail/A 65013-2023 tillsynsbegäran mail.docx", "A 65013-2023")</f>
        <v/>
      </c>
    </row>
    <row r="163" ht="15" customHeight="1">
      <c r="A163" t="inlineStr">
        <is>
          <t>A 1259-2024</t>
        </is>
      </c>
      <c r="B163" s="1" t="n">
        <v>45302</v>
      </c>
      <c r="C163" s="1" t="n">
        <v>45718</v>
      </c>
      <c r="D163" t="inlineStr">
        <is>
          <t>VÄSTERBOTTENS LÄN</t>
        </is>
      </c>
      <c r="E163" t="inlineStr">
        <is>
          <t>SKELLEFTEÅ</t>
        </is>
      </c>
      <c r="G163" t="n">
        <v>1.6</v>
      </c>
      <c r="H163" t="n">
        <v>0</v>
      </c>
      <c r="I163" t="n">
        <v>0</v>
      </c>
      <c r="J163" t="n">
        <v>2</v>
      </c>
      <c r="K163" t="n">
        <v>0</v>
      </c>
      <c r="L163" t="n">
        <v>0</v>
      </c>
      <c r="M163" t="n">
        <v>0</v>
      </c>
      <c r="N163" t="n">
        <v>0</v>
      </c>
      <c r="O163" t="n">
        <v>2</v>
      </c>
      <c r="P163" t="n">
        <v>0</v>
      </c>
      <c r="Q163" t="n">
        <v>2</v>
      </c>
      <c r="R163" s="2" t="inlineStr">
        <is>
          <t>Månlåsbräken
Nordlåsbräken</t>
        </is>
      </c>
      <c r="S163">
        <f>HYPERLINK("https://klasma.github.io/Logging_2482/artfynd/A 1259-2024 artfynd.xlsx", "A 1259-2024")</f>
        <v/>
      </c>
      <c r="T163">
        <f>HYPERLINK("https://klasma.github.io/Logging_2482/kartor/A 1259-2024 karta.png", "A 1259-2024")</f>
        <v/>
      </c>
      <c r="V163">
        <f>HYPERLINK("https://klasma.github.io/Logging_2482/klagomål/A 1259-2024 FSC-klagomål.docx", "A 1259-2024")</f>
        <v/>
      </c>
      <c r="W163">
        <f>HYPERLINK("https://klasma.github.io/Logging_2482/klagomålsmail/A 1259-2024 FSC-klagomål mail.docx", "A 1259-2024")</f>
        <v/>
      </c>
      <c r="X163">
        <f>HYPERLINK("https://klasma.github.io/Logging_2482/tillsyn/A 1259-2024 tillsynsbegäran.docx", "A 1259-2024")</f>
        <v/>
      </c>
      <c r="Y163">
        <f>HYPERLINK("https://klasma.github.io/Logging_2482/tillsynsmail/A 1259-2024 tillsynsbegäran mail.docx", "A 1259-2024")</f>
        <v/>
      </c>
    </row>
    <row r="164" ht="15" customHeight="1">
      <c r="A164" t="inlineStr">
        <is>
          <t>A 2056-2024</t>
        </is>
      </c>
      <c r="B164" s="1" t="n">
        <v>45308</v>
      </c>
      <c r="C164" s="1" t="n">
        <v>45718</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2056-2024 artfynd.xlsx", "A 2056-2024")</f>
        <v/>
      </c>
      <c r="T164">
        <f>HYPERLINK("https://klasma.github.io/Logging_2482/kartor/A 2056-2024 karta.png", "A 2056-2024")</f>
        <v/>
      </c>
      <c r="V164">
        <f>HYPERLINK("https://klasma.github.io/Logging_2482/klagomål/A 2056-2024 FSC-klagomål.docx", "A 2056-2024")</f>
        <v/>
      </c>
      <c r="W164">
        <f>HYPERLINK("https://klasma.github.io/Logging_2482/klagomålsmail/A 2056-2024 FSC-klagomål mail.docx", "A 2056-2024")</f>
        <v/>
      </c>
      <c r="X164">
        <f>HYPERLINK("https://klasma.github.io/Logging_2482/tillsyn/A 2056-2024 tillsynsbegäran.docx", "A 2056-2024")</f>
        <v/>
      </c>
      <c r="Y164">
        <f>HYPERLINK("https://klasma.github.io/Logging_2482/tillsynsmail/A 2056-2024 tillsynsbegäran mail.docx", "A 2056-2024")</f>
        <v/>
      </c>
      <c r="Z164">
        <f>HYPERLINK("https://klasma.github.io/Logging_2482/fåglar/A 2056-2024 prioriterade fågelarter.docx", "A 2056-2024")</f>
        <v/>
      </c>
    </row>
    <row r="165" ht="15" customHeight="1">
      <c r="A165" t="inlineStr">
        <is>
          <t>A 36338-2024</t>
        </is>
      </c>
      <c r="B165" s="1" t="n">
        <v>45534</v>
      </c>
      <c r="C165" s="1" t="n">
        <v>45718</v>
      </c>
      <c r="D165" t="inlineStr">
        <is>
          <t>VÄSTERBOTTENS LÄN</t>
        </is>
      </c>
      <c r="E165" t="inlineStr">
        <is>
          <t>SKELLEFTEÅ</t>
        </is>
      </c>
      <c r="F165" t="inlineStr">
        <is>
          <t>SCA</t>
        </is>
      </c>
      <c r="G165" t="n">
        <v>1.1</v>
      </c>
      <c r="H165" t="n">
        <v>0</v>
      </c>
      <c r="I165" t="n">
        <v>0</v>
      </c>
      <c r="J165" t="n">
        <v>2</v>
      </c>
      <c r="K165" t="n">
        <v>0</v>
      </c>
      <c r="L165" t="n">
        <v>0</v>
      </c>
      <c r="M165" t="n">
        <v>0</v>
      </c>
      <c r="N165" t="n">
        <v>0</v>
      </c>
      <c r="O165" t="n">
        <v>2</v>
      </c>
      <c r="P165" t="n">
        <v>0</v>
      </c>
      <c r="Q165" t="n">
        <v>2</v>
      </c>
      <c r="R165" s="2" t="inlineStr">
        <is>
          <t>Rosenticka
Ullticka</t>
        </is>
      </c>
      <c r="S165">
        <f>HYPERLINK("https://klasma.github.io/Logging_2482/artfynd/A 36338-2024 artfynd.xlsx", "A 36338-2024")</f>
        <v/>
      </c>
      <c r="T165">
        <f>HYPERLINK("https://klasma.github.io/Logging_2482/kartor/A 36338-2024 karta.png", "A 36338-2024")</f>
        <v/>
      </c>
      <c r="V165">
        <f>HYPERLINK("https://klasma.github.io/Logging_2482/klagomål/A 36338-2024 FSC-klagomål.docx", "A 36338-2024")</f>
        <v/>
      </c>
      <c r="W165">
        <f>HYPERLINK("https://klasma.github.io/Logging_2482/klagomålsmail/A 36338-2024 FSC-klagomål mail.docx", "A 36338-2024")</f>
        <v/>
      </c>
      <c r="X165">
        <f>HYPERLINK("https://klasma.github.io/Logging_2482/tillsyn/A 36338-2024 tillsynsbegäran.docx", "A 36338-2024")</f>
        <v/>
      </c>
      <c r="Y165">
        <f>HYPERLINK("https://klasma.github.io/Logging_2482/tillsynsmail/A 36338-2024 tillsynsbegäran mail.docx", "A 36338-2024")</f>
        <v/>
      </c>
    </row>
    <row r="166" ht="15" customHeight="1">
      <c r="A166" t="inlineStr">
        <is>
          <t>A 43743-2024</t>
        </is>
      </c>
      <c r="B166" s="1" t="n">
        <v>45569</v>
      </c>
      <c r="C166" s="1" t="n">
        <v>45718</v>
      </c>
      <c r="D166" t="inlineStr">
        <is>
          <t>VÄSTERBOTTENS LÄN</t>
        </is>
      </c>
      <c r="E166" t="inlineStr">
        <is>
          <t>SKELLEFTEÅ</t>
        </is>
      </c>
      <c r="G166" t="n">
        <v>2.6</v>
      </c>
      <c r="H166" t="n">
        <v>1</v>
      </c>
      <c r="I166" t="n">
        <v>1</v>
      </c>
      <c r="J166" t="n">
        <v>0</v>
      </c>
      <c r="K166" t="n">
        <v>0</v>
      </c>
      <c r="L166" t="n">
        <v>0</v>
      </c>
      <c r="M166" t="n">
        <v>0</v>
      </c>
      <c r="N166" t="n">
        <v>0</v>
      </c>
      <c r="O166" t="n">
        <v>0</v>
      </c>
      <c r="P166" t="n">
        <v>0</v>
      </c>
      <c r="Q166" t="n">
        <v>2</v>
      </c>
      <c r="R166" s="2" t="inlineStr">
        <is>
          <t>Stuplav
Fläcknycklar</t>
        </is>
      </c>
      <c r="S166">
        <f>HYPERLINK("https://klasma.github.io/Logging_2482/artfynd/A 43743-2024 artfynd.xlsx", "A 43743-2024")</f>
        <v/>
      </c>
      <c r="T166">
        <f>HYPERLINK("https://klasma.github.io/Logging_2482/kartor/A 43743-2024 karta.png", "A 43743-2024")</f>
        <v/>
      </c>
      <c r="V166">
        <f>HYPERLINK("https://klasma.github.io/Logging_2482/klagomål/A 43743-2024 FSC-klagomål.docx", "A 43743-2024")</f>
        <v/>
      </c>
      <c r="W166">
        <f>HYPERLINK("https://klasma.github.io/Logging_2482/klagomålsmail/A 43743-2024 FSC-klagomål mail.docx", "A 43743-2024")</f>
        <v/>
      </c>
      <c r="X166">
        <f>HYPERLINK("https://klasma.github.io/Logging_2482/tillsyn/A 43743-2024 tillsynsbegäran.docx", "A 43743-2024")</f>
        <v/>
      </c>
      <c r="Y166">
        <f>HYPERLINK("https://klasma.github.io/Logging_2482/tillsynsmail/A 43743-2024 tillsynsbegäran mail.docx", "A 43743-2024")</f>
        <v/>
      </c>
    </row>
    <row r="167" ht="15" customHeight="1">
      <c r="A167" t="inlineStr">
        <is>
          <t>A 52416-2024</t>
        </is>
      </c>
      <c r="B167" s="1" t="n">
        <v>45608</v>
      </c>
      <c r="C167" s="1" t="n">
        <v>45718</v>
      </c>
      <c r="D167" t="inlineStr">
        <is>
          <t>VÄSTERBOTTENS LÄN</t>
        </is>
      </c>
      <c r="E167" t="inlineStr">
        <is>
          <t>SKELLEFTEÅ</t>
        </is>
      </c>
      <c r="G167" t="n">
        <v>5.1</v>
      </c>
      <c r="H167" t="n">
        <v>0</v>
      </c>
      <c r="I167" t="n">
        <v>0</v>
      </c>
      <c r="J167" t="n">
        <v>2</v>
      </c>
      <c r="K167" t="n">
        <v>0</v>
      </c>
      <c r="L167" t="n">
        <v>0</v>
      </c>
      <c r="M167" t="n">
        <v>0</v>
      </c>
      <c r="N167" t="n">
        <v>0</v>
      </c>
      <c r="O167" t="n">
        <v>2</v>
      </c>
      <c r="P167" t="n">
        <v>0</v>
      </c>
      <c r="Q167" t="n">
        <v>2</v>
      </c>
      <c r="R167" s="2" t="inlineStr">
        <is>
          <t>Garnlav
Granticka</t>
        </is>
      </c>
      <c r="S167">
        <f>HYPERLINK("https://klasma.github.io/Logging_2482/artfynd/A 52416-2024 artfynd.xlsx", "A 52416-2024")</f>
        <v/>
      </c>
      <c r="T167">
        <f>HYPERLINK("https://klasma.github.io/Logging_2482/kartor/A 52416-2024 karta.png", "A 52416-2024")</f>
        <v/>
      </c>
      <c r="V167">
        <f>HYPERLINK("https://klasma.github.io/Logging_2482/klagomål/A 52416-2024 FSC-klagomål.docx", "A 52416-2024")</f>
        <v/>
      </c>
      <c r="W167">
        <f>HYPERLINK("https://klasma.github.io/Logging_2482/klagomålsmail/A 52416-2024 FSC-klagomål mail.docx", "A 52416-2024")</f>
        <v/>
      </c>
      <c r="X167">
        <f>HYPERLINK("https://klasma.github.io/Logging_2482/tillsyn/A 52416-2024 tillsynsbegäran.docx", "A 52416-2024")</f>
        <v/>
      </c>
      <c r="Y167">
        <f>HYPERLINK("https://klasma.github.io/Logging_2482/tillsynsmail/A 52416-2024 tillsynsbegäran mail.docx", "A 52416-2024")</f>
        <v/>
      </c>
    </row>
    <row r="168" ht="15" customHeight="1">
      <c r="A168" t="inlineStr">
        <is>
          <t>A 52525-2024</t>
        </is>
      </c>
      <c r="B168" s="1" t="n">
        <v>45609</v>
      </c>
      <c r="C168" s="1" t="n">
        <v>45718</v>
      </c>
      <c r="D168" t="inlineStr">
        <is>
          <t>VÄSTERBOTTENS LÄN</t>
        </is>
      </c>
      <c r="E168" t="inlineStr">
        <is>
          <t>SKELLEFTEÅ</t>
        </is>
      </c>
      <c r="G168" t="n">
        <v>8.6</v>
      </c>
      <c r="H168" t="n">
        <v>0</v>
      </c>
      <c r="I168" t="n">
        <v>1</v>
      </c>
      <c r="J168" t="n">
        <v>1</v>
      </c>
      <c r="K168" t="n">
        <v>0</v>
      </c>
      <c r="L168" t="n">
        <v>0</v>
      </c>
      <c r="M168" t="n">
        <v>0</v>
      </c>
      <c r="N168" t="n">
        <v>0</v>
      </c>
      <c r="O168" t="n">
        <v>1</v>
      </c>
      <c r="P168" t="n">
        <v>0</v>
      </c>
      <c r="Q168" t="n">
        <v>2</v>
      </c>
      <c r="R168" s="2" t="inlineStr">
        <is>
          <t>Lunglav
Stuplav</t>
        </is>
      </c>
      <c r="S168">
        <f>HYPERLINK("https://klasma.github.io/Logging_2482/artfynd/A 52525-2024 artfynd.xlsx", "A 52525-2024")</f>
        <v/>
      </c>
      <c r="T168">
        <f>HYPERLINK("https://klasma.github.io/Logging_2482/kartor/A 52525-2024 karta.png", "A 52525-2024")</f>
        <v/>
      </c>
      <c r="V168">
        <f>HYPERLINK("https://klasma.github.io/Logging_2482/klagomål/A 52525-2024 FSC-klagomål.docx", "A 52525-2024")</f>
        <v/>
      </c>
      <c r="W168">
        <f>HYPERLINK("https://klasma.github.io/Logging_2482/klagomålsmail/A 52525-2024 FSC-klagomål mail.docx", "A 52525-2024")</f>
        <v/>
      </c>
      <c r="X168">
        <f>HYPERLINK("https://klasma.github.io/Logging_2482/tillsyn/A 52525-2024 tillsynsbegäran.docx", "A 52525-2024")</f>
        <v/>
      </c>
      <c r="Y168">
        <f>HYPERLINK("https://klasma.github.io/Logging_2482/tillsynsmail/A 52525-2024 tillsynsbegäran mail.docx", "A 52525-2024")</f>
        <v/>
      </c>
    </row>
    <row r="169" ht="15" customHeight="1">
      <c r="A169" t="inlineStr">
        <is>
          <t>A 53422-2024</t>
        </is>
      </c>
      <c r="B169" s="1" t="n">
        <v>45614</v>
      </c>
      <c r="C169" s="1" t="n">
        <v>45718</v>
      </c>
      <c r="D169" t="inlineStr">
        <is>
          <t>VÄSTERBOTTENS LÄN</t>
        </is>
      </c>
      <c r="E169" t="inlineStr">
        <is>
          <t>SKELLEFTEÅ</t>
        </is>
      </c>
      <c r="G169" t="n">
        <v>1.6</v>
      </c>
      <c r="H169" t="n">
        <v>1</v>
      </c>
      <c r="I169" t="n">
        <v>0</v>
      </c>
      <c r="J169" t="n">
        <v>2</v>
      </c>
      <c r="K169" t="n">
        <v>0</v>
      </c>
      <c r="L169" t="n">
        <v>0</v>
      </c>
      <c r="M169" t="n">
        <v>0</v>
      </c>
      <c r="N169" t="n">
        <v>0</v>
      </c>
      <c r="O169" t="n">
        <v>2</v>
      </c>
      <c r="P169" t="n">
        <v>0</v>
      </c>
      <c r="Q169" t="n">
        <v>2</v>
      </c>
      <c r="R169" s="2" t="inlineStr">
        <is>
          <t>Järpe
Talltaggsvamp</t>
        </is>
      </c>
      <c r="S169">
        <f>HYPERLINK("https://klasma.github.io/Logging_2482/artfynd/A 53422-2024 artfynd.xlsx", "A 53422-2024")</f>
        <v/>
      </c>
      <c r="T169">
        <f>HYPERLINK("https://klasma.github.io/Logging_2482/kartor/A 53422-2024 karta.png", "A 53422-2024")</f>
        <v/>
      </c>
      <c r="V169">
        <f>HYPERLINK("https://klasma.github.io/Logging_2482/klagomål/A 53422-2024 FSC-klagomål.docx", "A 53422-2024")</f>
        <v/>
      </c>
      <c r="W169">
        <f>HYPERLINK("https://klasma.github.io/Logging_2482/klagomålsmail/A 53422-2024 FSC-klagomål mail.docx", "A 53422-2024")</f>
        <v/>
      </c>
      <c r="X169">
        <f>HYPERLINK("https://klasma.github.io/Logging_2482/tillsyn/A 53422-2024 tillsynsbegäran.docx", "A 53422-2024")</f>
        <v/>
      </c>
      <c r="Y169">
        <f>HYPERLINK("https://klasma.github.io/Logging_2482/tillsynsmail/A 53422-2024 tillsynsbegäran mail.docx", "A 53422-2024")</f>
        <v/>
      </c>
      <c r="Z169">
        <f>HYPERLINK("https://klasma.github.io/Logging_2482/fåglar/A 53422-2024 prioriterade fågelarter.docx", "A 53422-2024")</f>
        <v/>
      </c>
    </row>
    <row r="170" ht="15" customHeight="1">
      <c r="A170" t="inlineStr">
        <is>
          <t>A 53271-2024</t>
        </is>
      </c>
      <c r="B170" s="1" t="n">
        <v>45614</v>
      </c>
      <c r="C170" s="1" t="n">
        <v>45718</v>
      </c>
      <c r="D170" t="inlineStr">
        <is>
          <t>VÄSTERBOTTENS LÄN</t>
        </is>
      </c>
      <c r="E170" t="inlineStr">
        <is>
          <t>SKELLEFTEÅ</t>
        </is>
      </c>
      <c r="F170" t="inlineStr">
        <is>
          <t>Holmen skog AB</t>
        </is>
      </c>
      <c r="G170" t="n">
        <v>11.1</v>
      </c>
      <c r="H170" t="n">
        <v>0</v>
      </c>
      <c r="I170" t="n">
        <v>1</v>
      </c>
      <c r="J170" t="n">
        <v>1</v>
      </c>
      <c r="K170" t="n">
        <v>0</v>
      </c>
      <c r="L170" t="n">
        <v>0</v>
      </c>
      <c r="M170" t="n">
        <v>0</v>
      </c>
      <c r="N170" t="n">
        <v>0</v>
      </c>
      <c r="O170" t="n">
        <v>1</v>
      </c>
      <c r="P170" t="n">
        <v>0</v>
      </c>
      <c r="Q170" t="n">
        <v>2</v>
      </c>
      <c r="R170" s="2" t="inlineStr">
        <is>
          <t>Orange taggsvamp
Ögonpyrola</t>
        </is>
      </c>
      <c r="S170">
        <f>HYPERLINK("https://klasma.github.io/Logging_2482/artfynd/A 53271-2024 artfynd.xlsx", "A 53271-2024")</f>
        <v/>
      </c>
      <c r="T170">
        <f>HYPERLINK("https://klasma.github.io/Logging_2482/kartor/A 53271-2024 karta.png", "A 53271-2024")</f>
        <v/>
      </c>
      <c r="V170">
        <f>HYPERLINK("https://klasma.github.io/Logging_2482/klagomål/A 53271-2024 FSC-klagomål.docx", "A 53271-2024")</f>
        <v/>
      </c>
      <c r="W170">
        <f>HYPERLINK("https://klasma.github.io/Logging_2482/klagomålsmail/A 53271-2024 FSC-klagomål mail.docx", "A 53271-2024")</f>
        <v/>
      </c>
      <c r="X170">
        <f>HYPERLINK("https://klasma.github.io/Logging_2482/tillsyn/A 53271-2024 tillsynsbegäran.docx", "A 53271-2024")</f>
        <v/>
      </c>
      <c r="Y170">
        <f>HYPERLINK("https://klasma.github.io/Logging_2482/tillsynsmail/A 53271-2024 tillsynsbegäran mail.docx", "A 53271-2024")</f>
        <v/>
      </c>
    </row>
    <row r="171" ht="15" customHeight="1">
      <c r="A171" t="inlineStr">
        <is>
          <t>A 55198-2024</t>
        </is>
      </c>
      <c r="B171" s="1" t="n">
        <v>45620</v>
      </c>
      <c r="C171" s="1" t="n">
        <v>45718</v>
      </c>
      <c r="D171" t="inlineStr">
        <is>
          <t>VÄSTERBOTTENS LÄN</t>
        </is>
      </c>
      <c r="E171" t="inlineStr">
        <is>
          <t>SKELLEFTEÅ</t>
        </is>
      </c>
      <c r="G171" t="n">
        <v>1.8</v>
      </c>
      <c r="H171" t="n">
        <v>0</v>
      </c>
      <c r="I171" t="n">
        <v>1</v>
      </c>
      <c r="J171" t="n">
        <v>1</v>
      </c>
      <c r="K171" t="n">
        <v>0</v>
      </c>
      <c r="L171" t="n">
        <v>0</v>
      </c>
      <c r="M171" t="n">
        <v>0</v>
      </c>
      <c r="N171" t="n">
        <v>0</v>
      </c>
      <c r="O171" t="n">
        <v>1</v>
      </c>
      <c r="P171" t="n">
        <v>0</v>
      </c>
      <c r="Q171" t="n">
        <v>2</v>
      </c>
      <c r="R171" s="2" t="inlineStr">
        <is>
          <t>Blanksvart spiklav
Nästlav</t>
        </is>
      </c>
      <c r="S171">
        <f>HYPERLINK("https://klasma.github.io/Logging_2482/artfynd/A 55198-2024 artfynd.xlsx", "A 55198-2024")</f>
        <v/>
      </c>
      <c r="T171">
        <f>HYPERLINK("https://klasma.github.io/Logging_2482/kartor/A 55198-2024 karta.png", "A 55198-2024")</f>
        <v/>
      </c>
      <c r="V171">
        <f>HYPERLINK("https://klasma.github.io/Logging_2482/klagomål/A 55198-2024 FSC-klagomål.docx", "A 55198-2024")</f>
        <v/>
      </c>
      <c r="W171">
        <f>HYPERLINK("https://klasma.github.io/Logging_2482/klagomålsmail/A 55198-2024 FSC-klagomål mail.docx", "A 55198-2024")</f>
        <v/>
      </c>
      <c r="X171">
        <f>HYPERLINK("https://klasma.github.io/Logging_2482/tillsyn/A 55198-2024 tillsynsbegäran.docx", "A 55198-2024")</f>
        <v/>
      </c>
      <c r="Y171">
        <f>HYPERLINK("https://klasma.github.io/Logging_2482/tillsynsmail/A 55198-2024 tillsynsbegäran mail.docx", "A 55198-2024")</f>
        <v/>
      </c>
    </row>
    <row r="172" ht="15" customHeight="1">
      <c r="A172" t="inlineStr">
        <is>
          <t>A 57222-2024</t>
        </is>
      </c>
      <c r="B172" s="1" t="n">
        <v>45629</v>
      </c>
      <c r="C172" s="1" t="n">
        <v>45718</v>
      </c>
      <c r="D172" t="inlineStr">
        <is>
          <t>VÄSTERBOTTENS LÄN</t>
        </is>
      </c>
      <c r="E172" t="inlineStr">
        <is>
          <t>SKELLEFTEÅ</t>
        </is>
      </c>
      <c r="F172" t="inlineStr">
        <is>
          <t>Holmen skog AB</t>
        </is>
      </c>
      <c r="G172" t="n">
        <v>3.9</v>
      </c>
      <c r="H172" t="n">
        <v>1</v>
      </c>
      <c r="I172" t="n">
        <v>0</v>
      </c>
      <c r="J172" t="n">
        <v>1</v>
      </c>
      <c r="K172" t="n">
        <v>1</v>
      </c>
      <c r="L172" t="n">
        <v>0</v>
      </c>
      <c r="M172" t="n">
        <v>0</v>
      </c>
      <c r="N172" t="n">
        <v>0</v>
      </c>
      <c r="O172" t="n">
        <v>2</v>
      </c>
      <c r="P172" t="n">
        <v>1</v>
      </c>
      <c r="Q172" t="n">
        <v>2</v>
      </c>
      <c r="R172" s="2" t="inlineStr">
        <is>
          <t>Knärot
Gammelgransskål</t>
        </is>
      </c>
      <c r="S172">
        <f>HYPERLINK("https://klasma.github.io/Logging_2482/artfynd/A 57222-2024 artfynd.xlsx", "A 57222-2024")</f>
        <v/>
      </c>
      <c r="T172">
        <f>HYPERLINK("https://klasma.github.io/Logging_2482/kartor/A 57222-2024 karta.png", "A 57222-2024")</f>
        <v/>
      </c>
      <c r="U172">
        <f>HYPERLINK("https://klasma.github.io/Logging_2482/knärot/A 57222-2024 karta knärot.png", "A 57222-2024")</f>
        <v/>
      </c>
      <c r="V172">
        <f>HYPERLINK("https://klasma.github.io/Logging_2482/klagomål/A 57222-2024 FSC-klagomål.docx", "A 57222-2024")</f>
        <v/>
      </c>
      <c r="W172">
        <f>HYPERLINK("https://klasma.github.io/Logging_2482/klagomålsmail/A 57222-2024 FSC-klagomål mail.docx", "A 57222-2024")</f>
        <v/>
      </c>
      <c r="X172">
        <f>HYPERLINK("https://klasma.github.io/Logging_2482/tillsyn/A 57222-2024 tillsynsbegäran.docx", "A 57222-2024")</f>
        <v/>
      </c>
      <c r="Y172">
        <f>HYPERLINK("https://klasma.github.io/Logging_2482/tillsynsmail/A 57222-2024 tillsynsbegäran mail.docx", "A 57222-2024")</f>
        <v/>
      </c>
    </row>
    <row r="173" ht="15" customHeight="1">
      <c r="A173" t="inlineStr">
        <is>
          <t>A 57565-2024</t>
        </is>
      </c>
      <c r="B173" s="1" t="n">
        <v>45630</v>
      </c>
      <c r="C173" s="1" t="n">
        <v>45718</v>
      </c>
      <c r="D173" t="inlineStr">
        <is>
          <t>VÄSTERBOTTENS LÄN</t>
        </is>
      </c>
      <c r="E173" t="inlineStr">
        <is>
          <t>SKELLEFTEÅ</t>
        </is>
      </c>
      <c r="F173" t="inlineStr">
        <is>
          <t>Sveaskog</t>
        </is>
      </c>
      <c r="G173" t="n">
        <v>5.5</v>
      </c>
      <c r="H173" t="n">
        <v>1</v>
      </c>
      <c r="I173" t="n">
        <v>0</v>
      </c>
      <c r="J173" t="n">
        <v>2</v>
      </c>
      <c r="K173" t="n">
        <v>0</v>
      </c>
      <c r="L173" t="n">
        <v>0</v>
      </c>
      <c r="M173" t="n">
        <v>0</v>
      </c>
      <c r="N173" t="n">
        <v>0</v>
      </c>
      <c r="O173" t="n">
        <v>2</v>
      </c>
      <c r="P173" t="n">
        <v>0</v>
      </c>
      <c r="Q173" t="n">
        <v>2</v>
      </c>
      <c r="R173" s="2" t="inlineStr">
        <is>
          <t>Garnlav
Spillkråka</t>
        </is>
      </c>
      <c r="S173">
        <f>HYPERLINK("https://klasma.github.io/Logging_2482/artfynd/A 57565-2024 artfynd.xlsx", "A 57565-2024")</f>
        <v/>
      </c>
      <c r="T173">
        <f>HYPERLINK("https://klasma.github.io/Logging_2482/kartor/A 57565-2024 karta.png", "A 57565-2024")</f>
        <v/>
      </c>
      <c r="V173">
        <f>HYPERLINK("https://klasma.github.io/Logging_2482/klagomål/A 57565-2024 FSC-klagomål.docx", "A 57565-2024")</f>
        <v/>
      </c>
      <c r="W173">
        <f>HYPERLINK("https://klasma.github.io/Logging_2482/klagomålsmail/A 57565-2024 FSC-klagomål mail.docx", "A 57565-2024")</f>
        <v/>
      </c>
      <c r="X173">
        <f>HYPERLINK("https://klasma.github.io/Logging_2482/tillsyn/A 57565-2024 tillsynsbegäran.docx", "A 57565-2024")</f>
        <v/>
      </c>
      <c r="Y173">
        <f>HYPERLINK("https://klasma.github.io/Logging_2482/tillsynsmail/A 57565-2024 tillsynsbegäran mail.docx", "A 57565-2024")</f>
        <v/>
      </c>
      <c r="Z173">
        <f>HYPERLINK("https://klasma.github.io/Logging_2482/fåglar/A 57565-2024 prioriterade fågelarter.docx", "A 57565-2024")</f>
        <v/>
      </c>
    </row>
    <row r="174" ht="15" customHeight="1">
      <c r="A174" t="inlineStr">
        <is>
          <t>A 57851-2024</t>
        </is>
      </c>
      <c r="B174" s="1" t="n">
        <v>45631</v>
      </c>
      <c r="C174" s="1" t="n">
        <v>45718</v>
      </c>
      <c r="D174" t="inlineStr">
        <is>
          <t>VÄSTERBOTTENS LÄN</t>
        </is>
      </c>
      <c r="E174" t="inlineStr">
        <is>
          <t>SKELLEFTEÅ</t>
        </is>
      </c>
      <c r="F174" t="inlineStr">
        <is>
          <t>Sveaskog</t>
        </is>
      </c>
      <c r="G174" t="n">
        <v>15.7</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57851-2024 artfynd.xlsx", "A 57851-2024")</f>
        <v/>
      </c>
      <c r="T174">
        <f>HYPERLINK("https://klasma.github.io/Logging_2482/kartor/A 57851-2024 karta.png", "A 57851-2024")</f>
        <v/>
      </c>
      <c r="V174">
        <f>HYPERLINK("https://klasma.github.io/Logging_2482/klagomål/A 57851-2024 FSC-klagomål.docx", "A 57851-2024")</f>
        <v/>
      </c>
      <c r="W174">
        <f>HYPERLINK("https://klasma.github.io/Logging_2482/klagomålsmail/A 57851-2024 FSC-klagomål mail.docx", "A 57851-2024")</f>
        <v/>
      </c>
      <c r="X174">
        <f>HYPERLINK("https://klasma.github.io/Logging_2482/tillsyn/A 57851-2024 tillsynsbegäran.docx", "A 57851-2024")</f>
        <v/>
      </c>
      <c r="Y174">
        <f>HYPERLINK("https://klasma.github.io/Logging_2482/tillsynsmail/A 57851-2024 tillsynsbegäran mail.docx", "A 57851-2024")</f>
        <v/>
      </c>
    </row>
    <row r="175" ht="15" customHeight="1">
      <c r="A175" t="inlineStr">
        <is>
          <t>A 4996-2025</t>
        </is>
      </c>
      <c r="B175" s="1" t="n">
        <v>45691</v>
      </c>
      <c r="C175" s="1" t="n">
        <v>45718</v>
      </c>
      <c r="D175" t="inlineStr">
        <is>
          <t>VÄSTERBOTTENS LÄN</t>
        </is>
      </c>
      <c r="E175" t="inlineStr">
        <is>
          <t>SKELLEFTEÅ</t>
        </is>
      </c>
      <c r="G175" t="n">
        <v>25.4</v>
      </c>
      <c r="H175" t="n">
        <v>0</v>
      </c>
      <c r="I175" t="n">
        <v>0</v>
      </c>
      <c r="J175" t="n">
        <v>2</v>
      </c>
      <c r="K175" t="n">
        <v>0</v>
      </c>
      <c r="L175" t="n">
        <v>0</v>
      </c>
      <c r="M175" t="n">
        <v>0</v>
      </c>
      <c r="N175" t="n">
        <v>0</v>
      </c>
      <c r="O175" t="n">
        <v>2</v>
      </c>
      <c r="P175" t="n">
        <v>0</v>
      </c>
      <c r="Q175" t="n">
        <v>2</v>
      </c>
      <c r="R175" s="2" t="inlineStr">
        <is>
          <t>Garnlav
Ullticka</t>
        </is>
      </c>
      <c r="S175">
        <f>HYPERLINK("https://klasma.github.io/Logging_2482/artfynd/A 4996-2025 artfynd.xlsx", "A 4996-2025")</f>
        <v/>
      </c>
      <c r="T175">
        <f>HYPERLINK("https://klasma.github.io/Logging_2482/kartor/A 4996-2025 karta.png", "A 4996-2025")</f>
        <v/>
      </c>
      <c r="U175">
        <f>HYPERLINK("https://klasma.github.io/Logging_2482/knärot/A 4996-2025 karta knärot.png", "A 4996-2025")</f>
        <v/>
      </c>
      <c r="V175">
        <f>HYPERLINK("https://klasma.github.io/Logging_2482/klagomål/A 4996-2025 FSC-klagomål.docx", "A 4996-2025")</f>
        <v/>
      </c>
      <c r="W175">
        <f>HYPERLINK("https://klasma.github.io/Logging_2482/klagomålsmail/A 4996-2025 FSC-klagomål mail.docx", "A 4996-2025")</f>
        <v/>
      </c>
      <c r="X175">
        <f>HYPERLINK("https://klasma.github.io/Logging_2482/tillsyn/A 4996-2025 tillsynsbegäran.docx", "A 4996-2025")</f>
        <v/>
      </c>
      <c r="Y175">
        <f>HYPERLINK("https://klasma.github.io/Logging_2482/tillsynsmail/A 4996-2025 tillsynsbegäran mail.docx", "A 4996-2025")</f>
        <v/>
      </c>
    </row>
    <row r="176" ht="15" customHeight="1">
      <c r="A176" t="inlineStr">
        <is>
          <t>A 5110-2025</t>
        </is>
      </c>
      <c r="B176" s="1" t="n">
        <v>45691</v>
      </c>
      <c r="C176" s="1" t="n">
        <v>45718</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9093-2025</t>
        </is>
      </c>
      <c r="B177" s="1" t="n">
        <v>45713</v>
      </c>
      <c r="C177" s="1" t="n">
        <v>45718</v>
      </c>
      <c r="D177" t="inlineStr">
        <is>
          <t>VÄSTERBOTTENS LÄN</t>
        </is>
      </c>
      <c r="E177" t="inlineStr">
        <is>
          <t>SKELLEFTEÅ</t>
        </is>
      </c>
      <c r="G177" t="n">
        <v>4.3</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HYPERLINK("https://klasma.github.io/Logging_2482/artfynd/A 9093-2025 artfynd.xlsx", "A 9093-2025")</f>
        <v/>
      </c>
      <c r="T177">
        <f>HYPERLINK("https://klasma.github.io/Logging_2482/kartor/A 9093-2025 karta.png",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9699-2025</t>
        </is>
      </c>
      <c r="B178" s="1" t="n">
        <v>45716</v>
      </c>
      <c r="C178" s="1" t="n">
        <v>45718</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45718</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45718</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45718</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45718</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45718</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45718</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45718</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45718</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45718</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45718</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45718</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45718</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45718</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45718</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45718</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45718</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45718</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45718</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45718</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45718</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45718</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45718</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45718</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45718</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45718</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45718</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45718</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45718</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45718</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45718</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45718</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45718</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45718</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45718</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45718</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45718</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45718</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45718</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45718</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45718</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45718</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45718</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45718</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45718</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45718</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45718</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45718</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45718</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45718</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45718</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45718</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45718</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45718</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45718</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45718</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45718</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45718</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45718</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45718</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45718</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45718</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45718</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45718</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45718</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45718</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45718</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45718</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45718</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45718</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45718</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45718</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45718</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45718</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45718</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45718</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45718</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45718</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45718</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45718</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45718</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45718</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45718</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45718</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45718</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45718</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45718</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45718</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45718</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45718</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45718</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45718</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45718</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45718</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45718</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45718</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45718</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45718</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45718</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45718</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45718</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45718</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45718</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45718</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45718</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45718</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45718</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45718</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45718</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45718</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45718</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45718</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45718</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45718</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45718</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45718</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45718</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45718</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45718</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45718</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45718</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45718</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45718</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45718</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45718</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45718</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45718</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45718</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45718</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45718</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45718</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45718</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45718</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45718</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45718</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45718</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45718</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45718</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45718</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45718</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45718</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45718</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45718</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45718</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45718</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45718</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45718</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45718</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45718</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45718</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45718</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45718</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45718</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45718</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45718</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45718</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45718</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45718</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45718</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45718</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45718</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45718</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45718</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45718</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45718</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45718</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45718</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45718</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45718</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45718</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45718</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45718</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45718</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45718</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45718</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45718</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45718</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45718</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45718</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45718</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45718</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45718</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45718</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45718</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45718</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45718</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45718</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45718</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45718</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45718</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45718</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45718</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45718</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45718</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45718</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45718</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45718</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45718</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45718</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45718</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45718</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45718</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45718</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45718</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45718</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45718</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45718</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45718</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45718</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45718</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45718</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45718</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45718</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45718</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45718</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45718</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45718</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45718</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45718</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45718</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45718</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45718</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45718</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45718</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45718</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45718</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45718</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45718</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45718</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45718</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45718</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45718</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45718</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45718</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45718</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45718</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45718</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45718</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45718</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45718</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45718</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45718</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45718</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45718</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45718</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45718</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45718</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45718</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45718</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45718</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45718</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45718</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45718</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45718</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45718</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45718</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45718</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45718</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45718</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45718</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45718</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45718</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45718</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45718</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45718</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45718</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45718</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45718</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45718</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45718</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45718</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45718</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45718</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45718</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45718</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45718</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45718</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45718</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45718</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45718</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45718</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45718</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45718</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45718</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45718</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45718</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45718</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45718</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45718</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45718</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45718</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45718</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45718</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45718</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45718</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45718</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45718</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45718</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45718</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45718</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45718</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45718</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45718</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45718</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45718</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45718</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45718</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45718</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45718</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45718</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45718</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45718</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45718</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45718</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45718</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45718</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45718</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45718</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45718</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45718</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45718</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45718</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45718</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45718</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45718</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45718</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45718</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45718</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45718</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45718</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45718</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45718</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45718</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45718</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45718</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45718</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45718</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45718</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45718</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45718</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45718</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45718</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45718</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45718</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45718</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45718</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45718</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45718</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45718</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45718</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45718</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45718</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45718</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45718</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45718</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45718</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45718</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45718</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45718</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45718</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45718</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45718</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45718</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45718</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45718</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45718</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45718</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45718</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45718</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45718</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45718</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45718</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45718</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45718</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45718</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45718</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45718</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45718</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45718</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45718</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45718</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45718</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45718</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45718</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45718</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45718</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45718</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45718</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45718</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45718</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45718</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45718</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45718</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45718</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45718</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45718</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45718</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45718</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45718</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45718</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45718</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45718</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45718</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45718</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45718</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45718</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45718</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45718</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45718</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45718</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45718</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45718</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45718</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45718</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45718</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45718</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45718</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45718</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45718</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45718</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45718</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45718</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45718</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45718</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45718</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45718</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45718</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45718</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45718</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45718</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45718</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45718</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45718</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45718</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45718</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45718</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45718</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45718</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45718</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45718</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45718</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45718</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45718</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45718</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45718</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45718</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45718</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45718</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45718</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45718</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45718</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45718</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45718</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45718</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45718</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45718</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45718</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45718</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45718</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45718</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45718</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45718</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45718</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45718</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45718</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45718</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45718</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45718</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45718</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45718</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45718</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45718</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45718</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45718</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45718</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45718</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45718</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45718</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45718</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45718</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45718</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45718</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45718</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45718</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45718</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45718</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45718</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45718</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45718</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45718</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45718</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45718</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45718</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45718</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45718</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45718</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45718</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45718</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45718</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45718</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45718</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45718</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45718</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45718</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45718</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45718</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45718</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45718</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45718</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45718</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45718</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45718</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45718</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45718</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45718</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45718</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45718</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45718</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45718</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45718</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45718</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45718</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45718</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45718</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45718</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45718</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45718</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45718</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45718</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45718</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45718</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45718</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45718</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45718</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45718</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45718</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45718</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45718</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45718</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45718</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45718</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45718</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45718</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45718</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45718</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45718</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45718</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45718</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45718</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45718</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45718</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45718</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45718</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45718</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45718</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45718</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45718</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45718</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45718</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45718</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45718</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45718</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45718</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45718</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45718</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45718</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45718</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45718</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45718</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45718</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45718</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45718</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45718</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45718</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45718</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45718</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45718</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45718</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45718</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45718</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45718</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45718</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45718</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45718</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45718</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45718</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45718</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45718</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45718</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45718</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45718</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45718</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45718</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45718</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45718</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45718</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45718</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45718</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45718</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45718</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45718</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45718</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45718</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45718</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45718</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45718</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45718</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45718</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45718</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45718</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45718</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45718</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45718</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45718</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45718</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45718</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45718</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45718</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45718</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45718</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45718</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45718</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45718</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45718</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45718</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45718</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45718</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45718</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45718</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45718</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45718</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45718</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45718</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45718</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45718</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45718</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45718</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45718</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45718</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45718</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45718</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45718</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45718</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45718</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45718</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45718</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45718</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45718</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45718</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45718</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45718</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45718</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45718</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45718</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45718</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45718</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45718</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45718</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45718</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45718</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45718</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45718</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45718</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45718</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45718</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45718</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45718</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45718</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45718</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45718</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45718</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45718</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45718</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45718</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45718</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45718</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45718</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45718</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45718</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45718</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45718</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45718</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45718</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45718</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45718</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45718</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45718</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45718</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45718</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45718</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45718</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45718</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45718</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45718</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45718</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45718</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45718</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45718</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45718</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45718</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45718</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45718</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45718</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45718</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45718</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45718</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45718</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45718</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45718</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45718</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45718</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45718</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45718</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45718</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45718</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45718</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45718</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45718</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45718</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45718</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45718</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45718</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45718</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45718</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45718</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45718</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45718</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45718</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45718</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45718</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45718</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45718</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45718</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45718</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45718</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45718</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45718</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45718</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45718</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45718</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45718</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45718</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45718</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45718</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45718</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45718</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45718</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45718</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45718</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45718</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45718</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45718</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45718</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45718</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45718</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45718</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45718</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45718</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45718</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45718</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45718</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45718</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45718</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45718</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45718</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45718</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45718</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45718</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45718</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45718</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45718</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45718</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45718</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45718</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45718</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45718</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45718</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45718</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45718</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45718</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45718</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45718</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45718</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45718</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45718</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45718</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45718</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45718</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45718</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45718</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45718</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45718</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45718</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45718</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45718</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45718</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45718</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45718</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45718</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45718</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45718</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45718</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45718</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45718</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45718</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45718</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45718</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45718</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45718</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45718</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45718</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45718</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45718</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45718</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45718</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45718</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45718</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45718</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45718</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45718</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45718</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45718</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45718</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45718</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45718</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45718</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45718</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45718</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45718</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45718</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45718</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45718</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45718</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45718</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45718</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45718</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45718</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45718</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45718</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45718</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45718</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45718</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45718</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45718</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45718</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45718</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45718</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45718</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45718</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45718</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45718</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45718</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45718</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45718</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45718</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45718</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45718</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45718</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45718</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45718</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45718</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45718</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45718</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45718</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45718</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45718</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45718</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45718</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45718</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45718</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45718</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45718</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45718</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45718</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45718</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45718</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45718</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45718</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45718</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45718</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45718</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45718</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45718</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45718</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45718</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45718</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45718</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45718</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45718</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45718</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45718</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45718</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45718</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45718</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45718</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45718</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45718</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45718</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45718</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45718</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45718</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45718</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45718</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45718</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45718</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45718</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45718</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45718</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45718</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45718</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45718</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45718</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45718</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45718</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45718</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45718</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45718</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45718</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45718</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45718</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45718</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45718</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45718</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45718</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45718</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45718</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45718</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45718</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45718</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45718</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45718</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45718</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45718</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45718</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45718</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45718</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45718</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45718</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45718</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45718</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45718</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45718</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45718</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45718</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45718</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45718</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45718</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45718</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45718</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45718</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45718</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45718</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45718</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45718</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45718</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45718</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45718</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45718</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45718</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45718</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45718</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45718</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45718</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45718</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45718</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45718</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45718</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45718</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45718</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45718</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45718</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45718</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45718</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45718</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45718</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45718</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45718</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45718</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45718</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45718</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45718</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45718</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45718</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45718</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45718</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45718</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45718</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45718</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45718</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45718</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45718</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45718</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45718</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45718</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45718</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45718</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45718</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45718</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45718</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45718</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45718</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45718</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45718</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45718</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45718</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45718</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45718</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45718</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45718</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45718</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45718</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45718</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45718</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45718</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45718</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45718</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45718</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45718</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45718</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45718</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45718</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45718</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45718</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45718</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45718</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45718</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45718</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45718</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45718</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45718</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45718</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45718</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45718</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45718</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45718</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45718</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45718</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45718</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45718</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45718</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45718</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45718</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45718</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45718</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45718</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45718</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45718</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45718</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45718</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45718</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45718</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45718</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45718</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45718</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45718</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45718</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45718</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45718</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45718</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45718</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45718</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45718</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45718</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45718</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45718</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45718</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45718</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45718</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45718</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45718</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45718</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45718</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45718</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45718</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45718</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45718</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45718</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45718</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45718</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45718</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45718</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45718</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45718</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45718</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45718</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45718</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45718</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45718</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45718</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45718</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45718</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45718</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45718</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45718</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45718</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45718</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45718</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45718</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45718</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45718</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45718</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45718</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45718</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45718</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45718</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45718</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45718</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45718</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45718</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45718</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45718</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45718</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45718</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45718</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45718</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45718</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45718</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45718</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45718</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45718</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45718</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45718</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45718</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45718</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45718</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45718</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45718</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45718</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45718</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45718</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45718</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45718</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45718</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45718</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45718</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45718</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45718</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45718</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45718</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45718</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45718</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45718</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45718</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45718</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45718</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45718</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45718</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45718</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45718</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45718</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45718</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45718</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45718</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45718</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45718</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45718</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45718</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45718</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45718</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45718</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45718</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45718</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45718</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45718</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45718</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45718</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45718</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45718</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45718</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45718</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45718</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45718</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45718</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45718</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45718</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45718</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45718</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45718</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45718</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45718</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45718</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45718</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45718</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45718</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45718</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45718</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45718</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45718</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45718</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45718</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45718</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45718</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45718</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45718</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45718</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45718</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45718</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45718</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45718</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45718</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45718</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45718</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45718</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45718</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45718</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45718</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45718</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45718</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45718</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45718</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45718</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45718</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45718</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45718</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45718</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45718</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45718</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45718</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45718</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45718</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45718</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45718</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45718</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45718</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45718</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45718</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45718</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45718</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45718</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45718</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45718</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45718</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45718</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45718</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45718</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45718</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45718</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45718</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45718</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45718</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45718</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45718</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45718</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45718</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45718</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45718</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45718</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45718</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45718</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45718</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45718</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45718</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45718</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45718</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45718</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45718</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45718</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45718</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45718</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45718</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45718</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45718</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45718</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45718</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45718</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45718</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45718</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45718</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45718</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45718</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45718</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45718</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45718</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45718</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45718</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45718</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45718</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45718</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45718</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45718</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45718</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45718</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45718</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45718</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45718</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45718</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45718</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45718</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45718</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45718</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45718</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45718</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45718</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45718</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45718</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45718</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45718</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45718</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45718</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45718</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45718</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45718</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45718</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45718</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45718</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45718</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45718</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45718</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45718</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45718</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45718</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45718</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45718</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45718</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45718</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45718</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45718</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45718</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45718</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45718</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45718</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45718</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45718</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45718</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45718</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45718</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45718</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45718</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45718</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45718</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45718</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45718</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45718</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45718</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45718</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45718</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45718</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45718</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45718</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45718</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45718</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45718</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45718</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45718</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45718</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45718</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45718</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45718</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45718</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45718</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45718</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45718</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45718</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45718</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45718</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45718</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45718</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45718</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45718</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45718</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45718</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45718</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45718</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45718</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45718</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45718</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45718</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45718</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45718</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45718</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45718</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45718</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45718</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45718</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45718</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45718</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45718</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45718</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45718</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45718</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45718</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45718</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45718</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45718</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45718</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45718</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45718</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45718</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45718</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45718</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45718</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45718</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45718</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45718</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45718</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45718</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45718</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45718</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45718</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45718</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45718</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45718</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45718</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45718</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45718</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45718</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45718</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45718</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45718</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45718</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45718</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45718</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45718</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45718</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45718</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45718</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45718</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45718</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45718</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45718</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45718</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45718</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45718</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45718</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45718</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45718</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45718</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45718</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45718</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45718</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45718</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45718</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45718</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45718</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45718</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45718</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45718</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45718</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45718</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45718</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45718</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45718</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45718</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45718</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45718</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45718</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45718</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45718</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45718</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45718</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45718</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45718</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45718</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45718</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45718</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45718</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45718</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45718</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45718</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45718</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45718</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45718</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45718</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45718</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45718</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45718</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45718</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45718</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45718</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45718</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45718</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45718</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45718</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45718</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45718</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45718</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45718</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45718</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45718</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45718</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45718</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45718</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45718</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45718</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45718</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45718</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45718</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45718</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45718</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45718</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45718</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45718</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45718</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45718</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45718</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45718</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45718</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45718</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45718</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45718</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45718</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45718</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45718</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45718</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45718</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45718</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45718</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45718</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45718</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45718</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45718</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45718</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45718</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45718</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45718</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45718</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45718</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45718</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45718</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45718</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45718</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45718</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45718</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45718</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45718</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45718</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45718</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45718</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45718</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45718</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45718</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45718</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45718</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45718</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45718</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45718</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45718</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45718</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45718</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45718</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45718</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45718</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45718</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45718</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45718</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45718</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45718</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45718</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45718</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45718</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45718</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45718</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45718</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45718</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45718</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45718</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45718</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45718</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45718</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45718</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45718</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45718</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45718</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45718</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45718</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45718</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45718</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45718</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45718</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45718</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45718</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45718</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45718</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45718</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45718</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45718</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45718</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45718</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45718</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45718</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45718</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45718</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45718</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45718</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45718</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45718</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45718</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45718</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45718</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45718</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45718</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45718</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45718</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45718</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45718</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45718</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45718</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45718</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45718</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45718</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45718</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45718</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45718</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45718</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45718</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45718</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45718</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45718</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45718</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45718</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45718</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45718</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45718</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45718</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45718</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45718</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45718</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45718</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45718</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45718</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45718</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45718</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45718</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45718</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45718</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45718</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45718</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45718</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45718</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45718</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45718</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45718</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45718</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45718</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45718</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45718</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45718</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45718</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45718</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45718</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45718</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45718</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45718</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45718</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45718</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45718</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45718</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45718</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45718</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45718</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45718</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45718</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45718</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45718</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45718</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45718</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45718</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45718</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45718</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45718</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45718</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45718</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45718</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45718</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45718</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45718</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45718</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45718</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45718</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45718</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45718</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45718</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45718</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45718</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45718</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45718</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45718</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45718</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45718</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45718</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45718</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45718</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45718</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45718</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45718</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45718</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45718</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45718</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45718</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45718</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45718</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45718</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45718</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45718</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45718</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45718</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45718</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45718</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45718</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45718</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45718</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45718</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45718</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45718</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45718</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45718</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45718</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45718</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45718</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45718</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45718</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45718</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45718</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45718</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45718</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45718</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45718</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45718</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45718</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45718</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45718</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45718</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45718</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45718</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45718</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45718</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45718</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45718</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45718</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45718</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45718</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45718</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45718</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45718</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45718</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45718</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45718</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45718</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45718</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45718</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45718</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45718</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45718</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45718</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45718</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45718</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45718</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45718</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45718</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45718</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45718</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45718</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45718</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45718</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45718</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45718</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45718</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45718</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45718</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45718</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45718</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45718</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45718</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45718</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45718</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45718</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45718</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45718</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45718</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45718</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45718</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45718</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45718</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45718</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45718</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45718</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45718</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45718</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45718</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45718</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45718</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45718</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45718</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45718</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45718</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45718</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45718</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45718</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45718</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45718</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45718</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45718</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45718</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45718</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45718</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45718</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45718</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45718</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45718</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45718</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45718</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45718</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45718</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45718</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45718</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45718</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45718</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45718</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45718</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45718</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45718</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45718</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45718</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45718</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45718</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45718</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45718</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45718</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45718</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45718</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45718</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45718</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45718</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45718</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45718</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45718</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45718</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45718</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45718</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45718</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45718</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45718</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45718</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45718</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45718</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45718</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45718</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45718</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45718</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45718</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45718</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45718</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45718</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45718</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45718</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45718</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45718</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45718</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45718</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45718</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45718</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45718</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45718</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45718</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45718</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45718</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45718</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45718</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45718</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45718</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45718</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45718</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45718</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45718</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45718</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45718</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45718</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45718</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45718</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45718</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45718</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45718</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45718</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45718</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45718</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45718</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45718</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45718</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45718</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45718</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45718</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45718</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45718</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45718</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45718</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45718</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45718</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45718</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45718</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45718</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45718</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45718</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45718</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45718</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45718</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45718</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45718</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45718</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45718</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45718</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45718</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45718</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45718</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45718</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45718</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45718</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45718</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45718</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45718</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45718</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45718</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45718</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45718</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45718</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45718</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45718</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45718</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45718</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45718</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45718</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45718</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45718</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45718</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45718</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45718</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45718</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45718</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45718</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45718</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45718</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45718</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45718</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45718</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45718</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45718</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45718</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45718</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45718</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45718</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45718</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45718</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45718</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45718</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45718</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45718</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45718</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45718</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45718</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45718</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45718</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45718</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45718</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45718</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45718</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45718</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45718</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45718</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45718</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45718</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45718</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45718</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45718</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45718</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45718</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45718</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45718</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45718</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45718</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45718</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45718</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45718</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45718</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45718</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45718</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45718</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45718</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45718</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45718</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45718</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45718</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45718</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45718</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45718</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45718</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45718</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45718</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45718</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45718</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45718</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45718</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45718</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45718</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45718</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45718</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45718</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45718</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45718</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45718</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45718</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45718</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45718</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45718</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45718</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45718</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45718</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45718</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45718</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45718</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45718</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45718</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45718</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45718</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45718</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45718</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45718</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45718</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45718</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45718</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45718</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45718</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45718</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45718</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45718</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45718</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45718</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45718</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45718</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45718</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45718</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45718</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45718</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45718</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45718</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45718</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45718</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45718</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45718</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45718</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45718</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45718</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45718</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45718</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45718</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45718</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45718</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45718</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45718</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45718</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45718</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45718</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45718</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45718</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45718</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45718</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45718</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45718</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45718</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45718</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45718</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45718</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45718</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45718</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45718</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45718</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45718</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45718</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45718</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45718</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45718</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45718</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45718</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45718</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45718</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45718</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45718</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45718</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45718</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45718</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45718</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45718</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45718</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45718</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45718</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45718</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45718</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45718</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45718</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45718</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45718</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45718</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45718</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45718</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45718</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45718</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45718</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45718</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45718</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45718</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45718</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45718</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45718</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45718</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45718</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45718</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45718</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45718</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45718</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45718</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45718</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45718</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45718</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45718</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45718</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45718</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45718</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45718</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45718</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45718</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45718</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45718</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45718</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45718</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45718</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45718</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45718</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45718</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45718</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45718</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45718</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45718</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45718</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45718</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45718</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45718</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45718</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45718</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45718</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45718</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45718</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45718</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45718</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45718</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45718</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45718</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45718</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45718</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45718</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45718</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45718</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45718</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45718</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45718</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45718</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45718</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45718</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45718</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45718</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45718</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45718</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45718</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45718</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45718</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45718</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45718</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45718</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45718</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45718</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45718</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45718</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45718</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45718</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45718</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45718</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45718</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45718</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45718</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45718</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45718</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45718</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45718</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45718</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45718</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45718</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45718</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45718</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45718</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45718</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45718</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45718</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45718</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45718</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45718</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45718</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45718</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45718</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45718</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45718</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45718</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45718</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45718</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45718</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45718</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45718</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45718</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45718</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45718</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45718</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45718</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45718</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45718</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45718</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45718</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45718</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45718</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45718</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45718</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45718</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45718</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45718</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45718</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45718</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45718</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45718</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45718</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45718</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45718</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45718</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45718</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45718</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45718</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45718</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45718</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45718</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45718</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45718</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45718</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45718</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45718</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45718</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45718</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45718</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45718</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45718</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45718</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45718</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45718</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45718</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45718</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45718</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45718</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45718</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45718</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45718</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45718</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45718</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45718</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45718</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45718</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45718</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45718</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45718</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45718</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45718</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45718</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45718</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45718</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45718</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45718</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45718</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45718</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45718</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45718</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45718</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45718</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45718</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45718</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45718</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45718</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45718</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45718</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45718</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45718</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45718</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45718</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45718</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45718</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45718</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45718</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45718</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45718</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45718</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45718</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45718</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45718</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45718</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45718</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45718</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45718</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45718</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45718</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45718</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45718</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45718</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45718</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45718</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45718</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45718</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45718</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45718</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45718</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45718</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45718</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45718</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45718</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45718</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45718</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45718</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45718</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45718</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45718</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45718</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45718</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45718</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45718</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45718</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45718</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45718</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45718</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45718</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45718</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45718</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45718</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45718</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45718</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45718</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45718</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45718</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45718</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45718</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45718</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45718</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45718</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45718</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45718</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45718</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45718</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45718</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45718</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45718</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45718</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45718</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45718</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45718</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45718</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45718</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45718</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45718</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45718</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45718</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45718</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45718</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45718</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45718</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45718</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45718</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45718</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45718</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45718</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45718</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45718</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45718</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45718</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45718</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45718</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45718</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45718</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45718</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45718</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45718</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45718</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45718</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45718</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45718</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45718</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45718</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45718</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45718</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45718</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45718</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45718</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45718</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45718</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45718</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45718</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45718</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45718</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45718</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45718</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45718</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45718</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45718</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45718</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45718</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45718</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45718</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45718</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45718</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45718</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45718</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45718</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45718</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45718</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45718</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45718</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45718</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45718</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45718</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45718</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45718</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45718</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45718</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45718</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45718</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45718</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45718</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45718</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45718</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45718</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45718</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45718</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45718</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45718</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45718</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45718</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45718</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45718</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45718</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45718</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45718</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45718</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45718</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45718</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45718</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45718</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45718</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45718</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45718</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45718</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45718</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45718</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45718</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45718</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45718</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45718</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45718</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45718</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45718</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45718</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45718</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45718</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45718</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45718</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45718</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45718</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45718</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45718</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45718</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45718</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45718</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45718</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45718</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45718</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45718</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45718</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45718</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45718</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45718</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45718</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45718</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45718</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45718</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45718</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45718</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45718</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45718</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45718</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45718</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45718</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45718</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45718</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45718</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45718</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45718</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45718</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45718</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45718</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45718</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45718</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45718</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45718</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45718</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45718</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45718</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45718</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45718</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45718</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45718</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45718</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45718</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45718</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45718</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45718</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45718</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45718</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45718</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45718</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45718</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45718</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45718</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45718</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45718</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45718</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45718</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45718</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45718</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45718</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45718</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45718</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45718</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45718</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45718</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45718</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45718</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45718</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45718</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45718</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45718</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45718</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45718</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45718</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45718</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45718</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45718</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45718</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45718</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45718</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45718</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45718</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45718</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45718</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45718</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45718</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45718</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45718</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45718</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45718</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45718</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45718</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45718</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45718</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45718</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45718</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45718</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45718</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45718</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45718</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45718</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45718</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45718</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45718</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45718</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45718</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45718</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45718</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45718</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45718</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45718</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45718</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45718</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45718</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45718</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45718</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45718</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45718</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45718</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45718</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45718</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45718</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45718</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45718</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45718</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45718</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45718</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45718</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45718</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45718</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45718</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45718</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45718</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45718</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45718</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45718</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45718</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45718</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45718</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45718</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45718</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45718</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45718</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45718</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45718</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45718</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45718</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45718</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45718</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45718</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45718</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45718</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45718</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45718</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45718</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45718</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45718</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45718</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45718</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45718</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45718</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45718</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45718</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45718</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45718</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45718</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45718</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45718</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45718</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45718</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45718</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45718</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45718</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45718</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45718</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45718</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45718</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45718</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45718</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45718</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45718</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45718</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45718</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45718</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45718</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45718</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45718</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45718</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45718</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45718</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45718</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45718</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45718</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45718</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45718</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45718</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45718</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45718</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45718</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45718</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45718</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45718</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45718</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45718</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45718</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45718</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45718</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45718</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45718</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45718</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45718</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45718</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45718</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45718</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45718</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45718</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45718</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45718</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45718</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45718</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45718</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45718</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45718</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45718</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45718</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45718</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45718</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45718</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45718</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45718</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45718</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45718</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45718</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45718</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45718</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45718</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45718</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45718</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45718</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45718</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45718</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45718</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45718</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45718</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45718</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45718</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45718</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45718</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45718</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45718</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45718</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45718</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45718</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45718</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45718</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45718</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45718</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45718</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45718</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45718</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45718</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45718</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45718</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45718</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45718</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45718</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45718</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45718</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45718</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45718</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45718</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45718</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45718</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45718</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45718</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45718</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45718</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45718</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45718</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45718</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45718</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45718</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45718</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45718</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45718</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45718</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45718</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45718</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45718</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45718</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45718</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45718</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45718</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45718</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45718</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45718</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45718</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45718</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45718</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45718</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45718</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45718</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45718</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45718</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45718</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45718</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45718</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45718</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45718</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45718</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45718</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45718</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45718</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45718</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45718</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45718</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45718</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45718</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45718</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45718</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45718</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45718</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45718</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45718</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45718</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45718</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45718</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45718</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45718</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45718</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45718</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45718</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45718</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45718</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45718</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45718</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45718</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45718</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45718</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45718</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45718</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45718</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45718</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45718</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45718</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45718</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45718</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45718</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45718</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45718</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45718</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45718</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45718</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45718</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45718</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45718</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45718</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45718</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45718</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45718</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45718</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45718</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45718</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45718</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45718</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45718</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45718</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45718</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45718</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45718</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45718</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45718</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45718</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45718</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45718</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45718</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45718</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45718</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45718</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45718</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45718</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45718</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45718</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45718</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45718</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45718</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45718</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45718</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45718</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45718</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45718</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45718</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45718</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45718</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45718</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45718</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45718</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45718</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45718</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45718</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45718</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45718</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45718</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45718</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45718</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45718</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45718</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45718</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45718</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45718</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45718</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45718</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45718</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45718</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45718</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45718</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45718</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45718</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45718</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45718</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45718</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45718</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45718</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45718</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45718</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45718</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45718</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45718</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45718</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45718</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45718</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45718</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45718</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45718</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45718</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45718</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45718</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45718</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45718</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45718</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45718</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45718</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45718</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45718</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45718</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45718</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45718</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45718</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45718</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45718</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45718</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45718</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45718</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45718</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45718</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45718</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45718</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45718</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45718</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45718</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45718</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45718</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45718</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45718</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45718</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45718</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45718</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45718</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45718</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45718</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45718</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45718</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45718</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45718</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45718</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45718</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45718</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45718</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45718</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45718</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45718</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45718</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45718</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45718</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45718</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45718</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45718</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45718</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45718</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45718</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45718</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45718</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45718</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45718</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45718</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45718</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45718</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45718</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45718</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45718</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45718</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45718</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45718</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45718</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45718</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45718</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45718</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45718</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45718</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45718</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45718</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45718</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45718</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45718</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45718</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45718</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45718</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45718</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45718</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45718</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45718</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45718</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45718</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45718</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45718</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45718</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45718</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45718</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45718</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45718</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45718</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45718</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45718</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45718</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45718</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45718</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45718</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45718</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45718</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45718</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45718</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45718</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45718</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45718</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45718</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45718</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45718</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45718</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45718</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45718</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45718</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45718</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45718</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45718</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45718</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45718</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45718</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45718</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45718</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45718</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45718</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45718</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45718</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45718</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45718</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45718</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45718</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45718</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45718</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45718</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45718</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45718</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45718</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45718</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45718</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45718</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45718</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45718</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45718</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45718</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45718</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45718</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45718</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45718</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45718</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45718</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45718</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45718</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45718</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45718</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45718</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45718</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45718</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45718</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45718</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45718</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45718</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45718</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45718</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45718</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45718</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45718</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45718</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45718</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45718</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45718</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45718</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45718</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45718</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45718</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45718</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45718</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45718</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45718</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45718</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45718</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45718</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45718</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45718</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45718</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45718</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45718</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45718</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45718</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45718</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45718</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45718</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45718</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45718</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45718</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45718</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45718</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45718</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45718</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45718</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45718</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45718</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45718</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45718</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45718</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45718</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45718</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45718</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45718</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45718</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45718</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45718</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45718</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45718</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45718</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45718</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45718</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45718</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45718</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45718</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45718</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45718</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45718</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45718</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45718</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45718</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45718</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45718</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45718</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45718</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45718</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45718</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45718</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45718</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45718</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45718</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45718</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45718</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45718</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45718</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45718</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45718</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45718</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45718</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45718</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45718</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45718</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45718</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45718</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45718</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45718</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45718</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45718</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45718</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45718</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45718</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45718</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45718</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45718</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45718</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45718</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45718</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45718</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45718</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45718</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45718</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45718</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45718</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45718</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45718</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45718</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45718</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45718</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45718</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45718</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45718</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45718</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45718</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45718</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45718</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45718</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45718</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45718</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45718</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45718</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45718</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45718</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45718</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45718</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45718</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45718</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45718</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45718</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45718</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45718</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45718</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45718</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45718</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45718</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45718</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45718</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45718</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45718</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45718</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45718</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45718</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45718</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45718</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45718</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45718</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45718</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45718</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45718</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45718</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45718</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45718</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45718</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45718</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45718</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45718</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45718</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45718</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45718</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45718</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45718</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45718</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45718</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45718</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45718</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45718</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45718</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45718</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45718</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45718</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45718</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45718</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45718</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45718</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45718</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45718</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45718</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45718</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45718</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45718</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45718</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45718</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45718</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45718</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45718</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45718</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45718</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45718</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45718</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45718</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45718</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45718</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45718</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45718</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45718</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45718</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45718</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45718</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45718</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45718</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45718</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45718</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45718</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45718</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45718</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45718</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45718</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45718</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45718</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45718</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45718</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45718</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45718</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45718</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45718</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45718</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45718</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45718</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45718</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45718</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45718</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45718</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45718</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45718</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45718</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45718</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45718</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45718</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45718</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45718</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45718</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45718</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45718</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45718</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45718</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45718</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45718</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45718</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45718</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45718</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45718</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45718</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45718</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45718</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45718</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45718</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45718</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45718</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45718</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45718</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45718</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45718</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45718</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45718</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45718</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45718</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45718</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45718</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45718</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45718</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45718</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45718</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45718</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45718</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45718</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45718</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45718</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45718</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45718</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45718</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45718</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45718</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45718</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45718</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45718</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45718</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45718</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45718</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45718</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45718</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45718</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45718</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45718</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45718</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45718</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45718</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45718</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45718</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45718</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45718</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45718</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45718</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45718</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45718</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45718</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45718</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45718</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45718</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45718</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45718</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45718</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45718</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45718</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45718</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45718</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45718</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45718</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45718</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45718</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45718</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45718</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45718</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45718</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45718</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45718</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45718</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45718</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45718</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45718</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45718</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45718</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45718</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45718</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45718</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45718</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45718</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45718</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45718</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45718</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45718</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45718</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45718</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45718</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45718</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45718</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45718</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45718</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45718</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45718</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45718</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45718</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45718</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45718</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45718</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45718</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45718</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45718</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45718</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45718</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45718</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45718</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45718</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45718</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45718</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45718</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45718</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45718</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45718</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45718</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45718</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45718</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45718</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45718</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45718</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45718</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45718</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45718</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45718</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45718</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45718</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45718</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45718</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45718</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45718</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45718</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45718</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45718</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45718</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45718</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45718</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45718</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45718</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45718</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45718</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45718</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45718</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45718</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45718</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45718</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45718</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45718</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45718</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45718</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45718</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45718</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45718</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45718</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45718</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45718</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45718</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45718</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45718</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45718</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45718</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45718</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45718</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45718</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45718</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45718</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45718</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45718</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45718</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45718</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45718</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45718</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45718</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45718</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45718</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45718</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45718</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45718</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45718</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45718</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45718</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45718</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45718</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45718</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45718</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45718</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45718</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45718</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45718</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45718</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45718</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45718</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45718</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45718</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45718</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45718</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45718</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45718</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45718</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45718</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45718</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45718</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45718</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45718</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45718</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45718</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45718</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45718</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45718</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45718</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45718</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45718</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45718</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45718</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45718</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45718</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45718</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45718</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45718</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45718</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45718</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45718</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45718</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45718</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45718</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45718</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45718</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45718</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45718</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45718</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45718</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45718</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45718</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45718</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45718</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45718</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45718</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45718</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45718</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45718</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45718</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45718</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45718</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45718</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45718</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45718</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45718</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45718</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45718</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45718</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45718</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45718</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45718</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45718</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45718</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45718</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45718</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45718</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45718</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45718</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45718</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45718</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45718</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45718</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45718</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45718</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45718</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45718</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45718</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45718</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45718</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45718</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45718</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45718</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45718</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45718</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45718</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45718</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45718</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45718</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45718</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45718</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45718</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45718</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45718</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45718</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45718</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45718</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45718</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45718</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45718</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45718</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45718</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45718</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45718</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45718</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45718</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45718</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45718</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45718</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45718</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45718</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45718</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45718</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45718</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45718</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45718</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45718</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45718</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45718</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45718</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45718</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45718</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45718</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45718</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45718</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4956-2025</t>
        </is>
      </c>
      <c r="B3802" s="1" t="n">
        <v>45689</v>
      </c>
      <c r="C3802" s="1" t="n">
        <v>45718</v>
      </c>
      <c r="D3802" t="inlineStr">
        <is>
          <t>VÄSTERBOTTENS LÄN</t>
        </is>
      </c>
      <c r="E3802" t="inlineStr">
        <is>
          <t>SKELLEFTEÅ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4959-2025</t>
        </is>
      </c>
      <c r="B3803" s="1" t="n">
        <v>45689</v>
      </c>
      <c r="C3803" s="1" t="n">
        <v>45718</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4958-2025</t>
        </is>
      </c>
      <c r="B3804" s="1" t="n">
        <v>45689</v>
      </c>
      <c r="C3804" s="1" t="n">
        <v>45718</v>
      </c>
      <c r="D3804" t="inlineStr">
        <is>
          <t>VÄSTERBOTTENS LÄN</t>
        </is>
      </c>
      <c r="E3804" t="inlineStr">
        <is>
          <t>SKELLEFTEÅ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45718</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5011-2025</t>
        </is>
      </c>
      <c r="B3806" s="1" t="n">
        <v>45691</v>
      </c>
      <c r="C3806" s="1" t="n">
        <v>45718</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5186-2025</t>
        </is>
      </c>
      <c r="B3807" s="1" t="n">
        <v>45691</v>
      </c>
      <c r="C3807" s="1" t="n">
        <v>45718</v>
      </c>
      <c r="D3807" t="inlineStr">
        <is>
          <t>VÄSTERBOTTENS LÄN</t>
        </is>
      </c>
      <c r="E3807" t="inlineStr">
        <is>
          <t>SKELLEFTEÅ</t>
        </is>
      </c>
      <c r="G3807" t="n">
        <v>16.3</v>
      </c>
      <c r="H3807" t="n">
        <v>0</v>
      </c>
      <c r="I3807" t="n">
        <v>0</v>
      </c>
      <c r="J3807" t="n">
        <v>0</v>
      </c>
      <c r="K3807" t="n">
        <v>0</v>
      </c>
      <c r="L3807" t="n">
        <v>0</v>
      </c>
      <c r="M3807" t="n">
        <v>0</v>
      </c>
      <c r="N3807" t="n">
        <v>0</v>
      </c>
      <c r="O3807" t="n">
        <v>0</v>
      </c>
      <c r="P3807" t="n">
        <v>0</v>
      </c>
      <c r="Q3807" t="n">
        <v>0</v>
      </c>
      <c r="R3807" s="2" t="inlineStr"/>
    </row>
    <row r="3808" ht="15" customHeight="1">
      <c r="A3808" t="inlineStr">
        <is>
          <t>A 5116-2025</t>
        </is>
      </c>
      <c r="B3808" s="1" t="n">
        <v>45691</v>
      </c>
      <c r="C3808" s="1" t="n">
        <v>45718</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5133-2025</t>
        </is>
      </c>
      <c r="B3809" s="1" t="n">
        <v>45691</v>
      </c>
      <c r="C3809" s="1" t="n">
        <v>45718</v>
      </c>
      <c r="D3809" t="inlineStr">
        <is>
          <t>VÄSTERBOTTENS LÄN</t>
        </is>
      </c>
      <c r="E3809" t="inlineStr">
        <is>
          <t>SKELLEFTEÅ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5147-2025</t>
        </is>
      </c>
      <c r="B3810" s="1" t="n">
        <v>45691</v>
      </c>
      <c r="C3810" s="1" t="n">
        <v>45718</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45718</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45718</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5475-2025</t>
        </is>
      </c>
      <c r="B3813" s="1" t="n">
        <v>45693</v>
      </c>
      <c r="C3813" s="1" t="n">
        <v>45718</v>
      </c>
      <c r="D3813" t="inlineStr">
        <is>
          <t>VÄSTERBOTTENS LÄN</t>
        </is>
      </c>
      <c r="E3813" t="inlineStr">
        <is>
          <t>SKELLEFTEÅ</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45718</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5768-2025</t>
        </is>
      </c>
      <c r="B3815" s="1" t="n">
        <v>45694</v>
      </c>
      <c r="C3815" s="1" t="n">
        <v>45718</v>
      </c>
      <c r="D3815" t="inlineStr">
        <is>
          <t>VÄSTERBOTTENS LÄN</t>
        </is>
      </c>
      <c r="E3815" t="inlineStr">
        <is>
          <t>SKELLEFTEÅ</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45718</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45718</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5831-2025</t>
        </is>
      </c>
      <c r="B3818" s="1" t="n">
        <v>45694</v>
      </c>
      <c r="C3818" s="1" t="n">
        <v>45718</v>
      </c>
      <c r="D3818" t="inlineStr">
        <is>
          <t>VÄSTERBOTTENS LÄN</t>
        </is>
      </c>
      <c r="E3818" t="inlineStr">
        <is>
          <t>SKELLEFTEÅ</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5826-2025</t>
        </is>
      </c>
      <c r="B3819" s="1" t="n">
        <v>45694</v>
      </c>
      <c r="C3819" s="1" t="n">
        <v>45718</v>
      </c>
      <c r="D3819" t="inlineStr">
        <is>
          <t>VÄSTERBOTTENS LÄN</t>
        </is>
      </c>
      <c r="E3819" t="inlineStr">
        <is>
          <t>SKELLEFTEÅ</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5830-2025</t>
        </is>
      </c>
      <c r="B3820" s="1" t="n">
        <v>45694</v>
      </c>
      <c r="C3820" s="1" t="n">
        <v>45718</v>
      </c>
      <c r="D3820" t="inlineStr">
        <is>
          <t>VÄSTERBOTTENS LÄN</t>
        </is>
      </c>
      <c r="E3820" t="inlineStr">
        <is>
          <t>SKELLEFTEÅ</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5829-2025</t>
        </is>
      </c>
      <c r="B3821" s="1" t="n">
        <v>45694</v>
      </c>
      <c r="C3821" s="1" t="n">
        <v>45718</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5876-2025</t>
        </is>
      </c>
      <c r="B3822" s="1" t="n">
        <v>45694</v>
      </c>
      <c r="C3822" s="1" t="n">
        <v>45718</v>
      </c>
      <c r="D3822" t="inlineStr">
        <is>
          <t>VÄSTERBOTTENS LÄN</t>
        </is>
      </c>
      <c r="E3822" t="inlineStr">
        <is>
          <t>SKELLEFTEÅ</t>
        </is>
      </c>
      <c r="G3822" t="n">
        <v>60.7</v>
      </c>
      <c r="H3822" t="n">
        <v>0</v>
      </c>
      <c r="I3822" t="n">
        <v>0</v>
      </c>
      <c r="J3822" t="n">
        <v>0</v>
      </c>
      <c r="K3822" t="n">
        <v>0</v>
      </c>
      <c r="L3822" t="n">
        <v>0</v>
      </c>
      <c r="M3822" t="n">
        <v>0</v>
      </c>
      <c r="N3822" t="n">
        <v>0</v>
      </c>
      <c r="O3822" t="n">
        <v>0</v>
      </c>
      <c r="P3822" t="n">
        <v>0</v>
      </c>
      <c r="Q3822" t="n">
        <v>0</v>
      </c>
      <c r="R3822" s="2" t="inlineStr"/>
    </row>
    <row r="3823" ht="15" customHeight="1">
      <c r="A3823" t="inlineStr">
        <is>
          <t>A 5828-2025</t>
        </is>
      </c>
      <c r="B3823" s="1" t="n">
        <v>45694</v>
      </c>
      <c r="C3823" s="1" t="n">
        <v>45718</v>
      </c>
      <c r="D3823" t="inlineStr">
        <is>
          <t>VÄSTERBOTTENS LÄN</t>
        </is>
      </c>
      <c r="E3823" t="inlineStr">
        <is>
          <t>SKELLEFTEÅ</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5927-2025</t>
        </is>
      </c>
      <c r="B3824" s="1" t="n">
        <v>45695</v>
      </c>
      <c r="C3824" s="1" t="n">
        <v>45718</v>
      </c>
      <c r="D3824" t="inlineStr">
        <is>
          <t>VÄSTERBOTTENS LÄN</t>
        </is>
      </c>
      <c r="E3824" t="inlineStr">
        <is>
          <t>SKELLEFTEÅ</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45718</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45718</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5985-2025</t>
        </is>
      </c>
      <c r="B3827" s="1" t="n">
        <v>45695</v>
      </c>
      <c r="C3827" s="1" t="n">
        <v>45718</v>
      </c>
      <c r="D3827" t="inlineStr">
        <is>
          <t>VÄSTERBOTTENS LÄN</t>
        </is>
      </c>
      <c r="E3827" t="inlineStr">
        <is>
          <t>SKELLEFTEÅ</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6018-2025</t>
        </is>
      </c>
      <c r="B3828" s="1" t="n">
        <v>45695</v>
      </c>
      <c r="C3828" s="1" t="n">
        <v>45718</v>
      </c>
      <c r="D3828" t="inlineStr">
        <is>
          <t>VÄSTERBOTTENS LÄN</t>
        </is>
      </c>
      <c r="E3828" t="inlineStr">
        <is>
          <t>SKELLEFTEÅ</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45718</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45718</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45718</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45718</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45718</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45718</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6899-2025</t>
        </is>
      </c>
      <c r="B3835" s="1" t="n">
        <v>45701</v>
      </c>
      <c r="C3835" s="1" t="n">
        <v>45718</v>
      </c>
      <c r="D3835" t="inlineStr">
        <is>
          <t>VÄSTERBOTTENS LÄN</t>
        </is>
      </c>
      <c r="E3835" t="inlineStr">
        <is>
          <t>SKELLEFTEÅ</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45718</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7025-2025</t>
        </is>
      </c>
      <c r="B3837" s="1" t="n">
        <v>45701</v>
      </c>
      <c r="C3837" s="1" t="n">
        <v>45718</v>
      </c>
      <c r="D3837" t="inlineStr">
        <is>
          <t>VÄSTERBOTTENS LÄN</t>
        </is>
      </c>
      <c r="E3837" t="inlineStr">
        <is>
          <t>SKELLEFTEÅ</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45718</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45718</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45718</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45718</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45718</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7981-2025</t>
        </is>
      </c>
      <c r="B3843" s="1" t="n">
        <v>45707</v>
      </c>
      <c r="C3843" s="1" t="n">
        <v>45718</v>
      </c>
      <c r="D3843" t="inlineStr">
        <is>
          <t>VÄSTERBOTTENS LÄN</t>
        </is>
      </c>
      <c r="E3843" t="inlineStr">
        <is>
          <t>SKELLEFTEÅ</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8013-2025</t>
        </is>
      </c>
      <c r="B3844" s="1" t="n">
        <v>45707</v>
      </c>
      <c r="C3844" s="1" t="n">
        <v>45718</v>
      </c>
      <c r="D3844" t="inlineStr">
        <is>
          <t>VÄSTERBOTTENS LÄN</t>
        </is>
      </c>
      <c r="E3844" t="inlineStr">
        <is>
          <t>SKELLEFTEÅ</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7991-2025</t>
        </is>
      </c>
      <c r="B3845" s="1" t="n">
        <v>45707</v>
      </c>
      <c r="C3845" s="1" t="n">
        <v>45718</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8090-2025</t>
        </is>
      </c>
      <c r="B3846" s="1" t="n">
        <v>45707</v>
      </c>
      <c r="C3846" s="1" t="n">
        <v>45718</v>
      </c>
      <c r="D3846" t="inlineStr">
        <is>
          <t>VÄSTERBOTTENS LÄN</t>
        </is>
      </c>
      <c r="E3846" t="inlineStr">
        <is>
          <t>SKELLEFTEÅ</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7916-2025</t>
        </is>
      </c>
      <c r="B3847" s="1" t="n">
        <v>45707</v>
      </c>
      <c r="C3847" s="1" t="n">
        <v>45718</v>
      </c>
      <c r="D3847" t="inlineStr">
        <is>
          <t>VÄSTERBOTTENS LÄN</t>
        </is>
      </c>
      <c r="E3847" t="inlineStr">
        <is>
          <t>SKELLEFTEÅ</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8010-2025</t>
        </is>
      </c>
      <c r="B3848" s="1" t="n">
        <v>45707</v>
      </c>
      <c r="C3848" s="1" t="n">
        <v>45718</v>
      </c>
      <c r="D3848" t="inlineStr">
        <is>
          <t>VÄSTERBOTTENS LÄN</t>
        </is>
      </c>
      <c r="E3848" t="inlineStr">
        <is>
          <t>SKELLEFTEÅ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8140-2025</t>
        </is>
      </c>
      <c r="B3849" s="1" t="n">
        <v>45708</v>
      </c>
      <c r="C3849" s="1" t="n">
        <v>45718</v>
      </c>
      <c r="D3849" t="inlineStr">
        <is>
          <t>VÄSTERBOTTENS LÄN</t>
        </is>
      </c>
      <c r="E3849" t="inlineStr">
        <is>
          <t>SKELLEFTEÅ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8144-2025</t>
        </is>
      </c>
      <c r="B3850" s="1" t="n">
        <v>45708</v>
      </c>
      <c r="C3850" s="1" t="n">
        <v>45718</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8141-2025</t>
        </is>
      </c>
      <c r="B3851" s="1" t="n">
        <v>45708</v>
      </c>
      <c r="C3851" s="1" t="n">
        <v>45718</v>
      </c>
      <c r="D3851" t="inlineStr">
        <is>
          <t>VÄSTERBOTTENS LÄN</t>
        </is>
      </c>
      <c r="E3851" t="inlineStr">
        <is>
          <t>SKELLEFTEÅ</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45718</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8301-2025</t>
        </is>
      </c>
      <c r="B3853" s="1" t="n">
        <v>45708</v>
      </c>
      <c r="C3853" s="1" t="n">
        <v>45718</v>
      </c>
      <c r="D3853" t="inlineStr">
        <is>
          <t>VÄSTERBOTTENS LÄN</t>
        </is>
      </c>
      <c r="E3853" t="inlineStr">
        <is>
          <t>SKELLEFTEÅ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8240-2025</t>
        </is>
      </c>
      <c r="B3854" s="1" t="n">
        <v>45708</v>
      </c>
      <c r="C3854" s="1" t="n">
        <v>45718</v>
      </c>
      <c r="D3854" t="inlineStr">
        <is>
          <t>VÄSTERBOTTENS LÄN</t>
        </is>
      </c>
      <c r="E3854" t="inlineStr">
        <is>
          <t>SKELLEFTEÅ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8241-2025</t>
        </is>
      </c>
      <c r="B3855" s="1" t="n">
        <v>45708</v>
      </c>
      <c r="C3855" s="1" t="n">
        <v>45718</v>
      </c>
      <c r="D3855" t="inlineStr">
        <is>
          <t>VÄSTERBOTTENS LÄN</t>
        </is>
      </c>
      <c r="E3855" t="inlineStr">
        <is>
          <t>SKELLEFTEÅ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8280-2025</t>
        </is>
      </c>
      <c r="B3856" s="1" t="n">
        <v>45708</v>
      </c>
      <c r="C3856" s="1" t="n">
        <v>45718</v>
      </c>
      <c r="D3856" t="inlineStr">
        <is>
          <t>VÄSTERBOTTENS LÄN</t>
        </is>
      </c>
      <c r="E3856" t="inlineStr">
        <is>
          <t>SKELLEFTEÅ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45718</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45718</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8397-2025</t>
        </is>
      </c>
      <c r="B3859" s="1" t="n">
        <v>45709</v>
      </c>
      <c r="C3859" s="1" t="n">
        <v>45718</v>
      </c>
      <c r="D3859" t="inlineStr">
        <is>
          <t>VÄSTERBOTTENS LÄN</t>
        </is>
      </c>
      <c r="E3859" t="inlineStr">
        <is>
          <t>SKELLEFTEÅ</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45718</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45718</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45718</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45718</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45718</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8689-2025</t>
        </is>
      </c>
      <c r="B3865" s="1" t="n">
        <v>45712</v>
      </c>
      <c r="C3865" s="1" t="n">
        <v>45718</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8820-2025</t>
        </is>
      </c>
      <c r="B3866" s="1" t="n">
        <v>45712</v>
      </c>
      <c r="C3866" s="1" t="n">
        <v>45718</v>
      </c>
      <c r="D3866" t="inlineStr">
        <is>
          <t>VÄSTERBOTTENS LÄN</t>
        </is>
      </c>
      <c r="E3866" t="inlineStr">
        <is>
          <t>SKELLEFTEÅ</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45718</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45718</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8669-2025</t>
        </is>
      </c>
      <c r="B3869" s="1" t="n">
        <v>45712</v>
      </c>
      <c r="C3869" s="1" t="n">
        <v>45718</v>
      </c>
      <c r="D3869" t="inlineStr">
        <is>
          <t>VÄSTERBOTTENS LÄN</t>
        </is>
      </c>
      <c r="E3869" t="inlineStr">
        <is>
          <t>SKELLEFTEÅ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8839-2025</t>
        </is>
      </c>
      <c r="B3870" s="1" t="n">
        <v>45713</v>
      </c>
      <c r="C3870" s="1" t="n">
        <v>45718</v>
      </c>
      <c r="D3870" t="inlineStr">
        <is>
          <t>VÄSTERBOTTENS LÄN</t>
        </is>
      </c>
      <c r="E3870" t="inlineStr">
        <is>
          <t>SKELLEFTEÅ</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8887-2025</t>
        </is>
      </c>
      <c r="B3871" s="1" t="n">
        <v>45713</v>
      </c>
      <c r="C3871" s="1" t="n">
        <v>45718</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8927-2025</t>
        </is>
      </c>
      <c r="B3872" s="1" t="n">
        <v>45713</v>
      </c>
      <c r="C3872" s="1" t="n">
        <v>45718</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45718</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45718</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9448-2025</t>
        </is>
      </c>
      <c r="B3875" s="1" t="n">
        <v>45715</v>
      </c>
      <c r="C3875" s="1" t="n">
        <v>45718</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9383-2025</t>
        </is>
      </c>
      <c r="B3876" s="1" t="n">
        <v>45715</v>
      </c>
      <c r="C3876" s="1" t="n">
        <v>45718</v>
      </c>
      <c r="D3876" t="inlineStr">
        <is>
          <t>VÄSTERBOTTENS LÄN</t>
        </is>
      </c>
      <c r="E3876" t="inlineStr">
        <is>
          <t>SKELLEFTEÅ</t>
        </is>
      </c>
      <c r="G3876" t="n">
        <v>17.5</v>
      </c>
      <c r="H3876" t="n">
        <v>0</v>
      </c>
      <c r="I3876" t="n">
        <v>0</v>
      </c>
      <c r="J3876" t="n">
        <v>0</v>
      </c>
      <c r="K3876" t="n">
        <v>0</v>
      </c>
      <c r="L3876" t="n">
        <v>0</v>
      </c>
      <c r="M3876" t="n">
        <v>0</v>
      </c>
      <c r="N3876" t="n">
        <v>0</v>
      </c>
      <c r="O3876" t="n">
        <v>0</v>
      </c>
      <c r="P3876" t="n">
        <v>0</v>
      </c>
      <c r="Q3876" t="n">
        <v>0</v>
      </c>
      <c r="R3876" s="2" t="inlineStr"/>
    </row>
    <row r="3877" ht="15" customHeight="1">
      <c r="A3877" t="inlineStr">
        <is>
          <t>A 9432-2025</t>
        </is>
      </c>
      <c r="B3877" s="1" t="n">
        <v>45715</v>
      </c>
      <c r="C3877" s="1" t="n">
        <v>45718</v>
      </c>
      <c r="D3877" t="inlineStr">
        <is>
          <t>VÄSTERBOTTENS LÄN</t>
        </is>
      </c>
      <c r="E3877" t="inlineStr">
        <is>
          <t>SKELLEFTEÅ</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45718</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45718</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9705-2025</t>
        </is>
      </c>
      <c r="B3880" s="1" t="n">
        <v>45716</v>
      </c>
      <c r="C3880" s="1" t="n">
        <v>45718</v>
      </c>
      <c r="D3880" t="inlineStr">
        <is>
          <t>VÄSTERBOTTENS LÄN</t>
        </is>
      </c>
      <c r="E3880" t="inlineStr">
        <is>
          <t>SKELLEFTEÅ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9841-2025</t>
        </is>
      </c>
      <c r="B3881" s="1" t="n">
        <v>45716</v>
      </c>
      <c r="C3881" s="1" t="n">
        <v>45718</v>
      </c>
      <c r="D3881" t="inlineStr">
        <is>
          <t>VÄSTERBOTTENS LÄN</t>
        </is>
      </c>
      <c r="E3881" t="inlineStr">
        <is>
          <t>SKELLEFTEÅ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9838-2025</t>
        </is>
      </c>
      <c r="B3882" s="1" t="n">
        <v>45716</v>
      </c>
      <c r="C3882" s="1" t="n">
        <v>45718</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9694-2025</t>
        </is>
      </c>
      <c r="B3883" s="1" t="n">
        <v>45716</v>
      </c>
      <c r="C3883" s="1" t="n">
        <v>45718</v>
      </c>
      <c r="D3883" t="inlineStr">
        <is>
          <t>VÄSTERBOTTENS LÄN</t>
        </is>
      </c>
      <c r="E3883" t="inlineStr">
        <is>
          <t>SKELLEFTEÅ</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9702-2025</t>
        </is>
      </c>
      <c r="B3884" s="1" t="n">
        <v>45716</v>
      </c>
      <c r="C3884" s="1" t="n">
        <v>45718</v>
      </c>
      <c r="D3884" t="inlineStr">
        <is>
          <t>VÄSTERBOTTENS LÄN</t>
        </is>
      </c>
      <c r="E3884" t="inlineStr">
        <is>
          <t>SKELLEFTEÅ</t>
        </is>
      </c>
      <c r="G3884" t="n">
        <v>1.4</v>
      </c>
      <c r="H3884" t="n">
        <v>0</v>
      </c>
      <c r="I3884" t="n">
        <v>0</v>
      </c>
      <c r="J3884" t="n">
        <v>0</v>
      </c>
      <c r="K3884" t="n">
        <v>0</v>
      </c>
      <c r="L3884" t="n">
        <v>0</v>
      </c>
      <c r="M3884" t="n">
        <v>0</v>
      </c>
      <c r="N3884" t="n">
        <v>0</v>
      </c>
      <c r="O3884" t="n">
        <v>0</v>
      </c>
      <c r="P3884" t="n">
        <v>0</v>
      </c>
      <c r="Q3884" t="n">
        <v>0</v>
      </c>
      <c r="R3884" s="2" t="inlineStr"/>
    </row>
    <row r="3885">
      <c r="A3885" t="inlineStr">
        <is>
          <t>A 9840-2025</t>
        </is>
      </c>
      <c r="B3885" s="1" t="n">
        <v>45716</v>
      </c>
      <c r="C3885" s="1" t="n">
        <v>45718</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2025-03-02T17:01:01Z</dcterms:created>
  <dcterms:modified xmlns:dcterms="http://purl.org/dc/terms/" xmlns:xsi="http://www.w3.org/2001/XMLSchema-instance" xsi:type="dcterms:W3CDTF">2025-03-02T17:01:04Z</dcterms:modified>
</cp:coreProperties>
</file>