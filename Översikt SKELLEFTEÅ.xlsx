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24078-2025</t>
        </is>
      </c>
      <c r="B2" s="1" t="n">
        <v>45796</v>
      </c>
      <c r="C2" s="1" t="n">
        <v>46205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6.7</v>
      </c>
      <c r="H2" t="n">
        <v>3</v>
      </c>
      <c r="I2" t="n">
        <v>3</v>
      </c>
      <c r="J2" t="n">
        <v>12</v>
      </c>
      <c r="K2" t="n">
        <v>1</v>
      </c>
      <c r="L2" t="n">
        <v>1</v>
      </c>
      <c r="M2" t="n">
        <v>1</v>
      </c>
      <c r="N2" t="n">
        <v>0</v>
      </c>
      <c r="O2" t="n">
        <v>15</v>
      </c>
      <c r="P2" t="n">
        <v>3</v>
      </c>
      <c r="Q2" t="n">
        <v>19</v>
      </c>
      <c r="R2" s="2" t="inlineStr">
        <is>
          <t>Kolticka
Urskogsporing
Garnlav
Blanksvart spiklav
Blå taggsvamp
Blågrå svartspik
Dropptaggsvamp
Dvärgbägarlav
Kolflarnlav
Lavskrika
Nordtagging
Stjärntagging
Talltita
Vedflamlav
Vedskivlav
Luddlav
Nästlav
Vedticka
Tjäder</t>
        </is>
      </c>
      <c r="S2">
        <f>HYPERLINK("https://klasma.github.io/Logging_2482/artfynd/A 24078-2025 artfynd.xlsx", "A 24078-2025")</f>
        <v/>
      </c>
      <c r="T2">
        <f>HYPERLINK("https://klasma.github.io/Logging_2482/kartor/A 24078-2025 karta.png", "A 24078-2025")</f>
        <v/>
      </c>
      <c r="V2">
        <f>HYPERLINK("https://klasma.github.io/Logging_2482/klagomål/A 24078-2025 FSC-klagomål.docx", "A 24078-2025")</f>
        <v/>
      </c>
      <c r="W2">
        <f>HYPERLINK("https://klasma.github.io/Logging_2482/klagomålsmail/A 24078-2025 FSC-klagomål mail.docx", "A 24078-2025")</f>
        <v/>
      </c>
      <c r="X2">
        <f>HYPERLINK("https://klasma.github.io/Logging_2482/tillsyn/A 24078-2025 tillsynsbegäran.docx", "A 24078-2025")</f>
        <v/>
      </c>
      <c r="Y2">
        <f>HYPERLINK("https://klasma.github.io/Logging_2482/tillsynsmail/A 24078-2025 tillsynsbegäran mail.docx", "A 24078-2025")</f>
        <v/>
      </c>
      <c r="Z2">
        <f>HYPERLINK("https://klasma.github.io/Logging_2482/fåglar/A 24078-2025 prioriterade fågelarter.docx", "A 24078-2025")</f>
        <v/>
      </c>
    </row>
    <row r="3" ht="15" customHeight="1">
      <c r="A3" t="inlineStr">
        <is>
          <t>A 41672-2024</t>
        </is>
      </c>
      <c r="B3" s="1" t="n">
        <v>45560</v>
      </c>
      <c r="C3" s="1" t="n">
        <v>46205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4.6</v>
      </c>
      <c r="H3" t="n">
        <v>1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18</v>
      </c>
      <c r="R3" s="2" t="inlineStr">
        <is>
          <t>Garnlav
Gräddporing
Jättemusseron
Skrovlig taggsvamp
Blå taggsvamp
Dropptaggsvamp
Mjölsvärting
Motaggsvamp
Mörk kolflarnlav
Nordtagging
Orange taggsvamp
Skarp dropptaggsvamp
Talltita
Vaddporing
Vitgrynig nållav
Kornig nållav
Stuplav
Vedticka</t>
        </is>
      </c>
      <c r="S3">
        <f>HYPERLINK("https://klasma.github.io/Logging_2482/artfynd/A 41672-2024 artfynd.xlsx", "A 41672-2024")</f>
        <v/>
      </c>
      <c r="T3">
        <f>HYPERLINK("https://klasma.github.io/Logging_2482/kartor/A 41672-2024 karta.png", "A 41672-2024")</f>
        <v/>
      </c>
      <c r="V3">
        <f>HYPERLINK("https://klasma.github.io/Logging_2482/klagomål/A 41672-2024 FSC-klagomål.docx", "A 41672-2024")</f>
        <v/>
      </c>
      <c r="W3">
        <f>HYPERLINK("https://klasma.github.io/Logging_2482/klagomålsmail/A 41672-2024 FSC-klagomål mail.docx", "A 41672-2024")</f>
        <v/>
      </c>
      <c r="X3">
        <f>HYPERLINK("https://klasma.github.io/Logging_2482/tillsyn/A 41672-2024 tillsynsbegäran.docx", "A 41672-2024")</f>
        <v/>
      </c>
      <c r="Y3">
        <f>HYPERLINK("https://klasma.github.io/Logging_2482/tillsynsmail/A 41672-2024 tillsynsbegäran mail.docx", "A 41672-2024")</f>
        <v/>
      </c>
      <c r="Z3">
        <f>HYPERLINK("https://klasma.github.io/Logging_2482/fåglar/A 41672-2024 prioriterade fågelarter.docx", "A 41672-2024")</f>
        <v/>
      </c>
    </row>
    <row r="4" ht="15" customHeight="1">
      <c r="A4" t="inlineStr">
        <is>
          <t>A 36807-2025</t>
        </is>
      </c>
      <c r="B4" s="1" t="n">
        <v>45873</v>
      </c>
      <c r="C4" s="1" t="n">
        <v>46205</v>
      </c>
      <c r="D4" t="inlineStr">
        <is>
          <t>VÄSTERBOTTENS LÄN</t>
        </is>
      </c>
      <c r="E4" t="inlineStr">
        <is>
          <t>SKELLEFTEÅ</t>
        </is>
      </c>
      <c r="F4" t="inlineStr">
        <is>
          <t>Sveaskog</t>
        </is>
      </c>
      <c r="G4" t="n">
        <v>19</v>
      </c>
      <c r="H4" t="n">
        <v>3</v>
      </c>
      <c r="I4" t="n">
        <v>2</v>
      </c>
      <c r="J4" t="n">
        <v>7</v>
      </c>
      <c r="K4" t="n">
        <v>7</v>
      </c>
      <c r="L4" t="n">
        <v>0</v>
      </c>
      <c r="M4" t="n">
        <v>0</v>
      </c>
      <c r="N4" t="n">
        <v>0</v>
      </c>
      <c r="O4" t="n">
        <v>14</v>
      </c>
      <c r="P4" t="n">
        <v>7</v>
      </c>
      <c r="Q4" t="n">
        <v>17</v>
      </c>
      <c r="R4" s="2" t="inlineStr">
        <is>
          <t>Fläckporing
Goliatmusseron
Gräddporing
Jättemusseron
Knärot
Skrovlig taggsvamp
Smalfotad taggsvamp
Blå taggsvamp
Dropptaggsvamp
Nordtagging
Orange taggsvamp
Tallfingersvamp
Tallriska
Vaddporing
Plattlummer
Vedticka
Tjäder</t>
        </is>
      </c>
      <c r="S4">
        <f>HYPERLINK("https://klasma.github.io/Logging_2482/artfynd/A 36807-2025 artfynd.xlsx", "A 36807-2025")</f>
        <v/>
      </c>
      <c r="T4">
        <f>HYPERLINK("https://klasma.github.io/Logging_2482/kartor/A 36807-2025 karta.png", "A 36807-2025")</f>
        <v/>
      </c>
      <c r="U4">
        <f>HYPERLINK("https://klasma.github.io/Logging_2482/knärot/A 36807-2025 karta knärot.png", "A 36807-2025")</f>
        <v/>
      </c>
      <c r="V4">
        <f>HYPERLINK("https://klasma.github.io/Logging_2482/klagomål/A 36807-2025 FSC-klagomål.docx", "A 36807-2025")</f>
        <v/>
      </c>
      <c r="W4">
        <f>HYPERLINK("https://klasma.github.io/Logging_2482/klagomålsmail/A 36807-2025 FSC-klagomål mail.docx", "A 36807-2025")</f>
        <v/>
      </c>
      <c r="X4">
        <f>HYPERLINK("https://klasma.github.io/Logging_2482/tillsyn/A 36807-2025 tillsynsbegäran.docx", "A 36807-2025")</f>
        <v/>
      </c>
      <c r="Y4">
        <f>HYPERLINK("https://klasma.github.io/Logging_2482/tillsynsmail/A 36807-2025 tillsynsbegäran mail.docx", "A 36807-2025")</f>
        <v/>
      </c>
      <c r="Z4">
        <f>HYPERLINK("https://klasma.github.io/Logging_2482/fåglar/A 36807-2025 prioriterade fågelarter.docx", "A 36807-2025")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46205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4</v>
      </c>
      <c r="K5" t="n">
        <v>5</v>
      </c>
      <c r="L5" t="n">
        <v>0</v>
      </c>
      <c r="M5" t="n">
        <v>0</v>
      </c>
      <c r="N5" t="n">
        <v>0</v>
      </c>
      <c r="O5" t="n">
        <v>9</v>
      </c>
      <c r="P5" t="n">
        <v>5</v>
      </c>
      <c r="Q5" t="n">
        <v>17</v>
      </c>
      <c r="R5" s="2" t="inlineStr">
        <is>
          <t>Garnlav
Knärot
Skeletocutis delicata
Tornseglare
Ulltickeporing
Gammelgransskål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56645-2024</t>
        </is>
      </c>
      <c r="B6" s="1" t="n">
        <v>45625</v>
      </c>
      <c r="C6" s="1" t="n">
        <v>46205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7.5</v>
      </c>
      <c r="H6" t="n">
        <v>6</v>
      </c>
      <c r="I6" t="n">
        <v>3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16</v>
      </c>
      <c r="R6" s="2" t="inlineStr">
        <is>
          <t>Doftticka
Garnlav
Knärot
Brunpudrad nållav
Dropptaggsvamp
Kötticka
Lunglav
Sotvaxskivling
Talltita
Tretåig hackspett
Ullticka
Älg
Bårdlav
Spindelblomster
Stuplav
Vanlig groda</t>
        </is>
      </c>
      <c r="S6">
        <f>HYPERLINK("https://klasma.github.io/Logging_2482/artfynd/A 56645-2024 artfynd.xlsx", "A 56645-2024")</f>
        <v/>
      </c>
      <c r="T6">
        <f>HYPERLINK("https://klasma.github.io/Logging_2482/kartor/A 56645-2024 karta.png", "A 56645-2024")</f>
        <v/>
      </c>
      <c r="U6">
        <f>HYPERLINK("https://klasma.github.io/Logging_2482/knärot/A 56645-2024 karta knärot.png", "A 56645-2024")</f>
        <v/>
      </c>
      <c r="V6">
        <f>HYPERLINK("https://klasma.github.io/Logging_2482/klagomål/A 56645-2024 FSC-klagomål.docx", "A 56645-2024")</f>
        <v/>
      </c>
      <c r="W6">
        <f>HYPERLINK("https://klasma.github.io/Logging_2482/klagomålsmail/A 56645-2024 FSC-klagomål mail.docx", "A 56645-2024")</f>
        <v/>
      </c>
      <c r="X6">
        <f>HYPERLINK("https://klasma.github.io/Logging_2482/tillsyn/A 56645-2024 tillsynsbegäran.docx", "A 56645-2024")</f>
        <v/>
      </c>
      <c r="Y6">
        <f>HYPERLINK("https://klasma.github.io/Logging_2482/tillsynsmail/A 56645-2024 tillsynsbegäran mail.docx", "A 56645-2024")</f>
        <v/>
      </c>
      <c r="Z6">
        <f>HYPERLINK("https://klasma.github.io/Logging_2482/fåglar/A 56645-2024 prioriterade fågelarter.docx", "A 56645-2024")</f>
        <v/>
      </c>
    </row>
    <row r="7" ht="15" customHeight="1">
      <c r="A7" t="inlineStr">
        <is>
          <t>A 61033-2023</t>
        </is>
      </c>
      <c r="B7" s="1" t="n">
        <v>45261</v>
      </c>
      <c r="C7" s="1" t="n">
        <v>46205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16.4</v>
      </c>
      <c r="H7" t="n">
        <v>6</v>
      </c>
      <c r="I7" t="n">
        <v>3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15</v>
      </c>
      <c r="R7" s="2" t="inlineStr">
        <is>
          <t>Garnlav
Knärot
Gammelgransskål
Mindre hackspett
Stjärntagging
Tallticka
Talltita
Tretåig hackspett
Ullticka
Violettgrå tagellav
Nästlav
Skinnlav
Vedticka
Spillkråka
Tjäder</t>
        </is>
      </c>
      <c r="S7">
        <f>HYPERLINK("https://klasma.github.io/Logging_2482/artfynd/A 61033-2023 artfynd.xlsx", "A 61033-2023")</f>
        <v/>
      </c>
      <c r="T7">
        <f>HYPERLINK("https://klasma.github.io/Logging_2482/kartor/A 61033-2023 karta.png", "A 61033-2023")</f>
        <v/>
      </c>
      <c r="U7">
        <f>HYPERLINK("https://klasma.github.io/Logging_2482/knärot/A 61033-2023 karta knärot.png", "A 61033-2023")</f>
        <v/>
      </c>
      <c r="V7">
        <f>HYPERLINK("https://klasma.github.io/Logging_2482/klagomål/A 61033-2023 FSC-klagomål.docx", "A 61033-2023")</f>
        <v/>
      </c>
      <c r="W7">
        <f>HYPERLINK("https://klasma.github.io/Logging_2482/klagomålsmail/A 61033-2023 FSC-klagomål mail.docx", "A 61033-2023")</f>
        <v/>
      </c>
      <c r="X7">
        <f>HYPERLINK("https://klasma.github.io/Logging_2482/tillsyn/A 61033-2023 tillsynsbegäran.docx", "A 61033-2023")</f>
        <v/>
      </c>
      <c r="Y7">
        <f>HYPERLINK("https://klasma.github.io/Logging_2482/tillsynsmail/A 61033-2023 tillsynsbegäran mail.docx", "A 61033-2023")</f>
        <v/>
      </c>
      <c r="Z7">
        <f>HYPERLINK("https://klasma.github.io/Logging_2482/fåglar/A 61033-2023 prioriterade fågelarter.docx", "A 61033-2023")</f>
        <v/>
      </c>
    </row>
    <row r="8" ht="15" customHeight="1">
      <c r="A8" t="inlineStr">
        <is>
          <t>A 22797-2026</t>
        </is>
      </c>
      <c r="B8" s="1" t="n">
        <v>46158</v>
      </c>
      <c r="C8" s="1" t="n">
        <v>46205</v>
      </c>
      <c r="D8" t="inlineStr">
        <is>
          <t>VÄSTERBOTTENS LÄN</t>
        </is>
      </c>
      <c r="E8" t="inlineStr">
        <is>
          <t>SKELLEFTEÅ</t>
        </is>
      </c>
      <c r="G8" t="n">
        <v>14</v>
      </c>
      <c r="H8" t="n">
        <v>3</v>
      </c>
      <c r="I8" t="n">
        <v>2</v>
      </c>
      <c r="J8" t="n">
        <v>7</v>
      </c>
      <c r="K8" t="n">
        <v>4</v>
      </c>
      <c r="L8" t="n">
        <v>0</v>
      </c>
      <c r="M8" t="n">
        <v>0</v>
      </c>
      <c r="N8" t="n">
        <v>0</v>
      </c>
      <c r="O8" t="n">
        <v>11</v>
      </c>
      <c r="P8" t="n">
        <v>4</v>
      </c>
      <c r="Q8" t="n">
        <v>14</v>
      </c>
      <c r="R8" s="2" t="inlineStr">
        <is>
          <t>Fläckporing
Garnlav
Gräddporing
Knärot
Rosenticka
Rynkskinn
Tretåig hackspett
Ullticka
Vedflamlav
Violettgrå tagellav
Vitplätt
Grovticka
Vedticka
Tjäder</t>
        </is>
      </c>
      <c r="S8">
        <f>HYPERLINK("https://klasma.github.io/Logging_2482/artfynd/A 22797-2026 artfynd.xlsx", "A 22797-2026")</f>
        <v/>
      </c>
      <c r="T8">
        <f>HYPERLINK("https://klasma.github.io/Logging_2482/kartor/A 22797-2026 karta.png", "A 22797-2026")</f>
        <v/>
      </c>
      <c r="U8">
        <f>HYPERLINK("https://klasma.github.io/Logging_2482/knärot/A 22797-2026 karta knärot.png", "A 22797-2026")</f>
        <v/>
      </c>
      <c r="V8">
        <f>HYPERLINK("https://klasma.github.io/Logging_2482/klagomål/A 22797-2026 FSC-klagomål.docx", "A 22797-2026")</f>
        <v/>
      </c>
      <c r="W8">
        <f>HYPERLINK("https://klasma.github.io/Logging_2482/klagomålsmail/A 22797-2026 FSC-klagomål mail.docx", "A 22797-2026")</f>
        <v/>
      </c>
      <c r="X8">
        <f>HYPERLINK("https://klasma.github.io/Logging_2482/tillsyn/A 22797-2026 tillsynsbegäran.docx", "A 22797-2026")</f>
        <v/>
      </c>
      <c r="Y8">
        <f>HYPERLINK("https://klasma.github.io/Logging_2482/tillsynsmail/A 22797-2026 tillsynsbegäran mail.docx", "A 22797-2026")</f>
        <v/>
      </c>
      <c r="Z8">
        <f>HYPERLINK("https://klasma.github.io/Logging_2482/fåglar/A 22797-2026 prioriterade fågelarter.docx", "A 22797-2026")</f>
        <v/>
      </c>
    </row>
    <row r="9" ht="15" customHeight="1">
      <c r="A9" t="inlineStr">
        <is>
          <t>A 24579-2025</t>
        </is>
      </c>
      <c r="B9" s="1" t="n">
        <v>45798</v>
      </c>
      <c r="C9" s="1" t="n">
        <v>46205</v>
      </c>
      <c r="D9" t="inlineStr">
        <is>
          <t>VÄSTERBOTTENS LÄN</t>
        </is>
      </c>
      <c r="E9" t="inlineStr">
        <is>
          <t>SKELLEFTEÅ</t>
        </is>
      </c>
      <c r="G9" t="n">
        <v>26.7</v>
      </c>
      <c r="H9" t="n">
        <v>4</v>
      </c>
      <c r="I9" t="n">
        <v>4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14</v>
      </c>
      <c r="R9" s="2" t="inlineStr">
        <is>
          <t>Garnlav
Gropig skägglav
Dropptaggsvamp
Dvärgbägarlav
Lunglav
Talltita
Tretåig hackspett
Vedskivlav
Violettgrå tagellav
Luddlav
Norrlandslav
Spindelblomster
Vedticka
Tjäder</t>
        </is>
      </c>
      <c r="S9">
        <f>HYPERLINK("https://klasma.github.io/Logging_2482/artfynd/A 24579-2025 artfynd.xlsx", "A 24579-2025")</f>
        <v/>
      </c>
      <c r="T9">
        <f>HYPERLINK("https://klasma.github.io/Logging_2482/kartor/A 24579-2025 karta.png", "A 24579-2025")</f>
        <v/>
      </c>
      <c r="V9">
        <f>HYPERLINK("https://klasma.github.io/Logging_2482/klagomål/A 24579-2025 FSC-klagomål.docx", "A 24579-2025")</f>
        <v/>
      </c>
      <c r="W9">
        <f>HYPERLINK("https://klasma.github.io/Logging_2482/klagomålsmail/A 24579-2025 FSC-klagomål mail.docx", "A 24579-2025")</f>
        <v/>
      </c>
      <c r="X9">
        <f>HYPERLINK("https://klasma.github.io/Logging_2482/tillsyn/A 24579-2025 tillsynsbegäran.docx", "A 24579-2025")</f>
        <v/>
      </c>
      <c r="Y9">
        <f>HYPERLINK("https://klasma.github.io/Logging_2482/tillsynsmail/A 24579-2025 tillsynsbegäran mail.docx", "A 24579-2025")</f>
        <v/>
      </c>
      <c r="Z9">
        <f>HYPERLINK("https://klasma.github.io/Logging_2482/fåglar/A 24579-2025 prioriterade fågelarter.docx", "A 24579-2025")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46205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4</v>
      </c>
      <c r="I10" t="n">
        <v>4</v>
      </c>
      <c r="J10" t="n">
        <v>5</v>
      </c>
      <c r="K10" t="n">
        <v>3</v>
      </c>
      <c r="L10" t="n">
        <v>0</v>
      </c>
      <c r="M10" t="n">
        <v>0</v>
      </c>
      <c r="N10" t="n">
        <v>0</v>
      </c>
      <c r="O10" t="n">
        <v>8</v>
      </c>
      <c r="P10" t="n">
        <v>3</v>
      </c>
      <c r="Q10" t="n">
        <v>13</v>
      </c>
      <c r="R10" s="2" t="inlineStr">
        <is>
          <t>Garnlav
Gränsticka
Knärot
Doftskinn
Lavskrika
Lunglav
Rynkskinn
Ullticka
Grönkulla
Mörk husmossa
Stuplav
Ögonpyrola
Spillkråka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48290-2024</t>
        </is>
      </c>
      <c r="B11" s="1" t="n">
        <v>45590</v>
      </c>
      <c r="C11" s="1" t="n">
        <v>46205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3</v>
      </c>
      <c r="K11" t="n">
        <v>5</v>
      </c>
      <c r="L11" t="n">
        <v>0</v>
      </c>
      <c r="M11" t="n">
        <v>0</v>
      </c>
      <c r="N11" t="n">
        <v>0</v>
      </c>
      <c r="O11" t="n">
        <v>8</v>
      </c>
      <c r="P11" t="n">
        <v>5</v>
      </c>
      <c r="Q11" t="n">
        <v>12</v>
      </c>
      <c r="R11" s="2" t="inlineStr">
        <is>
          <t>Garnlav
Gräddporing
Gränsticka
Grönfink
Raggbock
Nordtagging
Talltita
Violettgrå tagellav
Nästlav
Vedticka
Spillkråka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19470-2026</t>
        </is>
      </c>
      <c r="B12" s="1" t="n">
        <v>46133</v>
      </c>
      <c r="C12" s="1" t="n">
        <v>46205</v>
      </c>
      <c r="D12" t="inlineStr">
        <is>
          <t>VÄSTERBOTTENS LÄN</t>
        </is>
      </c>
      <c r="E12" t="inlineStr">
        <is>
          <t>SKELLEFTEÅ</t>
        </is>
      </c>
      <c r="G12" t="n">
        <v>12.6</v>
      </c>
      <c r="H12" t="n">
        <v>4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Gammelgransskål
Lunglav
Stjärntagging
Tretåig hackspett
Ullticka
Bårdlav
Luddlav
Stuplav
Kransmossa
Tjäder
Kungsfågel</t>
        </is>
      </c>
      <c r="S12">
        <f>HYPERLINK("https://klasma.github.io/Logging_2482/artfynd/A 19470-2026 artfynd.xlsx", "A 19470-2026")</f>
        <v/>
      </c>
      <c r="T12">
        <f>HYPERLINK("https://klasma.github.io/Logging_2482/kartor/A 19470-2026 karta.png", "A 19470-2026")</f>
        <v/>
      </c>
      <c r="U12">
        <f>HYPERLINK("https://klasma.github.io/Logging_2482/knärot/A 19470-2026 karta knärot.png", "A 19470-2026")</f>
        <v/>
      </c>
      <c r="V12">
        <f>HYPERLINK("https://klasma.github.io/Logging_2482/klagomål/A 19470-2026 FSC-klagomål.docx", "A 19470-2026")</f>
        <v/>
      </c>
      <c r="W12">
        <f>HYPERLINK("https://klasma.github.io/Logging_2482/klagomålsmail/A 19470-2026 FSC-klagomål mail.docx", "A 19470-2026")</f>
        <v/>
      </c>
      <c r="X12">
        <f>HYPERLINK("https://klasma.github.io/Logging_2482/tillsyn/A 19470-2026 tillsynsbegäran.docx", "A 19470-2026")</f>
        <v/>
      </c>
      <c r="Y12">
        <f>HYPERLINK("https://klasma.github.io/Logging_2482/tillsynsmail/A 19470-2026 tillsynsbegäran mail.docx", "A 19470-2026")</f>
        <v/>
      </c>
      <c r="Z12">
        <f>HYPERLINK("https://klasma.github.io/Logging_2482/fåglar/A 19470-2026 prioriterade fågelarter.docx", "A 19470-2026")</f>
        <v/>
      </c>
    </row>
    <row r="13" ht="15" customHeight="1">
      <c r="A13" t="inlineStr">
        <is>
          <t>A 63685-2025</t>
        </is>
      </c>
      <c r="B13" s="1" t="n">
        <v>46014</v>
      </c>
      <c r="C13" s="1" t="n">
        <v>46205</v>
      </c>
      <c r="D13" t="inlineStr">
        <is>
          <t>VÄSTERBOTTENS LÄN</t>
        </is>
      </c>
      <c r="E13" t="inlineStr">
        <is>
          <t>SKELLEFTEÅ</t>
        </is>
      </c>
      <c r="G13" t="n">
        <v>9</v>
      </c>
      <c r="H13" t="n">
        <v>4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12</v>
      </c>
      <c r="R13" s="2" t="inlineStr">
        <is>
          <t>Garnlav
Knärot
Lunglav
Talltita
Tretåig hackspett
Ullticka
Bronshjon
Bårdlav
Skinnlav
Stuplav
Vedticka
Spillkråka</t>
        </is>
      </c>
      <c r="S13">
        <f>HYPERLINK("https://klasma.github.io/Logging_2482/artfynd/A 63685-2025 artfynd.xlsx", "A 63685-2025")</f>
        <v/>
      </c>
      <c r="T13">
        <f>HYPERLINK("https://klasma.github.io/Logging_2482/kartor/A 63685-2025 karta.png", "A 63685-2025")</f>
        <v/>
      </c>
      <c r="U13">
        <f>HYPERLINK("https://klasma.github.io/Logging_2482/knärot/A 63685-2025 karta knärot.png", "A 63685-2025")</f>
        <v/>
      </c>
      <c r="V13">
        <f>HYPERLINK("https://klasma.github.io/Logging_2482/klagomål/A 63685-2025 FSC-klagomål.docx", "A 63685-2025")</f>
        <v/>
      </c>
      <c r="W13">
        <f>HYPERLINK("https://klasma.github.io/Logging_2482/klagomålsmail/A 63685-2025 FSC-klagomål mail.docx", "A 63685-2025")</f>
        <v/>
      </c>
      <c r="X13">
        <f>HYPERLINK("https://klasma.github.io/Logging_2482/tillsyn/A 63685-2025 tillsynsbegäran.docx", "A 63685-2025")</f>
        <v/>
      </c>
      <c r="Y13">
        <f>HYPERLINK("https://klasma.github.io/Logging_2482/tillsynsmail/A 63685-2025 tillsynsbegäran mail.docx", "A 63685-2025")</f>
        <v/>
      </c>
      <c r="Z13">
        <f>HYPERLINK("https://klasma.github.io/Logging_2482/fåglar/A 63685-2025 prioriterade fågelarter.docx", "A 63685-2025")</f>
        <v/>
      </c>
    </row>
    <row r="14" ht="15" customHeight="1">
      <c r="A14" t="inlineStr">
        <is>
          <t>A 57232-2025</t>
        </is>
      </c>
      <c r="B14" s="1" t="n">
        <v>45979</v>
      </c>
      <c r="C14" s="1" t="n">
        <v>46205</v>
      </c>
      <c r="D14" t="inlineStr">
        <is>
          <t>VÄSTERBOTTENS LÄN</t>
        </is>
      </c>
      <c r="E14" t="inlineStr">
        <is>
          <t>SKELLEFTEÅ</t>
        </is>
      </c>
      <c r="G14" t="n">
        <v>6.4</v>
      </c>
      <c r="H14" t="n">
        <v>3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12</v>
      </c>
      <c r="R14" s="2" t="inlineStr">
        <is>
          <t>Garnlav
Knärot
Gammelgransskål
Lunglav
Rosenticka
Tretåig hackspett
Ullticka
Violmussling
Bronshjon
Stuplav
Kötticka
Spillkråka</t>
        </is>
      </c>
      <c r="S14">
        <f>HYPERLINK("https://klasma.github.io/Logging_2482/artfynd/A 57232-2025 artfynd.xlsx", "A 57232-2025")</f>
        <v/>
      </c>
      <c r="T14">
        <f>HYPERLINK("https://klasma.github.io/Logging_2482/kartor/A 57232-2025 karta.png", "A 57232-2025")</f>
        <v/>
      </c>
      <c r="U14">
        <f>HYPERLINK("https://klasma.github.io/Logging_2482/knärot/A 57232-2025 karta knärot.png", "A 57232-2025")</f>
        <v/>
      </c>
      <c r="V14">
        <f>HYPERLINK("https://klasma.github.io/Logging_2482/klagomål/A 57232-2025 FSC-klagomål.docx", "A 57232-2025")</f>
        <v/>
      </c>
      <c r="W14">
        <f>HYPERLINK("https://klasma.github.io/Logging_2482/klagomålsmail/A 57232-2025 FSC-klagomål mail.docx", "A 57232-2025")</f>
        <v/>
      </c>
      <c r="X14">
        <f>HYPERLINK("https://klasma.github.io/Logging_2482/tillsyn/A 57232-2025 tillsynsbegäran.docx", "A 57232-2025")</f>
        <v/>
      </c>
      <c r="Y14">
        <f>HYPERLINK("https://klasma.github.io/Logging_2482/tillsynsmail/A 57232-2025 tillsynsbegäran mail.docx", "A 57232-2025")</f>
        <v/>
      </c>
      <c r="Z14">
        <f>HYPERLINK("https://klasma.github.io/Logging_2482/fåglar/A 57232-2025 prioriterade fågelarter.docx", "A 57232-2025")</f>
        <v/>
      </c>
    </row>
    <row r="15" ht="15" customHeight="1">
      <c r="A15" t="inlineStr">
        <is>
          <t>A 12578-2026</t>
        </is>
      </c>
      <c r="B15" s="1" t="n">
        <v>46090</v>
      </c>
      <c r="C15" s="1" t="n">
        <v>46205</v>
      </c>
      <c r="D15" t="inlineStr">
        <is>
          <t>VÄSTERBOTTENS LÄN</t>
        </is>
      </c>
      <c r="E15" t="inlineStr">
        <is>
          <t>SKELLEFTEÅ</t>
        </is>
      </c>
      <c r="G15" t="n">
        <v>11.3</v>
      </c>
      <c r="H15" t="n">
        <v>3</v>
      </c>
      <c r="I15" t="n">
        <v>3</v>
      </c>
      <c r="J15" t="n">
        <v>4</v>
      </c>
      <c r="K15" t="n">
        <v>3</v>
      </c>
      <c r="L15" t="n">
        <v>0</v>
      </c>
      <c r="M15" t="n">
        <v>0</v>
      </c>
      <c r="N15" t="n">
        <v>0</v>
      </c>
      <c r="O15" t="n">
        <v>7</v>
      </c>
      <c r="P15" t="n">
        <v>3</v>
      </c>
      <c r="Q15" t="n">
        <v>11</v>
      </c>
      <c r="R15" s="2" t="inlineStr">
        <is>
          <t>Garnlav
Gränsticka
Knärot
Doftskinn
Rosenticka
Tretåig hackspett
Ullticka
Blodticka
Bronshjon
Vedticka
Spillkråka</t>
        </is>
      </c>
      <c r="S15">
        <f>HYPERLINK("https://klasma.github.io/Logging_2482/artfynd/A 12578-2026 artfynd.xlsx", "A 12578-2026")</f>
        <v/>
      </c>
      <c r="T15">
        <f>HYPERLINK("https://klasma.github.io/Logging_2482/kartor/A 12578-2026 karta.png", "A 12578-2026")</f>
        <v/>
      </c>
      <c r="U15">
        <f>HYPERLINK("https://klasma.github.io/Logging_2482/knärot/A 12578-2026 karta knärot.png", "A 12578-2026")</f>
        <v/>
      </c>
      <c r="V15">
        <f>HYPERLINK("https://klasma.github.io/Logging_2482/klagomål/A 12578-2026 FSC-klagomål.docx", "A 12578-2026")</f>
        <v/>
      </c>
      <c r="W15">
        <f>HYPERLINK("https://klasma.github.io/Logging_2482/klagomålsmail/A 12578-2026 FSC-klagomål mail.docx", "A 12578-2026")</f>
        <v/>
      </c>
      <c r="X15">
        <f>HYPERLINK("https://klasma.github.io/Logging_2482/tillsyn/A 12578-2026 tillsynsbegäran.docx", "A 12578-2026")</f>
        <v/>
      </c>
      <c r="Y15">
        <f>HYPERLINK("https://klasma.github.io/Logging_2482/tillsynsmail/A 12578-2026 tillsynsbegäran mail.docx", "A 12578-2026")</f>
        <v/>
      </c>
      <c r="Z15">
        <f>HYPERLINK("https://klasma.github.io/Logging_2482/fåglar/A 12578-2026 prioriterade fågelarter.docx", "A 12578-2026")</f>
        <v/>
      </c>
    </row>
    <row r="16" ht="15" customHeight="1">
      <c r="A16" t="inlineStr">
        <is>
          <t>A 26112-2025</t>
        </is>
      </c>
      <c r="B16" s="1" t="n">
        <v>45805</v>
      </c>
      <c r="C16" s="1" t="n">
        <v>46205</v>
      </c>
      <c r="D16" t="inlineStr">
        <is>
          <t>VÄSTERBOTTENS LÄN</t>
        </is>
      </c>
      <c r="E16" t="inlineStr">
        <is>
          <t>SKELLEFTEÅ</t>
        </is>
      </c>
      <c r="G16" t="n">
        <v>12.7</v>
      </c>
      <c r="H16" t="n">
        <v>0</v>
      </c>
      <c r="I16" t="n">
        <v>2</v>
      </c>
      <c r="J16" t="n">
        <v>5</v>
      </c>
      <c r="K16" t="n">
        <v>3</v>
      </c>
      <c r="L16" t="n">
        <v>0</v>
      </c>
      <c r="M16" t="n">
        <v>0</v>
      </c>
      <c r="N16" t="n">
        <v>0</v>
      </c>
      <c r="O16" t="n">
        <v>8</v>
      </c>
      <c r="P16" t="n">
        <v>3</v>
      </c>
      <c r="Q16" t="n">
        <v>10</v>
      </c>
      <c r="R16" s="2" t="inlineStr">
        <is>
          <t>Garnlav
Kilporing
Ulltickeporing
Gammelgransskål
Lunglav
Månlåsbräken
Stjärntagging
Ullticka
Blodticka
Vedticka</t>
        </is>
      </c>
      <c r="S16">
        <f>HYPERLINK("https://klasma.github.io/Logging_2482/artfynd/A 26112-2025 artfynd.xlsx", "A 26112-2025")</f>
        <v/>
      </c>
      <c r="T16">
        <f>HYPERLINK("https://klasma.github.io/Logging_2482/kartor/A 26112-2025 karta.png", "A 26112-2025")</f>
        <v/>
      </c>
      <c r="V16">
        <f>HYPERLINK("https://klasma.github.io/Logging_2482/klagomål/A 26112-2025 FSC-klagomål.docx", "A 26112-2025")</f>
        <v/>
      </c>
      <c r="W16">
        <f>HYPERLINK("https://klasma.github.io/Logging_2482/klagomålsmail/A 26112-2025 FSC-klagomål mail.docx", "A 26112-2025")</f>
        <v/>
      </c>
      <c r="X16">
        <f>HYPERLINK("https://klasma.github.io/Logging_2482/tillsyn/A 26112-2025 tillsynsbegäran.docx", "A 26112-2025")</f>
        <v/>
      </c>
      <c r="Y16">
        <f>HYPERLINK("https://klasma.github.io/Logging_2482/tillsynsmail/A 26112-2025 tillsynsbegäran mail.docx", "A 26112-2025")</f>
        <v/>
      </c>
    </row>
    <row r="17" ht="15" customHeight="1">
      <c r="A17" t="inlineStr">
        <is>
          <t>A 9162-2024</t>
        </is>
      </c>
      <c r="B17" s="1" t="n">
        <v>45358</v>
      </c>
      <c r="C17" s="1" t="n">
        <v>46205</v>
      </c>
      <c r="D17" t="inlineStr">
        <is>
          <t>VÄSTERBOTTENS LÄN</t>
        </is>
      </c>
      <c r="E17" t="inlineStr">
        <is>
          <t>SKELLEFTEÅ</t>
        </is>
      </c>
      <c r="G17" t="n">
        <v>19.7</v>
      </c>
      <c r="H17" t="n">
        <v>3</v>
      </c>
      <c r="I17" t="n">
        <v>1</v>
      </c>
      <c r="J17" t="n">
        <v>5</v>
      </c>
      <c r="K17" t="n">
        <v>3</v>
      </c>
      <c r="L17" t="n">
        <v>0</v>
      </c>
      <c r="M17" t="n">
        <v>0</v>
      </c>
      <c r="N17" t="n">
        <v>0</v>
      </c>
      <c r="O17" t="n">
        <v>8</v>
      </c>
      <c r="P17" t="n">
        <v>3</v>
      </c>
      <c r="Q17" t="n">
        <v>10</v>
      </c>
      <c r="R17" s="2" t="inlineStr">
        <is>
          <t>Garnlav
Knärot
Ulltickeporing
Gammelgransskål
Tallriska
Tretåig hackspett
Ullticka
Violettgrå tagellav
Vedticka
Spillkråka</t>
        </is>
      </c>
      <c r="S17">
        <f>HYPERLINK("https://klasma.github.io/Logging_2482/artfynd/A 9162-2024 artfynd.xlsx", "A 9162-2024")</f>
        <v/>
      </c>
      <c r="T17">
        <f>HYPERLINK("https://klasma.github.io/Logging_2482/kartor/A 9162-2024 karta.png", "A 9162-2024")</f>
        <v/>
      </c>
      <c r="U17">
        <f>HYPERLINK("https://klasma.github.io/Logging_2482/knärot/A 9162-2024 karta knärot.png", "A 9162-2024")</f>
        <v/>
      </c>
      <c r="V17">
        <f>HYPERLINK("https://klasma.github.io/Logging_2482/klagomål/A 9162-2024 FSC-klagomål.docx", "A 9162-2024")</f>
        <v/>
      </c>
      <c r="W17">
        <f>HYPERLINK("https://klasma.github.io/Logging_2482/klagomålsmail/A 9162-2024 FSC-klagomål mail.docx", "A 9162-2024")</f>
        <v/>
      </c>
      <c r="X17">
        <f>HYPERLINK("https://klasma.github.io/Logging_2482/tillsyn/A 9162-2024 tillsynsbegäran.docx", "A 9162-2024")</f>
        <v/>
      </c>
      <c r="Y17">
        <f>HYPERLINK("https://klasma.github.io/Logging_2482/tillsynsmail/A 9162-2024 tillsynsbegäran mail.docx", "A 9162-2024")</f>
        <v/>
      </c>
      <c r="Z17">
        <f>HYPERLINK("https://klasma.github.io/Logging_2482/fåglar/A 9162-2024 prioriterade fågelarter.docx", "A 9162-2024")</f>
        <v/>
      </c>
    </row>
    <row r="18" ht="15" customHeight="1">
      <c r="A18" t="inlineStr">
        <is>
          <t>A 61242-2023</t>
        </is>
      </c>
      <c r="B18" s="1" t="n">
        <v>45264</v>
      </c>
      <c r="C18" s="1" t="n">
        <v>46205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4.8</v>
      </c>
      <c r="H18" t="n">
        <v>3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10</v>
      </c>
      <c r="R18" s="2" t="inlineStr">
        <is>
          <t>Garnlav
Gransotdyna
Talltita
Vitgrynig nållav
Dvärgtufs
Luddlav
Nästlav
Skinnlav
Orre
Fläcknycklar</t>
        </is>
      </c>
      <c r="S18">
        <f>HYPERLINK("https://klasma.github.io/Logging_2482/artfynd/A 61242-2023 artfynd.xlsx", "A 61242-2023")</f>
        <v/>
      </c>
      <c r="T18">
        <f>HYPERLINK("https://klasma.github.io/Logging_2482/kartor/A 61242-2023 karta.png", "A 61242-2023")</f>
        <v/>
      </c>
      <c r="V18">
        <f>HYPERLINK("https://klasma.github.io/Logging_2482/klagomål/A 61242-2023 FSC-klagomål.docx", "A 61242-2023")</f>
        <v/>
      </c>
      <c r="W18">
        <f>HYPERLINK("https://klasma.github.io/Logging_2482/klagomålsmail/A 61242-2023 FSC-klagomål mail.docx", "A 61242-2023")</f>
        <v/>
      </c>
      <c r="X18">
        <f>HYPERLINK("https://klasma.github.io/Logging_2482/tillsyn/A 61242-2023 tillsynsbegäran.docx", "A 61242-2023")</f>
        <v/>
      </c>
      <c r="Y18">
        <f>HYPERLINK("https://klasma.github.io/Logging_2482/tillsynsmail/A 61242-2023 tillsynsbegäran mail.docx", "A 61242-2023")</f>
        <v/>
      </c>
      <c r="Z18">
        <f>HYPERLINK("https://klasma.github.io/Logging_2482/fåglar/A 61242-2023 prioriterade fågelarter.docx", "A 61242-2023")</f>
        <v/>
      </c>
    </row>
    <row r="19" ht="15" customHeight="1">
      <c r="A19" t="inlineStr">
        <is>
          <t>A 27073-2026</t>
        </is>
      </c>
      <c r="B19" s="1" t="n">
        <v>46186</v>
      </c>
      <c r="C19" s="1" t="n">
        <v>46205</v>
      </c>
      <c r="D19" t="inlineStr">
        <is>
          <t>VÄSTERBOTTENS LÄN</t>
        </is>
      </c>
      <c r="E19" t="inlineStr">
        <is>
          <t>SKELLEFTEÅ</t>
        </is>
      </c>
      <c r="G19" t="n">
        <v>6.5</v>
      </c>
      <c r="H19" t="n">
        <v>4</v>
      </c>
      <c r="I19" t="n">
        <v>1</v>
      </c>
      <c r="J19" t="n">
        <v>4</v>
      </c>
      <c r="K19" t="n">
        <v>4</v>
      </c>
      <c r="L19" t="n">
        <v>0</v>
      </c>
      <c r="M19" t="n">
        <v>0</v>
      </c>
      <c r="N19" t="n">
        <v>0</v>
      </c>
      <c r="O19" t="n">
        <v>8</v>
      </c>
      <c r="P19" t="n">
        <v>4</v>
      </c>
      <c r="Q19" t="n">
        <v>10</v>
      </c>
      <c r="R19" s="2" t="inlineStr">
        <is>
          <t>Fläckporing
Garnlav
Knärot
Tornseglare
Dropptaggsvamp
Rynkskinn
Tretåig hackspett
Ullticka
Vedticka
Tjäder</t>
        </is>
      </c>
      <c r="S19">
        <f>HYPERLINK("https://klasma.github.io/Logging_2482/artfynd/A 27073-2026 artfynd.xlsx", "A 27073-2026")</f>
        <v/>
      </c>
      <c r="T19">
        <f>HYPERLINK("https://klasma.github.io/Logging_2482/kartor/A 27073-2026 karta.png", "A 27073-2026")</f>
        <v/>
      </c>
      <c r="U19">
        <f>HYPERLINK("https://klasma.github.io/Logging_2482/knärot/A 27073-2026 karta knärot.png", "A 27073-2026")</f>
        <v/>
      </c>
      <c r="V19">
        <f>HYPERLINK("https://klasma.github.io/Logging_2482/klagomål/A 27073-2026 FSC-klagomål.docx", "A 27073-2026")</f>
        <v/>
      </c>
      <c r="W19">
        <f>HYPERLINK("https://klasma.github.io/Logging_2482/klagomålsmail/A 27073-2026 FSC-klagomål mail.docx", "A 27073-2026")</f>
        <v/>
      </c>
      <c r="X19">
        <f>HYPERLINK("https://klasma.github.io/Logging_2482/tillsyn/A 27073-2026 tillsynsbegäran.docx", "A 27073-2026")</f>
        <v/>
      </c>
      <c r="Y19">
        <f>HYPERLINK("https://klasma.github.io/Logging_2482/tillsynsmail/A 27073-2026 tillsynsbegäran mail.docx", "A 27073-2026")</f>
        <v/>
      </c>
      <c r="Z19">
        <f>HYPERLINK("https://klasma.github.io/Logging_2482/fåglar/A 27073-2026 prioriterade fågelarter.docx", "A 27073-2026")</f>
        <v/>
      </c>
    </row>
    <row r="20" ht="15" customHeight="1">
      <c r="A20" t="inlineStr">
        <is>
          <t>A 28986-2025</t>
        </is>
      </c>
      <c r="B20" s="1" t="n">
        <v>45821</v>
      </c>
      <c r="C20" s="1" t="n">
        <v>46205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12.5</v>
      </c>
      <c r="H20" t="n">
        <v>2</v>
      </c>
      <c r="I20" t="n">
        <v>0</v>
      </c>
      <c r="J20" t="n">
        <v>6</v>
      </c>
      <c r="K20" t="n">
        <v>3</v>
      </c>
      <c r="L20" t="n">
        <v>0</v>
      </c>
      <c r="M20" t="n">
        <v>0</v>
      </c>
      <c r="N20" t="n">
        <v>0</v>
      </c>
      <c r="O20" t="n">
        <v>9</v>
      </c>
      <c r="P20" t="n">
        <v>3</v>
      </c>
      <c r="Q20" t="n">
        <v>10</v>
      </c>
      <c r="R20" s="2" t="inlineStr">
        <is>
          <t>Garnlav
Gränsticka
Ulltickeporing
Lunglav
Rosenticka
Skeletocutis exilis
Tretåig hackspett
Ullticka
Violettgrå tagellav
Spillkråka</t>
        </is>
      </c>
      <c r="S20">
        <f>HYPERLINK("https://klasma.github.io/Logging_2482/artfynd/A 28986-2025 artfynd.xlsx", "A 28986-2025")</f>
        <v/>
      </c>
      <c r="T20">
        <f>HYPERLINK("https://klasma.github.io/Logging_2482/kartor/A 28986-2025 karta.png", "A 28986-2025")</f>
        <v/>
      </c>
      <c r="V20">
        <f>HYPERLINK("https://klasma.github.io/Logging_2482/klagomål/A 28986-2025 FSC-klagomål.docx", "A 28986-2025")</f>
        <v/>
      </c>
      <c r="W20">
        <f>HYPERLINK("https://klasma.github.io/Logging_2482/klagomålsmail/A 28986-2025 FSC-klagomål mail.docx", "A 28986-2025")</f>
        <v/>
      </c>
      <c r="X20">
        <f>HYPERLINK("https://klasma.github.io/Logging_2482/tillsyn/A 28986-2025 tillsynsbegäran.docx", "A 28986-2025")</f>
        <v/>
      </c>
      <c r="Y20">
        <f>HYPERLINK("https://klasma.github.io/Logging_2482/tillsynsmail/A 28986-2025 tillsynsbegäran mail.docx", "A 28986-2025")</f>
        <v/>
      </c>
      <c r="Z20">
        <f>HYPERLINK("https://klasma.github.io/Logging_2482/fåglar/A 28986-2025 prioriterade fågelarter.docx", "A 28986-2025")</f>
        <v/>
      </c>
    </row>
    <row r="21" ht="15" customHeight="1">
      <c r="A21" t="inlineStr">
        <is>
          <t>A 2574-2026</t>
        </is>
      </c>
      <c r="B21" s="1" t="n">
        <v>46037</v>
      </c>
      <c r="C21" s="1" t="n">
        <v>46205</v>
      </c>
      <c r="D21" t="inlineStr">
        <is>
          <t>VÄSTERBOTTENS LÄN</t>
        </is>
      </c>
      <c r="E21" t="inlineStr">
        <is>
          <t>SKELLEFTEÅ</t>
        </is>
      </c>
      <c r="G21" t="n">
        <v>11.2</v>
      </c>
      <c r="H21" t="n">
        <v>3</v>
      </c>
      <c r="I21" t="n">
        <v>2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Garnlav
Dvärgbägarlav
Gammelgransskål
Hornvaxskinn
Talltita
Tretåig hackspett
Ullticka
Bårdlav
Vedticka
Videsparv</t>
        </is>
      </c>
      <c r="S21">
        <f>HYPERLINK("https://klasma.github.io/Logging_2482/artfynd/A 2574-2026 artfynd.xlsx", "A 2574-2026")</f>
        <v/>
      </c>
      <c r="T21">
        <f>HYPERLINK("https://klasma.github.io/Logging_2482/kartor/A 2574-2026 karta.png", "A 2574-2026")</f>
        <v/>
      </c>
      <c r="V21">
        <f>HYPERLINK("https://klasma.github.io/Logging_2482/klagomål/A 2574-2026 FSC-klagomål.docx", "A 2574-2026")</f>
        <v/>
      </c>
      <c r="W21">
        <f>HYPERLINK("https://klasma.github.io/Logging_2482/klagomålsmail/A 2574-2026 FSC-klagomål mail.docx", "A 2574-2026")</f>
        <v/>
      </c>
      <c r="X21">
        <f>HYPERLINK("https://klasma.github.io/Logging_2482/tillsyn/A 2574-2026 tillsynsbegäran.docx", "A 2574-2026")</f>
        <v/>
      </c>
      <c r="Y21">
        <f>HYPERLINK("https://klasma.github.io/Logging_2482/tillsynsmail/A 2574-2026 tillsynsbegäran mail.docx", "A 2574-2026")</f>
        <v/>
      </c>
      <c r="Z21">
        <f>HYPERLINK("https://klasma.github.io/Logging_2482/fåglar/A 2574-2026 prioriterade fågelarter.docx", "A 2574-2026")</f>
        <v/>
      </c>
    </row>
    <row r="22" ht="15" customHeight="1">
      <c r="A22" t="inlineStr">
        <is>
          <t>A 14286-2026</t>
        </is>
      </c>
      <c r="B22" s="1" t="n">
        <v>46099</v>
      </c>
      <c r="C22" s="1" t="n">
        <v>46205</v>
      </c>
      <c r="D22" t="inlineStr">
        <is>
          <t>VÄSTERBOTTENS LÄN</t>
        </is>
      </c>
      <c r="E22" t="inlineStr">
        <is>
          <t>SKELLEFTEÅ</t>
        </is>
      </c>
      <c r="G22" t="n">
        <v>4.9</v>
      </c>
      <c r="H22" t="n">
        <v>3</v>
      </c>
      <c r="I22" t="n">
        <v>2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10</v>
      </c>
      <c r="R22" s="2" t="inlineStr">
        <is>
          <t>Garnlav
Knärot
Gammelgransskål
Rynkskinn
Tretåig hackspett
Ullticka
Violettgrå tagellav
Blodticka
Vedticka
Spillkråka</t>
        </is>
      </c>
      <c r="S22">
        <f>HYPERLINK("https://klasma.github.io/Logging_2482/artfynd/A 14286-2026 artfynd.xlsx", "A 14286-2026")</f>
        <v/>
      </c>
      <c r="T22">
        <f>HYPERLINK("https://klasma.github.io/Logging_2482/kartor/A 14286-2026 karta.png", "A 14286-2026")</f>
        <v/>
      </c>
      <c r="U22">
        <f>HYPERLINK("https://klasma.github.io/Logging_2482/knärot/A 14286-2026 karta knärot.png", "A 14286-2026")</f>
        <v/>
      </c>
      <c r="V22">
        <f>HYPERLINK("https://klasma.github.io/Logging_2482/klagomål/A 14286-2026 FSC-klagomål.docx", "A 14286-2026")</f>
        <v/>
      </c>
      <c r="W22">
        <f>HYPERLINK("https://klasma.github.io/Logging_2482/klagomålsmail/A 14286-2026 FSC-klagomål mail.docx", "A 14286-2026")</f>
        <v/>
      </c>
      <c r="X22">
        <f>HYPERLINK("https://klasma.github.io/Logging_2482/tillsyn/A 14286-2026 tillsynsbegäran.docx", "A 14286-2026")</f>
        <v/>
      </c>
      <c r="Y22">
        <f>HYPERLINK("https://klasma.github.io/Logging_2482/tillsynsmail/A 14286-2026 tillsynsbegäran mail.docx", "A 14286-2026")</f>
        <v/>
      </c>
      <c r="Z22">
        <f>HYPERLINK("https://klasma.github.io/Logging_2482/fåglar/A 14286-2026 prioriterade fågelarter.docx", "A 14286-2026")</f>
        <v/>
      </c>
    </row>
    <row r="23" ht="15" customHeight="1">
      <c r="A23" t="inlineStr">
        <is>
          <t>A 1602-2023</t>
        </is>
      </c>
      <c r="B23" s="1" t="n">
        <v>44935</v>
      </c>
      <c r="C23" s="1" t="n">
        <v>46205</v>
      </c>
      <c r="D23" t="inlineStr">
        <is>
          <t>VÄSTERBOTTENS LÄN</t>
        </is>
      </c>
      <c r="E23" t="inlineStr">
        <is>
          <t>SKELLEFTEÅ</t>
        </is>
      </c>
      <c r="G23" t="n">
        <v>12.6</v>
      </c>
      <c r="H23" t="n">
        <v>3</v>
      </c>
      <c r="I23" t="n">
        <v>1</v>
      </c>
      <c r="J23" t="n">
        <v>4</v>
      </c>
      <c r="K23" t="n">
        <v>3</v>
      </c>
      <c r="L23" t="n">
        <v>0</v>
      </c>
      <c r="M23" t="n">
        <v>0</v>
      </c>
      <c r="N23" t="n">
        <v>0</v>
      </c>
      <c r="O23" t="n">
        <v>7</v>
      </c>
      <c r="P23" t="n">
        <v>3</v>
      </c>
      <c r="Q23" t="n">
        <v>9</v>
      </c>
      <c r="R23" s="2" t="inlineStr">
        <is>
          <t>Garnlav
Knärot
Ulltickeporing
Gammelgransskål
Tretåig hackspett
Ullticka
Violettgrå tagellav
Vedticka
Spillkråka</t>
        </is>
      </c>
      <c r="S23">
        <f>HYPERLINK("https://klasma.github.io/Logging_2482/artfynd/A 1602-2023 artfynd.xlsx", "A 1602-2023")</f>
        <v/>
      </c>
      <c r="T23">
        <f>HYPERLINK("https://klasma.github.io/Logging_2482/kartor/A 1602-2023 karta.png", "A 1602-2023")</f>
        <v/>
      </c>
      <c r="U23">
        <f>HYPERLINK("https://klasma.github.io/Logging_2482/knärot/A 1602-2023 karta knärot.png", "A 1602-2023")</f>
        <v/>
      </c>
      <c r="V23">
        <f>HYPERLINK("https://klasma.github.io/Logging_2482/klagomål/A 1602-2023 FSC-klagomål.docx", "A 1602-2023")</f>
        <v/>
      </c>
      <c r="W23">
        <f>HYPERLINK("https://klasma.github.io/Logging_2482/klagomålsmail/A 1602-2023 FSC-klagomål mail.docx", "A 1602-2023")</f>
        <v/>
      </c>
      <c r="X23">
        <f>HYPERLINK("https://klasma.github.io/Logging_2482/tillsyn/A 1602-2023 tillsynsbegäran.docx", "A 1602-2023")</f>
        <v/>
      </c>
      <c r="Y23">
        <f>HYPERLINK("https://klasma.github.io/Logging_2482/tillsynsmail/A 1602-2023 tillsynsbegäran mail.docx", "A 1602-2023")</f>
        <v/>
      </c>
      <c r="Z23">
        <f>HYPERLINK("https://klasma.github.io/Logging_2482/fåglar/A 1602-2023 prioriterade fågelarter.docx", "A 1602-2023")</f>
        <v/>
      </c>
    </row>
    <row r="24" ht="15" customHeight="1">
      <c r="A24" t="inlineStr">
        <is>
          <t>A 39213-2021</t>
        </is>
      </c>
      <c r="B24" s="1" t="n">
        <v>44413</v>
      </c>
      <c r="C24" s="1" t="n">
        <v>46205</v>
      </c>
      <c r="D24" t="inlineStr">
        <is>
          <t>VÄSTERBOTTENS LÄN</t>
        </is>
      </c>
      <c r="E24" t="inlineStr">
        <is>
          <t>SKELLEFTEÅ</t>
        </is>
      </c>
      <c r="G24" t="n">
        <v>25</v>
      </c>
      <c r="H24" t="n">
        <v>2</v>
      </c>
      <c r="I24" t="n">
        <v>1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9</v>
      </c>
      <c r="R24" s="2" t="inlineStr">
        <is>
          <t>Garnlav
Gammelgransskål
Stjärntagging
Tallticka
Tretåig hackspett
Ullticka
Violettgrå tagellav
Vedticka
Järpe</t>
        </is>
      </c>
      <c r="S24">
        <f>HYPERLINK("https://klasma.github.io/Logging_2482/artfynd/A 39213-2021 artfynd.xlsx", "A 39213-2021")</f>
        <v/>
      </c>
      <c r="T24">
        <f>HYPERLINK("https://klasma.github.io/Logging_2482/kartor/A 39213-2021 karta.png", "A 39213-2021")</f>
        <v/>
      </c>
      <c r="V24">
        <f>HYPERLINK("https://klasma.github.io/Logging_2482/klagomål/A 39213-2021 FSC-klagomål.docx", "A 39213-2021")</f>
        <v/>
      </c>
      <c r="W24">
        <f>HYPERLINK("https://klasma.github.io/Logging_2482/klagomålsmail/A 39213-2021 FSC-klagomål mail.docx", "A 39213-2021")</f>
        <v/>
      </c>
      <c r="X24">
        <f>HYPERLINK("https://klasma.github.io/Logging_2482/tillsyn/A 39213-2021 tillsynsbegäran.docx", "A 39213-2021")</f>
        <v/>
      </c>
      <c r="Y24">
        <f>HYPERLINK("https://klasma.github.io/Logging_2482/tillsynsmail/A 39213-2021 tillsynsbegäran mail.docx", "A 39213-2021")</f>
        <v/>
      </c>
      <c r="Z24">
        <f>HYPERLINK("https://klasma.github.io/Logging_2482/fåglar/A 39213-2021 prioriterade fågelarter.docx", "A 39213-2021")</f>
        <v/>
      </c>
    </row>
    <row r="25" ht="15" customHeight="1">
      <c r="A25" t="inlineStr">
        <is>
          <t>A 39126-2025</t>
        </is>
      </c>
      <c r="B25" s="1" t="n">
        <v>45888</v>
      </c>
      <c r="C25" s="1" t="n">
        <v>46205</v>
      </c>
      <c r="D25" t="inlineStr">
        <is>
          <t>VÄSTERBOTTENS LÄN</t>
        </is>
      </c>
      <c r="E25" t="inlineStr">
        <is>
          <t>SKELLEFTEÅ</t>
        </is>
      </c>
      <c r="F25" t="inlineStr">
        <is>
          <t>Holmen skog AB</t>
        </is>
      </c>
      <c r="G25" t="n">
        <v>1</v>
      </c>
      <c r="H25" t="n">
        <v>1</v>
      </c>
      <c r="I25" t="n">
        <v>4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9</v>
      </c>
      <c r="R25" s="2" t="inlineStr">
        <is>
          <t>Garnlav
Knärot
Gammelgransskål
Lunglav
Rosenticka
Granbarkgnagare
Stuplav
Trådticka
Vedticka</t>
        </is>
      </c>
      <c r="S25">
        <f>HYPERLINK("https://klasma.github.io/Logging_2482/artfynd/A 39126-2025 artfynd.xlsx", "A 39126-2025")</f>
        <v/>
      </c>
      <c r="T25">
        <f>HYPERLINK("https://klasma.github.io/Logging_2482/kartor/A 39126-2025 karta.png", "A 39126-2025")</f>
        <v/>
      </c>
      <c r="U25">
        <f>HYPERLINK("https://klasma.github.io/Logging_2482/knärot/A 39126-2025 karta knärot.png", "A 39126-2025")</f>
        <v/>
      </c>
      <c r="V25">
        <f>HYPERLINK("https://klasma.github.io/Logging_2482/klagomål/A 39126-2025 FSC-klagomål.docx", "A 39126-2025")</f>
        <v/>
      </c>
      <c r="W25">
        <f>HYPERLINK("https://klasma.github.io/Logging_2482/klagomålsmail/A 39126-2025 FSC-klagomål mail.docx", "A 39126-2025")</f>
        <v/>
      </c>
      <c r="X25">
        <f>HYPERLINK("https://klasma.github.io/Logging_2482/tillsyn/A 39126-2025 tillsynsbegäran.docx", "A 39126-2025")</f>
        <v/>
      </c>
      <c r="Y25">
        <f>HYPERLINK("https://klasma.github.io/Logging_2482/tillsynsmail/A 39126-2025 tillsynsbegäran mail.docx", "A 39126-2025")</f>
        <v/>
      </c>
    </row>
    <row r="26" ht="15" customHeight="1">
      <c r="A26" t="inlineStr">
        <is>
          <t>A 54391-2023</t>
        </is>
      </c>
      <c r="B26" s="1" t="n">
        <v>45226</v>
      </c>
      <c r="C26" s="1" t="n">
        <v>46205</v>
      </c>
      <c r="D26" t="inlineStr">
        <is>
          <t>VÄSTERBOTTENS LÄN</t>
        </is>
      </c>
      <c r="E26" t="inlineStr">
        <is>
          <t>SKELLEFTEÅ</t>
        </is>
      </c>
      <c r="G26" t="n">
        <v>17.9</v>
      </c>
      <c r="H26" t="n">
        <v>4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9</v>
      </c>
      <c r="R26" s="2" t="inlineStr">
        <is>
          <t>Garnlav
Harticka
Tallticka
Gullgröppa
Skinnlav
Spillkråka
Svartvit flugsnappare
Fläcknycklar
Revlummer</t>
        </is>
      </c>
      <c r="S26">
        <f>HYPERLINK("https://klasma.github.io/Logging_2482/artfynd/A 54391-2023 artfynd.xlsx", "A 54391-2023")</f>
        <v/>
      </c>
      <c r="T26">
        <f>HYPERLINK("https://klasma.github.io/Logging_2482/kartor/A 54391-2023 karta.png", "A 54391-2023")</f>
        <v/>
      </c>
      <c r="V26">
        <f>HYPERLINK("https://klasma.github.io/Logging_2482/klagomål/A 54391-2023 FSC-klagomål.docx", "A 54391-2023")</f>
        <v/>
      </c>
      <c r="W26">
        <f>HYPERLINK("https://klasma.github.io/Logging_2482/klagomålsmail/A 54391-2023 FSC-klagomål mail.docx", "A 54391-2023")</f>
        <v/>
      </c>
      <c r="X26">
        <f>HYPERLINK("https://klasma.github.io/Logging_2482/tillsyn/A 54391-2023 tillsynsbegäran.docx", "A 54391-2023")</f>
        <v/>
      </c>
      <c r="Y26">
        <f>HYPERLINK("https://klasma.github.io/Logging_2482/tillsynsmail/A 54391-2023 tillsynsbegäran mail.docx", "A 54391-2023")</f>
        <v/>
      </c>
      <c r="Z26">
        <f>HYPERLINK("https://klasma.github.io/Logging_2482/fåglar/A 54391-2023 prioriterade fågelarter.docx", "A 54391-2023")</f>
        <v/>
      </c>
    </row>
    <row r="27" ht="15" customHeight="1">
      <c r="A27" t="inlineStr">
        <is>
          <t>A 50032-2024</t>
        </is>
      </c>
      <c r="B27" s="1" t="n">
        <v>45599</v>
      </c>
      <c r="C27" s="1" t="n">
        <v>46205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22.7</v>
      </c>
      <c r="H27" t="n">
        <v>3</v>
      </c>
      <c r="I27" t="n">
        <v>1</v>
      </c>
      <c r="J27" t="n">
        <v>6</v>
      </c>
      <c r="K27" t="n">
        <v>0</v>
      </c>
      <c r="L27" t="n">
        <v>1</v>
      </c>
      <c r="M27" t="n">
        <v>0</v>
      </c>
      <c r="N27" t="n">
        <v>0</v>
      </c>
      <c r="O27" t="n">
        <v>7</v>
      </c>
      <c r="P27" t="n">
        <v>1</v>
      </c>
      <c r="Q27" t="n">
        <v>9</v>
      </c>
      <c r="R27" s="2" t="inlineStr">
        <is>
          <t>Urskogsporing
Dropptaggsvamp
Gammelgransskål
Kolflarnlav
Mörk kolflarnlav
Talltita
Tretåig hackspett
Skinnlav
Spillkråka</t>
        </is>
      </c>
      <c r="S27">
        <f>HYPERLINK("https://klasma.github.io/Logging_2482/artfynd/A 50032-2024 artfynd.xlsx", "A 50032-2024")</f>
        <v/>
      </c>
      <c r="T27">
        <f>HYPERLINK("https://klasma.github.io/Logging_2482/kartor/A 50032-2024 karta.png", "A 50032-2024")</f>
        <v/>
      </c>
      <c r="V27">
        <f>HYPERLINK("https://klasma.github.io/Logging_2482/klagomål/A 50032-2024 FSC-klagomål.docx", "A 50032-2024")</f>
        <v/>
      </c>
      <c r="W27">
        <f>HYPERLINK("https://klasma.github.io/Logging_2482/klagomålsmail/A 50032-2024 FSC-klagomål mail.docx", "A 50032-2024")</f>
        <v/>
      </c>
      <c r="X27">
        <f>HYPERLINK("https://klasma.github.io/Logging_2482/tillsyn/A 50032-2024 tillsynsbegäran.docx", "A 50032-2024")</f>
        <v/>
      </c>
      <c r="Y27">
        <f>HYPERLINK("https://klasma.github.io/Logging_2482/tillsynsmail/A 50032-2024 tillsynsbegäran mail.docx", "A 50032-2024")</f>
        <v/>
      </c>
      <c r="Z27">
        <f>HYPERLINK("https://klasma.github.io/Logging_2482/fåglar/A 50032-2024 prioriterade fågelarter.docx", "A 50032-2024")</f>
        <v/>
      </c>
    </row>
    <row r="28" ht="15" customHeight="1">
      <c r="A28" t="inlineStr">
        <is>
          <t>A 46492-2023</t>
        </is>
      </c>
      <c r="B28" s="1" t="n">
        <v>45194</v>
      </c>
      <c r="C28" s="1" t="n">
        <v>46205</v>
      </c>
      <c r="D28" t="inlineStr">
        <is>
          <t>VÄSTERBOTTENS LÄN</t>
        </is>
      </c>
      <c r="E28" t="inlineStr">
        <is>
          <t>SKELLEFTEÅ</t>
        </is>
      </c>
      <c r="G28" t="n">
        <v>0.8</v>
      </c>
      <c r="H28" t="n">
        <v>9</v>
      </c>
      <c r="I28" t="n">
        <v>0</v>
      </c>
      <c r="J28" t="n">
        <v>5</v>
      </c>
      <c r="K28" t="n">
        <v>0</v>
      </c>
      <c r="L28" t="n">
        <v>1</v>
      </c>
      <c r="M28" t="n">
        <v>1</v>
      </c>
      <c r="N28" t="n">
        <v>0</v>
      </c>
      <c r="O28" t="n">
        <v>7</v>
      </c>
      <c r="P28" t="n">
        <v>2</v>
      </c>
      <c r="Q28" t="n">
        <v>9</v>
      </c>
      <c r="R28" s="2" t="inlineStr">
        <is>
          <t>Ortolansparv
Storspov
Gulsparv
Ladusvala
Rödvingetrast
Skrattmås
Sädesärla
Buskskvätta
Grönsiska</t>
        </is>
      </c>
      <c r="S28">
        <f>HYPERLINK("https://klasma.github.io/Logging_2482/artfynd/A 46492-2023 artfynd.xlsx", "A 46492-2023")</f>
        <v/>
      </c>
      <c r="T28">
        <f>HYPERLINK("https://klasma.github.io/Logging_2482/kartor/A 46492-2023 karta.png", "A 46492-2023")</f>
        <v/>
      </c>
      <c r="V28">
        <f>HYPERLINK("https://klasma.github.io/Logging_2482/klagomål/A 46492-2023 FSC-klagomål.docx", "A 46492-2023")</f>
        <v/>
      </c>
      <c r="W28">
        <f>HYPERLINK("https://klasma.github.io/Logging_2482/klagomålsmail/A 46492-2023 FSC-klagomål mail.docx", "A 46492-2023")</f>
        <v/>
      </c>
      <c r="X28">
        <f>HYPERLINK("https://klasma.github.io/Logging_2482/tillsyn/A 46492-2023 tillsynsbegäran.docx", "A 46492-2023")</f>
        <v/>
      </c>
      <c r="Y28">
        <f>HYPERLINK("https://klasma.github.io/Logging_2482/tillsynsmail/A 46492-2023 tillsynsbegäran mail.docx", "A 46492-2023")</f>
        <v/>
      </c>
      <c r="Z28">
        <f>HYPERLINK("https://klasma.github.io/Logging_2482/fåglar/A 46492-2023 prioriterade fågelarter.docx", "A 46492-2023")</f>
        <v/>
      </c>
    </row>
    <row r="29" ht="15" customHeight="1">
      <c r="A29" t="inlineStr">
        <is>
          <t>A 913-2023</t>
        </is>
      </c>
      <c r="B29" s="1" t="n">
        <v>44931</v>
      </c>
      <c r="C29" s="1" t="n">
        <v>46205</v>
      </c>
      <c r="D29" t="inlineStr">
        <is>
          <t>VÄSTERBOTTENS LÄN</t>
        </is>
      </c>
      <c r="E29" t="inlineStr">
        <is>
          <t>SKELLEFTEÅ</t>
        </is>
      </c>
      <c r="G29" t="n">
        <v>8</v>
      </c>
      <c r="H29" t="n">
        <v>1</v>
      </c>
      <c r="I29" t="n">
        <v>2</v>
      </c>
      <c r="J29" t="n">
        <v>4</v>
      </c>
      <c r="K29" t="n">
        <v>2</v>
      </c>
      <c r="L29" t="n">
        <v>0</v>
      </c>
      <c r="M29" t="n">
        <v>0</v>
      </c>
      <c r="N29" t="n">
        <v>0</v>
      </c>
      <c r="O29" t="n">
        <v>6</v>
      </c>
      <c r="P29" t="n">
        <v>2</v>
      </c>
      <c r="Q29" t="n">
        <v>8</v>
      </c>
      <c r="R29" s="2" t="inlineStr">
        <is>
          <t>Garnlav
Ulltickeporing
Lavskrika
Lunglav
Ullticka
Violettgrå tagellav
Stuplav
Vedticka</t>
        </is>
      </c>
      <c r="S29">
        <f>HYPERLINK("https://klasma.github.io/Logging_2482/artfynd/A 913-2023 artfynd.xlsx", "A 913-2023")</f>
        <v/>
      </c>
      <c r="T29">
        <f>HYPERLINK("https://klasma.github.io/Logging_2482/kartor/A 913-2023 karta.png", "A 913-2023")</f>
        <v/>
      </c>
      <c r="V29">
        <f>HYPERLINK("https://klasma.github.io/Logging_2482/klagomål/A 913-2023 FSC-klagomål.docx", "A 913-2023")</f>
        <v/>
      </c>
      <c r="W29">
        <f>HYPERLINK("https://klasma.github.io/Logging_2482/klagomålsmail/A 913-2023 FSC-klagomål mail.docx", "A 913-2023")</f>
        <v/>
      </c>
      <c r="X29">
        <f>HYPERLINK("https://klasma.github.io/Logging_2482/tillsyn/A 913-2023 tillsynsbegäran.docx", "A 913-2023")</f>
        <v/>
      </c>
      <c r="Y29">
        <f>HYPERLINK("https://klasma.github.io/Logging_2482/tillsynsmail/A 913-2023 tillsynsbegäran mail.docx", "A 913-2023")</f>
        <v/>
      </c>
      <c r="Z29">
        <f>HYPERLINK("https://klasma.github.io/Logging_2482/fåglar/A 913-2023 prioriterade fågelarter.docx", "A 913-2023")</f>
        <v/>
      </c>
    </row>
    <row r="30" ht="15" customHeight="1">
      <c r="A30" t="inlineStr">
        <is>
          <t>A 26645-2026</t>
        </is>
      </c>
      <c r="B30" s="1" t="n">
        <v>46184</v>
      </c>
      <c r="C30" s="1" t="n">
        <v>46205</v>
      </c>
      <c r="D30" t="inlineStr">
        <is>
          <t>VÄSTERBOTTENS LÄN</t>
        </is>
      </c>
      <c r="E30" t="inlineStr">
        <is>
          <t>SKELLEFTEÅ</t>
        </is>
      </c>
      <c r="G30" t="n">
        <v>14.1</v>
      </c>
      <c r="H30" t="n">
        <v>2</v>
      </c>
      <c r="I30" t="n">
        <v>1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8</v>
      </c>
      <c r="R30" s="2" t="inlineStr">
        <is>
          <t>Garnlav
Dropptaggsvamp
Kolflarnlav
Motaggsvamp
Skarp dropptaggsvamp
Tretåig hackspett
Ullticka
Spindelblomster</t>
        </is>
      </c>
      <c r="S30">
        <f>HYPERLINK("https://klasma.github.io/Logging_2482/artfynd/A 26645-2026 artfynd.xlsx", "A 26645-2026")</f>
        <v/>
      </c>
      <c r="T30">
        <f>HYPERLINK("https://klasma.github.io/Logging_2482/kartor/A 26645-2026 karta.png", "A 26645-2026")</f>
        <v/>
      </c>
      <c r="V30">
        <f>HYPERLINK("https://klasma.github.io/Logging_2482/klagomål/A 26645-2026 FSC-klagomål.docx", "A 26645-2026")</f>
        <v/>
      </c>
      <c r="W30">
        <f>HYPERLINK("https://klasma.github.io/Logging_2482/klagomålsmail/A 26645-2026 FSC-klagomål mail.docx", "A 26645-2026")</f>
        <v/>
      </c>
      <c r="X30">
        <f>HYPERLINK("https://klasma.github.io/Logging_2482/tillsyn/A 26645-2026 tillsynsbegäran.docx", "A 26645-2026")</f>
        <v/>
      </c>
      <c r="Y30">
        <f>HYPERLINK("https://klasma.github.io/Logging_2482/tillsynsmail/A 26645-2026 tillsynsbegäran mail.docx", "A 26645-2026")</f>
        <v/>
      </c>
      <c r="Z30">
        <f>HYPERLINK("https://klasma.github.io/Logging_2482/fåglar/A 26645-2026 prioriterade fågelarter.docx", "A 26645-2026")</f>
        <v/>
      </c>
    </row>
    <row r="31" ht="15" customHeight="1">
      <c r="A31" t="inlineStr">
        <is>
          <t>A 1095-2026</t>
        </is>
      </c>
      <c r="B31" s="1" t="n">
        <v>46030</v>
      </c>
      <c r="C31" s="1" t="n">
        <v>46205</v>
      </c>
      <c r="D31" t="inlineStr">
        <is>
          <t>VÄSTERBOTTENS LÄN</t>
        </is>
      </c>
      <c r="E31" t="inlineStr">
        <is>
          <t>SKELLEFTEÅ</t>
        </is>
      </c>
      <c r="G31" t="n">
        <v>7.6</v>
      </c>
      <c r="H31" t="n">
        <v>3</v>
      </c>
      <c r="I31" t="n">
        <v>0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8</v>
      </c>
      <c r="R31" s="2" t="inlineStr">
        <is>
          <t>Garnlav
Knärot
Lunglav
Rynkskinn
Tretåig hackspett
Ullticka
Violettgrå tagellav
Spillkråka</t>
        </is>
      </c>
      <c r="S31">
        <f>HYPERLINK("https://klasma.github.io/Logging_2482/artfynd/A 1095-2026 artfynd.xlsx", "A 1095-2026")</f>
        <v/>
      </c>
      <c r="T31">
        <f>HYPERLINK("https://klasma.github.io/Logging_2482/kartor/A 1095-2026 karta.png", "A 1095-2026")</f>
        <v/>
      </c>
      <c r="U31">
        <f>HYPERLINK("https://klasma.github.io/Logging_2482/knärot/A 1095-2026 karta knärot.png", "A 1095-2026")</f>
        <v/>
      </c>
      <c r="V31">
        <f>HYPERLINK("https://klasma.github.io/Logging_2482/klagomål/A 1095-2026 FSC-klagomål.docx", "A 1095-2026")</f>
        <v/>
      </c>
      <c r="W31">
        <f>HYPERLINK("https://klasma.github.io/Logging_2482/klagomålsmail/A 1095-2026 FSC-klagomål mail.docx", "A 1095-2026")</f>
        <v/>
      </c>
      <c r="X31">
        <f>HYPERLINK("https://klasma.github.io/Logging_2482/tillsyn/A 1095-2026 tillsynsbegäran.docx", "A 1095-2026")</f>
        <v/>
      </c>
      <c r="Y31">
        <f>HYPERLINK("https://klasma.github.io/Logging_2482/tillsynsmail/A 1095-2026 tillsynsbegäran mail.docx", "A 1095-2026")</f>
        <v/>
      </c>
      <c r="Z31">
        <f>HYPERLINK("https://klasma.github.io/Logging_2482/fåglar/A 1095-2026 prioriterade fågelarter.docx", "A 1095-2026")</f>
        <v/>
      </c>
    </row>
    <row r="32" ht="15" customHeight="1">
      <c r="A32" t="inlineStr">
        <is>
          <t>A 24496-2025</t>
        </is>
      </c>
      <c r="B32" s="1" t="n">
        <v>45798</v>
      </c>
      <c r="C32" s="1" t="n">
        <v>46205</v>
      </c>
      <c r="D32" t="inlineStr">
        <is>
          <t>VÄSTERBOTTENS LÄN</t>
        </is>
      </c>
      <c r="E32" t="inlineStr">
        <is>
          <t>SKELLEFTEÅ</t>
        </is>
      </c>
      <c r="G32" t="n">
        <v>3</v>
      </c>
      <c r="H32" t="n">
        <v>4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7</v>
      </c>
      <c r="R32" s="2" t="inlineStr">
        <is>
          <t>Gammelgransskål
Mindre hackspett
Talltita
Björksplintborre
Vedticka
Kungsfågel
Revlummer</t>
        </is>
      </c>
      <c r="S32">
        <f>HYPERLINK("https://klasma.github.io/Logging_2482/artfynd/A 24496-2025 artfynd.xlsx", "A 24496-2025")</f>
        <v/>
      </c>
      <c r="T32">
        <f>HYPERLINK("https://klasma.github.io/Logging_2482/kartor/A 24496-2025 karta.png", "A 24496-2025")</f>
        <v/>
      </c>
      <c r="V32">
        <f>HYPERLINK("https://klasma.github.io/Logging_2482/klagomål/A 24496-2025 FSC-klagomål.docx", "A 24496-2025")</f>
        <v/>
      </c>
      <c r="W32">
        <f>HYPERLINK("https://klasma.github.io/Logging_2482/klagomålsmail/A 24496-2025 FSC-klagomål mail.docx", "A 24496-2025")</f>
        <v/>
      </c>
      <c r="X32">
        <f>HYPERLINK("https://klasma.github.io/Logging_2482/tillsyn/A 24496-2025 tillsynsbegäran.docx", "A 24496-2025")</f>
        <v/>
      </c>
      <c r="Y32">
        <f>HYPERLINK("https://klasma.github.io/Logging_2482/tillsynsmail/A 24496-2025 tillsynsbegäran mail.docx", "A 24496-2025")</f>
        <v/>
      </c>
      <c r="Z32">
        <f>HYPERLINK("https://klasma.github.io/Logging_2482/fåglar/A 24496-2025 prioriterade fågelarter.docx", "A 24496-2025")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46205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Ulltickeporing
Harticka
Rosenticka
Rynkskinn
Ullticka
Trådticka
Spillkråka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46205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4</v>
      </c>
      <c r="K34" t="n">
        <v>2</v>
      </c>
      <c r="L34" t="n">
        <v>0</v>
      </c>
      <c r="M34" t="n">
        <v>0</v>
      </c>
      <c r="N34" t="n">
        <v>0</v>
      </c>
      <c r="O34" t="n">
        <v>6</v>
      </c>
      <c r="P34" t="n">
        <v>2</v>
      </c>
      <c r="Q34" t="n">
        <v>7</v>
      </c>
      <c r="R34" s="2" t="inlineStr">
        <is>
          <t>Garnlav
Knärot
Gammelgransskål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29693-2025</t>
        </is>
      </c>
      <c r="B35" s="1" t="n">
        <v>45825</v>
      </c>
      <c r="C35" s="1" t="n">
        <v>46205</v>
      </c>
      <c r="D35" t="inlineStr">
        <is>
          <t>VÄSTERBOTTENS LÄN</t>
        </is>
      </c>
      <c r="E35" t="inlineStr">
        <is>
          <t>SKELLEFTEÅ</t>
        </is>
      </c>
      <c r="G35" t="n">
        <v>17.8</v>
      </c>
      <c r="H35" t="n">
        <v>3</v>
      </c>
      <c r="I35" t="n">
        <v>1</v>
      </c>
      <c r="J35" t="n">
        <v>4</v>
      </c>
      <c r="K35" t="n">
        <v>2</v>
      </c>
      <c r="L35" t="n">
        <v>0</v>
      </c>
      <c r="M35" t="n">
        <v>0</v>
      </c>
      <c r="N35" t="n">
        <v>0</v>
      </c>
      <c r="O35" t="n">
        <v>6</v>
      </c>
      <c r="P35" t="n">
        <v>2</v>
      </c>
      <c r="Q35" t="n">
        <v>7</v>
      </c>
      <c r="R35" s="2" t="inlineStr">
        <is>
          <t>Garnlav
Knärot
Dropptaggsvamp
Orange taggsvamp
Talltita
Tretåig hackspett
Nästlav</t>
        </is>
      </c>
      <c r="S35">
        <f>HYPERLINK("https://klasma.github.io/Logging_2482/artfynd/A 29693-2025 artfynd.xlsx", "A 29693-2025")</f>
        <v/>
      </c>
      <c r="T35">
        <f>HYPERLINK("https://klasma.github.io/Logging_2482/kartor/A 29693-2025 karta.png", "A 29693-2025")</f>
        <v/>
      </c>
      <c r="U35">
        <f>HYPERLINK("https://klasma.github.io/Logging_2482/knärot/A 29693-2025 karta knärot.png", "A 29693-2025")</f>
        <v/>
      </c>
      <c r="V35">
        <f>HYPERLINK("https://klasma.github.io/Logging_2482/klagomål/A 29693-2025 FSC-klagomål.docx", "A 29693-2025")</f>
        <v/>
      </c>
      <c r="W35">
        <f>HYPERLINK("https://klasma.github.io/Logging_2482/klagomålsmail/A 29693-2025 FSC-klagomål mail.docx", "A 29693-2025")</f>
        <v/>
      </c>
      <c r="X35">
        <f>HYPERLINK("https://klasma.github.io/Logging_2482/tillsyn/A 29693-2025 tillsynsbegäran.docx", "A 29693-2025")</f>
        <v/>
      </c>
      <c r="Y35">
        <f>HYPERLINK("https://klasma.github.io/Logging_2482/tillsynsmail/A 29693-2025 tillsynsbegäran mail.docx", "A 29693-2025")</f>
        <v/>
      </c>
      <c r="Z35">
        <f>HYPERLINK("https://klasma.github.io/Logging_2482/fåglar/A 29693-2025 prioriterade fågelarter.docx", "A 29693-2025")</f>
        <v/>
      </c>
    </row>
    <row r="36" ht="15" customHeight="1">
      <c r="A36" t="inlineStr">
        <is>
          <t>A 48272-2024</t>
        </is>
      </c>
      <c r="B36" s="1" t="n">
        <v>45590</v>
      </c>
      <c r="C36" s="1" t="n">
        <v>46205</v>
      </c>
      <c r="D36" t="inlineStr">
        <is>
          <t>VÄSTERBOTTENS LÄN</t>
        </is>
      </c>
      <c r="E36" t="inlineStr">
        <is>
          <t>SKELLEFTEÅ</t>
        </is>
      </c>
      <c r="G36" t="n">
        <v>12.5</v>
      </c>
      <c r="H36" t="n">
        <v>1</v>
      </c>
      <c r="I36" t="n">
        <v>0</v>
      </c>
      <c r="J36" t="n">
        <v>7</v>
      </c>
      <c r="K36" t="n">
        <v>0</v>
      </c>
      <c r="L36" t="n">
        <v>0</v>
      </c>
      <c r="M36" t="n">
        <v>0</v>
      </c>
      <c r="N36" t="n">
        <v>0</v>
      </c>
      <c r="O36" t="n">
        <v>7</v>
      </c>
      <c r="P36" t="n">
        <v>0</v>
      </c>
      <c r="Q36" t="n">
        <v>7</v>
      </c>
      <c r="R36" s="2" t="inlineStr">
        <is>
          <t>Harticka
Rosenticka
Stjärntagging
Tretåig hackspett
Ullticka
Violettgrå tagellav
Vågticka</t>
        </is>
      </c>
      <c r="S36">
        <f>HYPERLINK("https://klasma.github.io/Logging_2482/artfynd/A 48272-2024 artfynd.xlsx", "A 48272-2024")</f>
        <v/>
      </c>
      <c r="T36">
        <f>HYPERLINK("https://klasma.github.io/Logging_2482/kartor/A 48272-2024 karta.png", "A 48272-2024")</f>
        <v/>
      </c>
      <c r="V36">
        <f>HYPERLINK("https://klasma.github.io/Logging_2482/klagomål/A 48272-2024 FSC-klagomål.docx", "A 48272-2024")</f>
        <v/>
      </c>
      <c r="W36">
        <f>HYPERLINK("https://klasma.github.io/Logging_2482/klagomålsmail/A 48272-2024 FSC-klagomål mail.docx", "A 48272-2024")</f>
        <v/>
      </c>
      <c r="X36">
        <f>HYPERLINK("https://klasma.github.io/Logging_2482/tillsyn/A 48272-2024 tillsynsbegäran.docx", "A 48272-2024")</f>
        <v/>
      </c>
      <c r="Y36">
        <f>HYPERLINK("https://klasma.github.io/Logging_2482/tillsynsmail/A 48272-2024 tillsynsbegäran mail.docx", "A 48272-2024")</f>
        <v/>
      </c>
      <c r="Z36">
        <f>HYPERLINK("https://klasma.github.io/Logging_2482/fåglar/A 48272-2024 prioriterade fågelarter.docx", "A 48272-2024")</f>
        <v/>
      </c>
    </row>
    <row r="37" ht="15" customHeight="1">
      <c r="A37" t="inlineStr">
        <is>
          <t>A 28493-2026</t>
        </is>
      </c>
      <c r="B37" s="1" t="n">
        <v>46197</v>
      </c>
      <c r="C37" s="1" t="n">
        <v>46205</v>
      </c>
      <c r="D37" t="inlineStr">
        <is>
          <t>VÄSTERBOTTENS LÄN</t>
        </is>
      </c>
      <c r="E37" t="inlineStr">
        <is>
          <t>SKELLEFTEÅ</t>
        </is>
      </c>
      <c r="G37" t="n">
        <v>17.1</v>
      </c>
      <c r="H37" t="n">
        <v>3</v>
      </c>
      <c r="I37" t="n">
        <v>1</v>
      </c>
      <c r="J37" t="n">
        <v>4</v>
      </c>
      <c r="K37" t="n">
        <v>2</v>
      </c>
      <c r="L37" t="n">
        <v>0</v>
      </c>
      <c r="M37" t="n">
        <v>0</v>
      </c>
      <c r="N37" t="n">
        <v>0</v>
      </c>
      <c r="O37" t="n">
        <v>6</v>
      </c>
      <c r="P37" t="n">
        <v>2</v>
      </c>
      <c r="Q37" t="n">
        <v>7</v>
      </c>
      <c r="R37" s="2" t="inlineStr">
        <is>
          <t>Garnlav
Knärot
Dropptaggsvamp
Orange taggsvamp
Talltita
Tretåig hackspett
Nästlav</t>
        </is>
      </c>
      <c r="S37">
        <f>HYPERLINK("https://klasma.github.io/Logging_2482/artfynd/A 28493-2026 artfynd.xlsx", "A 28493-2026")</f>
        <v/>
      </c>
      <c r="T37">
        <f>HYPERLINK("https://klasma.github.io/Logging_2482/kartor/A 28493-2026 karta.png", "A 28493-2026")</f>
        <v/>
      </c>
      <c r="U37">
        <f>HYPERLINK("https://klasma.github.io/Logging_2482/knärot/A 28493-2026 karta knärot.png", "A 28493-2026")</f>
        <v/>
      </c>
      <c r="V37">
        <f>HYPERLINK("https://klasma.github.io/Logging_2482/klagomål/A 28493-2026 FSC-klagomål.docx", "A 28493-2026")</f>
        <v/>
      </c>
      <c r="W37">
        <f>HYPERLINK("https://klasma.github.io/Logging_2482/klagomålsmail/A 28493-2026 FSC-klagomål mail.docx", "A 28493-2026")</f>
        <v/>
      </c>
      <c r="X37">
        <f>HYPERLINK("https://klasma.github.io/Logging_2482/tillsyn/A 28493-2026 tillsynsbegäran.docx", "A 28493-2026")</f>
        <v/>
      </c>
      <c r="Y37">
        <f>HYPERLINK("https://klasma.github.io/Logging_2482/tillsynsmail/A 28493-2026 tillsynsbegäran mail.docx", "A 28493-2026")</f>
        <v/>
      </c>
      <c r="Z37">
        <f>HYPERLINK("https://klasma.github.io/Logging_2482/fåglar/A 28493-2026 prioriterade fågelarter.docx", "A 28493-2026")</f>
        <v/>
      </c>
    </row>
    <row r="38" ht="15" customHeight="1">
      <c r="A38" t="inlineStr">
        <is>
          <t>A 11867-2022</t>
        </is>
      </c>
      <c r="B38" s="1" t="n">
        <v>44635</v>
      </c>
      <c r="C38" s="1" t="n">
        <v>46205</v>
      </c>
      <c r="D38" t="inlineStr">
        <is>
          <t>VÄSTERBOTTENS LÄN</t>
        </is>
      </c>
      <c r="E38" t="inlineStr">
        <is>
          <t>SKELLEFTEÅ</t>
        </is>
      </c>
      <c r="G38" t="n">
        <v>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6</v>
      </c>
      <c r="R38" s="2" t="inlineStr">
        <is>
          <t>Garnlav
Nordlig flatbagge
Kolflarnlav
Skrovlig flatbagge
Violettgrå tagellav
Spillkråka</t>
        </is>
      </c>
      <c r="S38">
        <f>HYPERLINK("https://klasma.github.io/Logging_2482/artfynd/A 11867-2022 artfynd.xlsx", "A 11867-2022")</f>
        <v/>
      </c>
      <c r="T38">
        <f>HYPERLINK("https://klasma.github.io/Logging_2482/kartor/A 11867-2022 karta.png", "A 11867-2022")</f>
        <v/>
      </c>
      <c r="V38">
        <f>HYPERLINK("https://klasma.github.io/Logging_2482/klagomål/A 11867-2022 FSC-klagomål.docx", "A 11867-2022")</f>
        <v/>
      </c>
      <c r="W38">
        <f>HYPERLINK("https://klasma.github.io/Logging_2482/klagomålsmail/A 11867-2022 FSC-klagomål mail.docx", "A 11867-2022")</f>
        <v/>
      </c>
      <c r="X38">
        <f>HYPERLINK("https://klasma.github.io/Logging_2482/tillsyn/A 11867-2022 tillsynsbegäran.docx", "A 11867-2022")</f>
        <v/>
      </c>
      <c r="Y38">
        <f>HYPERLINK("https://klasma.github.io/Logging_2482/tillsynsmail/A 11867-2022 tillsynsbegäran mail.docx", "A 11867-2022")</f>
        <v/>
      </c>
      <c r="Z38">
        <f>HYPERLINK("https://klasma.github.io/Logging_2482/fåglar/A 11867-2022 prioriterade fågelarter.docx", "A 11867-2022")</f>
        <v/>
      </c>
    </row>
    <row r="39" ht="15" customHeight="1">
      <c r="A39" t="inlineStr">
        <is>
          <t>A 62316-2023</t>
        </is>
      </c>
      <c r="B39" s="1" t="n">
        <v>45267</v>
      </c>
      <c r="C39" s="1" t="n">
        <v>46205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12.8</v>
      </c>
      <c r="H39" t="n">
        <v>2</v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6</v>
      </c>
      <c r="R39" s="2" t="inlineStr">
        <is>
          <t>Tretåig hackspett
Bronshjon
Myskbock
Stuplav
Vågbandad barkbock
Fläcknycklar</t>
        </is>
      </c>
      <c r="S39">
        <f>HYPERLINK("https://klasma.github.io/Logging_2482/artfynd/A 62316-2023 artfynd.xlsx", "A 62316-2023")</f>
        <v/>
      </c>
      <c r="T39">
        <f>HYPERLINK("https://klasma.github.io/Logging_2482/kartor/A 62316-2023 karta.png", "A 62316-2023")</f>
        <v/>
      </c>
      <c r="V39">
        <f>HYPERLINK("https://klasma.github.io/Logging_2482/klagomål/A 62316-2023 FSC-klagomål.docx", "A 62316-2023")</f>
        <v/>
      </c>
      <c r="W39">
        <f>HYPERLINK("https://klasma.github.io/Logging_2482/klagomålsmail/A 62316-2023 FSC-klagomål mail.docx", "A 62316-2023")</f>
        <v/>
      </c>
      <c r="X39">
        <f>HYPERLINK("https://klasma.github.io/Logging_2482/tillsyn/A 62316-2023 tillsynsbegäran.docx", "A 62316-2023")</f>
        <v/>
      </c>
      <c r="Y39">
        <f>HYPERLINK("https://klasma.github.io/Logging_2482/tillsynsmail/A 62316-2023 tillsynsbegäran mail.docx", "A 62316-2023")</f>
        <v/>
      </c>
      <c r="Z39">
        <f>HYPERLINK("https://klasma.github.io/Logging_2482/fåglar/A 62316-2023 prioriterade fågelarter.docx", "A 62316-2023")</f>
        <v/>
      </c>
    </row>
    <row r="40" ht="15" customHeight="1">
      <c r="A40" t="inlineStr">
        <is>
          <t>A 57409-2021</t>
        </is>
      </c>
      <c r="B40" s="1" t="n">
        <v>44483</v>
      </c>
      <c r="C40" s="1" t="n">
        <v>46205</v>
      </c>
      <c r="D40" t="inlineStr">
        <is>
          <t>VÄSTERBOTTENS LÄN</t>
        </is>
      </c>
      <c r="E40" t="inlineStr">
        <is>
          <t>SKELLEFTEÅ</t>
        </is>
      </c>
      <c r="G40" t="n">
        <v>20.3</v>
      </c>
      <c r="H40" t="n">
        <v>1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6</v>
      </c>
      <c r="R40" s="2" t="inlineStr">
        <is>
          <t>Garnlav
Gammelgransskål
Harticka
Tretåig hackspett
Ullticka
Vedticka</t>
        </is>
      </c>
      <c r="S40">
        <f>HYPERLINK("https://klasma.github.io/Logging_2482/artfynd/A 57409-2021 artfynd.xlsx", "A 57409-2021")</f>
        <v/>
      </c>
      <c r="T40">
        <f>HYPERLINK("https://klasma.github.io/Logging_2482/kartor/A 57409-2021 karta.png", "A 57409-2021")</f>
        <v/>
      </c>
      <c r="V40">
        <f>HYPERLINK("https://klasma.github.io/Logging_2482/klagomål/A 57409-2021 FSC-klagomål.docx", "A 57409-2021")</f>
        <v/>
      </c>
      <c r="W40">
        <f>HYPERLINK("https://klasma.github.io/Logging_2482/klagomålsmail/A 57409-2021 FSC-klagomål mail.docx", "A 57409-2021")</f>
        <v/>
      </c>
      <c r="X40">
        <f>HYPERLINK("https://klasma.github.io/Logging_2482/tillsyn/A 57409-2021 tillsynsbegäran.docx", "A 57409-2021")</f>
        <v/>
      </c>
      <c r="Y40">
        <f>HYPERLINK("https://klasma.github.io/Logging_2482/tillsynsmail/A 57409-2021 tillsynsbegäran mail.docx", "A 57409-2021")</f>
        <v/>
      </c>
      <c r="Z40">
        <f>HYPERLINK("https://klasma.github.io/Logging_2482/fåglar/A 57409-2021 prioriterade fågelarter.docx", "A 57409-2021")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46205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0</v>
      </c>
      <c r="J41" t="n">
        <v>6</v>
      </c>
      <c r="K41" t="n">
        <v>0</v>
      </c>
      <c r="L41" t="n">
        <v>0</v>
      </c>
      <c r="M41" t="n">
        <v>0</v>
      </c>
      <c r="N41" t="n">
        <v>0</v>
      </c>
      <c r="O41" t="n">
        <v>6</v>
      </c>
      <c r="P41" t="n">
        <v>0</v>
      </c>
      <c r="Q41" t="n">
        <v>6</v>
      </c>
      <c r="R41" s="2" t="inlineStr">
        <is>
          <t>Apelsinticka
Dropptaggsvamp
Motaggsvamp
Mörk kolflarnlav
Vaddporing
Vitplätt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62346-2023</t>
        </is>
      </c>
      <c r="B42" s="1" t="n">
        <v>45267</v>
      </c>
      <c r="C42" s="1" t="n">
        <v>46205</v>
      </c>
      <c r="D42" t="inlineStr">
        <is>
          <t>VÄSTERBOTTENS LÄN</t>
        </is>
      </c>
      <c r="E42" t="inlineStr">
        <is>
          <t>SKELLEFTEÅ</t>
        </is>
      </c>
      <c r="G42" t="n">
        <v>5.1</v>
      </c>
      <c r="H42" t="n">
        <v>3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Garnlav
Talltita
Tretåig hackspett
Ullticka
Violettgrå tagellav
Spindelblomster</t>
        </is>
      </c>
      <c r="S42">
        <f>HYPERLINK("https://klasma.github.io/Logging_2482/artfynd/A 62346-2023 artfynd.xlsx", "A 62346-2023")</f>
        <v/>
      </c>
      <c r="T42">
        <f>HYPERLINK("https://klasma.github.io/Logging_2482/kartor/A 62346-2023 karta.png", "A 62346-2023")</f>
        <v/>
      </c>
      <c r="V42">
        <f>HYPERLINK("https://klasma.github.io/Logging_2482/klagomål/A 62346-2023 FSC-klagomål.docx", "A 62346-2023")</f>
        <v/>
      </c>
      <c r="W42">
        <f>HYPERLINK("https://klasma.github.io/Logging_2482/klagomålsmail/A 62346-2023 FSC-klagomål mail.docx", "A 62346-2023")</f>
        <v/>
      </c>
      <c r="X42">
        <f>HYPERLINK("https://klasma.github.io/Logging_2482/tillsyn/A 62346-2023 tillsynsbegäran.docx", "A 62346-2023")</f>
        <v/>
      </c>
      <c r="Y42">
        <f>HYPERLINK("https://klasma.github.io/Logging_2482/tillsynsmail/A 62346-2023 tillsynsbegäran mail.docx", "A 62346-2023")</f>
        <v/>
      </c>
      <c r="Z42">
        <f>HYPERLINK("https://klasma.github.io/Logging_2482/fåglar/A 62346-2023 prioriterade fågelarter.docx", "A 62346-2023")</f>
        <v/>
      </c>
    </row>
    <row r="43" ht="15" customHeight="1">
      <c r="A43" t="inlineStr">
        <is>
          <t>A 39114-2025</t>
        </is>
      </c>
      <c r="B43" s="1" t="n">
        <v>45888</v>
      </c>
      <c r="C43" s="1" t="n">
        <v>46205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Holmen skog AB</t>
        </is>
      </c>
      <c r="G43" t="n">
        <v>2.9</v>
      </c>
      <c r="H43" t="n">
        <v>2</v>
      </c>
      <c r="I43" t="n">
        <v>1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6</v>
      </c>
      <c r="R43" s="2" t="inlineStr">
        <is>
          <t>Garnlav
Lavskrika
Rynkskinn
Tretåig hackspett
Ullticka
Vedticka</t>
        </is>
      </c>
      <c r="S43">
        <f>HYPERLINK("https://klasma.github.io/Logging_2482/artfynd/A 39114-2025 artfynd.xlsx", "A 39114-2025")</f>
        <v/>
      </c>
      <c r="T43">
        <f>HYPERLINK("https://klasma.github.io/Logging_2482/kartor/A 39114-2025 karta.png", "A 39114-2025")</f>
        <v/>
      </c>
      <c r="V43">
        <f>HYPERLINK("https://klasma.github.io/Logging_2482/klagomål/A 39114-2025 FSC-klagomål.docx", "A 39114-2025")</f>
        <v/>
      </c>
      <c r="W43">
        <f>HYPERLINK("https://klasma.github.io/Logging_2482/klagomålsmail/A 39114-2025 FSC-klagomål mail.docx", "A 39114-2025")</f>
        <v/>
      </c>
      <c r="X43">
        <f>HYPERLINK("https://klasma.github.io/Logging_2482/tillsyn/A 39114-2025 tillsynsbegäran.docx", "A 39114-2025")</f>
        <v/>
      </c>
      <c r="Y43">
        <f>HYPERLINK("https://klasma.github.io/Logging_2482/tillsynsmail/A 39114-2025 tillsynsbegäran mail.docx", "A 39114-2025")</f>
        <v/>
      </c>
      <c r="Z43">
        <f>HYPERLINK("https://klasma.github.io/Logging_2482/fåglar/A 39114-2025 prioriterade fågelarter.docx", "A 39114-2025")</f>
        <v/>
      </c>
    </row>
    <row r="44" ht="15" customHeight="1">
      <c r="A44" t="inlineStr">
        <is>
          <t>A 13467-2024</t>
        </is>
      </c>
      <c r="B44" s="1" t="n">
        <v>45387</v>
      </c>
      <c r="C44" s="1" t="n">
        <v>46205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3.1</v>
      </c>
      <c r="H44" t="n">
        <v>3</v>
      </c>
      <c r="I44" t="n">
        <v>0</v>
      </c>
      <c r="J44" t="n">
        <v>4</v>
      </c>
      <c r="K44" t="n">
        <v>2</v>
      </c>
      <c r="L44" t="n">
        <v>0</v>
      </c>
      <c r="M44" t="n">
        <v>0</v>
      </c>
      <c r="N44" t="n">
        <v>0</v>
      </c>
      <c r="O44" t="n">
        <v>6</v>
      </c>
      <c r="P44" t="n">
        <v>2</v>
      </c>
      <c r="Q44" t="n">
        <v>6</v>
      </c>
      <c r="R44" s="2" t="inlineStr">
        <is>
          <t>Garnlav
Knärot
Lavskrika
Orange taggsvamp
Talltita
Äggvaxskivling</t>
        </is>
      </c>
      <c r="S44">
        <f>HYPERLINK("https://klasma.github.io/Logging_2482/artfynd/A 13467-2024 artfynd.xlsx", "A 13467-2024")</f>
        <v/>
      </c>
      <c r="T44">
        <f>HYPERLINK("https://klasma.github.io/Logging_2482/kartor/A 13467-2024 karta.png", "A 13467-2024")</f>
        <v/>
      </c>
      <c r="U44">
        <f>HYPERLINK("https://klasma.github.io/Logging_2482/knärot/A 13467-2024 karta knärot.png", "A 13467-2024")</f>
        <v/>
      </c>
      <c r="V44">
        <f>HYPERLINK("https://klasma.github.io/Logging_2482/klagomål/A 13467-2024 FSC-klagomål.docx", "A 13467-2024")</f>
        <v/>
      </c>
      <c r="W44">
        <f>HYPERLINK("https://klasma.github.io/Logging_2482/klagomålsmail/A 13467-2024 FSC-klagomål mail.docx", "A 13467-2024")</f>
        <v/>
      </c>
      <c r="X44">
        <f>HYPERLINK("https://klasma.github.io/Logging_2482/tillsyn/A 13467-2024 tillsynsbegäran.docx", "A 13467-2024")</f>
        <v/>
      </c>
      <c r="Y44">
        <f>HYPERLINK("https://klasma.github.io/Logging_2482/tillsynsmail/A 13467-2024 tillsynsbegäran mail.docx", "A 13467-2024")</f>
        <v/>
      </c>
      <c r="Z44">
        <f>HYPERLINK("https://klasma.github.io/Logging_2482/fåglar/A 13467-2024 prioriterade fågelarter.docx", "A 13467-2024")</f>
        <v/>
      </c>
    </row>
    <row r="45" ht="15" customHeight="1">
      <c r="A45" t="inlineStr">
        <is>
          <t>A 32739-2025</t>
        </is>
      </c>
      <c r="B45" s="1" t="n">
        <v>45839</v>
      </c>
      <c r="C45" s="1" t="n">
        <v>46205</v>
      </c>
      <c r="D45" t="inlineStr">
        <is>
          <t>VÄSTERBOTTENS LÄN</t>
        </is>
      </c>
      <c r="E45" t="inlineStr">
        <is>
          <t>SKELLEFTEÅ</t>
        </is>
      </c>
      <c r="G45" t="n">
        <v>3.5</v>
      </c>
      <c r="H45" t="n">
        <v>3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Talltita
Ullticka
Späd brosklav
Grönpyrola
Spillkråka</t>
        </is>
      </c>
      <c r="S45">
        <f>HYPERLINK("https://klasma.github.io/Logging_2482/artfynd/A 32739-2025 artfynd.xlsx", "A 32739-2025")</f>
        <v/>
      </c>
      <c r="T45">
        <f>HYPERLINK("https://klasma.github.io/Logging_2482/kartor/A 32739-2025 karta.png", "A 32739-2025")</f>
        <v/>
      </c>
      <c r="U45">
        <f>HYPERLINK("https://klasma.github.io/Logging_2482/knärot/A 32739-2025 karta knärot.png", "A 32739-2025")</f>
        <v/>
      </c>
      <c r="V45">
        <f>HYPERLINK("https://klasma.github.io/Logging_2482/klagomål/A 32739-2025 FSC-klagomål.docx", "A 32739-2025")</f>
        <v/>
      </c>
      <c r="W45">
        <f>HYPERLINK("https://klasma.github.io/Logging_2482/klagomålsmail/A 32739-2025 FSC-klagomål mail.docx", "A 32739-2025")</f>
        <v/>
      </c>
      <c r="X45">
        <f>HYPERLINK("https://klasma.github.io/Logging_2482/tillsyn/A 32739-2025 tillsynsbegäran.docx", "A 32739-2025")</f>
        <v/>
      </c>
      <c r="Y45">
        <f>HYPERLINK("https://klasma.github.io/Logging_2482/tillsynsmail/A 32739-2025 tillsynsbegäran mail.docx", "A 32739-2025")</f>
        <v/>
      </c>
      <c r="Z45">
        <f>HYPERLINK("https://klasma.github.io/Logging_2482/fåglar/A 32739-2025 prioriterade fågelarter.docx", "A 32739-2025")</f>
        <v/>
      </c>
    </row>
    <row r="46" ht="15" customHeight="1">
      <c r="A46" t="inlineStr">
        <is>
          <t>A 26646-2026</t>
        </is>
      </c>
      <c r="B46" s="1" t="n">
        <v>46184</v>
      </c>
      <c r="C46" s="1" t="n">
        <v>46205</v>
      </c>
      <c r="D46" t="inlineStr">
        <is>
          <t>VÄSTERBOTTENS LÄN</t>
        </is>
      </c>
      <c r="E46" t="inlineStr">
        <is>
          <t>SKELLEFTEÅ</t>
        </is>
      </c>
      <c r="G46" t="n">
        <v>5.7</v>
      </c>
      <c r="H46" t="n">
        <v>3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Garnlav
Tretåig hackspett
Ullticka
Björksplintborre
Järpe
Orre</t>
        </is>
      </c>
      <c r="S46">
        <f>HYPERLINK("https://klasma.github.io/Logging_2482/artfynd/A 26646-2026 artfynd.xlsx", "A 26646-2026")</f>
        <v/>
      </c>
      <c r="T46">
        <f>HYPERLINK("https://klasma.github.io/Logging_2482/kartor/A 26646-2026 karta.png", "A 26646-2026")</f>
        <v/>
      </c>
      <c r="V46">
        <f>HYPERLINK("https://klasma.github.io/Logging_2482/klagomål/A 26646-2026 FSC-klagomål.docx", "A 26646-2026")</f>
        <v/>
      </c>
      <c r="W46">
        <f>HYPERLINK("https://klasma.github.io/Logging_2482/klagomålsmail/A 26646-2026 FSC-klagomål mail.docx", "A 26646-2026")</f>
        <v/>
      </c>
      <c r="X46">
        <f>HYPERLINK("https://klasma.github.io/Logging_2482/tillsyn/A 26646-2026 tillsynsbegäran.docx", "A 26646-2026")</f>
        <v/>
      </c>
      <c r="Y46">
        <f>HYPERLINK("https://klasma.github.io/Logging_2482/tillsynsmail/A 26646-2026 tillsynsbegäran mail.docx", "A 26646-2026")</f>
        <v/>
      </c>
      <c r="Z46">
        <f>HYPERLINK("https://klasma.github.io/Logging_2482/fåglar/A 26646-2026 prioriterade fågelarter.docx", "A 26646-2026")</f>
        <v/>
      </c>
    </row>
    <row r="47" ht="15" customHeight="1">
      <c r="A47" t="inlineStr">
        <is>
          <t>A 14285-2026</t>
        </is>
      </c>
      <c r="B47" s="1" t="n">
        <v>46099</v>
      </c>
      <c r="C47" s="1" t="n">
        <v>46205</v>
      </c>
      <c r="D47" t="inlineStr">
        <is>
          <t>VÄSTERBOTTENS LÄN</t>
        </is>
      </c>
      <c r="E47" t="inlineStr">
        <is>
          <t>SKELLEFTEÅ</t>
        </is>
      </c>
      <c r="G47" t="n">
        <v>2.7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Garnlav
Tretåig hackspett
Ullticka
Nästlav
Vedticka
Spillkråka</t>
        </is>
      </c>
      <c r="S47">
        <f>HYPERLINK("https://klasma.github.io/Logging_2482/artfynd/A 14285-2026 artfynd.xlsx", "A 14285-2026")</f>
        <v/>
      </c>
      <c r="T47">
        <f>HYPERLINK("https://klasma.github.io/Logging_2482/kartor/A 14285-2026 karta.png", "A 14285-2026")</f>
        <v/>
      </c>
      <c r="V47">
        <f>HYPERLINK("https://klasma.github.io/Logging_2482/klagomål/A 14285-2026 FSC-klagomål.docx", "A 14285-2026")</f>
        <v/>
      </c>
      <c r="W47">
        <f>HYPERLINK("https://klasma.github.io/Logging_2482/klagomålsmail/A 14285-2026 FSC-klagomål mail.docx", "A 14285-2026")</f>
        <v/>
      </c>
      <c r="X47">
        <f>HYPERLINK("https://klasma.github.io/Logging_2482/tillsyn/A 14285-2026 tillsynsbegäran.docx", "A 14285-2026")</f>
        <v/>
      </c>
      <c r="Y47">
        <f>HYPERLINK("https://klasma.github.io/Logging_2482/tillsynsmail/A 14285-2026 tillsynsbegäran mail.docx", "A 14285-2026")</f>
        <v/>
      </c>
      <c r="Z47">
        <f>HYPERLINK("https://klasma.github.io/Logging_2482/fåglar/A 14285-2026 prioriterade fågelarter.docx", "A 14285-2026")</f>
        <v/>
      </c>
    </row>
    <row r="48" ht="15" customHeight="1">
      <c r="A48" t="inlineStr">
        <is>
          <t>A 40414-2025</t>
        </is>
      </c>
      <c r="B48" s="1" t="n">
        <v>45895</v>
      </c>
      <c r="C48" s="1" t="n">
        <v>46205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5.1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Garnlav
Gammelgransskål
Tallticka
Tretåig hackspett
Ullticka</t>
        </is>
      </c>
      <c r="S48">
        <f>HYPERLINK("https://klasma.github.io/Logging_2482/artfynd/A 40414-2025 artfynd.xlsx", "A 40414-2025")</f>
        <v/>
      </c>
      <c r="T48">
        <f>HYPERLINK("https://klasma.github.io/Logging_2482/kartor/A 40414-2025 karta.png", "A 40414-2025")</f>
        <v/>
      </c>
      <c r="V48">
        <f>HYPERLINK("https://klasma.github.io/Logging_2482/klagomål/A 40414-2025 FSC-klagomål.docx", "A 40414-2025")</f>
        <v/>
      </c>
      <c r="W48">
        <f>HYPERLINK("https://klasma.github.io/Logging_2482/klagomålsmail/A 40414-2025 FSC-klagomål mail.docx", "A 40414-2025")</f>
        <v/>
      </c>
      <c r="X48">
        <f>HYPERLINK("https://klasma.github.io/Logging_2482/tillsyn/A 40414-2025 tillsynsbegäran.docx", "A 40414-2025")</f>
        <v/>
      </c>
      <c r="Y48">
        <f>HYPERLINK("https://klasma.github.io/Logging_2482/tillsynsmail/A 40414-2025 tillsynsbegäran mail.docx", "A 40414-2025")</f>
        <v/>
      </c>
      <c r="Z48">
        <f>HYPERLINK("https://klasma.github.io/Logging_2482/fåglar/A 40414-2025 prioriterade fågelarter.docx", "A 40414-2025")</f>
        <v/>
      </c>
    </row>
    <row r="49" ht="15" customHeight="1">
      <c r="A49" t="inlineStr">
        <is>
          <t>A 33530-2024</t>
        </is>
      </c>
      <c r="B49" s="1" t="n">
        <v>45519</v>
      </c>
      <c r="C49" s="1" t="n">
        <v>46205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5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Talltita
Korallrot
Spillkråka
Vanlig groda
Fläcknycklar</t>
        </is>
      </c>
      <c r="S49">
        <f>HYPERLINK("https://klasma.github.io/Logging_2482/artfynd/A 33530-2024 artfynd.xlsx", "A 33530-2024")</f>
        <v/>
      </c>
      <c r="T49">
        <f>HYPERLINK("https://klasma.github.io/Logging_2482/kartor/A 33530-2024 karta.png", "A 33530-2024")</f>
        <v/>
      </c>
      <c r="V49">
        <f>HYPERLINK("https://klasma.github.io/Logging_2482/klagomål/A 33530-2024 FSC-klagomål.docx", "A 33530-2024")</f>
        <v/>
      </c>
      <c r="W49">
        <f>HYPERLINK("https://klasma.github.io/Logging_2482/klagomålsmail/A 33530-2024 FSC-klagomål mail.docx", "A 33530-2024")</f>
        <v/>
      </c>
      <c r="X49">
        <f>HYPERLINK("https://klasma.github.io/Logging_2482/tillsyn/A 33530-2024 tillsynsbegäran.docx", "A 33530-2024")</f>
        <v/>
      </c>
      <c r="Y49">
        <f>HYPERLINK("https://klasma.github.io/Logging_2482/tillsynsmail/A 33530-2024 tillsynsbegäran mail.docx", "A 33530-2024")</f>
        <v/>
      </c>
      <c r="Z49">
        <f>HYPERLINK("https://klasma.github.io/Logging_2482/fåglar/A 33530-2024 prioriterade fågelarter.docx", "A 33530-2024")</f>
        <v/>
      </c>
    </row>
    <row r="50" ht="15" customHeight="1">
      <c r="A50" t="inlineStr">
        <is>
          <t>A 45210-2025</t>
        </is>
      </c>
      <c r="B50" s="1" t="n">
        <v>45919</v>
      </c>
      <c r="C50" s="1" t="n">
        <v>46205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38.1</v>
      </c>
      <c r="H50" t="n">
        <v>1</v>
      </c>
      <c r="I50" t="n">
        <v>0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Smalfotad taggsvamp
Blå taggsvamp
Dropptaggsvamp
Vedskivlav
Tjäder</t>
        </is>
      </c>
      <c r="S50">
        <f>HYPERLINK("https://klasma.github.io/Logging_2482/artfynd/A 45210-2025 artfynd.xlsx", "A 45210-2025")</f>
        <v/>
      </c>
      <c r="T50">
        <f>HYPERLINK("https://klasma.github.io/Logging_2482/kartor/A 45210-2025 karta.png", "A 45210-2025")</f>
        <v/>
      </c>
      <c r="V50">
        <f>HYPERLINK("https://klasma.github.io/Logging_2482/klagomål/A 45210-2025 FSC-klagomål.docx", "A 45210-2025")</f>
        <v/>
      </c>
      <c r="W50">
        <f>HYPERLINK("https://klasma.github.io/Logging_2482/klagomålsmail/A 45210-2025 FSC-klagomål mail.docx", "A 45210-2025")</f>
        <v/>
      </c>
      <c r="X50">
        <f>HYPERLINK("https://klasma.github.io/Logging_2482/tillsyn/A 45210-2025 tillsynsbegäran.docx", "A 45210-2025")</f>
        <v/>
      </c>
      <c r="Y50">
        <f>HYPERLINK("https://klasma.github.io/Logging_2482/tillsynsmail/A 45210-2025 tillsynsbegäran mail.docx", "A 45210-2025")</f>
        <v/>
      </c>
      <c r="Z50">
        <f>HYPERLINK("https://klasma.github.io/Logging_2482/fåglar/A 45210-2025 prioriterade fågelarter.docx", "A 45210-2025")</f>
        <v/>
      </c>
    </row>
    <row r="51" ht="15" customHeight="1">
      <c r="A51" t="inlineStr">
        <is>
          <t>A 35761-2025</t>
        </is>
      </c>
      <c r="B51" s="1" t="n">
        <v>45860</v>
      </c>
      <c r="C51" s="1" t="n">
        <v>46205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8.9</v>
      </c>
      <c r="H51" t="n">
        <v>1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Garnlav
Gammelgransskål
Lunglav
Luddlav
Spindelblomster</t>
        </is>
      </c>
      <c r="S51">
        <f>HYPERLINK("https://klasma.github.io/Logging_2482/artfynd/A 35761-2025 artfynd.xlsx", "A 35761-2025")</f>
        <v/>
      </c>
      <c r="T51">
        <f>HYPERLINK("https://klasma.github.io/Logging_2482/kartor/A 35761-2025 karta.png", "A 35761-2025")</f>
        <v/>
      </c>
      <c r="V51">
        <f>HYPERLINK("https://klasma.github.io/Logging_2482/klagomål/A 35761-2025 FSC-klagomål.docx", "A 35761-2025")</f>
        <v/>
      </c>
      <c r="W51">
        <f>HYPERLINK("https://klasma.github.io/Logging_2482/klagomålsmail/A 35761-2025 FSC-klagomål mail.docx", "A 35761-2025")</f>
        <v/>
      </c>
      <c r="X51">
        <f>HYPERLINK("https://klasma.github.io/Logging_2482/tillsyn/A 35761-2025 tillsynsbegäran.docx", "A 35761-2025")</f>
        <v/>
      </c>
      <c r="Y51">
        <f>HYPERLINK("https://klasma.github.io/Logging_2482/tillsynsmail/A 35761-2025 tillsynsbegäran mail.docx", "A 35761-2025")</f>
        <v/>
      </c>
    </row>
    <row r="52" ht="15" customHeight="1">
      <c r="A52" t="inlineStr">
        <is>
          <t>A 56435-2023</t>
        </is>
      </c>
      <c r="B52" s="1" t="n">
        <v>45243</v>
      </c>
      <c r="C52" s="1" t="n">
        <v>46205</v>
      </c>
      <c r="D52" t="inlineStr">
        <is>
          <t>VÄSTERBOTTENS LÄN</t>
        </is>
      </c>
      <c r="E52" t="inlineStr">
        <is>
          <t>SKELLEFTEÅ</t>
        </is>
      </c>
      <c r="G52" t="n">
        <v>4.1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Lunglav
Ullticka
Violettgrå tagellav
Stuplav
Spillkråka</t>
        </is>
      </c>
      <c r="S52">
        <f>HYPERLINK("https://klasma.github.io/Logging_2482/artfynd/A 56435-2023 artfynd.xlsx", "A 56435-2023")</f>
        <v/>
      </c>
      <c r="T52">
        <f>HYPERLINK("https://klasma.github.io/Logging_2482/kartor/A 56435-2023 karta.png", "A 56435-2023")</f>
        <v/>
      </c>
      <c r="V52">
        <f>HYPERLINK("https://klasma.github.io/Logging_2482/klagomål/A 56435-2023 FSC-klagomål.docx", "A 56435-2023")</f>
        <v/>
      </c>
      <c r="W52">
        <f>HYPERLINK("https://klasma.github.io/Logging_2482/klagomålsmail/A 56435-2023 FSC-klagomål mail.docx", "A 56435-2023")</f>
        <v/>
      </c>
      <c r="X52">
        <f>HYPERLINK("https://klasma.github.io/Logging_2482/tillsyn/A 56435-2023 tillsynsbegäran.docx", "A 56435-2023")</f>
        <v/>
      </c>
      <c r="Y52">
        <f>HYPERLINK("https://klasma.github.io/Logging_2482/tillsynsmail/A 56435-2023 tillsynsbegäran mail.docx", "A 56435-2023")</f>
        <v/>
      </c>
      <c r="Z52">
        <f>HYPERLINK("https://klasma.github.io/Logging_2482/fåglar/A 56435-2023 prioriterade fågelarter.docx", "A 56435-2023")</f>
        <v/>
      </c>
    </row>
    <row r="53" ht="15" customHeight="1">
      <c r="A53" t="inlineStr">
        <is>
          <t>A 902-2023</t>
        </is>
      </c>
      <c r="B53" s="1" t="n">
        <v>44931</v>
      </c>
      <c r="C53" s="1" t="n">
        <v>46205</v>
      </c>
      <c r="D53" t="inlineStr">
        <is>
          <t>VÄSTERBOTTENS LÄN</t>
        </is>
      </c>
      <c r="E53" t="inlineStr">
        <is>
          <t>SKELLEFTEÅ</t>
        </is>
      </c>
      <c r="G53" t="n">
        <v>7.4</v>
      </c>
      <c r="H53" t="n">
        <v>2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Garnlav
Lunglav
Luddlav
Tjäder
Orre</t>
        </is>
      </c>
      <c r="S53">
        <f>HYPERLINK("https://klasma.github.io/Logging_2482/artfynd/A 902-2023 artfynd.xlsx", "A 902-2023")</f>
        <v/>
      </c>
      <c r="T53">
        <f>HYPERLINK("https://klasma.github.io/Logging_2482/kartor/A 902-2023 karta.png", "A 902-2023")</f>
        <v/>
      </c>
      <c r="V53">
        <f>HYPERLINK("https://klasma.github.io/Logging_2482/klagomål/A 902-2023 FSC-klagomål.docx", "A 902-2023")</f>
        <v/>
      </c>
      <c r="W53">
        <f>HYPERLINK("https://klasma.github.io/Logging_2482/klagomålsmail/A 902-2023 FSC-klagomål mail.docx", "A 902-2023")</f>
        <v/>
      </c>
      <c r="X53">
        <f>HYPERLINK("https://klasma.github.io/Logging_2482/tillsyn/A 902-2023 tillsynsbegäran.docx", "A 902-2023")</f>
        <v/>
      </c>
      <c r="Y53">
        <f>HYPERLINK("https://klasma.github.io/Logging_2482/tillsynsmail/A 902-2023 tillsynsbegäran mail.docx", "A 902-2023")</f>
        <v/>
      </c>
      <c r="Z53">
        <f>HYPERLINK("https://klasma.github.io/Logging_2482/fåglar/A 902-2023 prioriterade fågelarter.docx", "A 902-2023")</f>
        <v/>
      </c>
    </row>
    <row r="54" ht="15" customHeight="1">
      <c r="A54" t="inlineStr">
        <is>
          <t>A 63687-2025</t>
        </is>
      </c>
      <c r="B54" s="1" t="n">
        <v>46014</v>
      </c>
      <c r="C54" s="1" t="n">
        <v>46205</v>
      </c>
      <c r="D54" t="inlineStr">
        <is>
          <t>VÄSTERBOTTENS LÄN</t>
        </is>
      </c>
      <c r="E54" t="inlineStr">
        <is>
          <t>SKELLEFTEÅ</t>
        </is>
      </c>
      <c r="G54" t="n">
        <v>1.7</v>
      </c>
      <c r="H54" t="n">
        <v>3</v>
      </c>
      <c r="I54" t="n">
        <v>1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5</v>
      </c>
      <c r="R54" s="2" t="inlineStr">
        <is>
          <t>Garnlav
Knärot
Tretåig hackspett
Bronshjon
Spillkråka</t>
        </is>
      </c>
      <c r="S54">
        <f>HYPERLINK("https://klasma.github.io/Logging_2482/artfynd/A 63687-2025 artfynd.xlsx", "A 63687-2025")</f>
        <v/>
      </c>
      <c r="T54">
        <f>HYPERLINK("https://klasma.github.io/Logging_2482/kartor/A 63687-2025 karta.png", "A 63687-2025")</f>
        <v/>
      </c>
      <c r="U54">
        <f>HYPERLINK("https://klasma.github.io/Logging_2482/knärot/A 63687-2025 karta knärot.png", "A 63687-2025")</f>
        <v/>
      </c>
      <c r="V54">
        <f>HYPERLINK("https://klasma.github.io/Logging_2482/klagomål/A 63687-2025 FSC-klagomål.docx", "A 63687-2025")</f>
        <v/>
      </c>
      <c r="W54">
        <f>HYPERLINK("https://klasma.github.io/Logging_2482/klagomålsmail/A 63687-2025 FSC-klagomål mail.docx", "A 63687-2025")</f>
        <v/>
      </c>
      <c r="X54">
        <f>HYPERLINK("https://klasma.github.io/Logging_2482/tillsyn/A 63687-2025 tillsynsbegäran.docx", "A 63687-2025")</f>
        <v/>
      </c>
      <c r="Y54">
        <f>HYPERLINK("https://klasma.github.io/Logging_2482/tillsynsmail/A 63687-2025 tillsynsbegäran mail.docx", "A 63687-2025")</f>
        <v/>
      </c>
      <c r="Z54">
        <f>HYPERLINK("https://klasma.github.io/Logging_2482/fåglar/A 63687-2025 prioriterade fågelarter.docx", "A 63687-2025")</f>
        <v/>
      </c>
    </row>
    <row r="55" ht="15" customHeight="1">
      <c r="A55" t="inlineStr">
        <is>
          <t>A 57738-2021</t>
        </is>
      </c>
      <c r="B55" s="1" t="n">
        <v>44484</v>
      </c>
      <c r="C55" s="1" t="n">
        <v>46205</v>
      </c>
      <c r="D55" t="inlineStr">
        <is>
          <t>VÄSTERBOTTENS LÄN</t>
        </is>
      </c>
      <c r="E55" t="inlineStr">
        <is>
          <t>SKELLEFTEÅ</t>
        </is>
      </c>
      <c r="G55" t="n">
        <v>11.4</v>
      </c>
      <c r="H55" t="n">
        <v>3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Doftskinn
Talltita
Nästlav
Tjäder
Fläcknycklar</t>
        </is>
      </c>
      <c r="S55">
        <f>HYPERLINK("https://klasma.github.io/Logging_2482/artfynd/A 57738-2021 artfynd.xlsx", "A 57738-2021")</f>
        <v/>
      </c>
      <c r="T55">
        <f>HYPERLINK("https://klasma.github.io/Logging_2482/kartor/A 57738-2021 karta.png", "A 57738-2021")</f>
        <v/>
      </c>
      <c r="V55">
        <f>HYPERLINK("https://klasma.github.io/Logging_2482/klagomål/A 57738-2021 FSC-klagomål.docx", "A 57738-2021")</f>
        <v/>
      </c>
      <c r="W55">
        <f>HYPERLINK("https://klasma.github.io/Logging_2482/klagomålsmail/A 57738-2021 FSC-klagomål mail.docx", "A 57738-2021")</f>
        <v/>
      </c>
      <c r="X55">
        <f>HYPERLINK("https://klasma.github.io/Logging_2482/tillsyn/A 57738-2021 tillsynsbegäran.docx", "A 57738-2021")</f>
        <v/>
      </c>
      <c r="Y55">
        <f>HYPERLINK("https://klasma.github.io/Logging_2482/tillsynsmail/A 57738-2021 tillsynsbegäran mail.docx", "A 57738-2021")</f>
        <v/>
      </c>
      <c r="Z55">
        <f>HYPERLINK("https://klasma.github.io/Logging_2482/fåglar/A 57738-2021 prioriterade fågelarter.docx", "A 57738-2021")</f>
        <v/>
      </c>
    </row>
    <row r="56" ht="15" customHeight="1">
      <c r="A56" t="inlineStr">
        <is>
          <t>A 53423-2024</t>
        </is>
      </c>
      <c r="B56" s="1" t="n">
        <v>45614</v>
      </c>
      <c r="C56" s="1" t="n">
        <v>46205</v>
      </c>
      <c r="D56" t="inlineStr">
        <is>
          <t>VÄSTERBOTTENS LÄN</t>
        </is>
      </c>
      <c r="E56" t="inlineStr">
        <is>
          <t>SKELLEFTEÅ</t>
        </is>
      </c>
      <c r="G56" t="n">
        <v>3.5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Garnlav
Blanksvart spiklav
Blå taggsvamp
Mörkhövdad spiklav
Spillkråka</t>
        </is>
      </c>
      <c r="S56">
        <f>HYPERLINK("https://klasma.github.io/Logging_2482/artfynd/A 53423-2024 artfynd.xlsx", "A 53423-2024")</f>
        <v/>
      </c>
      <c r="T56">
        <f>HYPERLINK("https://klasma.github.io/Logging_2482/kartor/A 53423-2024 karta.png", "A 53423-2024")</f>
        <v/>
      </c>
      <c r="V56">
        <f>HYPERLINK("https://klasma.github.io/Logging_2482/klagomål/A 53423-2024 FSC-klagomål.docx", "A 53423-2024")</f>
        <v/>
      </c>
      <c r="W56">
        <f>HYPERLINK("https://klasma.github.io/Logging_2482/klagomålsmail/A 53423-2024 FSC-klagomål mail.docx", "A 53423-2024")</f>
        <v/>
      </c>
      <c r="X56">
        <f>HYPERLINK("https://klasma.github.io/Logging_2482/tillsyn/A 53423-2024 tillsynsbegäran.docx", "A 53423-2024")</f>
        <v/>
      </c>
      <c r="Y56">
        <f>HYPERLINK("https://klasma.github.io/Logging_2482/tillsynsmail/A 53423-2024 tillsynsbegäran mail.docx", "A 53423-2024")</f>
        <v/>
      </c>
      <c r="Z56">
        <f>HYPERLINK("https://klasma.github.io/Logging_2482/fåglar/A 53423-2024 prioriterade fågelarter.docx", "A 53423-2024")</f>
        <v/>
      </c>
    </row>
    <row r="57" ht="15" customHeight="1">
      <c r="A57" t="inlineStr">
        <is>
          <t>A 5996-2023</t>
        </is>
      </c>
      <c r="B57" s="1" t="n">
        <v>44959</v>
      </c>
      <c r="C57" s="1" t="n">
        <v>46205</v>
      </c>
      <c r="D57" t="inlineStr">
        <is>
          <t>VÄSTERBOTTENS LÄN</t>
        </is>
      </c>
      <c r="E57" t="inlineStr">
        <is>
          <t>SKELLEFTEÅ</t>
        </is>
      </c>
      <c r="G57" t="n">
        <v>4.2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Brunpudrad nållav
Rosenticka
Trådticka
Svartvit flugsnappare
Revlummer</t>
        </is>
      </c>
      <c r="S57">
        <f>HYPERLINK("https://klasma.github.io/Logging_2482/artfynd/A 5996-2023 artfynd.xlsx", "A 5996-2023")</f>
        <v/>
      </c>
      <c r="T57">
        <f>HYPERLINK("https://klasma.github.io/Logging_2482/kartor/A 5996-2023 karta.png", "A 5996-2023")</f>
        <v/>
      </c>
      <c r="V57">
        <f>HYPERLINK("https://klasma.github.io/Logging_2482/klagomål/A 5996-2023 FSC-klagomål.docx", "A 5996-2023")</f>
        <v/>
      </c>
      <c r="W57">
        <f>HYPERLINK("https://klasma.github.io/Logging_2482/klagomålsmail/A 5996-2023 FSC-klagomål mail.docx", "A 5996-2023")</f>
        <v/>
      </c>
      <c r="X57">
        <f>HYPERLINK("https://klasma.github.io/Logging_2482/tillsyn/A 5996-2023 tillsynsbegäran.docx", "A 5996-2023")</f>
        <v/>
      </c>
      <c r="Y57">
        <f>HYPERLINK("https://klasma.github.io/Logging_2482/tillsynsmail/A 5996-2023 tillsynsbegäran mail.docx", "A 5996-2023")</f>
        <v/>
      </c>
    </row>
    <row r="58" ht="15" customHeight="1">
      <c r="A58" t="inlineStr">
        <is>
          <t>A 52525-2024</t>
        </is>
      </c>
      <c r="B58" s="1" t="n">
        <v>45609</v>
      </c>
      <c r="C58" s="1" t="n">
        <v>46205</v>
      </c>
      <c r="D58" t="inlineStr">
        <is>
          <t>VÄSTERBOTTENS LÄN</t>
        </is>
      </c>
      <c r="E58" t="inlineStr">
        <is>
          <t>SKELLEFTEÅ</t>
        </is>
      </c>
      <c r="G58" t="n">
        <v>8.6</v>
      </c>
      <c r="H58" t="n">
        <v>1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Garnlav
Lunglav
Talltagel
Stuplav
Tjäder</t>
        </is>
      </c>
      <c r="S58">
        <f>HYPERLINK("https://klasma.github.io/Logging_2482/artfynd/A 52525-2024 artfynd.xlsx", "A 52525-2024")</f>
        <v/>
      </c>
      <c r="T58">
        <f>HYPERLINK("https://klasma.github.io/Logging_2482/kartor/A 52525-2024 karta.png", "A 52525-2024")</f>
        <v/>
      </c>
      <c r="V58">
        <f>HYPERLINK("https://klasma.github.io/Logging_2482/klagomål/A 52525-2024 FSC-klagomål.docx", "A 52525-2024")</f>
        <v/>
      </c>
      <c r="W58">
        <f>HYPERLINK("https://klasma.github.io/Logging_2482/klagomålsmail/A 52525-2024 FSC-klagomål mail.docx", "A 52525-2024")</f>
        <v/>
      </c>
      <c r="X58">
        <f>HYPERLINK("https://klasma.github.io/Logging_2482/tillsyn/A 52525-2024 tillsynsbegäran.docx", "A 52525-2024")</f>
        <v/>
      </c>
      <c r="Y58">
        <f>HYPERLINK("https://klasma.github.io/Logging_2482/tillsynsmail/A 52525-2024 tillsynsbegäran mail.docx", "A 52525-2024")</f>
        <v/>
      </c>
      <c r="Z58">
        <f>HYPERLINK("https://klasma.github.io/Logging_2482/fåglar/A 52525-2024 prioriterade fågelarter.docx", "A 52525-2024")</f>
        <v/>
      </c>
    </row>
    <row r="59" ht="15" customHeight="1">
      <c r="A59" t="inlineStr">
        <is>
          <t>A 25488-2026</t>
        </is>
      </c>
      <c r="B59" s="1" t="n">
        <v>46177</v>
      </c>
      <c r="C59" s="1" t="n">
        <v>46205</v>
      </c>
      <c r="D59" t="inlineStr">
        <is>
          <t>VÄSTERBOTTENS LÄN</t>
        </is>
      </c>
      <c r="E59" t="inlineStr">
        <is>
          <t>SKELLEFTEÅ</t>
        </is>
      </c>
      <c r="G59" t="n">
        <v>7.7</v>
      </c>
      <c r="H59" t="n">
        <v>2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Ulltickeporing
Tretåig hackspett
Ullticka
Stuplav
Spillkråka</t>
        </is>
      </c>
      <c r="S59">
        <f>HYPERLINK("https://klasma.github.io/Logging_2482/artfynd/A 25488-2026 artfynd.xlsx", "A 25488-2026")</f>
        <v/>
      </c>
      <c r="T59">
        <f>HYPERLINK("https://klasma.github.io/Logging_2482/kartor/A 25488-2026 karta.png", "A 25488-2026")</f>
        <v/>
      </c>
      <c r="V59">
        <f>HYPERLINK("https://klasma.github.io/Logging_2482/klagomål/A 25488-2026 FSC-klagomål.docx", "A 25488-2026")</f>
        <v/>
      </c>
      <c r="W59">
        <f>HYPERLINK("https://klasma.github.io/Logging_2482/klagomålsmail/A 25488-2026 FSC-klagomål mail.docx", "A 25488-2026")</f>
        <v/>
      </c>
      <c r="X59">
        <f>HYPERLINK("https://klasma.github.io/Logging_2482/tillsyn/A 25488-2026 tillsynsbegäran.docx", "A 25488-2026")</f>
        <v/>
      </c>
      <c r="Y59">
        <f>HYPERLINK("https://klasma.github.io/Logging_2482/tillsynsmail/A 25488-2026 tillsynsbegäran mail.docx", "A 25488-2026")</f>
        <v/>
      </c>
      <c r="Z59">
        <f>HYPERLINK("https://klasma.github.io/Logging_2482/fåglar/A 25488-2026 prioriterade fågelarter.docx", "A 25488-2026")</f>
        <v/>
      </c>
    </row>
    <row r="60" ht="15" customHeight="1">
      <c r="A60" t="inlineStr">
        <is>
          <t>A 51811-2022</t>
        </is>
      </c>
      <c r="B60" s="1" t="n">
        <v>44867</v>
      </c>
      <c r="C60" s="1" t="n">
        <v>46205</v>
      </c>
      <c r="D60" t="inlineStr">
        <is>
          <t>VÄSTERBOTTENS LÄN</t>
        </is>
      </c>
      <c r="E60" t="inlineStr">
        <is>
          <t>SKELLEFTEÅ</t>
        </is>
      </c>
      <c r="G60" t="n">
        <v>3.8</v>
      </c>
      <c r="H60" t="n">
        <v>2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Garnlav
Harticka
Tretåig hackspett
Bronshjon
Spillkråka</t>
        </is>
      </c>
      <c r="S60">
        <f>HYPERLINK("https://klasma.github.io/Logging_2482/artfynd/A 51811-2022 artfynd.xlsx", "A 51811-2022")</f>
        <v/>
      </c>
      <c r="T60">
        <f>HYPERLINK("https://klasma.github.io/Logging_2482/kartor/A 51811-2022 karta.png", "A 51811-2022")</f>
        <v/>
      </c>
      <c r="V60">
        <f>HYPERLINK("https://klasma.github.io/Logging_2482/klagomål/A 51811-2022 FSC-klagomål.docx", "A 51811-2022")</f>
        <v/>
      </c>
      <c r="W60">
        <f>HYPERLINK("https://klasma.github.io/Logging_2482/klagomålsmail/A 51811-2022 FSC-klagomål mail.docx", "A 51811-2022")</f>
        <v/>
      </c>
      <c r="X60">
        <f>HYPERLINK("https://klasma.github.io/Logging_2482/tillsyn/A 51811-2022 tillsynsbegäran.docx", "A 51811-2022")</f>
        <v/>
      </c>
      <c r="Y60">
        <f>HYPERLINK("https://klasma.github.io/Logging_2482/tillsynsmail/A 51811-2022 tillsynsbegäran mail.docx", "A 51811-2022")</f>
        <v/>
      </c>
      <c r="Z60">
        <f>HYPERLINK("https://klasma.github.io/Logging_2482/fåglar/A 51811-2022 prioriterade fågelarter.docx", "A 51811-2022")</f>
        <v/>
      </c>
    </row>
    <row r="61" ht="15" customHeight="1">
      <c r="A61" t="inlineStr">
        <is>
          <t>A 52096-2025</t>
        </is>
      </c>
      <c r="B61" s="1" t="n">
        <v>45952</v>
      </c>
      <c r="C61" s="1" t="n">
        <v>46205</v>
      </c>
      <c r="D61" t="inlineStr">
        <is>
          <t>VÄSTERBOTTENS LÄN</t>
        </is>
      </c>
      <c r="E61" t="inlineStr">
        <is>
          <t>SKELLEFTEÅ</t>
        </is>
      </c>
      <c r="G61" t="n">
        <v>4.3</v>
      </c>
      <c r="H61" t="n">
        <v>3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5</v>
      </c>
      <c r="R61" s="2" t="inlineStr">
        <is>
          <t>Garnlav
Gammelgransskål
Talltita
Tretåig hackspett
Spillkråka</t>
        </is>
      </c>
      <c r="S61">
        <f>HYPERLINK("https://klasma.github.io/Logging_2482/artfynd/A 52096-2025 artfynd.xlsx", "A 52096-2025")</f>
        <v/>
      </c>
      <c r="T61">
        <f>HYPERLINK("https://klasma.github.io/Logging_2482/kartor/A 52096-2025 karta.png", "A 52096-2025")</f>
        <v/>
      </c>
      <c r="V61">
        <f>HYPERLINK("https://klasma.github.io/Logging_2482/klagomål/A 52096-2025 FSC-klagomål.docx", "A 52096-2025")</f>
        <v/>
      </c>
      <c r="W61">
        <f>HYPERLINK("https://klasma.github.io/Logging_2482/klagomålsmail/A 52096-2025 FSC-klagomål mail.docx", "A 52096-2025")</f>
        <v/>
      </c>
      <c r="X61">
        <f>HYPERLINK("https://klasma.github.io/Logging_2482/tillsyn/A 52096-2025 tillsynsbegäran.docx", "A 52096-2025")</f>
        <v/>
      </c>
      <c r="Y61">
        <f>HYPERLINK("https://klasma.github.io/Logging_2482/tillsynsmail/A 52096-2025 tillsynsbegäran mail.docx", "A 52096-2025")</f>
        <v/>
      </c>
      <c r="Z61">
        <f>HYPERLINK("https://klasma.github.io/Logging_2482/fåglar/A 52096-2025 prioriterade fågelarter.docx", "A 52096-2025")</f>
        <v/>
      </c>
    </row>
    <row r="62" ht="15" customHeight="1">
      <c r="A62" t="inlineStr">
        <is>
          <t>A 33093-2025</t>
        </is>
      </c>
      <c r="B62" s="1" t="n">
        <v>45840</v>
      </c>
      <c r="C62" s="1" t="n">
        <v>46205</v>
      </c>
      <c r="D62" t="inlineStr">
        <is>
          <t>VÄSTERBOTTENS LÄN</t>
        </is>
      </c>
      <c r="E62" t="inlineStr">
        <is>
          <t>SKELLEFTEÅ</t>
        </is>
      </c>
      <c r="G62" t="n">
        <v>7.3</v>
      </c>
      <c r="H62" t="n">
        <v>2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Garnlav
Tretåig hackspett
Violettgrå tagellav
Nästlav
Spillkråka</t>
        </is>
      </c>
      <c r="S62">
        <f>HYPERLINK("https://klasma.github.io/Logging_2482/artfynd/A 33093-2025 artfynd.xlsx", "A 33093-2025")</f>
        <v/>
      </c>
      <c r="T62">
        <f>HYPERLINK("https://klasma.github.io/Logging_2482/kartor/A 33093-2025 karta.png", "A 33093-2025")</f>
        <v/>
      </c>
      <c r="V62">
        <f>HYPERLINK("https://klasma.github.io/Logging_2482/klagomål/A 33093-2025 FSC-klagomål.docx", "A 33093-2025")</f>
        <v/>
      </c>
      <c r="W62">
        <f>HYPERLINK("https://klasma.github.io/Logging_2482/klagomålsmail/A 33093-2025 FSC-klagomål mail.docx", "A 33093-2025")</f>
        <v/>
      </c>
      <c r="X62">
        <f>HYPERLINK("https://klasma.github.io/Logging_2482/tillsyn/A 33093-2025 tillsynsbegäran.docx", "A 33093-2025")</f>
        <v/>
      </c>
      <c r="Y62">
        <f>HYPERLINK("https://klasma.github.io/Logging_2482/tillsynsmail/A 33093-2025 tillsynsbegäran mail.docx", "A 33093-2025")</f>
        <v/>
      </c>
      <c r="Z62">
        <f>HYPERLINK("https://klasma.github.io/Logging_2482/fåglar/A 33093-2025 prioriterade fågelarter.docx", "A 33093-2025")</f>
        <v/>
      </c>
    </row>
    <row r="63" ht="15" customHeight="1">
      <c r="A63" t="inlineStr">
        <is>
          <t>A 62340-2021</t>
        </is>
      </c>
      <c r="B63" s="1" t="n">
        <v>44503</v>
      </c>
      <c r="C63" s="1" t="n">
        <v>46205</v>
      </c>
      <c r="D63" t="inlineStr">
        <is>
          <t>VÄSTERBOTTENS LÄN</t>
        </is>
      </c>
      <c r="E63" t="inlineStr">
        <is>
          <t>SKELLEFTEÅ</t>
        </is>
      </c>
      <c r="G63" t="n">
        <v>3.9</v>
      </c>
      <c r="H63" t="n">
        <v>1</v>
      </c>
      <c r="I63" t="n">
        <v>1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5</v>
      </c>
      <c r="R63" s="2" t="inlineStr">
        <is>
          <t>Garnlav
Knärot
Dropptaggsvamp
Harticka
Vedticka</t>
        </is>
      </c>
      <c r="S63">
        <f>HYPERLINK("https://klasma.github.io/Logging_2482/artfynd/A 62340-2021 artfynd.xlsx", "A 62340-2021")</f>
        <v/>
      </c>
      <c r="T63">
        <f>HYPERLINK("https://klasma.github.io/Logging_2482/kartor/A 62340-2021 karta.png", "A 62340-2021")</f>
        <v/>
      </c>
      <c r="U63">
        <f>HYPERLINK("https://klasma.github.io/Logging_2482/knärot/A 62340-2021 karta knärot.png", "A 62340-2021")</f>
        <v/>
      </c>
      <c r="V63">
        <f>HYPERLINK("https://klasma.github.io/Logging_2482/klagomål/A 62340-2021 FSC-klagomål.docx", "A 62340-2021")</f>
        <v/>
      </c>
      <c r="W63">
        <f>HYPERLINK("https://klasma.github.io/Logging_2482/klagomålsmail/A 62340-2021 FSC-klagomål mail.docx", "A 62340-2021")</f>
        <v/>
      </c>
      <c r="X63">
        <f>HYPERLINK("https://klasma.github.io/Logging_2482/tillsyn/A 62340-2021 tillsynsbegäran.docx", "A 62340-2021")</f>
        <v/>
      </c>
      <c r="Y63">
        <f>HYPERLINK("https://klasma.github.io/Logging_2482/tillsynsmail/A 62340-2021 tillsynsbegäran mail.docx", "A 62340-2021")</f>
        <v/>
      </c>
    </row>
    <row r="64" ht="15" customHeight="1">
      <c r="A64" t="inlineStr">
        <is>
          <t>A 23725-2025</t>
        </is>
      </c>
      <c r="B64" s="1" t="n">
        <v>45793</v>
      </c>
      <c r="C64" s="1" t="n">
        <v>46205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3</v>
      </c>
      <c r="I64" t="n">
        <v>2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Garnlav
Nordfladdermus
Korallrot
Stuplav
Fläcknycklar</t>
        </is>
      </c>
      <c r="S64">
        <f>HYPERLINK("https://klasma.github.io/Logging_2482/artfynd/A 23725-2025 artfynd.xlsx", "A 23725-2025")</f>
        <v/>
      </c>
      <c r="T64">
        <f>HYPERLINK("https://klasma.github.io/Logging_2482/kartor/A 23725-2025 karta.png", "A 23725-2025")</f>
        <v/>
      </c>
      <c r="V64">
        <f>HYPERLINK("https://klasma.github.io/Logging_2482/klagomål/A 23725-2025 FSC-klagomål.docx", "A 23725-2025")</f>
        <v/>
      </c>
      <c r="W64">
        <f>HYPERLINK("https://klasma.github.io/Logging_2482/klagomålsmail/A 23725-2025 FSC-klagomål mail.docx", "A 23725-2025")</f>
        <v/>
      </c>
      <c r="X64">
        <f>HYPERLINK("https://klasma.github.io/Logging_2482/tillsyn/A 23725-2025 tillsynsbegäran.docx", "A 23725-2025")</f>
        <v/>
      </c>
      <c r="Y64">
        <f>HYPERLINK("https://klasma.github.io/Logging_2482/tillsynsmail/A 23725-2025 tillsynsbegäran mail.docx", "A 23725-2025")</f>
        <v/>
      </c>
    </row>
    <row r="65" ht="15" customHeight="1">
      <c r="A65" t="inlineStr">
        <is>
          <t>A 25943-2024</t>
        </is>
      </c>
      <c r="B65" s="1" t="n">
        <v>45467</v>
      </c>
      <c r="C65" s="1" t="n">
        <v>46205</v>
      </c>
      <c r="D65" t="inlineStr">
        <is>
          <t>VÄSTERBOTTENS LÄN</t>
        </is>
      </c>
      <c r="E65" t="inlineStr">
        <is>
          <t>SKELLEFTEÅ</t>
        </is>
      </c>
      <c r="G65" t="n">
        <v>0.8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Doftticka
Lunglav
Violettgrå tagellav
Skinnlav</t>
        </is>
      </c>
      <c r="S65">
        <f>HYPERLINK("https://klasma.github.io/Logging_2482/artfynd/A 25943-2024 artfynd.xlsx", "A 25943-2024")</f>
        <v/>
      </c>
      <c r="T65">
        <f>HYPERLINK("https://klasma.github.io/Logging_2482/kartor/A 25943-2024 karta.png", "A 25943-2024")</f>
        <v/>
      </c>
      <c r="V65">
        <f>HYPERLINK("https://klasma.github.io/Logging_2482/klagomål/A 25943-2024 FSC-klagomål.docx", "A 25943-2024")</f>
        <v/>
      </c>
      <c r="W65">
        <f>HYPERLINK("https://klasma.github.io/Logging_2482/klagomålsmail/A 25943-2024 FSC-klagomål mail.docx", "A 25943-2024")</f>
        <v/>
      </c>
      <c r="X65">
        <f>HYPERLINK("https://klasma.github.io/Logging_2482/tillsyn/A 25943-2024 tillsynsbegäran.docx", "A 25943-2024")</f>
        <v/>
      </c>
      <c r="Y65">
        <f>HYPERLINK("https://klasma.github.io/Logging_2482/tillsynsmail/A 25943-2024 tillsynsbegäran mail.docx", "A 25943-2024")</f>
        <v/>
      </c>
    </row>
    <row r="66" ht="15" customHeight="1">
      <c r="A66" t="inlineStr">
        <is>
          <t>A 58835-2021</t>
        </is>
      </c>
      <c r="B66" s="1" t="n">
        <v>44489</v>
      </c>
      <c r="C66" s="1" t="n">
        <v>46205</v>
      </c>
      <c r="D66" t="inlineStr">
        <is>
          <t>VÄSTERBOTTENS LÄN</t>
        </is>
      </c>
      <c r="E66" t="inlineStr">
        <is>
          <t>SKELLEFTEÅ</t>
        </is>
      </c>
      <c r="G66" t="n">
        <v>10.2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Doftskinn
Gammelgransskål
Stjärntagging
Ullticka</t>
        </is>
      </c>
      <c r="S66">
        <f>HYPERLINK("https://klasma.github.io/Logging_2482/artfynd/A 58835-2021 artfynd.xlsx", "A 58835-2021")</f>
        <v/>
      </c>
      <c r="T66">
        <f>HYPERLINK("https://klasma.github.io/Logging_2482/kartor/A 58835-2021 karta.png", "A 58835-2021")</f>
        <v/>
      </c>
      <c r="V66">
        <f>HYPERLINK("https://klasma.github.io/Logging_2482/klagomål/A 58835-2021 FSC-klagomål.docx", "A 58835-2021")</f>
        <v/>
      </c>
      <c r="W66">
        <f>HYPERLINK("https://klasma.github.io/Logging_2482/klagomålsmail/A 58835-2021 FSC-klagomål mail.docx", "A 58835-2021")</f>
        <v/>
      </c>
      <c r="X66">
        <f>HYPERLINK("https://klasma.github.io/Logging_2482/tillsyn/A 58835-2021 tillsynsbegäran.docx", "A 58835-2021")</f>
        <v/>
      </c>
      <c r="Y66">
        <f>HYPERLINK("https://klasma.github.io/Logging_2482/tillsynsmail/A 58835-2021 tillsynsbegäran mail.docx", "A 58835-2021")</f>
        <v/>
      </c>
    </row>
    <row r="67" ht="15" customHeight="1">
      <c r="A67" t="inlineStr">
        <is>
          <t>A 62393-2023</t>
        </is>
      </c>
      <c r="B67" s="1" t="n">
        <v>45268</v>
      </c>
      <c r="C67" s="1" t="n">
        <v>46205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Garnlav
Lunglav
Violettgrå tagellav
Bårdlav</t>
        </is>
      </c>
      <c r="S67">
        <f>HYPERLINK("https://klasma.github.io/Logging_2482/artfynd/A 62393-2023 artfynd.xlsx", "A 62393-2023")</f>
        <v/>
      </c>
      <c r="T67">
        <f>HYPERLINK("https://klasma.github.io/Logging_2482/kartor/A 62393-2023 karta.png", "A 62393-2023")</f>
        <v/>
      </c>
      <c r="V67">
        <f>HYPERLINK("https://klasma.github.io/Logging_2482/klagomål/A 62393-2023 FSC-klagomål.docx", "A 62393-2023")</f>
        <v/>
      </c>
      <c r="W67">
        <f>HYPERLINK("https://klasma.github.io/Logging_2482/klagomålsmail/A 62393-2023 FSC-klagomål mail.docx", "A 62393-2023")</f>
        <v/>
      </c>
      <c r="X67">
        <f>HYPERLINK("https://klasma.github.io/Logging_2482/tillsyn/A 62393-2023 tillsynsbegäran.docx", "A 62393-2023")</f>
        <v/>
      </c>
      <c r="Y67">
        <f>HYPERLINK("https://klasma.github.io/Logging_2482/tillsynsmail/A 62393-2023 tillsynsbegäran mail.docx", "A 62393-2023")</f>
        <v/>
      </c>
    </row>
    <row r="68" ht="15" customHeight="1">
      <c r="A68" t="inlineStr">
        <is>
          <t>A 53928-2025</t>
        </is>
      </c>
      <c r="B68" s="1" t="n">
        <v>45961</v>
      </c>
      <c r="C68" s="1" t="n">
        <v>46205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Övriga Aktiebolag</t>
        </is>
      </c>
      <c r="G68" t="n">
        <v>61.3</v>
      </c>
      <c r="H68" t="n">
        <v>2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Garnlav
Stjärntagging
Tretåig hackspett
Revlummer</t>
        </is>
      </c>
      <c r="S68">
        <f>HYPERLINK("https://klasma.github.io/Logging_2482/artfynd/A 53928-2025 artfynd.xlsx", "A 53928-2025")</f>
        <v/>
      </c>
      <c r="T68">
        <f>HYPERLINK("https://klasma.github.io/Logging_2482/kartor/A 53928-2025 karta.png", "A 53928-2025")</f>
        <v/>
      </c>
      <c r="V68">
        <f>HYPERLINK("https://klasma.github.io/Logging_2482/klagomål/A 53928-2025 FSC-klagomål.docx", "A 53928-2025")</f>
        <v/>
      </c>
      <c r="W68">
        <f>HYPERLINK("https://klasma.github.io/Logging_2482/klagomålsmail/A 53928-2025 FSC-klagomål mail.docx", "A 53928-2025")</f>
        <v/>
      </c>
      <c r="X68">
        <f>HYPERLINK("https://klasma.github.io/Logging_2482/tillsyn/A 53928-2025 tillsynsbegäran.docx", "A 53928-2025")</f>
        <v/>
      </c>
      <c r="Y68">
        <f>HYPERLINK("https://klasma.github.io/Logging_2482/tillsynsmail/A 53928-2025 tillsynsbegäran mail.docx", "A 53928-2025")</f>
        <v/>
      </c>
      <c r="Z68">
        <f>HYPERLINK("https://klasma.github.io/Logging_2482/fåglar/A 53928-2025 prioriterade fågelarter.docx", "A 53928-2025")</f>
        <v/>
      </c>
    </row>
    <row r="69" ht="15" customHeight="1">
      <c r="A69" t="inlineStr">
        <is>
          <t>A 5957-2026</t>
        </is>
      </c>
      <c r="B69" s="1" t="n">
        <v>46052</v>
      </c>
      <c r="C69" s="1" t="n">
        <v>46205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Sveaskog</t>
        </is>
      </c>
      <c r="G69" t="n">
        <v>2.3</v>
      </c>
      <c r="H69" t="n">
        <v>2</v>
      </c>
      <c r="I69" t="n">
        <v>0</v>
      </c>
      <c r="J69" t="n">
        <v>2</v>
      </c>
      <c r="K69" t="n">
        <v>2</v>
      </c>
      <c r="L69" t="n">
        <v>0</v>
      </c>
      <c r="M69" t="n">
        <v>0</v>
      </c>
      <c r="N69" t="n">
        <v>0</v>
      </c>
      <c r="O69" t="n">
        <v>4</v>
      </c>
      <c r="P69" t="n">
        <v>2</v>
      </c>
      <c r="Q69" t="n">
        <v>4</v>
      </c>
      <c r="R69" s="2" t="inlineStr">
        <is>
          <t>Garnlav
Knärot
Lavskrika
Äggvaxskivling</t>
        </is>
      </c>
      <c r="S69">
        <f>HYPERLINK("https://klasma.github.io/Logging_2482/artfynd/A 5957-2026 artfynd.xlsx", "A 5957-2026")</f>
        <v/>
      </c>
      <c r="T69">
        <f>HYPERLINK("https://klasma.github.io/Logging_2482/kartor/A 5957-2026 karta.png", "A 5957-2026")</f>
        <v/>
      </c>
      <c r="U69">
        <f>HYPERLINK("https://klasma.github.io/Logging_2482/knärot/A 5957-2026 karta knärot.png", "A 5957-2026")</f>
        <v/>
      </c>
      <c r="V69">
        <f>HYPERLINK("https://klasma.github.io/Logging_2482/klagomål/A 5957-2026 FSC-klagomål.docx", "A 5957-2026")</f>
        <v/>
      </c>
      <c r="W69">
        <f>HYPERLINK("https://klasma.github.io/Logging_2482/klagomålsmail/A 5957-2026 FSC-klagomål mail.docx", "A 5957-2026")</f>
        <v/>
      </c>
      <c r="X69">
        <f>HYPERLINK("https://klasma.github.io/Logging_2482/tillsyn/A 5957-2026 tillsynsbegäran.docx", "A 5957-2026")</f>
        <v/>
      </c>
      <c r="Y69">
        <f>HYPERLINK("https://klasma.github.io/Logging_2482/tillsynsmail/A 5957-2026 tillsynsbegäran mail.docx", "A 5957-2026")</f>
        <v/>
      </c>
      <c r="Z69">
        <f>HYPERLINK("https://klasma.github.io/Logging_2482/fåglar/A 5957-2026 prioriterade fågelarter.docx", "A 5957-2026")</f>
        <v/>
      </c>
    </row>
    <row r="70" ht="15" customHeight="1">
      <c r="A70" t="inlineStr">
        <is>
          <t>A 57388-2025</t>
        </is>
      </c>
      <c r="B70" s="1" t="n">
        <v>45980</v>
      </c>
      <c r="C70" s="1" t="n">
        <v>46205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Sveaskog</t>
        </is>
      </c>
      <c r="G70" t="n">
        <v>6.6</v>
      </c>
      <c r="H70" t="n">
        <v>0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Garnlav
Doftskinn
Gammelgransskål
Vedticka</t>
        </is>
      </c>
      <c r="S70">
        <f>HYPERLINK("https://klasma.github.io/Logging_2482/artfynd/A 57388-2025 artfynd.xlsx", "A 57388-2025")</f>
        <v/>
      </c>
      <c r="T70">
        <f>HYPERLINK("https://klasma.github.io/Logging_2482/kartor/A 57388-2025 karta.png", "A 57388-2025")</f>
        <v/>
      </c>
      <c r="V70">
        <f>HYPERLINK("https://klasma.github.io/Logging_2482/klagomål/A 57388-2025 FSC-klagomål.docx", "A 57388-2025")</f>
        <v/>
      </c>
      <c r="W70">
        <f>HYPERLINK("https://klasma.github.io/Logging_2482/klagomålsmail/A 57388-2025 FSC-klagomål mail.docx", "A 57388-2025")</f>
        <v/>
      </c>
      <c r="X70">
        <f>HYPERLINK("https://klasma.github.io/Logging_2482/tillsyn/A 57388-2025 tillsynsbegäran.docx", "A 57388-2025")</f>
        <v/>
      </c>
      <c r="Y70">
        <f>HYPERLINK("https://klasma.github.io/Logging_2482/tillsynsmail/A 57388-2025 tillsynsbegäran mail.docx", "A 57388-2025")</f>
        <v/>
      </c>
    </row>
    <row r="71" ht="15" customHeight="1">
      <c r="A71" t="inlineStr">
        <is>
          <t>A 60564-2025</t>
        </is>
      </c>
      <c r="B71" s="1" t="n">
        <v>45994</v>
      </c>
      <c r="C71" s="1" t="n">
        <v>46205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Kommuner</t>
        </is>
      </c>
      <c r="G71" t="n">
        <v>4.7</v>
      </c>
      <c r="H71" t="n">
        <v>4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4</v>
      </c>
      <c r="R71" s="2" t="inlineStr">
        <is>
          <t>Järpe
Spillkråka
Vanlig padda
Ängsnycklar</t>
        </is>
      </c>
      <c r="S71">
        <f>HYPERLINK("https://klasma.github.io/Logging_2482/artfynd/A 60564-2025 artfynd.xlsx", "A 60564-2025")</f>
        <v/>
      </c>
      <c r="T71">
        <f>HYPERLINK("https://klasma.github.io/Logging_2482/kartor/A 60564-2025 karta.png", "A 60564-2025")</f>
        <v/>
      </c>
      <c r="V71">
        <f>HYPERLINK("https://klasma.github.io/Logging_2482/klagomål/A 60564-2025 FSC-klagomål.docx", "A 60564-2025")</f>
        <v/>
      </c>
      <c r="W71">
        <f>HYPERLINK("https://klasma.github.io/Logging_2482/klagomålsmail/A 60564-2025 FSC-klagomål mail.docx", "A 60564-2025")</f>
        <v/>
      </c>
      <c r="X71">
        <f>HYPERLINK("https://klasma.github.io/Logging_2482/tillsyn/A 60564-2025 tillsynsbegäran.docx", "A 60564-2025")</f>
        <v/>
      </c>
      <c r="Y71">
        <f>HYPERLINK("https://klasma.github.io/Logging_2482/tillsynsmail/A 60564-2025 tillsynsbegäran mail.docx", "A 60564-2025")</f>
        <v/>
      </c>
      <c r="Z71">
        <f>HYPERLINK("https://klasma.github.io/Logging_2482/fåglar/A 60564-2025 prioriterade fågelarter.docx", "A 60564-2025")</f>
        <v/>
      </c>
    </row>
    <row r="72" ht="15" customHeight="1">
      <c r="A72" t="inlineStr">
        <is>
          <t>A 14590-2026</t>
        </is>
      </c>
      <c r="B72" s="1" t="n">
        <v>46101</v>
      </c>
      <c r="C72" s="1" t="n">
        <v>46205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5</v>
      </c>
      <c r="H72" t="n">
        <v>3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Tallticka
Talltita
Tretåig hackspett
Spillkråka</t>
        </is>
      </c>
      <c r="S72">
        <f>HYPERLINK("https://klasma.github.io/Logging_2482/artfynd/A 14590-2026 artfynd.xlsx", "A 14590-2026")</f>
        <v/>
      </c>
      <c r="T72">
        <f>HYPERLINK("https://klasma.github.io/Logging_2482/kartor/A 14590-2026 karta.png", "A 14590-2026")</f>
        <v/>
      </c>
      <c r="V72">
        <f>HYPERLINK("https://klasma.github.io/Logging_2482/klagomål/A 14590-2026 FSC-klagomål.docx", "A 14590-2026")</f>
        <v/>
      </c>
      <c r="W72">
        <f>HYPERLINK("https://klasma.github.io/Logging_2482/klagomålsmail/A 14590-2026 FSC-klagomål mail.docx", "A 14590-2026")</f>
        <v/>
      </c>
      <c r="X72">
        <f>HYPERLINK("https://klasma.github.io/Logging_2482/tillsyn/A 14590-2026 tillsynsbegäran.docx", "A 14590-2026")</f>
        <v/>
      </c>
      <c r="Y72">
        <f>HYPERLINK("https://klasma.github.io/Logging_2482/tillsynsmail/A 14590-2026 tillsynsbegäran mail.docx", "A 14590-2026")</f>
        <v/>
      </c>
      <c r="Z72">
        <f>HYPERLINK("https://klasma.github.io/Logging_2482/fåglar/A 14590-2026 prioriterade fågelarter.docx", "A 14590-2026")</f>
        <v/>
      </c>
    </row>
    <row r="73" ht="15" customHeight="1">
      <c r="A73" t="inlineStr">
        <is>
          <t>A 26962-2025</t>
        </is>
      </c>
      <c r="B73" s="1" t="n">
        <v>45811</v>
      </c>
      <c r="C73" s="1" t="n">
        <v>46205</v>
      </c>
      <c r="D73" t="inlineStr">
        <is>
          <t>VÄSTERBOTTENS LÄN</t>
        </is>
      </c>
      <c r="E73" t="inlineStr">
        <is>
          <t>SKELLEFTEÅ</t>
        </is>
      </c>
      <c r="G73" t="n">
        <v>2.4</v>
      </c>
      <c r="H73" t="n">
        <v>1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Garnlav
Rosenticka
Talltita
Ullticka</t>
        </is>
      </c>
      <c r="S73">
        <f>HYPERLINK("https://klasma.github.io/Logging_2482/artfynd/A 26962-2025 artfynd.xlsx", "A 26962-2025")</f>
        <v/>
      </c>
      <c r="T73">
        <f>HYPERLINK("https://klasma.github.io/Logging_2482/kartor/A 26962-2025 karta.png", "A 26962-2025")</f>
        <v/>
      </c>
      <c r="V73">
        <f>HYPERLINK("https://klasma.github.io/Logging_2482/klagomål/A 26962-2025 FSC-klagomål.docx", "A 26962-2025")</f>
        <v/>
      </c>
      <c r="W73">
        <f>HYPERLINK("https://klasma.github.io/Logging_2482/klagomålsmail/A 26962-2025 FSC-klagomål mail.docx", "A 26962-2025")</f>
        <v/>
      </c>
      <c r="X73">
        <f>HYPERLINK("https://klasma.github.io/Logging_2482/tillsyn/A 26962-2025 tillsynsbegäran.docx", "A 26962-2025")</f>
        <v/>
      </c>
      <c r="Y73">
        <f>HYPERLINK("https://klasma.github.io/Logging_2482/tillsynsmail/A 26962-2025 tillsynsbegäran mail.docx", "A 26962-2025")</f>
        <v/>
      </c>
      <c r="Z73">
        <f>HYPERLINK("https://klasma.github.io/Logging_2482/fåglar/A 26962-2025 prioriterade fågelarter.docx", "A 26962-2025")</f>
        <v/>
      </c>
    </row>
    <row r="74" ht="15" customHeight="1">
      <c r="A74" t="inlineStr">
        <is>
          <t>A 41412-2022</t>
        </is>
      </c>
      <c r="B74" s="1" t="n">
        <v>44826</v>
      </c>
      <c r="C74" s="1" t="n">
        <v>46205</v>
      </c>
      <c r="D74" t="inlineStr">
        <is>
          <t>VÄSTERBOTTENS LÄN</t>
        </is>
      </c>
      <c r="E74" t="inlineStr">
        <is>
          <t>SKELLEFTEÅ</t>
        </is>
      </c>
      <c r="G74" t="n">
        <v>2.6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Gränsticka
Tretåig hackspett
Ullticka
Vedticka</t>
        </is>
      </c>
      <c r="S74">
        <f>HYPERLINK("https://klasma.github.io/Logging_2482/artfynd/A 41412-2022 artfynd.xlsx", "A 41412-2022")</f>
        <v/>
      </c>
      <c r="T74">
        <f>HYPERLINK("https://klasma.github.io/Logging_2482/kartor/A 41412-2022 karta.png", "A 41412-2022")</f>
        <v/>
      </c>
      <c r="V74">
        <f>HYPERLINK("https://klasma.github.io/Logging_2482/klagomål/A 41412-2022 FSC-klagomål.docx", "A 41412-2022")</f>
        <v/>
      </c>
      <c r="W74">
        <f>HYPERLINK("https://klasma.github.io/Logging_2482/klagomålsmail/A 41412-2022 FSC-klagomål mail.docx", "A 41412-2022")</f>
        <v/>
      </c>
      <c r="X74">
        <f>HYPERLINK("https://klasma.github.io/Logging_2482/tillsyn/A 41412-2022 tillsynsbegäran.docx", "A 41412-2022")</f>
        <v/>
      </c>
      <c r="Y74">
        <f>HYPERLINK("https://klasma.github.io/Logging_2482/tillsynsmail/A 41412-2022 tillsynsbegäran mail.docx", "A 41412-2022")</f>
        <v/>
      </c>
      <c r="Z74">
        <f>HYPERLINK("https://klasma.github.io/Logging_2482/fåglar/A 41412-2022 prioriterade fågelarter.docx", "A 41412-2022")</f>
        <v/>
      </c>
    </row>
    <row r="75" ht="15" customHeight="1">
      <c r="A75" t="inlineStr">
        <is>
          <t>A 42687-2022</t>
        </is>
      </c>
      <c r="B75" s="1" t="n">
        <v>44831</v>
      </c>
      <c r="C75" s="1" t="n">
        <v>46205</v>
      </c>
      <c r="D75" t="inlineStr">
        <is>
          <t>VÄSTERBOTTENS LÄN</t>
        </is>
      </c>
      <c r="E75" t="inlineStr">
        <is>
          <t>SKELLEFTEÅ</t>
        </is>
      </c>
      <c r="G75" t="n">
        <v>2.7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Motaggsvamp
Stjärntagging
Ullticka
Vedticka</t>
        </is>
      </c>
      <c r="S75">
        <f>HYPERLINK("https://klasma.github.io/Logging_2482/artfynd/A 42687-2022 artfynd.xlsx", "A 42687-2022")</f>
        <v/>
      </c>
      <c r="T75">
        <f>HYPERLINK("https://klasma.github.io/Logging_2482/kartor/A 42687-2022 karta.png", "A 42687-2022")</f>
        <v/>
      </c>
      <c r="V75">
        <f>HYPERLINK("https://klasma.github.io/Logging_2482/klagomål/A 42687-2022 FSC-klagomål.docx", "A 42687-2022")</f>
        <v/>
      </c>
      <c r="W75">
        <f>HYPERLINK("https://klasma.github.io/Logging_2482/klagomålsmail/A 42687-2022 FSC-klagomål mail.docx", "A 42687-2022")</f>
        <v/>
      </c>
      <c r="X75">
        <f>HYPERLINK("https://klasma.github.io/Logging_2482/tillsyn/A 42687-2022 tillsynsbegäran.docx", "A 42687-2022")</f>
        <v/>
      </c>
      <c r="Y75">
        <f>HYPERLINK("https://klasma.github.io/Logging_2482/tillsynsmail/A 42687-2022 tillsynsbegäran mail.docx", "A 42687-2022")</f>
        <v/>
      </c>
    </row>
    <row r="76" ht="15" customHeight="1">
      <c r="A76" t="inlineStr">
        <is>
          <t>A 27448-2026</t>
        </is>
      </c>
      <c r="B76" s="1" t="n">
        <v>46189</v>
      </c>
      <c r="C76" s="1" t="n">
        <v>46205</v>
      </c>
      <c r="D76" t="inlineStr">
        <is>
          <t>VÄSTERBOTTENS LÄN</t>
        </is>
      </c>
      <c r="E76" t="inlineStr">
        <is>
          <t>SKELLEFTEÅ</t>
        </is>
      </c>
      <c r="G76" t="n">
        <v>2.9</v>
      </c>
      <c r="H76" t="n">
        <v>0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Garnlav
Gammelgransskål
Rynkskinn
Ullticka</t>
        </is>
      </c>
      <c r="S76">
        <f>HYPERLINK("https://klasma.github.io/Logging_2482/artfynd/A 27448-2026 artfynd.xlsx", "A 27448-2026")</f>
        <v/>
      </c>
      <c r="T76">
        <f>HYPERLINK("https://klasma.github.io/Logging_2482/kartor/A 27448-2026 karta.png", "A 27448-2026")</f>
        <v/>
      </c>
      <c r="V76">
        <f>HYPERLINK("https://klasma.github.io/Logging_2482/klagomål/A 27448-2026 FSC-klagomål.docx", "A 27448-2026")</f>
        <v/>
      </c>
      <c r="W76">
        <f>HYPERLINK("https://klasma.github.io/Logging_2482/klagomålsmail/A 27448-2026 FSC-klagomål mail.docx", "A 27448-2026")</f>
        <v/>
      </c>
      <c r="X76">
        <f>HYPERLINK("https://klasma.github.io/Logging_2482/tillsyn/A 27448-2026 tillsynsbegäran.docx", "A 27448-2026")</f>
        <v/>
      </c>
      <c r="Y76">
        <f>HYPERLINK("https://klasma.github.io/Logging_2482/tillsynsmail/A 27448-2026 tillsynsbegäran mail.docx", "A 27448-2026")</f>
        <v/>
      </c>
    </row>
    <row r="77" ht="15" customHeight="1">
      <c r="A77" t="inlineStr">
        <is>
          <t>A 5361-2026</t>
        </is>
      </c>
      <c r="B77" s="1" t="n">
        <v>46050</v>
      </c>
      <c r="C77" s="1" t="n">
        <v>46205</v>
      </c>
      <c r="D77" t="inlineStr">
        <is>
          <t>VÄSTERBOTTENS LÄN</t>
        </is>
      </c>
      <c r="E77" t="inlineStr">
        <is>
          <t>SKELLEFTEÅ</t>
        </is>
      </c>
      <c r="G77" t="n">
        <v>5</v>
      </c>
      <c r="H77" t="n">
        <v>2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4</v>
      </c>
      <c r="R77" s="2" t="inlineStr">
        <is>
          <t>Garnlav
Knärot
Tretåig hackspett
Ormbär</t>
        </is>
      </c>
      <c r="S77">
        <f>HYPERLINK("https://klasma.github.io/Logging_2482/artfynd/A 5361-2026 artfynd.xlsx", "A 5361-2026")</f>
        <v/>
      </c>
      <c r="T77">
        <f>HYPERLINK("https://klasma.github.io/Logging_2482/kartor/A 5361-2026 karta.png", "A 5361-2026")</f>
        <v/>
      </c>
      <c r="U77">
        <f>HYPERLINK("https://klasma.github.io/Logging_2482/knärot/A 5361-2026 karta knärot.png", "A 5361-2026")</f>
        <v/>
      </c>
      <c r="V77">
        <f>HYPERLINK("https://klasma.github.io/Logging_2482/klagomål/A 5361-2026 FSC-klagomål.docx", "A 5361-2026")</f>
        <v/>
      </c>
      <c r="W77">
        <f>HYPERLINK("https://klasma.github.io/Logging_2482/klagomålsmail/A 5361-2026 FSC-klagomål mail.docx", "A 5361-2026")</f>
        <v/>
      </c>
      <c r="X77">
        <f>HYPERLINK("https://klasma.github.io/Logging_2482/tillsyn/A 5361-2026 tillsynsbegäran.docx", "A 5361-2026")</f>
        <v/>
      </c>
      <c r="Y77">
        <f>HYPERLINK("https://klasma.github.io/Logging_2482/tillsynsmail/A 5361-2026 tillsynsbegäran mail.docx", "A 5361-2026")</f>
        <v/>
      </c>
      <c r="Z77">
        <f>HYPERLINK("https://klasma.github.io/Logging_2482/fåglar/A 5361-2026 prioriterade fågelarter.docx", "A 5361-2026")</f>
        <v/>
      </c>
    </row>
    <row r="78" ht="15" customHeight="1">
      <c r="A78" t="inlineStr">
        <is>
          <t>A 22838-2025</t>
        </is>
      </c>
      <c r="B78" s="1" t="n">
        <v>45790</v>
      </c>
      <c r="C78" s="1" t="n">
        <v>46205</v>
      </c>
      <c r="D78" t="inlineStr">
        <is>
          <t>VÄSTERBOTTENS LÄN</t>
        </is>
      </c>
      <c r="E78" t="inlineStr">
        <is>
          <t>SKELLEFTEÅ</t>
        </is>
      </c>
      <c r="G78" t="n">
        <v>8.300000000000001</v>
      </c>
      <c r="H78" t="n">
        <v>3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Knärot
Luddfingersvamp
Tretåig hackspett
Spillkråka</t>
        </is>
      </c>
      <c r="S78">
        <f>HYPERLINK("https://klasma.github.io/Logging_2482/artfynd/A 22838-2025 artfynd.xlsx", "A 22838-2025")</f>
        <v/>
      </c>
      <c r="T78">
        <f>HYPERLINK("https://klasma.github.io/Logging_2482/kartor/A 22838-2025 karta.png", "A 22838-2025")</f>
        <v/>
      </c>
      <c r="U78">
        <f>HYPERLINK("https://klasma.github.io/Logging_2482/knärot/A 22838-2025 karta knärot.png", "A 22838-2025")</f>
        <v/>
      </c>
      <c r="V78">
        <f>HYPERLINK("https://klasma.github.io/Logging_2482/klagomål/A 22838-2025 FSC-klagomål.docx", "A 22838-2025")</f>
        <v/>
      </c>
      <c r="W78">
        <f>HYPERLINK("https://klasma.github.io/Logging_2482/klagomålsmail/A 22838-2025 FSC-klagomål mail.docx", "A 22838-2025")</f>
        <v/>
      </c>
      <c r="X78">
        <f>HYPERLINK("https://klasma.github.io/Logging_2482/tillsyn/A 22838-2025 tillsynsbegäran.docx", "A 22838-2025")</f>
        <v/>
      </c>
      <c r="Y78">
        <f>HYPERLINK("https://klasma.github.io/Logging_2482/tillsynsmail/A 22838-2025 tillsynsbegäran mail.docx", "A 22838-2025")</f>
        <v/>
      </c>
      <c r="Z78">
        <f>HYPERLINK("https://klasma.github.io/Logging_2482/fåglar/A 22838-2025 prioriterade fågelarter.docx", "A 22838-2025")</f>
        <v/>
      </c>
    </row>
    <row r="79" ht="15" customHeight="1">
      <c r="A79" t="inlineStr">
        <is>
          <t>A 18577-2024</t>
        </is>
      </c>
      <c r="B79" s="1" t="n">
        <v>45425</v>
      </c>
      <c r="C79" s="1" t="n">
        <v>46205</v>
      </c>
      <c r="D79" t="inlineStr">
        <is>
          <t>VÄSTERBOTTENS LÄN</t>
        </is>
      </c>
      <c r="E79" t="inlineStr">
        <is>
          <t>SKELLEFTEÅ</t>
        </is>
      </c>
      <c r="G79" t="n">
        <v>5.3</v>
      </c>
      <c r="H79" t="n">
        <v>1</v>
      </c>
      <c r="I79" t="n">
        <v>1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3</v>
      </c>
      <c r="P79" t="n">
        <v>2</v>
      </c>
      <c r="Q79" t="n">
        <v>4</v>
      </c>
      <c r="R79" s="2" t="inlineStr">
        <is>
          <t>Garnlav
Knärot
Gammelgransskål
Rävticka</t>
        </is>
      </c>
      <c r="S79">
        <f>HYPERLINK("https://klasma.github.io/Logging_2482/artfynd/A 18577-2024 artfynd.xlsx", "A 18577-2024")</f>
        <v/>
      </c>
      <c r="T79">
        <f>HYPERLINK("https://klasma.github.io/Logging_2482/kartor/A 18577-2024 karta.png", "A 18577-2024")</f>
        <v/>
      </c>
      <c r="U79">
        <f>HYPERLINK("https://klasma.github.io/Logging_2482/knärot/A 18577-2024 karta knärot.png", "A 18577-2024")</f>
        <v/>
      </c>
      <c r="V79">
        <f>HYPERLINK("https://klasma.github.io/Logging_2482/klagomål/A 18577-2024 FSC-klagomål.docx", "A 18577-2024")</f>
        <v/>
      </c>
      <c r="W79">
        <f>HYPERLINK("https://klasma.github.io/Logging_2482/klagomålsmail/A 18577-2024 FSC-klagomål mail.docx", "A 18577-2024")</f>
        <v/>
      </c>
      <c r="X79">
        <f>HYPERLINK("https://klasma.github.io/Logging_2482/tillsyn/A 18577-2024 tillsynsbegäran.docx", "A 18577-2024")</f>
        <v/>
      </c>
      <c r="Y79">
        <f>HYPERLINK("https://klasma.github.io/Logging_2482/tillsynsmail/A 18577-2024 tillsynsbegäran mail.docx", "A 18577-2024")</f>
        <v/>
      </c>
    </row>
    <row r="80" ht="15" customHeight="1">
      <c r="A80" t="inlineStr">
        <is>
          <t>A 56462-2024</t>
        </is>
      </c>
      <c r="B80" s="1" t="n">
        <v>45625</v>
      </c>
      <c r="C80" s="1" t="n">
        <v>46205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44.8</v>
      </c>
      <c r="H80" t="n">
        <v>0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Korthornad ögonbagge
Rödhalsad vedsvampbagge
Svart ögonknäppare
Stekelbock</t>
        </is>
      </c>
      <c r="S80">
        <f>HYPERLINK("https://klasma.github.io/Logging_2482/artfynd/A 56462-2024 artfynd.xlsx", "A 56462-2024")</f>
        <v/>
      </c>
      <c r="T80">
        <f>HYPERLINK("https://klasma.github.io/Logging_2482/kartor/A 56462-2024 karta.png", "A 56462-2024")</f>
        <v/>
      </c>
      <c r="V80">
        <f>HYPERLINK("https://klasma.github.io/Logging_2482/klagomål/A 56462-2024 FSC-klagomål.docx", "A 56462-2024")</f>
        <v/>
      </c>
      <c r="W80">
        <f>HYPERLINK("https://klasma.github.io/Logging_2482/klagomålsmail/A 56462-2024 FSC-klagomål mail.docx", "A 56462-2024")</f>
        <v/>
      </c>
      <c r="X80">
        <f>HYPERLINK("https://klasma.github.io/Logging_2482/tillsyn/A 56462-2024 tillsynsbegäran.docx", "A 56462-2024")</f>
        <v/>
      </c>
      <c r="Y80">
        <f>HYPERLINK("https://klasma.github.io/Logging_2482/tillsynsmail/A 56462-2024 tillsynsbegäran mail.docx", "A 56462-2024")</f>
        <v/>
      </c>
    </row>
    <row r="81" ht="15" customHeight="1">
      <c r="A81" t="inlineStr">
        <is>
          <t>A 46092-2023</t>
        </is>
      </c>
      <c r="B81" s="1" t="n">
        <v>45190</v>
      </c>
      <c r="C81" s="1" t="n">
        <v>46205</v>
      </c>
      <c r="D81" t="inlineStr">
        <is>
          <t>VÄSTERBOTTENS LÄN</t>
        </is>
      </c>
      <c r="E81" t="inlineStr">
        <is>
          <t>SKELLEFTEÅ</t>
        </is>
      </c>
      <c r="G81" t="n">
        <v>8.699999999999999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Violettgrå tagellav
Luddlav
Skinnlav
Stuplav</t>
        </is>
      </c>
      <c r="S81">
        <f>HYPERLINK("https://klasma.github.io/Logging_2482/artfynd/A 46092-2023 artfynd.xlsx", "A 46092-2023")</f>
        <v/>
      </c>
      <c r="T81">
        <f>HYPERLINK("https://klasma.github.io/Logging_2482/kartor/A 46092-2023 karta.png", "A 46092-2023")</f>
        <v/>
      </c>
      <c r="V81">
        <f>HYPERLINK("https://klasma.github.io/Logging_2482/klagomål/A 46092-2023 FSC-klagomål.docx", "A 46092-2023")</f>
        <v/>
      </c>
      <c r="W81">
        <f>HYPERLINK("https://klasma.github.io/Logging_2482/klagomålsmail/A 46092-2023 FSC-klagomål mail.docx", "A 46092-2023")</f>
        <v/>
      </c>
      <c r="X81">
        <f>HYPERLINK("https://klasma.github.io/Logging_2482/tillsyn/A 46092-2023 tillsynsbegäran.docx", "A 46092-2023")</f>
        <v/>
      </c>
      <c r="Y81">
        <f>HYPERLINK("https://klasma.github.io/Logging_2482/tillsynsmail/A 46092-2023 tillsynsbegäran mail.docx", "A 46092-2023")</f>
        <v/>
      </c>
    </row>
    <row r="82" ht="15" customHeight="1">
      <c r="A82" t="inlineStr">
        <is>
          <t>A 6156-2025</t>
        </is>
      </c>
      <c r="B82" s="1" t="n">
        <v>45695</v>
      </c>
      <c r="C82" s="1" t="n">
        <v>46205</v>
      </c>
      <c r="D82" t="inlineStr">
        <is>
          <t>VÄSTERBOTTENS LÄN</t>
        </is>
      </c>
      <c r="E82" t="inlineStr">
        <is>
          <t>SKELLEFTEÅ</t>
        </is>
      </c>
      <c r="G82" t="n">
        <v>5.1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Harticka
Ullticka</t>
        </is>
      </c>
      <c r="S82">
        <f>HYPERLINK("https://klasma.github.io/Logging_2482/artfynd/A 6156-2025 artfynd.xlsx", "A 6156-2025")</f>
        <v/>
      </c>
      <c r="T82">
        <f>HYPERLINK("https://klasma.github.io/Logging_2482/kartor/A 6156-2025 karta.png", "A 6156-2025")</f>
        <v/>
      </c>
      <c r="V82">
        <f>HYPERLINK("https://klasma.github.io/Logging_2482/klagomål/A 6156-2025 FSC-klagomål.docx", "A 6156-2025")</f>
        <v/>
      </c>
      <c r="W82">
        <f>HYPERLINK("https://klasma.github.io/Logging_2482/klagomålsmail/A 6156-2025 FSC-klagomål mail.docx", "A 6156-2025")</f>
        <v/>
      </c>
      <c r="X82">
        <f>HYPERLINK("https://klasma.github.io/Logging_2482/tillsyn/A 6156-2025 tillsynsbegäran.docx", "A 6156-2025")</f>
        <v/>
      </c>
      <c r="Y82">
        <f>HYPERLINK("https://klasma.github.io/Logging_2482/tillsynsmail/A 6156-2025 tillsynsbegäran mail.docx", "A 6156-2025")</f>
        <v/>
      </c>
    </row>
    <row r="83" ht="15" customHeight="1">
      <c r="A83" t="inlineStr">
        <is>
          <t>A 1762-2026</t>
        </is>
      </c>
      <c r="B83" s="1" t="n">
        <v>46034</v>
      </c>
      <c r="C83" s="1" t="n">
        <v>46205</v>
      </c>
      <c r="D83" t="inlineStr">
        <is>
          <t>VÄSTERBOTTENS LÄN</t>
        </is>
      </c>
      <c r="E83" t="inlineStr">
        <is>
          <t>SKELLEFTEÅ</t>
        </is>
      </c>
      <c r="G83" t="n">
        <v>9.9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Motaggsvamp
Fläcknycklar
Revlummer</t>
        </is>
      </c>
      <c r="S83">
        <f>HYPERLINK("https://klasma.github.io/Logging_2482/artfynd/A 1762-2026 artfynd.xlsx", "A 1762-2026")</f>
        <v/>
      </c>
      <c r="T83">
        <f>HYPERLINK("https://klasma.github.io/Logging_2482/kartor/A 1762-2026 karta.png", "A 1762-2026")</f>
        <v/>
      </c>
      <c r="V83">
        <f>HYPERLINK("https://klasma.github.io/Logging_2482/klagomål/A 1762-2026 FSC-klagomål.docx", "A 1762-2026")</f>
        <v/>
      </c>
      <c r="W83">
        <f>HYPERLINK("https://klasma.github.io/Logging_2482/klagomålsmail/A 1762-2026 FSC-klagomål mail.docx", "A 1762-2026")</f>
        <v/>
      </c>
      <c r="X83">
        <f>HYPERLINK("https://klasma.github.io/Logging_2482/tillsyn/A 1762-2026 tillsynsbegäran.docx", "A 1762-2026")</f>
        <v/>
      </c>
      <c r="Y83">
        <f>HYPERLINK("https://klasma.github.io/Logging_2482/tillsynsmail/A 1762-2026 tillsynsbegäran mail.docx", "A 1762-2026")</f>
        <v/>
      </c>
    </row>
    <row r="84" ht="15" customHeight="1">
      <c r="A84" t="inlineStr">
        <is>
          <t>A 41953-2025</t>
        </is>
      </c>
      <c r="B84" s="1" t="n">
        <v>45903</v>
      </c>
      <c r="C84" s="1" t="n">
        <v>46205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3.9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Lunglav
Talltagel
Vitgrynig nållav</t>
        </is>
      </c>
      <c r="S84">
        <f>HYPERLINK("https://klasma.github.io/Logging_2482/artfynd/A 41953-2025 artfynd.xlsx", "A 41953-2025")</f>
        <v/>
      </c>
      <c r="T84">
        <f>HYPERLINK("https://klasma.github.io/Logging_2482/kartor/A 41953-2025 karta.png", "A 41953-2025")</f>
        <v/>
      </c>
      <c r="V84">
        <f>HYPERLINK("https://klasma.github.io/Logging_2482/klagomål/A 41953-2025 FSC-klagomål.docx", "A 41953-2025")</f>
        <v/>
      </c>
      <c r="W84">
        <f>HYPERLINK("https://klasma.github.io/Logging_2482/klagomålsmail/A 41953-2025 FSC-klagomål mail.docx", "A 41953-2025")</f>
        <v/>
      </c>
      <c r="X84">
        <f>HYPERLINK("https://klasma.github.io/Logging_2482/tillsyn/A 41953-2025 tillsynsbegäran.docx", "A 41953-2025")</f>
        <v/>
      </c>
      <c r="Y84">
        <f>HYPERLINK("https://klasma.github.io/Logging_2482/tillsynsmail/A 41953-2025 tillsynsbegäran mail.docx", "A 41953-2025")</f>
        <v/>
      </c>
    </row>
    <row r="85" ht="15" customHeight="1">
      <c r="A85" t="inlineStr">
        <is>
          <t>A 35164-2025</t>
        </is>
      </c>
      <c r="B85" s="1" t="n">
        <v>45852</v>
      </c>
      <c r="C85" s="1" t="n">
        <v>46205</v>
      </c>
      <c r="D85" t="inlineStr">
        <is>
          <t>VÄSTERBOTTENS LÄN</t>
        </is>
      </c>
      <c r="E85" t="inlineStr">
        <is>
          <t>SKELLEFTEÅ</t>
        </is>
      </c>
      <c r="G85" t="n">
        <v>2.1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Kilporing
Harticka
Rosenticka</t>
        </is>
      </c>
      <c r="S85">
        <f>HYPERLINK("https://klasma.github.io/Logging_2482/artfynd/A 35164-2025 artfynd.xlsx", "A 35164-2025")</f>
        <v/>
      </c>
      <c r="T85">
        <f>HYPERLINK("https://klasma.github.io/Logging_2482/kartor/A 35164-2025 karta.png", "A 35164-2025")</f>
        <v/>
      </c>
      <c r="V85">
        <f>HYPERLINK("https://klasma.github.io/Logging_2482/klagomål/A 35164-2025 FSC-klagomål.docx", "A 35164-2025")</f>
        <v/>
      </c>
      <c r="W85">
        <f>HYPERLINK("https://klasma.github.io/Logging_2482/klagomålsmail/A 35164-2025 FSC-klagomål mail.docx", "A 35164-2025")</f>
        <v/>
      </c>
      <c r="X85">
        <f>HYPERLINK("https://klasma.github.io/Logging_2482/tillsyn/A 35164-2025 tillsynsbegäran.docx", "A 35164-2025")</f>
        <v/>
      </c>
      <c r="Y85">
        <f>HYPERLINK("https://klasma.github.io/Logging_2482/tillsynsmail/A 35164-2025 tillsynsbegäran mail.docx", "A 35164-2025")</f>
        <v/>
      </c>
    </row>
    <row r="86" ht="15" customHeight="1">
      <c r="A86" t="inlineStr">
        <is>
          <t>A 46627-2025</t>
        </is>
      </c>
      <c r="B86" s="1" t="n">
        <v>45926</v>
      </c>
      <c r="C86" s="1" t="n">
        <v>46205</v>
      </c>
      <c r="D86" t="inlineStr">
        <is>
          <t>VÄSTERBOTTENS LÄN</t>
        </is>
      </c>
      <c r="E86" t="inlineStr">
        <is>
          <t>SKELLEFTEÅ</t>
        </is>
      </c>
      <c r="G86" t="n">
        <v>7.4</v>
      </c>
      <c r="H86" t="n">
        <v>0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Garnlav
Violettgrå tagellav
Nästlav</t>
        </is>
      </c>
      <c r="S86">
        <f>HYPERLINK("https://klasma.github.io/Logging_2482/artfynd/A 46627-2025 artfynd.xlsx", "A 46627-2025")</f>
        <v/>
      </c>
      <c r="T86">
        <f>HYPERLINK("https://klasma.github.io/Logging_2482/kartor/A 46627-2025 karta.png", "A 46627-2025")</f>
        <v/>
      </c>
      <c r="V86">
        <f>HYPERLINK("https://klasma.github.io/Logging_2482/klagomål/A 46627-2025 FSC-klagomål.docx", "A 46627-2025")</f>
        <v/>
      </c>
      <c r="W86">
        <f>HYPERLINK("https://klasma.github.io/Logging_2482/klagomålsmail/A 46627-2025 FSC-klagomål mail.docx", "A 46627-2025")</f>
        <v/>
      </c>
      <c r="X86">
        <f>HYPERLINK("https://klasma.github.io/Logging_2482/tillsyn/A 46627-2025 tillsynsbegäran.docx", "A 46627-2025")</f>
        <v/>
      </c>
      <c r="Y86">
        <f>HYPERLINK("https://klasma.github.io/Logging_2482/tillsynsmail/A 46627-2025 tillsynsbegäran mail.docx", "A 46627-2025")</f>
        <v/>
      </c>
    </row>
    <row r="87" ht="15" customHeight="1">
      <c r="A87" t="inlineStr">
        <is>
          <t>A 56447-2025</t>
        </is>
      </c>
      <c r="B87" s="1" t="n">
        <v>45975</v>
      </c>
      <c r="C87" s="1" t="n">
        <v>46205</v>
      </c>
      <c r="D87" t="inlineStr">
        <is>
          <t>VÄSTERBOTTENS LÄN</t>
        </is>
      </c>
      <c r="E87" t="inlineStr">
        <is>
          <t>SKELLEFTEÅ</t>
        </is>
      </c>
      <c r="G87" t="n">
        <v>4.4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Grönsångare
Robust tickgnagare
Ormbär</t>
        </is>
      </c>
      <c r="S87">
        <f>HYPERLINK("https://klasma.github.io/Logging_2482/artfynd/A 56447-2025 artfynd.xlsx", "A 56447-2025")</f>
        <v/>
      </c>
      <c r="T87">
        <f>HYPERLINK("https://klasma.github.io/Logging_2482/kartor/A 56447-2025 karta.png", "A 56447-2025")</f>
        <v/>
      </c>
      <c r="V87">
        <f>HYPERLINK("https://klasma.github.io/Logging_2482/klagomål/A 56447-2025 FSC-klagomål.docx", "A 56447-2025")</f>
        <v/>
      </c>
      <c r="W87">
        <f>HYPERLINK("https://klasma.github.io/Logging_2482/klagomålsmail/A 56447-2025 FSC-klagomål mail.docx", "A 56447-2025")</f>
        <v/>
      </c>
      <c r="X87">
        <f>HYPERLINK("https://klasma.github.io/Logging_2482/tillsyn/A 56447-2025 tillsynsbegäran.docx", "A 56447-2025")</f>
        <v/>
      </c>
      <c r="Y87">
        <f>HYPERLINK("https://klasma.github.io/Logging_2482/tillsynsmail/A 56447-2025 tillsynsbegäran mail.docx", "A 56447-2025")</f>
        <v/>
      </c>
      <c r="Z87">
        <f>HYPERLINK("https://klasma.github.io/Logging_2482/fåglar/A 56447-2025 prioriterade fågelarter.docx", "A 56447-2025")</f>
        <v/>
      </c>
    </row>
    <row r="88" ht="15" customHeight="1">
      <c r="A88" t="inlineStr">
        <is>
          <t>A 57340-2025</t>
        </is>
      </c>
      <c r="B88" s="1" t="n">
        <v>45980</v>
      </c>
      <c r="C88" s="1" t="n">
        <v>46205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Sveaskog</t>
        </is>
      </c>
      <c r="G88" t="n">
        <v>24.1</v>
      </c>
      <c r="H88" t="n">
        <v>1</v>
      </c>
      <c r="I88" t="n">
        <v>0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3</v>
      </c>
      <c r="P88" t="n">
        <v>2</v>
      </c>
      <c r="Q88" t="n">
        <v>3</v>
      </c>
      <c r="R88" s="2" t="inlineStr">
        <is>
          <t>Garnlav
Knärot
Ullticka</t>
        </is>
      </c>
      <c r="S88">
        <f>HYPERLINK("https://klasma.github.io/Logging_2482/artfynd/A 57340-2025 artfynd.xlsx", "A 57340-2025")</f>
        <v/>
      </c>
      <c r="T88">
        <f>HYPERLINK("https://klasma.github.io/Logging_2482/kartor/A 57340-2025 karta.png", "A 57340-2025")</f>
        <v/>
      </c>
      <c r="U88">
        <f>HYPERLINK("https://klasma.github.io/Logging_2482/knärot/A 57340-2025 karta knärot.png", "A 57340-2025")</f>
        <v/>
      </c>
      <c r="V88">
        <f>HYPERLINK("https://klasma.github.io/Logging_2482/klagomål/A 57340-2025 FSC-klagomål.docx", "A 57340-2025")</f>
        <v/>
      </c>
      <c r="W88">
        <f>HYPERLINK("https://klasma.github.io/Logging_2482/klagomålsmail/A 57340-2025 FSC-klagomål mail.docx", "A 57340-2025")</f>
        <v/>
      </c>
      <c r="X88">
        <f>HYPERLINK("https://klasma.github.io/Logging_2482/tillsyn/A 57340-2025 tillsynsbegäran.docx", "A 57340-2025")</f>
        <v/>
      </c>
      <c r="Y88">
        <f>HYPERLINK("https://klasma.github.io/Logging_2482/tillsynsmail/A 57340-2025 tillsynsbegäran mail.docx", "A 57340-2025")</f>
        <v/>
      </c>
    </row>
    <row r="89" ht="15" customHeight="1">
      <c r="A89" t="inlineStr">
        <is>
          <t>A 3446-2026</t>
        </is>
      </c>
      <c r="B89" s="1" t="n">
        <v>46042</v>
      </c>
      <c r="C89" s="1" t="n">
        <v>46205</v>
      </c>
      <c r="D89" t="inlineStr">
        <is>
          <t>VÄSTERBOTTENS LÄN</t>
        </is>
      </c>
      <c r="E89" t="inlineStr">
        <is>
          <t>SKELLEFTEÅ</t>
        </is>
      </c>
      <c r="G89" t="n">
        <v>1.6</v>
      </c>
      <c r="H89" t="n">
        <v>2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Tretåig hackspett
Vedticka</t>
        </is>
      </c>
      <c r="S89">
        <f>HYPERLINK("https://klasma.github.io/Logging_2482/artfynd/A 3446-2026 artfynd.xlsx", "A 3446-2026")</f>
        <v/>
      </c>
      <c r="T89">
        <f>HYPERLINK("https://klasma.github.io/Logging_2482/kartor/A 3446-2026 karta.png", "A 3446-2026")</f>
        <v/>
      </c>
      <c r="U89">
        <f>HYPERLINK("https://klasma.github.io/Logging_2482/knärot/A 3446-2026 karta knärot.png", "A 3446-2026")</f>
        <v/>
      </c>
      <c r="V89">
        <f>HYPERLINK("https://klasma.github.io/Logging_2482/klagomål/A 3446-2026 FSC-klagomål.docx", "A 3446-2026")</f>
        <v/>
      </c>
      <c r="W89">
        <f>HYPERLINK("https://klasma.github.io/Logging_2482/klagomålsmail/A 3446-2026 FSC-klagomål mail.docx", "A 3446-2026")</f>
        <v/>
      </c>
      <c r="X89">
        <f>HYPERLINK("https://klasma.github.io/Logging_2482/tillsyn/A 3446-2026 tillsynsbegäran.docx", "A 3446-2026")</f>
        <v/>
      </c>
      <c r="Y89">
        <f>HYPERLINK("https://klasma.github.io/Logging_2482/tillsynsmail/A 3446-2026 tillsynsbegäran mail.docx", "A 3446-2026")</f>
        <v/>
      </c>
      <c r="Z89">
        <f>HYPERLINK("https://klasma.github.io/Logging_2482/fåglar/A 3446-2026 prioriterade fågelarter.docx", "A 3446-2026")</f>
        <v/>
      </c>
    </row>
    <row r="90" ht="15" customHeight="1">
      <c r="A90" t="inlineStr">
        <is>
          <t>A 59076-2025</t>
        </is>
      </c>
      <c r="B90" s="1" t="n">
        <v>45988</v>
      </c>
      <c r="C90" s="1" t="n">
        <v>46205</v>
      </c>
      <c r="D90" t="inlineStr">
        <is>
          <t>VÄSTERBOTTENS LÄN</t>
        </is>
      </c>
      <c r="E90" t="inlineStr">
        <is>
          <t>SKELLEFTEÅ</t>
        </is>
      </c>
      <c r="G90" t="n">
        <v>5.1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Bårdlav
Stuplav</t>
        </is>
      </c>
      <c r="S90">
        <f>HYPERLINK("https://klasma.github.io/Logging_2482/artfynd/A 59076-2025 artfynd.xlsx", "A 59076-2025")</f>
        <v/>
      </c>
      <c r="T90">
        <f>HYPERLINK("https://klasma.github.io/Logging_2482/kartor/A 59076-2025 karta.png", "A 59076-2025")</f>
        <v/>
      </c>
      <c r="V90">
        <f>HYPERLINK("https://klasma.github.io/Logging_2482/klagomål/A 59076-2025 FSC-klagomål.docx", "A 59076-2025")</f>
        <v/>
      </c>
      <c r="W90">
        <f>HYPERLINK("https://klasma.github.io/Logging_2482/klagomålsmail/A 59076-2025 FSC-klagomål mail.docx", "A 59076-2025")</f>
        <v/>
      </c>
      <c r="X90">
        <f>HYPERLINK("https://klasma.github.io/Logging_2482/tillsyn/A 59076-2025 tillsynsbegäran.docx", "A 59076-2025")</f>
        <v/>
      </c>
      <c r="Y90">
        <f>HYPERLINK("https://klasma.github.io/Logging_2482/tillsynsmail/A 59076-2025 tillsynsbegäran mail.docx", "A 59076-2025")</f>
        <v/>
      </c>
    </row>
    <row r="91" ht="15" customHeight="1">
      <c r="A91" t="inlineStr">
        <is>
          <t>A 41099-2023</t>
        </is>
      </c>
      <c r="B91" s="1" t="n">
        <v>45173</v>
      </c>
      <c r="C91" s="1" t="n">
        <v>46205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7.3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Garnlav
Gammelgransskål
Lunglav</t>
        </is>
      </c>
      <c r="S91">
        <f>HYPERLINK("https://klasma.github.io/Logging_2482/artfynd/A 41099-2023 artfynd.xlsx", "A 41099-2023")</f>
        <v/>
      </c>
      <c r="T91">
        <f>HYPERLINK("https://klasma.github.io/Logging_2482/kartor/A 41099-2023 karta.png", "A 41099-2023")</f>
        <v/>
      </c>
      <c r="V91">
        <f>HYPERLINK("https://klasma.github.io/Logging_2482/klagomål/A 41099-2023 FSC-klagomål.docx", "A 41099-2023")</f>
        <v/>
      </c>
      <c r="W91">
        <f>HYPERLINK("https://klasma.github.io/Logging_2482/klagomålsmail/A 41099-2023 FSC-klagomål mail.docx", "A 41099-2023")</f>
        <v/>
      </c>
      <c r="X91">
        <f>HYPERLINK("https://klasma.github.io/Logging_2482/tillsyn/A 41099-2023 tillsynsbegäran.docx", "A 41099-2023")</f>
        <v/>
      </c>
      <c r="Y91">
        <f>HYPERLINK("https://klasma.github.io/Logging_2482/tillsynsmail/A 41099-2023 tillsynsbegäran mail.docx", "A 41099-2023")</f>
        <v/>
      </c>
    </row>
    <row r="92" ht="15" customHeight="1">
      <c r="A92" t="inlineStr">
        <is>
          <t>A 44616-2022</t>
        </is>
      </c>
      <c r="B92" s="1" t="n">
        <v>44839</v>
      </c>
      <c r="C92" s="1" t="n">
        <v>46205</v>
      </c>
      <c r="D92" t="inlineStr">
        <is>
          <t>VÄSTERBOTTENS LÄN</t>
        </is>
      </c>
      <c r="E92" t="inlineStr">
        <is>
          <t>SKELLEFTEÅ</t>
        </is>
      </c>
      <c r="G92" t="n">
        <v>4.8</v>
      </c>
      <c r="H92" t="n">
        <v>1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Garnlav
Gammelgransskål
Tretåig hackspett</t>
        </is>
      </c>
      <c r="S92">
        <f>HYPERLINK("https://klasma.github.io/Logging_2482/artfynd/A 44616-2022 artfynd.xlsx", "A 44616-2022")</f>
        <v/>
      </c>
      <c r="T92">
        <f>HYPERLINK("https://klasma.github.io/Logging_2482/kartor/A 44616-2022 karta.png", "A 44616-2022")</f>
        <v/>
      </c>
      <c r="V92">
        <f>HYPERLINK("https://klasma.github.io/Logging_2482/klagomål/A 44616-2022 FSC-klagomål.docx", "A 44616-2022")</f>
        <v/>
      </c>
      <c r="W92">
        <f>HYPERLINK("https://klasma.github.io/Logging_2482/klagomålsmail/A 44616-2022 FSC-klagomål mail.docx", "A 44616-2022")</f>
        <v/>
      </c>
      <c r="X92">
        <f>HYPERLINK("https://klasma.github.io/Logging_2482/tillsyn/A 44616-2022 tillsynsbegäran.docx", "A 44616-2022")</f>
        <v/>
      </c>
      <c r="Y92">
        <f>HYPERLINK("https://klasma.github.io/Logging_2482/tillsynsmail/A 44616-2022 tillsynsbegäran mail.docx", "A 44616-2022")</f>
        <v/>
      </c>
      <c r="Z92">
        <f>HYPERLINK("https://klasma.github.io/Logging_2482/fåglar/A 44616-2022 prioriterade fågelarter.docx", "A 44616-2022")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46205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Vedticka
Spillkråka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64409-2021</t>
        </is>
      </c>
      <c r="B94" s="1" t="n">
        <v>44510</v>
      </c>
      <c r="C94" s="1" t="n">
        <v>46205</v>
      </c>
      <c r="D94" t="inlineStr">
        <is>
          <t>VÄSTERBOTTENS LÄN</t>
        </is>
      </c>
      <c r="E94" t="inlineStr">
        <is>
          <t>SKELLEFTEÅ</t>
        </is>
      </c>
      <c r="G94" t="n">
        <v>1.3</v>
      </c>
      <c r="H94" t="n">
        <v>2</v>
      </c>
      <c r="I94" t="n">
        <v>0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2</v>
      </c>
      <c r="P94" t="n">
        <v>2</v>
      </c>
      <c r="Q94" t="n">
        <v>3</v>
      </c>
      <c r="R94" s="2" t="inlineStr">
        <is>
          <t>Grönfink
Igelkott
Grönsiska</t>
        </is>
      </c>
      <c r="S94">
        <f>HYPERLINK("https://klasma.github.io/Logging_2482/artfynd/A 64409-2021 artfynd.xlsx", "A 64409-2021")</f>
        <v/>
      </c>
      <c r="T94">
        <f>HYPERLINK("https://klasma.github.io/Logging_2482/kartor/A 64409-2021 karta.png", "A 64409-2021")</f>
        <v/>
      </c>
      <c r="V94">
        <f>HYPERLINK("https://klasma.github.io/Logging_2482/klagomål/A 64409-2021 FSC-klagomål.docx", "A 64409-2021")</f>
        <v/>
      </c>
      <c r="W94">
        <f>HYPERLINK("https://klasma.github.io/Logging_2482/klagomålsmail/A 64409-2021 FSC-klagomål mail.docx", "A 64409-2021")</f>
        <v/>
      </c>
      <c r="X94">
        <f>HYPERLINK("https://klasma.github.io/Logging_2482/tillsyn/A 64409-2021 tillsynsbegäran.docx", "A 64409-2021")</f>
        <v/>
      </c>
      <c r="Y94">
        <f>HYPERLINK("https://klasma.github.io/Logging_2482/tillsynsmail/A 64409-2021 tillsynsbegäran mail.docx", "A 64409-2021")</f>
        <v/>
      </c>
      <c r="Z94">
        <f>HYPERLINK("https://klasma.github.io/Logging_2482/fåglar/A 64409-2021 prioriterade fågelarter.docx", "A 64409-2021")</f>
        <v/>
      </c>
    </row>
    <row r="95" ht="15" customHeight="1">
      <c r="A95" t="inlineStr">
        <is>
          <t>A 2308-2025</t>
        </is>
      </c>
      <c r="B95" s="1" t="n">
        <v>45673</v>
      </c>
      <c r="C95" s="1" t="n">
        <v>46205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Garnlav
Vedflamlav
Nästlav</t>
        </is>
      </c>
      <c r="S95">
        <f>HYPERLINK("https://klasma.github.io/Logging_2482/artfynd/A 2308-2025 artfynd.xlsx", "A 2308-2025")</f>
        <v/>
      </c>
      <c r="T95">
        <f>HYPERLINK("https://klasma.github.io/Logging_2482/kartor/A 2308-2025 karta.png", "A 2308-2025")</f>
        <v/>
      </c>
      <c r="V95">
        <f>HYPERLINK("https://klasma.github.io/Logging_2482/klagomål/A 2308-2025 FSC-klagomål.docx", "A 2308-2025")</f>
        <v/>
      </c>
      <c r="W95">
        <f>HYPERLINK("https://klasma.github.io/Logging_2482/klagomålsmail/A 2308-2025 FSC-klagomål mail.docx", "A 2308-2025")</f>
        <v/>
      </c>
      <c r="X95">
        <f>HYPERLINK("https://klasma.github.io/Logging_2482/tillsyn/A 2308-2025 tillsynsbegäran.docx", "A 2308-2025")</f>
        <v/>
      </c>
      <c r="Y95">
        <f>HYPERLINK("https://klasma.github.io/Logging_2482/tillsynsmail/A 2308-2025 tillsynsbegäran mail.docx", "A 2308-2025")</f>
        <v/>
      </c>
    </row>
    <row r="96" ht="15" customHeight="1">
      <c r="A96" t="inlineStr">
        <is>
          <t>A 40987-2022</t>
        </is>
      </c>
      <c r="B96" s="1" t="n">
        <v>44823</v>
      </c>
      <c r="C96" s="1" t="n">
        <v>46205</v>
      </c>
      <c r="D96" t="inlineStr">
        <is>
          <t>VÄSTERBOTTENS LÄN</t>
        </is>
      </c>
      <c r="E96" t="inlineStr">
        <is>
          <t>SKELLEFTEÅ</t>
        </is>
      </c>
      <c r="G96" t="n">
        <v>7.1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Blå taggsvamp
Bårdlav
Norrlandslav</t>
        </is>
      </c>
      <c r="S96">
        <f>HYPERLINK("https://klasma.github.io/Logging_2482/artfynd/A 40987-2022 artfynd.xlsx", "A 40987-2022")</f>
        <v/>
      </c>
      <c r="T96">
        <f>HYPERLINK("https://klasma.github.io/Logging_2482/kartor/A 40987-2022 karta.png", "A 40987-2022")</f>
        <v/>
      </c>
      <c r="V96">
        <f>HYPERLINK("https://klasma.github.io/Logging_2482/klagomål/A 40987-2022 FSC-klagomål.docx", "A 40987-2022")</f>
        <v/>
      </c>
      <c r="W96">
        <f>HYPERLINK("https://klasma.github.io/Logging_2482/klagomålsmail/A 40987-2022 FSC-klagomål mail.docx", "A 40987-2022")</f>
        <v/>
      </c>
      <c r="X96">
        <f>HYPERLINK("https://klasma.github.io/Logging_2482/tillsyn/A 40987-2022 tillsynsbegäran.docx", "A 40987-2022")</f>
        <v/>
      </c>
      <c r="Y96">
        <f>HYPERLINK("https://klasma.github.io/Logging_2482/tillsynsmail/A 40987-2022 tillsynsbegäran mail.docx", "A 40987-2022")</f>
        <v/>
      </c>
    </row>
    <row r="97" ht="15" customHeight="1">
      <c r="A97" t="inlineStr">
        <is>
          <t>A 43250-2023</t>
        </is>
      </c>
      <c r="B97" s="1" t="n">
        <v>45180</v>
      </c>
      <c r="C97" s="1" t="n">
        <v>46205</v>
      </c>
      <c r="D97" t="inlineStr">
        <is>
          <t>VÄSTERBOTTENS LÄN</t>
        </is>
      </c>
      <c r="E97" t="inlineStr">
        <is>
          <t>SKELLEFTEÅ</t>
        </is>
      </c>
      <c r="G97" t="n">
        <v>3.3</v>
      </c>
      <c r="H97" t="n">
        <v>1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Gammelgransskål
Vitgrynig nållav</t>
        </is>
      </c>
      <c r="S97">
        <f>HYPERLINK("https://klasma.github.io/Logging_2482/artfynd/A 43250-2023 artfynd.xlsx", "A 43250-2023")</f>
        <v/>
      </c>
      <c r="T97">
        <f>HYPERLINK("https://klasma.github.io/Logging_2482/kartor/A 43250-2023 karta.png", "A 43250-2023")</f>
        <v/>
      </c>
      <c r="U97">
        <f>HYPERLINK("https://klasma.github.io/Logging_2482/knärot/A 43250-2023 karta knärot.png", "A 43250-2023")</f>
        <v/>
      </c>
      <c r="V97">
        <f>HYPERLINK("https://klasma.github.io/Logging_2482/klagomål/A 43250-2023 FSC-klagomål.docx", "A 43250-2023")</f>
        <v/>
      </c>
      <c r="W97">
        <f>HYPERLINK("https://klasma.github.io/Logging_2482/klagomålsmail/A 43250-2023 FSC-klagomål mail.docx", "A 43250-2023")</f>
        <v/>
      </c>
      <c r="X97">
        <f>HYPERLINK("https://klasma.github.io/Logging_2482/tillsyn/A 43250-2023 tillsynsbegäran.docx", "A 43250-2023")</f>
        <v/>
      </c>
      <c r="Y97">
        <f>HYPERLINK("https://klasma.github.io/Logging_2482/tillsynsmail/A 43250-2023 tillsynsbegäran mail.docx", "A 43250-2023")</f>
        <v/>
      </c>
    </row>
    <row r="98" ht="15" customHeight="1">
      <c r="A98" t="inlineStr">
        <is>
          <t>A 49440-2022</t>
        </is>
      </c>
      <c r="B98" s="1" t="n">
        <v>44859</v>
      </c>
      <c r="C98" s="1" t="n">
        <v>46205</v>
      </c>
      <c r="D98" t="inlineStr">
        <is>
          <t>VÄSTERBOTTENS LÄN</t>
        </is>
      </c>
      <c r="E98" t="inlineStr">
        <is>
          <t>SKELLEFTEÅ</t>
        </is>
      </c>
      <c r="G98" t="n">
        <v>1.5</v>
      </c>
      <c r="H98" t="n">
        <v>0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Gränsticka
Ullticka
Violettgrå tagellav</t>
        </is>
      </c>
      <c r="S98">
        <f>HYPERLINK("https://klasma.github.io/Logging_2482/artfynd/A 49440-2022 artfynd.xlsx", "A 49440-2022")</f>
        <v/>
      </c>
      <c r="T98">
        <f>HYPERLINK("https://klasma.github.io/Logging_2482/kartor/A 49440-2022 karta.png", "A 49440-2022")</f>
        <v/>
      </c>
      <c r="V98">
        <f>HYPERLINK("https://klasma.github.io/Logging_2482/klagomål/A 49440-2022 FSC-klagomål.docx", "A 49440-2022")</f>
        <v/>
      </c>
      <c r="W98">
        <f>HYPERLINK("https://klasma.github.io/Logging_2482/klagomålsmail/A 49440-2022 FSC-klagomål mail.docx", "A 49440-2022")</f>
        <v/>
      </c>
      <c r="X98">
        <f>HYPERLINK("https://klasma.github.io/Logging_2482/tillsyn/A 49440-2022 tillsynsbegäran.docx", "A 49440-2022")</f>
        <v/>
      </c>
      <c r="Y98">
        <f>HYPERLINK("https://klasma.github.io/Logging_2482/tillsynsmail/A 49440-2022 tillsynsbegäran mail.docx", "A 49440-2022")</f>
        <v/>
      </c>
    </row>
    <row r="99" ht="15" customHeight="1">
      <c r="A99" t="inlineStr">
        <is>
          <t>A 55198-2024</t>
        </is>
      </c>
      <c r="B99" s="1" t="n">
        <v>45620</v>
      </c>
      <c r="C99" s="1" t="n">
        <v>46205</v>
      </c>
      <c r="D99" t="inlineStr">
        <is>
          <t>VÄSTERBOTTENS LÄN</t>
        </is>
      </c>
      <c r="E99" t="inlineStr">
        <is>
          <t>SKELLEFTEÅ</t>
        </is>
      </c>
      <c r="G99" t="n">
        <v>1.8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Blanksvart spiklav
Lunglav
Nästlav</t>
        </is>
      </c>
      <c r="S99">
        <f>HYPERLINK("https://klasma.github.io/Logging_2482/artfynd/A 55198-2024 artfynd.xlsx", "A 55198-2024")</f>
        <v/>
      </c>
      <c r="T99">
        <f>HYPERLINK("https://klasma.github.io/Logging_2482/kartor/A 55198-2024 karta.png", "A 55198-2024")</f>
        <v/>
      </c>
      <c r="V99">
        <f>HYPERLINK("https://klasma.github.io/Logging_2482/klagomål/A 55198-2024 FSC-klagomål.docx", "A 55198-2024")</f>
        <v/>
      </c>
      <c r="W99">
        <f>HYPERLINK("https://klasma.github.io/Logging_2482/klagomålsmail/A 55198-2024 FSC-klagomål mail.docx", "A 55198-2024")</f>
        <v/>
      </c>
      <c r="X99">
        <f>HYPERLINK("https://klasma.github.io/Logging_2482/tillsyn/A 55198-2024 tillsynsbegäran.docx", "A 55198-2024")</f>
        <v/>
      </c>
      <c r="Y99">
        <f>HYPERLINK("https://klasma.github.io/Logging_2482/tillsynsmail/A 55198-2024 tillsynsbegäran mail.docx", "A 55198-2024")</f>
        <v/>
      </c>
    </row>
    <row r="100" ht="15" customHeight="1">
      <c r="A100" t="inlineStr">
        <is>
          <t>A 46107-2023</t>
        </is>
      </c>
      <c r="B100" s="1" t="n">
        <v>45190</v>
      </c>
      <c r="C100" s="1" t="n">
        <v>46205</v>
      </c>
      <c r="D100" t="inlineStr">
        <is>
          <t>VÄSTERBOTTENS LÄN</t>
        </is>
      </c>
      <c r="E100" t="inlineStr">
        <is>
          <t>SKELLEFTEÅ</t>
        </is>
      </c>
      <c r="G100" t="n">
        <v>1.3</v>
      </c>
      <c r="H100" t="n">
        <v>0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Garnlav
Ullticka
Stuplav</t>
        </is>
      </c>
      <c r="S100">
        <f>HYPERLINK("https://klasma.github.io/Logging_2482/artfynd/A 46107-2023 artfynd.xlsx", "A 46107-2023")</f>
        <v/>
      </c>
      <c r="T100">
        <f>HYPERLINK("https://klasma.github.io/Logging_2482/kartor/A 46107-2023 karta.png", "A 46107-2023")</f>
        <v/>
      </c>
      <c r="V100">
        <f>HYPERLINK("https://klasma.github.io/Logging_2482/klagomål/A 46107-2023 FSC-klagomål.docx", "A 46107-2023")</f>
        <v/>
      </c>
      <c r="W100">
        <f>HYPERLINK("https://klasma.github.io/Logging_2482/klagomålsmail/A 46107-2023 FSC-klagomål mail.docx", "A 46107-2023")</f>
        <v/>
      </c>
      <c r="X100">
        <f>HYPERLINK("https://klasma.github.io/Logging_2482/tillsyn/A 46107-2023 tillsynsbegäran.docx", "A 46107-2023")</f>
        <v/>
      </c>
      <c r="Y100">
        <f>HYPERLINK("https://klasma.github.io/Logging_2482/tillsynsmail/A 46107-2023 tillsynsbegäran mail.docx", "A 46107-2023")</f>
        <v/>
      </c>
    </row>
    <row r="101" ht="15" customHeight="1">
      <c r="A101" t="inlineStr">
        <is>
          <t>A 44152-2023</t>
        </is>
      </c>
      <c r="B101" s="1" t="n">
        <v>45188</v>
      </c>
      <c r="C101" s="1" t="n">
        <v>46205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9.199999999999999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Garnlav
Gammelgransskål
Videsparv</t>
        </is>
      </c>
      <c r="S101">
        <f>HYPERLINK("https://klasma.github.io/Logging_2482/artfynd/A 44152-2023 artfynd.xlsx", "A 44152-2023")</f>
        <v/>
      </c>
      <c r="T101">
        <f>HYPERLINK("https://klasma.github.io/Logging_2482/kartor/A 44152-2023 karta.png", "A 44152-2023")</f>
        <v/>
      </c>
      <c r="V101">
        <f>HYPERLINK("https://klasma.github.io/Logging_2482/klagomål/A 44152-2023 FSC-klagomål.docx", "A 44152-2023")</f>
        <v/>
      </c>
      <c r="W101">
        <f>HYPERLINK("https://klasma.github.io/Logging_2482/klagomålsmail/A 44152-2023 FSC-klagomål mail.docx", "A 44152-2023")</f>
        <v/>
      </c>
      <c r="X101">
        <f>HYPERLINK("https://klasma.github.io/Logging_2482/tillsyn/A 44152-2023 tillsynsbegäran.docx", "A 44152-2023")</f>
        <v/>
      </c>
      <c r="Y101">
        <f>HYPERLINK("https://klasma.github.io/Logging_2482/tillsynsmail/A 44152-2023 tillsynsbegäran mail.docx", "A 44152-2023")</f>
        <v/>
      </c>
      <c r="Z101">
        <f>HYPERLINK("https://klasma.github.io/Logging_2482/fåglar/A 44152-2023 prioriterade fågelarter.docx", "A 44152-2023")</f>
        <v/>
      </c>
    </row>
    <row r="102" ht="15" customHeight="1">
      <c r="A102" t="inlineStr">
        <is>
          <t>A 1259-2024</t>
        </is>
      </c>
      <c r="B102" s="1" t="n">
        <v>45302</v>
      </c>
      <c r="C102" s="1" t="n">
        <v>46205</v>
      </c>
      <c r="D102" t="inlineStr">
        <is>
          <t>VÄSTERBOTTENS LÄN</t>
        </is>
      </c>
      <c r="E102" t="inlineStr">
        <is>
          <t>SKELLEFTEÅ</t>
        </is>
      </c>
      <c r="G102" t="n">
        <v>1.6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Månlåsbräken
Nordlåsbräken</t>
        </is>
      </c>
      <c r="S102">
        <f>HYPERLINK("https://klasma.github.io/Logging_2482/artfynd/A 1259-2024 artfynd.xlsx", "A 1259-2024")</f>
        <v/>
      </c>
      <c r="T102">
        <f>HYPERLINK("https://klasma.github.io/Logging_2482/kartor/A 1259-2024 karta.png", "A 1259-2024")</f>
        <v/>
      </c>
      <c r="V102">
        <f>HYPERLINK("https://klasma.github.io/Logging_2482/klagomål/A 1259-2024 FSC-klagomål.docx", "A 1259-2024")</f>
        <v/>
      </c>
      <c r="W102">
        <f>HYPERLINK("https://klasma.github.io/Logging_2482/klagomålsmail/A 1259-2024 FSC-klagomål mail.docx", "A 1259-2024")</f>
        <v/>
      </c>
      <c r="X102">
        <f>HYPERLINK("https://klasma.github.io/Logging_2482/tillsyn/A 1259-2024 tillsynsbegäran.docx", "A 1259-2024")</f>
        <v/>
      </c>
      <c r="Y102">
        <f>HYPERLINK("https://klasma.github.io/Logging_2482/tillsynsmail/A 1259-2024 tillsynsbegäran mail.docx", "A 1259-2024")</f>
        <v/>
      </c>
    </row>
    <row r="103" ht="15" customHeight="1">
      <c r="A103" t="inlineStr">
        <is>
          <t>A 35736-2023</t>
        </is>
      </c>
      <c r="B103" s="1" t="n">
        <v>45147</v>
      </c>
      <c r="C103" s="1" t="n">
        <v>46205</v>
      </c>
      <c r="D103" t="inlineStr">
        <is>
          <t>VÄSTERBOTTENS LÄN</t>
        </is>
      </c>
      <c r="E103" t="inlineStr">
        <is>
          <t>SKELLEFTEÅ</t>
        </is>
      </c>
      <c r="G103" t="n">
        <v>5.3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HYPERLINK("https://klasma.github.io/Logging_2482/artfynd/A 35736-2023 artfynd.xlsx", "A 35736-2023")</f>
        <v/>
      </c>
      <c r="T103">
        <f>HYPERLINK("https://klasma.github.io/Logging_2482/kartor/A 35736-2023 karta.png", "A 35736-2023")</f>
        <v/>
      </c>
      <c r="V103">
        <f>HYPERLINK("https://klasma.github.io/Logging_2482/klagomål/A 35736-2023 FSC-klagomål.docx", "A 35736-2023")</f>
        <v/>
      </c>
      <c r="W103">
        <f>HYPERLINK("https://klasma.github.io/Logging_2482/klagomålsmail/A 35736-2023 FSC-klagomål mail.docx", "A 35736-2023")</f>
        <v/>
      </c>
      <c r="X103">
        <f>HYPERLINK("https://klasma.github.io/Logging_2482/tillsyn/A 35736-2023 tillsynsbegäran.docx", "A 35736-2023")</f>
        <v/>
      </c>
      <c r="Y103">
        <f>HYPERLINK("https://klasma.github.io/Logging_2482/tillsynsmail/A 35736-2023 tillsynsbegäran mail.docx", "A 35736-2023")</f>
        <v/>
      </c>
    </row>
    <row r="104" ht="15" customHeight="1">
      <c r="A104" t="inlineStr">
        <is>
          <t>A 59706-2021</t>
        </is>
      </c>
      <c r="B104" s="1" t="n">
        <v>44494</v>
      </c>
      <c r="C104" s="1" t="n">
        <v>46205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Garnlav
Violettgrå tagellav</t>
        </is>
      </c>
      <c r="S104">
        <f>HYPERLINK("https://klasma.github.io/Logging_2482/artfynd/A 59706-2021 artfynd.xlsx", "A 59706-2021")</f>
        <v/>
      </c>
      <c r="T104">
        <f>HYPERLINK("https://klasma.github.io/Logging_2482/kartor/A 59706-2021 karta.png", "A 59706-2021")</f>
        <v/>
      </c>
      <c r="V104">
        <f>HYPERLINK("https://klasma.github.io/Logging_2482/klagomål/A 59706-2021 FSC-klagomål.docx", "A 59706-2021")</f>
        <v/>
      </c>
      <c r="W104">
        <f>HYPERLINK("https://klasma.github.io/Logging_2482/klagomålsmail/A 59706-2021 FSC-klagomål mail.docx", "A 59706-2021")</f>
        <v/>
      </c>
      <c r="X104">
        <f>HYPERLINK("https://klasma.github.io/Logging_2482/tillsyn/A 59706-2021 tillsynsbegäran.docx", "A 59706-2021")</f>
        <v/>
      </c>
      <c r="Y104">
        <f>HYPERLINK("https://klasma.github.io/Logging_2482/tillsynsmail/A 59706-2021 tillsynsbegäran mail.docx", "A 59706-2021")</f>
        <v/>
      </c>
    </row>
    <row r="105" ht="15" customHeight="1">
      <c r="A105" t="inlineStr">
        <is>
          <t>A 25774-2025</t>
        </is>
      </c>
      <c r="B105" s="1" t="n">
        <v>45804</v>
      </c>
      <c r="C105" s="1" t="n">
        <v>46205</v>
      </c>
      <c r="D105" t="inlineStr">
        <is>
          <t>VÄSTERBOTTENS LÄN</t>
        </is>
      </c>
      <c r="E105" t="inlineStr">
        <is>
          <t>SKELLEFTEÅ</t>
        </is>
      </c>
      <c r="G105" t="n">
        <v>2.1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Tretåig hackspett
Tjäder</t>
        </is>
      </c>
      <c r="S105">
        <f>HYPERLINK("https://klasma.github.io/Logging_2482/artfynd/A 25774-2025 artfynd.xlsx", "A 25774-2025")</f>
        <v/>
      </c>
      <c r="T105">
        <f>HYPERLINK("https://klasma.github.io/Logging_2482/kartor/A 25774-2025 karta.png", "A 25774-2025")</f>
        <v/>
      </c>
      <c r="V105">
        <f>HYPERLINK("https://klasma.github.io/Logging_2482/klagomål/A 25774-2025 FSC-klagomål.docx", "A 25774-2025")</f>
        <v/>
      </c>
      <c r="W105">
        <f>HYPERLINK("https://klasma.github.io/Logging_2482/klagomålsmail/A 25774-2025 FSC-klagomål mail.docx", "A 25774-2025")</f>
        <v/>
      </c>
      <c r="X105">
        <f>HYPERLINK("https://klasma.github.io/Logging_2482/tillsyn/A 25774-2025 tillsynsbegäran.docx", "A 25774-2025")</f>
        <v/>
      </c>
      <c r="Y105">
        <f>HYPERLINK("https://klasma.github.io/Logging_2482/tillsynsmail/A 25774-2025 tillsynsbegäran mail.docx", "A 25774-2025")</f>
        <v/>
      </c>
      <c r="Z105">
        <f>HYPERLINK("https://klasma.github.io/Logging_2482/fåglar/A 25774-2025 prioriterade fågelarter.docx", "A 25774-2025")</f>
        <v/>
      </c>
    </row>
    <row r="106" ht="15" customHeight="1">
      <c r="A106" t="inlineStr">
        <is>
          <t>A 1752-2026</t>
        </is>
      </c>
      <c r="B106" s="1" t="n">
        <v>46034</v>
      </c>
      <c r="C106" s="1" t="n">
        <v>46205</v>
      </c>
      <c r="D106" t="inlineStr">
        <is>
          <t>VÄSTERBOTTENS LÄN</t>
        </is>
      </c>
      <c r="E106" t="inlineStr">
        <is>
          <t>SKELLEFTEÅ</t>
        </is>
      </c>
      <c r="G106" t="n">
        <v>13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Nordfladdermus
Revlummer</t>
        </is>
      </c>
      <c r="S106">
        <f>HYPERLINK("https://klasma.github.io/Logging_2482/artfynd/A 1752-2026 artfynd.xlsx", "A 1752-2026")</f>
        <v/>
      </c>
      <c r="T106">
        <f>HYPERLINK("https://klasma.github.io/Logging_2482/kartor/A 1752-2026 karta.png", "A 1752-2026")</f>
        <v/>
      </c>
      <c r="V106">
        <f>HYPERLINK("https://klasma.github.io/Logging_2482/klagomål/A 1752-2026 FSC-klagomål.docx", "A 1752-2026")</f>
        <v/>
      </c>
      <c r="W106">
        <f>HYPERLINK("https://klasma.github.io/Logging_2482/klagomålsmail/A 1752-2026 FSC-klagomål mail.docx", "A 1752-2026")</f>
        <v/>
      </c>
      <c r="X106">
        <f>HYPERLINK("https://klasma.github.io/Logging_2482/tillsyn/A 1752-2026 tillsynsbegäran.docx", "A 1752-2026")</f>
        <v/>
      </c>
      <c r="Y106">
        <f>HYPERLINK("https://klasma.github.io/Logging_2482/tillsynsmail/A 1752-2026 tillsynsbegäran mail.docx", "A 1752-2026")</f>
        <v/>
      </c>
    </row>
    <row r="107" ht="15" customHeight="1">
      <c r="A107" t="inlineStr">
        <is>
          <t>A 43743-2024</t>
        </is>
      </c>
      <c r="B107" s="1" t="n">
        <v>45569</v>
      </c>
      <c r="C107" s="1" t="n">
        <v>46205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43743-2024 artfynd.xlsx", "A 43743-2024")</f>
        <v/>
      </c>
      <c r="T107">
        <f>HYPERLINK("https://klasma.github.io/Logging_2482/kartor/A 43743-2024 karta.png", "A 43743-2024")</f>
        <v/>
      </c>
      <c r="V107">
        <f>HYPERLINK("https://klasma.github.io/Logging_2482/klagomål/A 43743-2024 FSC-klagomål.docx", "A 43743-2024")</f>
        <v/>
      </c>
      <c r="W107">
        <f>HYPERLINK("https://klasma.github.io/Logging_2482/klagomålsmail/A 43743-2024 FSC-klagomål mail.docx", "A 43743-2024")</f>
        <v/>
      </c>
      <c r="X107">
        <f>HYPERLINK("https://klasma.github.io/Logging_2482/tillsyn/A 43743-2024 tillsynsbegäran.docx", "A 43743-2024")</f>
        <v/>
      </c>
      <c r="Y107">
        <f>HYPERLINK("https://klasma.github.io/Logging_2482/tillsynsmail/A 43743-2024 tillsynsbegäran mail.docx", "A 43743-2024")</f>
        <v/>
      </c>
    </row>
    <row r="108" ht="15" customHeight="1">
      <c r="A108" t="inlineStr">
        <is>
          <t>A 14391-2025</t>
        </is>
      </c>
      <c r="B108" s="1" t="n">
        <v>45741</v>
      </c>
      <c r="C108" s="1" t="n">
        <v>46205</v>
      </c>
      <c r="D108" t="inlineStr">
        <is>
          <t>VÄSTERBOTTENS LÄN</t>
        </is>
      </c>
      <c r="E108" t="inlineStr">
        <is>
          <t>SKELLEFTEÅ</t>
        </is>
      </c>
      <c r="G108" t="n">
        <v>3.2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Enkelbeckasin
Grönsiska</t>
        </is>
      </c>
      <c r="S108">
        <f>HYPERLINK("https://klasma.github.io/Logging_2482/artfynd/A 14391-2025 artfynd.xlsx", "A 14391-2025")</f>
        <v/>
      </c>
      <c r="T108">
        <f>HYPERLINK("https://klasma.github.io/Logging_2482/kartor/A 14391-2025 karta.png", "A 14391-2025")</f>
        <v/>
      </c>
      <c r="V108">
        <f>HYPERLINK("https://klasma.github.io/Logging_2482/klagomål/A 14391-2025 FSC-klagomål.docx", "A 14391-2025")</f>
        <v/>
      </c>
      <c r="W108">
        <f>HYPERLINK("https://klasma.github.io/Logging_2482/klagomålsmail/A 14391-2025 FSC-klagomål mail.docx", "A 14391-2025")</f>
        <v/>
      </c>
      <c r="X108">
        <f>HYPERLINK("https://klasma.github.io/Logging_2482/tillsyn/A 14391-2025 tillsynsbegäran.docx", "A 14391-2025")</f>
        <v/>
      </c>
      <c r="Y108">
        <f>HYPERLINK("https://klasma.github.io/Logging_2482/tillsynsmail/A 14391-2025 tillsynsbegäran mail.docx", "A 14391-2025")</f>
        <v/>
      </c>
      <c r="Z108">
        <f>HYPERLINK("https://klasma.github.io/Logging_2482/fåglar/A 14391-2025 prioriterade fågelarter.docx", "A 14391-2025")</f>
        <v/>
      </c>
    </row>
    <row r="109" ht="15" customHeight="1">
      <c r="A109" t="inlineStr">
        <is>
          <t>A 58572-2022</t>
        </is>
      </c>
      <c r="B109" s="1" t="n">
        <v>44902</v>
      </c>
      <c r="C109" s="1" t="n">
        <v>46205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14.7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Motaggsvamp
Fläcknycklar</t>
        </is>
      </c>
      <c r="S109">
        <f>HYPERLINK("https://klasma.github.io/Logging_2482/artfynd/A 58572-2022 artfynd.xlsx", "A 58572-2022")</f>
        <v/>
      </c>
      <c r="T109">
        <f>HYPERLINK("https://klasma.github.io/Logging_2482/kartor/A 58572-2022 karta.png", "A 58572-2022")</f>
        <v/>
      </c>
      <c r="V109">
        <f>HYPERLINK("https://klasma.github.io/Logging_2482/klagomål/A 58572-2022 FSC-klagomål.docx", "A 58572-2022")</f>
        <v/>
      </c>
      <c r="W109">
        <f>HYPERLINK("https://klasma.github.io/Logging_2482/klagomålsmail/A 58572-2022 FSC-klagomål mail.docx", "A 58572-2022")</f>
        <v/>
      </c>
      <c r="X109">
        <f>HYPERLINK("https://klasma.github.io/Logging_2482/tillsyn/A 58572-2022 tillsynsbegäran.docx", "A 58572-2022")</f>
        <v/>
      </c>
      <c r="Y109">
        <f>HYPERLINK("https://klasma.github.io/Logging_2482/tillsynsmail/A 58572-2022 tillsynsbegäran mail.docx", "A 58572-2022")</f>
        <v/>
      </c>
    </row>
    <row r="110" ht="15" customHeight="1">
      <c r="A110" t="inlineStr">
        <is>
          <t>A 44120-2025</t>
        </is>
      </c>
      <c r="B110" s="1" t="n">
        <v>45915</v>
      </c>
      <c r="C110" s="1" t="n">
        <v>46205</v>
      </c>
      <c r="D110" t="inlineStr">
        <is>
          <t>VÄSTERBOTTENS LÄN</t>
        </is>
      </c>
      <c r="E110" t="inlineStr">
        <is>
          <t>SKELLEFTEÅ</t>
        </is>
      </c>
      <c r="G110" t="n">
        <v>0.5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Nordfladdermus
Vitfläckig guldvinge</t>
        </is>
      </c>
      <c r="S110">
        <f>HYPERLINK("https://klasma.github.io/Logging_2482/artfynd/A 44120-2025 artfynd.xlsx", "A 44120-2025")</f>
        <v/>
      </c>
      <c r="T110">
        <f>HYPERLINK("https://klasma.github.io/Logging_2482/kartor/A 44120-2025 karta.png", "A 44120-2025")</f>
        <v/>
      </c>
      <c r="V110">
        <f>HYPERLINK("https://klasma.github.io/Logging_2482/klagomål/A 44120-2025 FSC-klagomål.docx", "A 44120-2025")</f>
        <v/>
      </c>
      <c r="W110">
        <f>HYPERLINK("https://klasma.github.io/Logging_2482/klagomålsmail/A 44120-2025 FSC-klagomål mail.docx", "A 44120-2025")</f>
        <v/>
      </c>
      <c r="X110">
        <f>HYPERLINK("https://klasma.github.io/Logging_2482/tillsyn/A 44120-2025 tillsynsbegäran.docx", "A 44120-2025")</f>
        <v/>
      </c>
      <c r="Y110">
        <f>HYPERLINK("https://klasma.github.io/Logging_2482/tillsynsmail/A 44120-2025 tillsynsbegäran mail.docx", "A 44120-2025")</f>
        <v/>
      </c>
    </row>
    <row r="111" ht="15" customHeight="1">
      <c r="A111" t="inlineStr">
        <is>
          <t>A 16198-2022</t>
        </is>
      </c>
      <c r="B111" s="1" t="n">
        <v>44665</v>
      </c>
      <c r="C111" s="1" t="n">
        <v>46205</v>
      </c>
      <c r="D111" t="inlineStr">
        <is>
          <t>VÄSTERBOTTENS LÄN</t>
        </is>
      </c>
      <c r="E111" t="inlineStr">
        <is>
          <t>SKELLEFTEÅ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2</v>
      </c>
      <c r="P111" t="n">
        <v>2</v>
      </c>
      <c r="Q111" t="n">
        <v>2</v>
      </c>
      <c r="R111" s="2" t="inlineStr">
        <is>
          <t>Garnlav
Gränsticka</t>
        </is>
      </c>
      <c r="S111">
        <f>HYPERLINK("https://klasma.github.io/Logging_2482/artfynd/A 16198-2022 artfynd.xlsx", "A 16198-2022")</f>
        <v/>
      </c>
      <c r="T111">
        <f>HYPERLINK("https://klasma.github.io/Logging_2482/kartor/A 16198-2022 karta.png", "A 16198-2022")</f>
        <v/>
      </c>
      <c r="V111">
        <f>HYPERLINK("https://klasma.github.io/Logging_2482/klagomål/A 16198-2022 FSC-klagomål.docx", "A 16198-2022")</f>
        <v/>
      </c>
      <c r="W111">
        <f>HYPERLINK("https://klasma.github.io/Logging_2482/klagomålsmail/A 16198-2022 FSC-klagomål mail.docx", "A 16198-2022")</f>
        <v/>
      </c>
      <c r="X111">
        <f>HYPERLINK("https://klasma.github.io/Logging_2482/tillsyn/A 16198-2022 tillsynsbegäran.docx", "A 16198-2022")</f>
        <v/>
      </c>
      <c r="Y111">
        <f>HYPERLINK("https://klasma.github.io/Logging_2482/tillsynsmail/A 16198-2022 tillsynsbegäran mail.docx", "A 16198-2022")</f>
        <v/>
      </c>
    </row>
    <row r="112" ht="15" customHeight="1">
      <c r="A112" t="inlineStr">
        <is>
          <t>A 35159-2025</t>
        </is>
      </c>
      <c r="B112" s="1" t="n">
        <v>45852</v>
      </c>
      <c r="C112" s="1" t="n">
        <v>46205</v>
      </c>
      <c r="D112" t="inlineStr">
        <is>
          <t>VÄSTERBOTTENS LÄN</t>
        </is>
      </c>
      <c r="E112" t="inlineStr">
        <is>
          <t>SKELLEFTEÅ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Talltita
Krämporing</t>
        </is>
      </c>
      <c r="S112">
        <f>HYPERLINK("https://klasma.github.io/Logging_2482/artfynd/A 35159-2025 artfynd.xlsx", "A 35159-2025")</f>
        <v/>
      </c>
      <c r="T112">
        <f>HYPERLINK("https://klasma.github.io/Logging_2482/kartor/A 35159-2025 karta.png", "A 35159-2025")</f>
        <v/>
      </c>
      <c r="V112">
        <f>HYPERLINK("https://klasma.github.io/Logging_2482/klagomål/A 35159-2025 FSC-klagomål.docx", "A 35159-2025")</f>
        <v/>
      </c>
      <c r="W112">
        <f>HYPERLINK("https://klasma.github.io/Logging_2482/klagomålsmail/A 35159-2025 FSC-klagomål mail.docx", "A 35159-2025")</f>
        <v/>
      </c>
      <c r="X112">
        <f>HYPERLINK("https://klasma.github.io/Logging_2482/tillsyn/A 35159-2025 tillsynsbegäran.docx", "A 35159-2025")</f>
        <v/>
      </c>
      <c r="Y112">
        <f>HYPERLINK("https://klasma.github.io/Logging_2482/tillsynsmail/A 35159-2025 tillsynsbegäran mail.docx", "A 35159-2025")</f>
        <v/>
      </c>
      <c r="Z112">
        <f>HYPERLINK("https://klasma.github.io/Logging_2482/fåglar/A 35159-2025 prioriterade fågelarter.docx", "A 35159-2025")</f>
        <v/>
      </c>
    </row>
    <row r="113" ht="15" customHeight="1">
      <c r="A113" t="inlineStr">
        <is>
          <t>A 787-2023</t>
        </is>
      </c>
      <c r="B113" s="1" t="n">
        <v>44931</v>
      </c>
      <c r="C113" s="1" t="n">
        <v>46205</v>
      </c>
      <c r="D113" t="inlineStr">
        <is>
          <t>VÄSTERBOTTENS LÄN</t>
        </is>
      </c>
      <c r="E113" t="inlineStr">
        <is>
          <t>SKELLEFTEÅ</t>
        </is>
      </c>
      <c r="G113" t="n">
        <v>13.9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Storgröe
Ögonpyrola</t>
        </is>
      </c>
      <c r="S113">
        <f>HYPERLINK("https://klasma.github.io/Logging_2482/artfynd/A 787-2023 artfynd.xlsx", "A 787-2023")</f>
        <v/>
      </c>
      <c r="T113">
        <f>HYPERLINK("https://klasma.github.io/Logging_2482/kartor/A 787-2023 karta.png", "A 787-2023")</f>
        <v/>
      </c>
      <c r="V113">
        <f>HYPERLINK("https://klasma.github.io/Logging_2482/klagomål/A 787-2023 FSC-klagomål.docx", "A 787-2023")</f>
        <v/>
      </c>
      <c r="W113">
        <f>HYPERLINK("https://klasma.github.io/Logging_2482/klagomålsmail/A 787-2023 FSC-klagomål mail.docx", "A 787-2023")</f>
        <v/>
      </c>
      <c r="X113">
        <f>HYPERLINK("https://klasma.github.io/Logging_2482/tillsyn/A 787-2023 tillsynsbegäran.docx", "A 787-2023")</f>
        <v/>
      </c>
      <c r="Y113">
        <f>HYPERLINK("https://klasma.github.io/Logging_2482/tillsynsmail/A 787-2023 tillsynsbegäran mail.docx", "A 787-2023")</f>
        <v/>
      </c>
    </row>
    <row r="114" ht="15" customHeight="1">
      <c r="A114" t="inlineStr">
        <is>
          <t>A 9079-2023</t>
        </is>
      </c>
      <c r="B114" s="1" t="n">
        <v>44979</v>
      </c>
      <c r="C114" s="1" t="n">
        <v>46205</v>
      </c>
      <c r="D114" t="inlineStr">
        <is>
          <t>VÄSTERBOTTENS LÄN</t>
        </is>
      </c>
      <c r="E114" t="inlineStr">
        <is>
          <t>SKELLEFTEÅ</t>
        </is>
      </c>
      <c r="G114" t="n">
        <v>1.1</v>
      </c>
      <c r="H114" t="n">
        <v>1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Korallrot
Ögonpyrola</t>
        </is>
      </c>
      <c r="S114">
        <f>HYPERLINK("https://klasma.github.io/Logging_2482/artfynd/A 9079-2023 artfynd.xlsx", "A 9079-2023")</f>
        <v/>
      </c>
      <c r="T114">
        <f>HYPERLINK("https://klasma.github.io/Logging_2482/kartor/A 9079-2023 karta.png", "A 9079-2023")</f>
        <v/>
      </c>
      <c r="V114">
        <f>HYPERLINK("https://klasma.github.io/Logging_2482/klagomål/A 9079-2023 FSC-klagomål.docx", "A 9079-2023")</f>
        <v/>
      </c>
      <c r="W114">
        <f>HYPERLINK("https://klasma.github.io/Logging_2482/klagomålsmail/A 9079-2023 FSC-klagomål mail.docx", "A 9079-2023")</f>
        <v/>
      </c>
      <c r="X114">
        <f>HYPERLINK("https://klasma.github.io/Logging_2482/tillsyn/A 9079-2023 tillsynsbegäran.docx", "A 9079-2023")</f>
        <v/>
      </c>
      <c r="Y114">
        <f>HYPERLINK("https://klasma.github.io/Logging_2482/tillsynsmail/A 9079-2023 tillsynsbegäran mail.docx", "A 9079-2023")</f>
        <v/>
      </c>
    </row>
    <row r="115" ht="15" customHeight="1">
      <c r="A115" t="inlineStr">
        <is>
          <t>A 57222-2024</t>
        </is>
      </c>
      <c r="B115" s="1" t="n">
        <v>45629</v>
      </c>
      <c r="C115" s="1" t="n">
        <v>46205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Gammelgransskål</t>
        </is>
      </c>
      <c r="S115">
        <f>HYPERLINK("https://klasma.github.io/Logging_2482/artfynd/A 57222-2024 artfynd.xlsx", "A 57222-2024")</f>
        <v/>
      </c>
      <c r="T115">
        <f>HYPERLINK("https://klasma.github.io/Logging_2482/kartor/A 57222-2024 karta.png", "A 57222-2024")</f>
        <v/>
      </c>
      <c r="U115">
        <f>HYPERLINK("https://klasma.github.io/Logging_2482/knärot/A 57222-2024 karta knärot.png", "A 57222-2024")</f>
        <v/>
      </c>
      <c r="V115">
        <f>HYPERLINK("https://klasma.github.io/Logging_2482/klagomål/A 57222-2024 FSC-klagomål.docx", "A 57222-2024")</f>
        <v/>
      </c>
      <c r="W115">
        <f>HYPERLINK("https://klasma.github.io/Logging_2482/klagomålsmail/A 57222-2024 FSC-klagomål mail.docx", "A 57222-2024")</f>
        <v/>
      </c>
      <c r="X115">
        <f>HYPERLINK("https://klasma.github.io/Logging_2482/tillsyn/A 57222-2024 tillsynsbegäran.docx", "A 57222-2024")</f>
        <v/>
      </c>
      <c r="Y115">
        <f>HYPERLINK("https://klasma.github.io/Logging_2482/tillsynsmail/A 57222-2024 tillsynsbegäran mail.docx", "A 57222-2024")</f>
        <v/>
      </c>
    </row>
    <row r="116" ht="15" customHeight="1">
      <c r="A116" t="inlineStr">
        <is>
          <t>A 57519-2025</t>
        </is>
      </c>
      <c r="B116" s="1" t="n">
        <v>45980</v>
      </c>
      <c r="C116" s="1" t="n">
        <v>46205</v>
      </c>
      <c r="D116" t="inlineStr">
        <is>
          <t>VÄSTERBOTTENS LÄN</t>
        </is>
      </c>
      <c r="E116" t="inlineStr">
        <is>
          <t>SKELLEFTEÅ</t>
        </is>
      </c>
      <c r="G116" t="n">
        <v>5.3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Garnlav
Gammelgransskål</t>
        </is>
      </c>
      <c r="S116">
        <f>HYPERLINK("https://klasma.github.io/Logging_2482/artfynd/A 57519-2025 artfynd.xlsx", "A 57519-2025")</f>
        <v/>
      </c>
      <c r="T116">
        <f>HYPERLINK("https://klasma.github.io/Logging_2482/kartor/A 57519-2025 karta.png", "A 57519-2025")</f>
        <v/>
      </c>
      <c r="V116">
        <f>HYPERLINK("https://klasma.github.io/Logging_2482/klagomål/A 57519-2025 FSC-klagomål.docx", "A 57519-2025")</f>
        <v/>
      </c>
      <c r="W116">
        <f>HYPERLINK("https://klasma.github.io/Logging_2482/klagomålsmail/A 57519-2025 FSC-klagomål mail.docx", "A 57519-2025")</f>
        <v/>
      </c>
      <c r="X116">
        <f>HYPERLINK("https://klasma.github.io/Logging_2482/tillsyn/A 57519-2025 tillsynsbegäran.docx", "A 57519-2025")</f>
        <v/>
      </c>
      <c r="Y116">
        <f>HYPERLINK("https://klasma.github.io/Logging_2482/tillsynsmail/A 57519-2025 tillsynsbegäran mail.docx", "A 57519-2025")</f>
        <v/>
      </c>
    </row>
    <row r="117" ht="15" customHeight="1">
      <c r="A117" t="inlineStr">
        <is>
          <t>A 57969-2025</t>
        </is>
      </c>
      <c r="B117" s="1" t="n">
        <v>45982</v>
      </c>
      <c r="C117" s="1" t="n">
        <v>46205</v>
      </c>
      <c r="D117" t="inlineStr">
        <is>
          <t>VÄSTERBOTTENS LÄN</t>
        </is>
      </c>
      <c r="E117" t="inlineStr">
        <is>
          <t>SKELLEFTEÅ</t>
        </is>
      </c>
      <c r="G117" t="n">
        <v>2.6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Björksplintborre
Skogsödla</t>
        </is>
      </c>
      <c r="S117">
        <f>HYPERLINK("https://klasma.github.io/Logging_2482/artfynd/A 57969-2025 artfynd.xlsx", "A 57969-2025")</f>
        <v/>
      </c>
      <c r="T117">
        <f>HYPERLINK("https://klasma.github.io/Logging_2482/kartor/A 57969-2025 karta.png", "A 57969-2025")</f>
        <v/>
      </c>
      <c r="V117">
        <f>HYPERLINK("https://klasma.github.io/Logging_2482/klagomål/A 57969-2025 FSC-klagomål.docx", "A 57969-2025")</f>
        <v/>
      </c>
      <c r="W117">
        <f>HYPERLINK("https://klasma.github.io/Logging_2482/klagomålsmail/A 57969-2025 FSC-klagomål mail.docx", "A 57969-2025")</f>
        <v/>
      </c>
      <c r="X117">
        <f>HYPERLINK("https://klasma.github.io/Logging_2482/tillsyn/A 57969-2025 tillsynsbegäran.docx", "A 57969-2025")</f>
        <v/>
      </c>
      <c r="Y117">
        <f>HYPERLINK("https://klasma.github.io/Logging_2482/tillsynsmail/A 57969-2025 tillsynsbegäran mail.docx", "A 57969-2025")</f>
        <v/>
      </c>
    </row>
    <row r="118" ht="15" customHeight="1">
      <c r="A118" t="inlineStr">
        <is>
          <t>A 13255-2026</t>
        </is>
      </c>
      <c r="B118" s="1" t="n">
        <v>46093</v>
      </c>
      <c r="C118" s="1" t="n">
        <v>46205</v>
      </c>
      <c r="D118" t="inlineStr">
        <is>
          <t>VÄSTERBOTTENS LÄN</t>
        </is>
      </c>
      <c r="E118" t="inlineStr">
        <is>
          <t>SKELLEFTEÅ</t>
        </is>
      </c>
      <c r="G118" t="n">
        <v>5.1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Doftskinn</t>
        </is>
      </c>
      <c r="S118">
        <f>HYPERLINK("https://klasma.github.io/Logging_2482/artfynd/A 13255-2026 artfynd.xlsx", "A 13255-2026")</f>
        <v/>
      </c>
      <c r="T118">
        <f>HYPERLINK("https://klasma.github.io/Logging_2482/kartor/A 13255-2026 karta.png", "A 13255-2026")</f>
        <v/>
      </c>
      <c r="U118">
        <f>HYPERLINK("https://klasma.github.io/Logging_2482/knärot/A 13255-2026 karta knärot.png", "A 13255-2026")</f>
        <v/>
      </c>
      <c r="V118">
        <f>HYPERLINK("https://klasma.github.io/Logging_2482/klagomål/A 13255-2026 FSC-klagomål.docx", "A 13255-2026")</f>
        <v/>
      </c>
      <c r="W118">
        <f>HYPERLINK("https://klasma.github.io/Logging_2482/klagomålsmail/A 13255-2026 FSC-klagomål mail.docx", "A 13255-2026")</f>
        <v/>
      </c>
      <c r="X118">
        <f>HYPERLINK("https://klasma.github.io/Logging_2482/tillsyn/A 13255-2026 tillsynsbegäran.docx", "A 13255-2026")</f>
        <v/>
      </c>
      <c r="Y118">
        <f>HYPERLINK("https://klasma.github.io/Logging_2482/tillsynsmail/A 13255-2026 tillsynsbegäran mail.docx", "A 13255-2026")</f>
        <v/>
      </c>
    </row>
    <row r="119" ht="15" customHeight="1">
      <c r="A119" t="inlineStr">
        <is>
          <t>A 14983-2023</t>
        </is>
      </c>
      <c r="B119" s="1" t="n">
        <v>45014</v>
      </c>
      <c r="C119" s="1" t="n">
        <v>46205</v>
      </c>
      <c r="D119" t="inlineStr">
        <is>
          <t>VÄSTERBOTTENS LÄN</t>
        </is>
      </c>
      <c r="E119" t="inlineStr">
        <is>
          <t>SKELLEFTEÅ</t>
        </is>
      </c>
      <c r="G119" t="n">
        <v>2.1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Gråspett
Tjäder</t>
        </is>
      </c>
      <c r="S119">
        <f>HYPERLINK("https://klasma.github.io/Logging_2482/artfynd/A 14983-2023 artfynd.xlsx", "A 14983-2023")</f>
        <v/>
      </c>
      <c r="T119">
        <f>HYPERLINK("https://klasma.github.io/Logging_2482/kartor/A 14983-2023 karta.png", "A 14983-2023")</f>
        <v/>
      </c>
      <c r="V119">
        <f>HYPERLINK("https://klasma.github.io/Logging_2482/klagomål/A 14983-2023 FSC-klagomål.docx", "A 14983-2023")</f>
        <v/>
      </c>
      <c r="W119">
        <f>HYPERLINK("https://klasma.github.io/Logging_2482/klagomålsmail/A 14983-2023 FSC-klagomål mail.docx", "A 14983-2023")</f>
        <v/>
      </c>
      <c r="X119">
        <f>HYPERLINK("https://klasma.github.io/Logging_2482/tillsyn/A 14983-2023 tillsynsbegäran.docx", "A 14983-2023")</f>
        <v/>
      </c>
      <c r="Y119">
        <f>HYPERLINK("https://klasma.github.io/Logging_2482/tillsynsmail/A 14983-2023 tillsynsbegäran mail.docx", "A 14983-2023")</f>
        <v/>
      </c>
      <c r="Z119">
        <f>HYPERLINK("https://klasma.github.io/Logging_2482/fåglar/A 14983-2023 prioriterade fågelarter.docx", "A 14983-2023")</f>
        <v/>
      </c>
    </row>
    <row r="120" ht="15" customHeight="1">
      <c r="A120" t="inlineStr">
        <is>
          <t>A 14591-2026</t>
        </is>
      </c>
      <c r="B120" s="1" t="n">
        <v>46101</v>
      </c>
      <c r="C120" s="1" t="n">
        <v>46205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SCA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Harticka
Spillkråka</t>
        </is>
      </c>
      <c r="S120">
        <f>HYPERLINK("https://klasma.github.io/Logging_2482/artfynd/A 14591-2026 artfynd.xlsx", "A 14591-2026")</f>
        <v/>
      </c>
      <c r="T120">
        <f>HYPERLINK("https://klasma.github.io/Logging_2482/kartor/A 14591-2026 karta.png", "A 14591-2026")</f>
        <v/>
      </c>
      <c r="V120">
        <f>HYPERLINK("https://klasma.github.io/Logging_2482/klagomål/A 14591-2026 FSC-klagomål.docx", "A 14591-2026")</f>
        <v/>
      </c>
      <c r="W120">
        <f>HYPERLINK("https://klasma.github.io/Logging_2482/klagomålsmail/A 14591-2026 FSC-klagomål mail.docx", "A 14591-2026")</f>
        <v/>
      </c>
      <c r="X120">
        <f>HYPERLINK("https://klasma.github.io/Logging_2482/tillsyn/A 14591-2026 tillsynsbegäran.docx", "A 14591-2026")</f>
        <v/>
      </c>
      <c r="Y120">
        <f>HYPERLINK("https://klasma.github.io/Logging_2482/tillsynsmail/A 14591-2026 tillsynsbegäran mail.docx", "A 14591-2026")</f>
        <v/>
      </c>
      <c r="Z120">
        <f>HYPERLINK("https://klasma.github.io/Logging_2482/fåglar/A 14591-2026 prioriterade fågelarter.docx", "A 14591-2026")</f>
        <v/>
      </c>
    </row>
    <row r="121" ht="15" customHeight="1">
      <c r="A121" t="inlineStr">
        <is>
          <t>A 53422-2024</t>
        </is>
      </c>
      <c r="B121" s="1" t="n">
        <v>45614</v>
      </c>
      <c r="C121" s="1" t="n">
        <v>46205</v>
      </c>
      <c r="D121" t="inlineStr">
        <is>
          <t>VÄSTERBOTTENS LÄN</t>
        </is>
      </c>
      <c r="E121" t="inlineStr">
        <is>
          <t>SKELLEFTEÅ</t>
        </is>
      </c>
      <c r="G121" t="n">
        <v>1.6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Talltaggsvamp
Järpe</t>
        </is>
      </c>
      <c r="S121">
        <f>HYPERLINK("https://klasma.github.io/Logging_2482/artfynd/A 53422-2024 artfynd.xlsx", "A 53422-2024")</f>
        <v/>
      </c>
      <c r="T121">
        <f>HYPERLINK("https://klasma.github.io/Logging_2482/kartor/A 53422-2024 karta.png", "A 53422-2024")</f>
        <v/>
      </c>
      <c r="V121">
        <f>HYPERLINK("https://klasma.github.io/Logging_2482/klagomål/A 53422-2024 FSC-klagomål.docx", "A 53422-2024")</f>
        <v/>
      </c>
      <c r="W121">
        <f>HYPERLINK("https://klasma.github.io/Logging_2482/klagomålsmail/A 53422-2024 FSC-klagomål mail.docx", "A 53422-2024")</f>
        <v/>
      </c>
      <c r="X121">
        <f>HYPERLINK("https://klasma.github.io/Logging_2482/tillsyn/A 53422-2024 tillsynsbegäran.docx", "A 53422-2024")</f>
        <v/>
      </c>
      <c r="Y121">
        <f>HYPERLINK("https://klasma.github.io/Logging_2482/tillsynsmail/A 53422-2024 tillsynsbegäran mail.docx", "A 53422-2024")</f>
        <v/>
      </c>
      <c r="Z121">
        <f>HYPERLINK("https://klasma.github.io/Logging_2482/fåglar/A 53422-2024 prioriterade fågelarter.docx", "A 53422-2024")</f>
        <v/>
      </c>
    </row>
    <row r="122" ht="15" customHeight="1">
      <c r="A122" t="inlineStr">
        <is>
          <t>A 41087-2023</t>
        </is>
      </c>
      <c r="B122" s="1" t="n">
        <v>45173</v>
      </c>
      <c r="C122" s="1" t="n">
        <v>46205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Holmen skog AB</t>
        </is>
      </c>
      <c r="G122" t="n">
        <v>10</v>
      </c>
      <c r="H122" t="n">
        <v>1</v>
      </c>
      <c r="I122" t="n">
        <v>0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2</v>
      </c>
      <c r="P122" t="n">
        <v>2</v>
      </c>
      <c r="Q122" t="n">
        <v>2</v>
      </c>
      <c r="R122" s="2" t="inlineStr">
        <is>
          <t>Flodpärlmussla
Knärot</t>
        </is>
      </c>
      <c r="S122">
        <f>HYPERLINK("https://klasma.github.io/Logging_2482/artfynd/A 41087-2023 artfynd.xlsx", "A 41087-2023")</f>
        <v/>
      </c>
      <c r="T122">
        <f>HYPERLINK("https://klasma.github.io/Logging_2482/kartor/A 41087-2023 karta.png", "A 41087-2023")</f>
        <v/>
      </c>
      <c r="U122">
        <f>HYPERLINK("https://klasma.github.io/Logging_2482/knärot/A 41087-2023 karta knärot.png", "A 41087-2023")</f>
        <v/>
      </c>
      <c r="V122">
        <f>HYPERLINK("https://klasma.github.io/Logging_2482/klagomål/A 41087-2023 FSC-klagomål.docx", "A 41087-2023")</f>
        <v/>
      </c>
      <c r="W122">
        <f>HYPERLINK("https://klasma.github.io/Logging_2482/klagomålsmail/A 41087-2023 FSC-klagomål mail.docx", "A 41087-2023")</f>
        <v/>
      </c>
      <c r="X122">
        <f>HYPERLINK("https://klasma.github.io/Logging_2482/tillsyn/A 41087-2023 tillsynsbegäran.docx", "A 41087-2023")</f>
        <v/>
      </c>
      <c r="Y122">
        <f>HYPERLINK("https://klasma.github.io/Logging_2482/tillsynsmail/A 41087-2023 tillsynsbegäran mail.docx", "A 41087-2023")</f>
        <v/>
      </c>
    </row>
    <row r="123" ht="15" customHeight="1">
      <c r="A123" t="inlineStr">
        <is>
          <t>A 18476-2026</t>
        </is>
      </c>
      <c r="B123" s="1" t="n">
        <v>46127</v>
      </c>
      <c r="C123" s="1" t="n">
        <v>46205</v>
      </c>
      <c r="D123" t="inlineStr">
        <is>
          <t>VÄSTERBOTTENS LÄN</t>
        </is>
      </c>
      <c r="E123" t="inlineStr">
        <is>
          <t>SKELLEFTEÅ</t>
        </is>
      </c>
      <c r="G123" t="n">
        <v>11.7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Ullticka</t>
        </is>
      </c>
      <c r="S123">
        <f>HYPERLINK("https://klasma.github.io/Logging_2482/artfynd/A 18476-2026 artfynd.xlsx", "A 18476-2026")</f>
        <v/>
      </c>
      <c r="T123">
        <f>HYPERLINK("https://klasma.github.io/Logging_2482/kartor/A 18476-2026 karta.png", "A 18476-2026")</f>
        <v/>
      </c>
      <c r="U123">
        <f>HYPERLINK("https://klasma.github.io/Logging_2482/knärot/A 18476-2026 karta knärot.png", "A 18476-2026")</f>
        <v/>
      </c>
      <c r="V123">
        <f>HYPERLINK("https://klasma.github.io/Logging_2482/klagomål/A 18476-2026 FSC-klagomål.docx", "A 18476-2026")</f>
        <v/>
      </c>
      <c r="W123">
        <f>HYPERLINK("https://klasma.github.io/Logging_2482/klagomålsmail/A 18476-2026 FSC-klagomål mail.docx", "A 18476-2026")</f>
        <v/>
      </c>
      <c r="X123">
        <f>HYPERLINK("https://klasma.github.io/Logging_2482/tillsyn/A 18476-2026 tillsynsbegäran.docx", "A 18476-2026")</f>
        <v/>
      </c>
      <c r="Y123">
        <f>HYPERLINK("https://klasma.github.io/Logging_2482/tillsynsmail/A 18476-2026 tillsynsbegäran mail.docx", "A 18476-2026")</f>
        <v/>
      </c>
    </row>
    <row r="124" ht="15" customHeight="1">
      <c r="A124" t="inlineStr">
        <is>
          <t>A 40442-2023</t>
        </is>
      </c>
      <c r="B124" s="1" t="n">
        <v>45170</v>
      </c>
      <c r="C124" s="1" t="n">
        <v>46205</v>
      </c>
      <c r="D124" t="inlineStr">
        <is>
          <t>VÄSTERBOTTENS LÄN</t>
        </is>
      </c>
      <c r="E124" t="inlineStr">
        <is>
          <t>SKELLEFTEÅ</t>
        </is>
      </c>
      <c r="G124" t="n">
        <v>2.3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Talltita
Svartvit flugsnappare</t>
        </is>
      </c>
      <c r="S124">
        <f>HYPERLINK("https://klasma.github.io/Logging_2482/artfynd/A 40442-2023 artfynd.xlsx", "A 40442-2023")</f>
        <v/>
      </c>
      <c r="T124">
        <f>HYPERLINK("https://klasma.github.io/Logging_2482/kartor/A 40442-2023 karta.png", "A 40442-2023")</f>
        <v/>
      </c>
      <c r="V124">
        <f>HYPERLINK("https://klasma.github.io/Logging_2482/klagomål/A 40442-2023 FSC-klagomål.docx", "A 40442-2023")</f>
        <v/>
      </c>
      <c r="W124">
        <f>HYPERLINK("https://klasma.github.io/Logging_2482/klagomålsmail/A 40442-2023 FSC-klagomål mail.docx", "A 40442-2023")</f>
        <v/>
      </c>
      <c r="X124">
        <f>HYPERLINK("https://klasma.github.io/Logging_2482/tillsyn/A 40442-2023 tillsynsbegäran.docx", "A 40442-2023")</f>
        <v/>
      </c>
      <c r="Y124">
        <f>HYPERLINK("https://klasma.github.io/Logging_2482/tillsynsmail/A 40442-2023 tillsynsbegäran mail.docx", "A 40442-2023")</f>
        <v/>
      </c>
      <c r="Z124">
        <f>HYPERLINK("https://klasma.github.io/Logging_2482/fåglar/A 40442-2023 prioriterade fågelarter.docx", "A 40442-2023")</f>
        <v/>
      </c>
    </row>
    <row r="125" ht="15" customHeight="1">
      <c r="A125" t="inlineStr">
        <is>
          <t>A 41055-2023</t>
        </is>
      </c>
      <c r="B125" s="1" t="n">
        <v>45173</v>
      </c>
      <c r="C125" s="1" t="n">
        <v>46205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4.4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Flodpärlmussla
Utter</t>
        </is>
      </c>
      <c r="S125">
        <f>HYPERLINK("https://klasma.github.io/Logging_2482/artfynd/A 41055-2023 artfynd.xlsx", "A 41055-2023")</f>
        <v/>
      </c>
      <c r="T125">
        <f>HYPERLINK("https://klasma.github.io/Logging_2482/kartor/A 41055-2023 karta.png", "A 41055-2023")</f>
        <v/>
      </c>
      <c r="V125">
        <f>HYPERLINK("https://klasma.github.io/Logging_2482/klagomål/A 41055-2023 FSC-klagomål.docx", "A 41055-2023")</f>
        <v/>
      </c>
      <c r="W125">
        <f>HYPERLINK("https://klasma.github.io/Logging_2482/klagomålsmail/A 41055-2023 FSC-klagomål mail.docx", "A 41055-2023")</f>
        <v/>
      </c>
      <c r="X125">
        <f>HYPERLINK("https://klasma.github.io/Logging_2482/tillsyn/A 41055-2023 tillsynsbegäran.docx", "A 41055-2023")</f>
        <v/>
      </c>
      <c r="Y125">
        <f>HYPERLINK("https://klasma.github.io/Logging_2482/tillsynsmail/A 41055-2023 tillsynsbegäran mail.docx", "A 41055-2023")</f>
        <v/>
      </c>
    </row>
    <row r="126" ht="15" customHeight="1">
      <c r="A126" t="inlineStr">
        <is>
          <t>A 25213-2026</t>
        </is>
      </c>
      <c r="B126" s="1" t="n">
        <v>46175</v>
      </c>
      <c r="C126" s="1" t="n">
        <v>46205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Övriga Aktiebolag</t>
        </is>
      </c>
      <c r="G126" t="n">
        <v>2.3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Motaggsvamp
Talltita</t>
        </is>
      </c>
      <c r="S126">
        <f>HYPERLINK("https://klasma.github.io/Logging_2482/artfynd/A 25213-2026 artfynd.xlsx", "A 25213-2026")</f>
        <v/>
      </c>
      <c r="T126">
        <f>HYPERLINK("https://klasma.github.io/Logging_2482/kartor/A 25213-2026 karta.png", "A 25213-2026")</f>
        <v/>
      </c>
      <c r="V126">
        <f>HYPERLINK("https://klasma.github.io/Logging_2482/klagomål/A 25213-2026 FSC-klagomål.docx", "A 25213-2026")</f>
        <v/>
      </c>
      <c r="W126">
        <f>HYPERLINK("https://klasma.github.io/Logging_2482/klagomålsmail/A 25213-2026 FSC-klagomål mail.docx", "A 25213-2026")</f>
        <v/>
      </c>
      <c r="X126">
        <f>HYPERLINK("https://klasma.github.io/Logging_2482/tillsyn/A 25213-2026 tillsynsbegäran.docx", "A 25213-2026")</f>
        <v/>
      </c>
      <c r="Y126">
        <f>HYPERLINK("https://klasma.github.io/Logging_2482/tillsynsmail/A 25213-2026 tillsynsbegäran mail.docx", "A 25213-2026")</f>
        <v/>
      </c>
      <c r="Z126">
        <f>HYPERLINK("https://klasma.github.io/Logging_2482/fåglar/A 25213-2026 prioriterade fågelarter.docx", "A 25213-2026")</f>
        <v/>
      </c>
    </row>
    <row r="127" ht="15" customHeight="1">
      <c r="A127" t="inlineStr">
        <is>
          <t>A 20379-2025</t>
        </is>
      </c>
      <c r="B127" s="1" t="n">
        <v>45775</v>
      </c>
      <c r="C127" s="1" t="n">
        <v>46205</v>
      </c>
      <c r="D127" t="inlineStr">
        <is>
          <t>VÄSTERBOTTENS LÄN</t>
        </is>
      </c>
      <c r="E127" t="inlineStr">
        <is>
          <t>SKELLEFTEÅ</t>
        </is>
      </c>
      <c r="G127" t="n">
        <v>3.3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Orange taggsvamp
Violettgrå tagellav</t>
        </is>
      </c>
      <c r="S127">
        <f>HYPERLINK("https://klasma.github.io/Logging_2482/artfynd/A 20379-2025 artfynd.xlsx", "A 20379-2025")</f>
        <v/>
      </c>
      <c r="T127">
        <f>HYPERLINK("https://klasma.github.io/Logging_2482/kartor/A 20379-2025 karta.png", "A 20379-2025")</f>
        <v/>
      </c>
      <c r="V127">
        <f>HYPERLINK("https://klasma.github.io/Logging_2482/klagomål/A 20379-2025 FSC-klagomål.docx", "A 20379-2025")</f>
        <v/>
      </c>
      <c r="W127">
        <f>HYPERLINK("https://klasma.github.io/Logging_2482/klagomålsmail/A 20379-2025 FSC-klagomål mail.docx", "A 20379-2025")</f>
        <v/>
      </c>
      <c r="X127">
        <f>HYPERLINK("https://klasma.github.io/Logging_2482/tillsyn/A 20379-2025 tillsynsbegäran.docx", "A 20379-2025")</f>
        <v/>
      </c>
      <c r="Y127">
        <f>HYPERLINK("https://klasma.github.io/Logging_2482/tillsynsmail/A 20379-2025 tillsynsbegäran mail.docx", "A 20379-2025")</f>
        <v/>
      </c>
    </row>
    <row r="128" ht="15" customHeight="1">
      <c r="A128" t="inlineStr">
        <is>
          <t>A 28061-2025</t>
        </is>
      </c>
      <c r="B128" s="1" t="n">
        <v>45817</v>
      </c>
      <c r="C128" s="1" t="n">
        <v>46205</v>
      </c>
      <c r="D128" t="inlineStr">
        <is>
          <t>VÄSTERBOTTENS LÄN</t>
        </is>
      </c>
      <c r="E128" t="inlineStr">
        <is>
          <t>SKELLEFTEÅ</t>
        </is>
      </c>
      <c r="G128" t="n">
        <v>3.3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Garnlav
Spillkråka</t>
        </is>
      </c>
      <c r="S128">
        <f>HYPERLINK("https://klasma.github.io/Logging_2482/artfynd/A 28061-2025 artfynd.xlsx", "A 28061-2025")</f>
        <v/>
      </c>
      <c r="T128">
        <f>HYPERLINK("https://klasma.github.io/Logging_2482/kartor/A 28061-2025 karta.png", "A 28061-2025")</f>
        <v/>
      </c>
      <c r="V128">
        <f>HYPERLINK("https://klasma.github.io/Logging_2482/klagomål/A 28061-2025 FSC-klagomål.docx", "A 28061-2025")</f>
        <v/>
      </c>
      <c r="W128">
        <f>HYPERLINK("https://klasma.github.io/Logging_2482/klagomålsmail/A 28061-2025 FSC-klagomål mail.docx", "A 28061-2025")</f>
        <v/>
      </c>
      <c r="X128">
        <f>HYPERLINK("https://klasma.github.io/Logging_2482/tillsyn/A 28061-2025 tillsynsbegäran.docx", "A 28061-2025")</f>
        <v/>
      </c>
      <c r="Y128">
        <f>HYPERLINK("https://klasma.github.io/Logging_2482/tillsynsmail/A 28061-2025 tillsynsbegäran mail.docx", "A 28061-2025")</f>
        <v/>
      </c>
      <c r="Z128">
        <f>HYPERLINK("https://klasma.github.io/Logging_2482/fåglar/A 28061-2025 prioriterade fågelarter.docx", "A 28061-2025")</f>
        <v/>
      </c>
    </row>
    <row r="129" ht="15" customHeight="1">
      <c r="A129" t="inlineStr">
        <is>
          <t>A 36531-2022</t>
        </is>
      </c>
      <c r="B129" s="1" t="n">
        <v>44804</v>
      </c>
      <c r="C129" s="1" t="n">
        <v>46205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Kommuner</t>
        </is>
      </c>
      <c r="G129" t="n">
        <v>3.1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Tallgråticka
Dropptaggsvamp</t>
        </is>
      </c>
      <c r="S129">
        <f>HYPERLINK("https://klasma.github.io/Logging_2482/artfynd/A 36531-2022 artfynd.xlsx", "A 36531-2022")</f>
        <v/>
      </c>
      <c r="T129">
        <f>HYPERLINK("https://klasma.github.io/Logging_2482/kartor/A 36531-2022 karta.png", "A 36531-2022")</f>
        <v/>
      </c>
      <c r="V129">
        <f>HYPERLINK("https://klasma.github.io/Logging_2482/klagomål/A 36531-2022 FSC-klagomål.docx", "A 36531-2022")</f>
        <v/>
      </c>
      <c r="W129">
        <f>HYPERLINK("https://klasma.github.io/Logging_2482/klagomålsmail/A 36531-2022 FSC-klagomål mail.docx", "A 36531-2022")</f>
        <v/>
      </c>
      <c r="X129">
        <f>HYPERLINK("https://klasma.github.io/Logging_2482/tillsyn/A 36531-2022 tillsynsbegäran.docx", "A 36531-2022")</f>
        <v/>
      </c>
      <c r="Y129">
        <f>HYPERLINK("https://klasma.github.io/Logging_2482/tillsynsmail/A 36531-2022 tillsynsbegäran mail.docx", "A 36531-2022")</f>
        <v/>
      </c>
    </row>
    <row r="130" ht="15" customHeight="1">
      <c r="A130" t="inlineStr">
        <is>
          <t>A 52630-2025</t>
        </is>
      </c>
      <c r="B130" s="1" t="n">
        <v>45953</v>
      </c>
      <c r="C130" s="1" t="n">
        <v>46205</v>
      </c>
      <c r="D130" t="inlineStr">
        <is>
          <t>VÄSTERBOTTENS LÄN</t>
        </is>
      </c>
      <c r="E130" t="inlineStr">
        <is>
          <t>SKELLEFTEÅ</t>
        </is>
      </c>
      <c r="G130" t="n">
        <v>3.9</v>
      </c>
      <c r="H130" t="n">
        <v>2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Spillkråka</t>
        </is>
      </c>
      <c r="S130">
        <f>HYPERLINK("https://klasma.github.io/Logging_2482/artfynd/A 52630-2025 artfynd.xlsx", "A 52630-2025")</f>
        <v/>
      </c>
      <c r="T130">
        <f>HYPERLINK("https://klasma.github.io/Logging_2482/kartor/A 52630-2025 karta.png", "A 52630-2025")</f>
        <v/>
      </c>
      <c r="U130">
        <f>HYPERLINK("https://klasma.github.io/Logging_2482/knärot/A 52630-2025 karta knärot.png", "A 52630-2025")</f>
        <v/>
      </c>
      <c r="V130">
        <f>HYPERLINK("https://klasma.github.io/Logging_2482/klagomål/A 52630-2025 FSC-klagomål.docx", "A 52630-2025")</f>
        <v/>
      </c>
      <c r="W130">
        <f>HYPERLINK("https://klasma.github.io/Logging_2482/klagomålsmail/A 52630-2025 FSC-klagomål mail.docx", "A 52630-2025")</f>
        <v/>
      </c>
      <c r="X130">
        <f>HYPERLINK("https://klasma.github.io/Logging_2482/tillsyn/A 52630-2025 tillsynsbegäran.docx", "A 52630-2025")</f>
        <v/>
      </c>
      <c r="Y130">
        <f>HYPERLINK("https://klasma.github.io/Logging_2482/tillsynsmail/A 52630-2025 tillsynsbegäran mail.docx", "A 52630-2025")</f>
        <v/>
      </c>
      <c r="Z130">
        <f>HYPERLINK("https://klasma.github.io/Logging_2482/fåglar/A 52630-2025 prioriterade fågelarter.docx", "A 52630-2025")</f>
        <v/>
      </c>
    </row>
    <row r="131" ht="15" customHeight="1">
      <c r="A131" t="inlineStr">
        <is>
          <t>A 35733-2021</t>
        </is>
      </c>
      <c r="B131" s="1" t="n">
        <v>44385</v>
      </c>
      <c r="C131" s="1" t="n">
        <v>46205</v>
      </c>
      <c r="D131" t="inlineStr">
        <is>
          <t>VÄSTERBOTTENS LÄN</t>
        </is>
      </c>
      <c r="E131" t="inlineStr">
        <is>
          <t>SKELLEFTEÅ</t>
        </is>
      </c>
      <c r="G131" t="n">
        <v>0.9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Spillkråka
Tjäder</t>
        </is>
      </c>
      <c r="S131">
        <f>HYPERLINK("https://klasma.github.io/Logging_2482/artfynd/A 35733-2021 artfynd.xlsx", "A 35733-2021")</f>
        <v/>
      </c>
      <c r="T131">
        <f>HYPERLINK("https://klasma.github.io/Logging_2482/kartor/A 35733-2021 karta.png", "A 35733-2021")</f>
        <v/>
      </c>
      <c r="V131">
        <f>HYPERLINK("https://klasma.github.io/Logging_2482/klagomål/A 35733-2021 FSC-klagomål.docx", "A 35733-2021")</f>
        <v/>
      </c>
      <c r="W131">
        <f>HYPERLINK("https://klasma.github.io/Logging_2482/klagomålsmail/A 35733-2021 FSC-klagomål mail.docx", "A 35733-2021")</f>
        <v/>
      </c>
      <c r="X131">
        <f>HYPERLINK("https://klasma.github.io/Logging_2482/tillsyn/A 35733-2021 tillsynsbegäran.docx", "A 35733-2021")</f>
        <v/>
      </c>
      <c r="Y131">
        <f>HYPERLINK("https://klasma.github.io/Logging_2482/tillsynsmail/A 35733-2021 tillsynsbegäran mail.docx", "A 35733-2021")</f>
        <v/>
      </c>
      <c r="Z131">
        <f>HYPERLINK("https://klasma.github.io/Logging_2482/fåglar/A 35733-2021 prioriterade fågelarter.docx", "A 35733-2021")</f>
        <v/>
      </c>
    </row>
    <row r="132" ht="15" customHeight="1">
      <c r="A132" t="inlineStr">
        <is>
          <t>A 58701-2023</t>
        </is>
      </c>
      <c r="B132" s="1" t="n">
        <v>45247</v>
      </c>
      <c r="C132" s="1" t="n">
        <v>46205</v>
      </c>
      <c r="D132" t="inlineStr">
        <is>
          <t>VÄSTERBOTTENS LÄN</t>
        </is>
      </c>
      <c r="E132" t="inlineStr">
        <is>
          <t>SKELLEFTEÅ</t>
        </is>
      </c>
      <c r="G132" t="n">
        <v>1.8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Koralltaggsvamp
Talltita</t>
        </is>
      </c>
      <c r="S132">
        <f>HYPERLINK("https://klasma.github.io/Logging_2482/artfynd/A 58701-2023 artfynd.xlsx", "A 58701-2023")</f>
        <v/>
      </c>
      <c r="T132">
        <f>HYPERLINK("https://klasma.github.io/Logging_2482/kartor/A 58701-2023 karta.png", "A 58701-2023")</f>
        <v/>
      </c>
      <c r="V132">
        <f>HYPERLINK("https://klasma.github.io/Logging_2482/klagomål/A 58701-2023 FSC-klagomål.docx", "A 58701-2023")</f>
        <v/>
      </c>
      <c r="W132">
        <f>HYPERLINK("https://klasma.github.io/Logging_2482/klagomålsmail/A 58701-2023 FSC-klagomål mail.docx", "A 58701-2023")</f>
        <v/>
      </c>
      <c r="X132">
        <f>HYPERLINK("https://klasma.github.io/Logging_2482/tillsyn/A 58701-2023 tillsynsbegäran.docx", "A 58701-2023")</f>
        <v/>
      </c>
      <c r="Y132">
        <f>HYPERLINK("https://klasma.github.io/Logging_2482/tillsynsmail/A 58701-2023 tillsynsbegäran mail.docx", "A 58701-2023")</f>
        <v/>
      </c>
      <c r="Z132">
        <f>HYPERLINK("https://klasma.github.io/Logging_2482/fåglar/A 58701-2023 prioriterade fågelarter.docx", "A 58701-2023")</f>
        <v/>
      </c>
    </row>
    <row r="133" ht="15" customHeight="1">
      <c r="A133" t="inlineStr">
        <is>
          <t>A 28206-2026</t>
        </is>
      </c>
      <c r="B133" s="1" t="n">
        <v>46196</v>
      </c>
      <c r="C133" s="1" t="n">
        <v>46205</v>
      </c>
      <c r="D133" t="inlineStr">
        <is>
          <t>VÄSTERBOTTENS LÄN</t>
        </is>
      </c>
      <c r="E133" t="inlineStr">
        <is>
          <t>SKELLEFTEÅ</t>
        </is>
      </c>
      <c r="G133" t="n">
        <v>13.3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Ullticka
Skinnlav</t>
        </is>
      </c>
      <c r="S133">
        <f>HYPERLINK("https://klasma.github.io/Logging_2482/artfynd/A 28206-2026 artfynd.xlsx", "A 28206-2026")</f>
        <v/>
      </c>
      <c r="T133">
        <f>HYPERLINK("https://klasma.github.io/Logging_2482/kartor/A 28206-2026 karta.png", "A 28206-2026")</f>
        <v/>
      </c>
      <c r="V133">
        <f>HYPERLINK("https://klasma.github.io/Logging_2482/klagomål/A 28206-2026 FSC-klagomål.docx", "A 28206-2026")</f>
        <v/>
      </c>
      <c r="W133">
        <f>HYPERLINK("https://klasma.github.io/Logging_2482/klagomålsmail/A 28206-2026 FSC-klagomål mail.docx", "A 28206-2026")</f>
        <v/>
      </c>
      <c r="X133">
        <f>HYPERLINK("https://klasma.github.io/Logging_2482/tillsyn/A 28206-2026 tillsynsbegäran.docx", "A 28206-2026")</f>
        <v/>
      </c>
      <c r="Y133">
        <f>HYPERLINK("https://klasma.github.io/Logging_2482/tillsynsmail/A 28206-2026 tillsynsbegäran mail.docx", "A 28206-2026")</f>
        <v/>
      </c>
    </row>
    <row r="134" ht="15" customHeight="1">
      <c r="A134" t="inlineStr">
        <is>
          <t>A 20367-2025</t>
        </is>
      </c>
      <c r="B134" s="1" t="n">
        <v>45775</v>
      </c>
      <c r="C134" s="1" t="n">
        <v>46205</v>
      </c>
      <c r="D134" t="inlineStr">
        <is>
          <t>VÄSTERBOTTENS LÄN</t>
        </is>
      </c>
      <c r="E134" t="inlineStr">
        <is>
          <t>SKELLEFTEÅ</t>
        </is>
      </c>
      <c r="G134" t="n">
        <v>3</v>
      </c>
      <c r="H134" t="n">
        <v>1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Knärot
Ullticka</t>
        </is>
      </c>
      <c r="S134">
        <f>HYPERLINK("https://klasma.github.io/Logging_2482/artfynd/A 20367-2025 artfynd.xlsx", "A 20367-2025")</f>
        <v/>
      </c>
      <c r="T134">
        <f>HYPERLINK("https://klasma.github.io/Logging_2482/kartor/A 20367-2025 karta.png", "A 20367-2025")</f>
        <v/>
      </c>
      <c r="U134">
        <f>HYPERLINK("https://klasma.github.io/Logging_2482/knärot/A 20367-2025 karta knärot.png", "A 20367-2025")</f>
        <v/>
      </c>
      <c r="V134">
        <f>HYPERLINK("https://klasma.github.io/Logging_2482/klagomål/A 20367-2025 FSC-klagomål.docx", "A 20367-2025")</f>
        <v/>
      </c>
      <c r="W134">
        <f>HYPERLINK("https://klasma.github.io/Logging_2482/klagomålsmail/A 20367-2025 FSC-klagomål mail.docx", "A 20367-2025")</f>
        <v/>
      </c>
      <c r="X134">
        <f>HYPERLINK("https://klasma.github.io/Logging_2482/tillsyn/A 20367-2025 tillsynsbegäran.docx", "A 20367-2025")</f>
        <v/>
      </c>
      <c r="Y134">
        <f>HYPERLINK("https://klasma.github.io/Logging_2482/tillsynsmail/A 20367-2025 tillsynsbegäran mail.docx", "A 20367-2025")</f>
        <v/>
      </c>
    </row>
    <row r="135" ht="15" customHeight="1">
      <c r="A135" t="inlineStr">
        <is>
          <t>A 11627-2023</t>
        </is>
      </c>
      <c r="B135" s="1" t="n">
        <v>44994</v>
      </c>
      <c r="C135" s="1" t="n">
        <v>46205</v>
      </c>
      <c r="D135" t="inlineStr">
        <is>
          <t>VÄSTERBOTTENS LÄN</t>
        </is>
      </c>
      <c r="E135" t="inlineStr">
        <is>
          <t>SKELLEFTEÅ</t>
        </is>
      </c>
      <c r="G135" t="n">
        <v>16.6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Norrlandslav
Revlummer</t>
        </is>
      </c>
      <c r="S135">
        <f>HYPERLINK("https://klasma.github.io/Logging_2482/artfynd/A 11627-2023 artfynd.xlsx", "A 11627-2023")</f>
        <v/>
      </c>
      <c r="T135">
        <f>HYPERLINK("https://klasma.github.io/Logging_2482/kartor/A 11627-2023 karta.png", "A 11627-2023")</f>
        <v/>
      </c>
      <c r="V135">
        <f>HYPERLINK("https://klasma.github.io/Logging_2482/klagomål/A 11627-2023 FSC-klagomål.docx", "A 11627-2023")</f>
        <v/>
      </c>
      <c r="W135">
        <f>HYPERLINK("https://klasma.github.io/Logging_2482/klagomålsmail/A 11627-2023 FSC-klagomål mail.docx", "A 11627-2023")</f>
        <v/>
      </c>
      <c r="X135">
        <f>HYPERLINK("https://klasma.github.io/Logging_2482/tillsyn/A 11627-2023 tillsynsbegäran.docx", "A 11627-2023")</f>
        <v/>
      </c>
      <c r="Y135">
        <f>HYPERLINK("https://klasma.github.io/Logging_2482/tillsynsmail/A 11627-2023 tillsynsbegäran mail.docx", "A 11627-2023")</f>
        <v/>
      </c>
    </row>
    <row r="136" ht="15" customHeight="1">
      <c r="A136" t="inlineStr">
        <is>
          <t>A 49588-2022</t>
        </is>
      </c>
      <c r="B136" s="1" t="n">
        <v>44862</v>
      </c>
      <c r="C136" s="1" t="n">
        <v>46205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6.1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49588-2022 artfynd.xlsx", "A 49588-2022")</f>
        <v/>
      </c>
      <c r="T136">
        <f>HYPERLINK("https://klasma.github.io/Logging_2482/kartor/A 49588-2022 karta.png", "A 49588-2022")</f>
        <v/>
      </c>
      <c r="V136">
        <f>HYPERLINK("https://klasma.github.io/Logging_2482/klagomål/A 49588-2022 FSC-klagomål.docx", "A 49588-2022")</f>
        <v/>
      </c>
      <c r="W136">
        <f>HYPERLINK("https://klasma.github.io/Logging_2482/klagomålsmail/A 49588-2022 FSC-klagomål mail.docx", "A 49588-2022")</f>
        <v/>
      </c>
      <c r="X136">
        <f>HYPERLINK("https://klasma.github.io/Logging_2482/tillsyn/A 49588-2022 tillsynsbegäran.docx", "A 49588-2022")</f>
        <v/>
      </c>
      <c r="Y136">
        <f>HYPERLINK("https://klasma.github.io/Logging_2482/tillsynsmail/A 49588-2022 tillsynsbegäran mail.docx", "A 49588-2022")</f>
        <v/>
      </c>
    </row>
    <row r="137" ht="15" customHeight="1">
      <c r="A137" t="inlineStr">
        <is>
          <t>A 47984-2022</t>
        </is>
      </c>
      <c r="B137" s="1" t="n">
        <v>44853</v>
      </c>
      <c r="C137" s="1" t="n">
        <v>46205</v>
      </c>
      <c r="D137" t="inlineStr">
        <is>
          <t>VÄSTERBOTTENS LÄN</t>
        </is>
      </c>
      <c r="E137" t="inlineStr">
        <is>
          <t>SKELLEFTEÅ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Skrovlig taggsvamp</t>
        </is>
      </c>
      <c r="S137">
        <f>HYPERLINK("https://klasma.github.io/Logging_2482/artfynd/A 47984-2022 artfynd.xlsx", "A 47984-2022")</f>
        <v/>
      </c>
      <c r="T137">
        <f>HYPERLINK("https://klasma.github.io/Logging_2482/kartor/A 47984-2022 karta.png", "A 47984-2022")</f>
        <v/>
      </c>
      <c r="V137">
        <f>HYPERLINK("https://klasma.github.io/Logging_2482/klagomål/A 47984-2022 FSC-klagomål.docx", "A 47984-2022")</f>
        <v/>
      </c>
      <c r="W137">
        <f>HYPERLINK("https://klasma.github.io/Logging_2482/klagomålsmail/A 47984-2022 FSC-klagomål mail.docx", "A 47984-2022")</f>
        <v/>
      </c>
      <c r="X137">
        <f>HYPERLINK("https://klasma.github.io/Logging_2482/tillsyn/A 47984-2022 tillsynsbegäran.docx", "A 47984-2022")</f>
        <v/>
      </c>
      <c r="Y137">
        <f>HYPERLINK("https://klasma.github.io/Logging_2482/tillsynsmail/A 47984-2022 tillsynsbegäran mail.docx", "A 47984-2022")</f>
        <v/>
      </c>
    </row>
    <row r="138" ht="15" customHeight="1">
      <c r="A138" t="inlineStr">
        <is>
          <t>A 64723-2023</t>
        </is>
      </c>
      <c r="B138" s="1" t="n">
        <v>45281</v>
      </c>
      <c r="C138" s="1" t="n">
        <v>46205</v>
      </c>
      <c r="D138" t="inlineStr">
        <is>
          <t>VÄSTERBOTTENS LÄN</t>
        </is>
      </c>
      <c r="E138" t="inlineStr">
        <is>
          <t>SKELLEFTEÅ</t>
        </is>
      </c>
      <c r="G138" t="n">
        <v>0.1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64723-2023 artfynd.xlsx", "A 64723-2023")</f>
        <v/>
      </c>
      <c r="T138">
        <f>HYPERLINK("https://klasma.github.io/Logging_2482/kartor/A 64723-2023 karta.png", "A 64723-2023")</f>
        <v/>
      </c>
      <c r="V138">
        <f>HYPERLINK("https://klasma.github.io/Logging_2482/klagomål/A 64723-2023 FSC-klagomål.docx", "A 64723-2023")</f>
        <v/>
      </c>
      <c r="W138">
        <f>HYPERLINK("https://klasma.github.io/Logging_2482/klagomålsmail/A 64723-2023 FSC-klagomål mail.docx", "A 64723-2023")</f>
        <v/>
      </c>
      <c r="X138">
        <f>HYPERLINK("https://klasma.github.io/Logging_2482/tillsyn/A 64723-2023 tillsynsbegäran.docx", "A 64723-2023")</f>
        <v/>
      </c>
      <c r="Y138">
        <f>HYPERLINK("https://klasma.github.io/Logging_2482/tillsynsmail/A 64723-2023 tillsynsbegäran mail.docx", "A 64723-2023")</f>
        <v/>
      </c>
    </row>
    <row r="139" ht="15" customHeight="1">
      <c r="A139" t="inlineStr">
        <is>
          <t>A 60231-2022</t>
        </is>
      </c>
      <c r="B139" s="1" t="n">
        <v>44910</v>
      </c>
      <c r="C139" s="1" t="n">
        <v>46205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HYPERLINK("https://klasma.github.io/Logging_2482/artfynd/A 60231-2022 artfynd.xlsx", "A 60231-2022")</f>
        <v/>
      </c>
      <c r="T139">
        <f>HYPERLINK("https://klasma.github.io/Logging_2482/kartor/A 60231-2022 karta.png", "A 60231-2022")</f>
        <v/>
      </c>
      <c r="V139">
        <f>HYPERLINK("https://klasma.github.io/Logging_2482/klagomål/A 60231-2022 FSC-klagomål.docx", "A 60231-2022")</f>
        <v/>
      </c>
      <c r="W139">
        <f>HYPERLINK("https://klasma.github.io/Logging_2482/klagomålsmail/A 60231-2022 FSC-klagomål mail.docx", "A 60231-2022")</f>
        <v/>
      </c>
      <c r="X139">
        <f>HYPERLINK("https://klasma.github.io/Logging_2482/tillsyn/A 60231-2022 tillsynsbegäran.docx", "A 60231-2022")</f>
        <v/>
      </c>
      <c r="Y139">
        <f>HYPERLINK("https://klasma.github.io/Logging_2482/tillsynsmail/A 60231-2022 tillsynsbegäran mail.docx", "A 60231-2022")</f>
        <v/>
      </c>
    </row>
    <row r="140" ht="15" customHeight="1">
      <c r="A140" t="inlineStr">
        <is>
          <t>A 58766-2021</t>
        </is>
      </c>
      <c r="B140" s="1" t="n">
        <v>44489</v>
      </c>
      <c r="C140" s="1" t="n">
        <v>46205</v>
      </c>
      <c r="D140" t="inlineStr">
        <is>
          <t>VÄSTERBOTTENS LÄN</t>
        </is>
      </c>
      <c r="E140" t="inlineStr">
        <is>
          <t>SKELLEFTEÅ</t>
        </is>
      </c>
      <c r="G140" t="n">
        <v>5.5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Stjärntagging</t>
        </is>
      </c>
      <c r="S140">
        <f>HYPERLINK("https://klasma.github.io/Logging_2482/artfynd/A 58766-2021 artfynd.xlsx", "A 58766-2021")</f>
        <v/>
      </c>
      <c r="T140">
        <f>HYPERLINK("https://klasma.github.io/Logging_2482/kartor/A 58766-2021 karta.png", "A 58766-2021")</f>
        <v/>
      </c>
      <c r="V140">
        <f>HYPERLINK("https://klasma.github.io/Logging_2482/klagomål/A 58766-2021 FSC-klagomål.docx", "A 58766-2021")</f>
        <v/>
      </c>
      <c r="W140">
        <f>HYPERLINK("https://klasma.github.io/Logging_2482/klagomålsmail/A 58766-2021 FSC-klagomål mail.docx", "A 58766-2021")</f>
        <v/>
      </c>
      <c r="X140">
        <f>HYPERLINK("https://klasma.github.io/Logging_2482/tillsyn/A 58766-2021 tillsynsbegäran.docx", "A 58766-2021")</f>
        <v/>
      </c>
      <c r="Y140">
        <f>HYPERLINK("https://klasma.github.io/Logging_2482/tillsynsmail/A 58766-2021 tillsynsbegäran mail.docx", "A 58766-2021")</f>
        <v/>
      </c>
    </row>
    <row r="141" ht="15" customHeight="1">
      <c r="A141" t="inlineStr">
        <is>
          <t>A 19924-2025</t>
        </is>
      </c>
      <c r="B141" s="1" t="n">
        <v>45771</v>
      </c>
      <c r="C141" s="1" t="n">
        <v>46205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2.1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HYPERLINK("https://klasma.github.io/Logging_2482/artfynd/A 19924-2025 artfynd.xlsx", "A 19924-2025")</f>
        <v/>
      </c>
      <c r="T141">
        <f>HYPERLINK("https://klasma.github.io/Logging_2482/kartor/A 19924-2025 karta.png", "A 19924-2025")</f>
        <v/>
      </c>
      <c r="V141">
        <f>HYPERLINK("https://klasma.github.io/Logging_2482/klagomål/A 19924-2025 FSC-klagomål.docx", "A 19924-2025")</f>
        <v/>
      </c>
      <c r="W141">
        <f>HYPERLINK("https://klasma.github.io/Logging_2482/klagomålsmail/A 19924-2025 FSC-klagomål mail.docx", "A 19924-2025")</f>
        <v/>
      </c>
      <c r="X141">
        <f>HYPERLINK("https://klasma.github.io/Logging_2482/tillsyn/A 19924-2025 tillsynsbegäran.docx", "A 19924-2025")</f>
        <v/>
      </c>
      <c r="Y141">
        <f>HYPERLINK("https://klasma.github.io/Logging_2482/tillsynsmail/A 19924-2025 tillsynsbegäran mail.docx", "A 19924-2025")</f>
        <v/>
      </c>
    </row>
    <row r="142" ht="15" customHeight="1">
      <c r="A142" t="inlineStr">
        <is>
          <t>A 57770-2022</t>
        </is>
      </c>
      <c r="B142" s="1" t="n">
        <v>44897</v>
      </c>
      <c r="C142" s="1" t="n">
        <v>46205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HYPERLINK("https://klasma.github.io/Logging_2482/artfynd/A 57770-2022 artfynd.xlsx", "A 57770-2022")</f>
        <v/>
      </c>
      <c r="T142">
        <f>HYPERLINK("https://klasma.github.io/Logging_2482/kartor/A 57770-2022 karta.png", "A 57770-2022")</f>
        <v/>
      </c>
      <c r="V142">
        <f>HYPERLINK("https://klasma.github.io/Logging_2482/klagomål/A 57770-2022 FSC-klagomål.docx", "A 57770-2022")</f>
        <v/>
      </c>
      <c r="W142">
        <f>HYPERLINK("https://klasma.github.io/Logging_2482/klagomålsmail/A 57770-2022 FSC-klagomål mail.docx", "A 57770-2022")</f>
        <v/>
      </c>
      <c r="X142">
        <f>HYPERLINK("https://klasma.github.io/Logging_2482/tillsyn/A 57770-2022 tillsynsbegäran.docx", "A 57770-2022")</f>
        <v/>
      </c>
      <c r="Y142">
        <f>HYPERLINK("https://klasma.github.io/Logging_2482/tillsynsmail/A 57770-2022 tillsynsbegäran mail.docx", "A 57770-2022")</f>
        <v/>
      </c>
    </row>
    <row r="143" ht="15" customHeight="1">
      <c r="A143" t="inlineStr">
        <is>
          <t>A 60488-2022</t>
        </is>
      </c>
      <c r="B143" s="1" t="n">
        <v>44911</v>
      </c>
      <c r="C143" s="1" t="n">
        <v>46205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11.6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Ullticka</t>
        </is>
      </c>
      <c r="S143">
        <f>HYPERLINK("https://klasma.github.io/Logging_2482/artfynd/A 60488-2022 artfynd.xlsx", "A 60488-2022")</f>
        <v/>
      </c>
      <c r="T143">
        <f>HYPERLINK("https://klasma.github.io/Logging_2482/kartor/A 60488-2022 karta.png", "A 60488-2022")</f>
        <v/>
      </c>
      <c r="V143">
        <f>HYPERLINK("https://klasma.github.io/Logging_2482/klagomål/A 60488-2022 FSC-klagomål.docx", "A 60488-2022")</f>
        <v/>
      </c>
      <c r="W143">
        <f>HYPERLINK("https://klasma.github.io/Logging_2482/klagomålsmail/A 60488-2022 FSC-klagomål mail.docx", "A 60488-2022")</f>
        <v/>
      </c>
      <c r="X143">
        <f>HYPERLINK("https://klasma.github.io/Logging_2482/tillsyn/A 60488-2022 tillsynsbegäran.docx", "A 60488-2022")</f>
        <v/>
      </c>
      <c r="Y143">
        <f>HYPERLINK("https://klasma.github.io/Logging_2482/tillsynsmail/A 60488-2022 tillsynsbegäran mail.docx", "A 60488-2022")</f>
        <v/>
      </c>
    </row>
    <row r="144" ht="15" customHeight="1">
      <c r="A144" t="inlineStr">
        <is>
          <t>A 28860-2025</t>
        </is>
      </c>
      <c r="B144" s="1" t="n">
        <v>45820</v>
      </c>
      <c r="C144" s="1" t="n">
        <v>46205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HYPERLINK("https://klasma.github.io/Logging_2482/artfynd/A 28860-2025 artfynd.xlsx", "A 28860-2025")</f>
        <v/>
      </c>
      <c r="T144">
        <f>HYPERLINK("https://klasma.github.io/Logging_2482/kartor/A 28860-2025 karta.png", "A 28860-2025")</f>
        <v/>
      </c>
      <c r="V144">
        <f>HYPERLINK("https://klasma.github.io/Logging_2482/klagomål/A 28860-2025 FSC-klagomål.docx", "A 28860-2025")</f>
        <v/>
      </c>
      <c r="W144">
        <f>HYPERLINK("https://klasma.github.io/Logging_2482/klagomålsmail/A 28860-2025 FSC-klagomål mail.docx", "A 28860-2025")</f>
        <v/>
      </c>
      <c r="X144">
        <f>HYPERLINK("https://klasma.github.io/Logging_2482/tillsyn/A 28860-2025 tillsynsbegäran.docx", "A 28860-2025")</f>
        <v/>
      </c>
      <c r="Y144">
        <f>HYPERLINK("https://klasma.github.io/Logging_2482/tillsynsmail/A 28860-2025 tillsynsbegäran mail.docx", "A 28860-2025")</f>
        <v/>
      </c>
    </row>
    <row r="145" ht="15" customHeight="1">
      <c r="A145" t="inlineStr">
        <is>
          <t>A 32724-2024</t>
        </is>
      </c>
      <c r="B145" s="1" t="n">
        <v>45516</v>
      </c>
      <c r="C145" s="1" t="n">
        <v>46205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HYPERLINK("https://klasma.github.io/Logging_2482/artfynd/A 32724-2024 artfynd.xlsx", "A 32724-2024")</f>
        <v/>
      </c>
      <c r="T145">
        <f>HYPERLINK("https://klasma.github.io/Logging_2482/kartor/A 32724-2024 karta.png", "A 32724-2024")</f>
        <v/>
      </c>
      <c r="V145">
        <f>HYPERLINK("https://klasma.github.io/Logging_2482/klagomål/A 32724-2024 FSC-klagomål.docx", "A 32724-2024")</f>
        <v/>
      </c>
      <c r="W145">
        <f>HYPERLINK("https://klasma.github.io/Logging_2482/klagomålsmail/A 32724-2024 FSC-klagomål mail.docx", "A 32724-2024")</f>
        <v/>
      </c>
      <c r="X145">
        <f>HYPERLINK("https://klasma.github.io/Logging_2482/tillsyn/A 32724-2024 tillsynsbegäran.docx", "A 32724-2024")</f>
        <v/>
      </c>
      <c r="Y145">
        <f>HYPERLINK("https://klasma.github.io/Logging_2482/tillsynsmail/A 32724-2024 tillsynsbegäran mail.docx", "A 32724-2024")</f>
        <v/>
      </c>
    </row>
    <row r="146" ht="15" customHeight="1">
      <c r="A146" t="inlineStr">
        <is>
          <t>A 60237-2022</t>
        </is>
      </c>
      <c r="B146" s="1" t="n">
        <v>44903</v>
      </c>
      <c r="C146" s="1" t="n">
        <v>46205</v>
      </c>
      <c r="D146" t="inlineStr">
        <is>
          <t>VÄSTERBOTTENS LÄN</t>
        </is>
      </c>
      <c r="E146" t="inlineStr">
        <is>
          <t>SKELLEFTEÅ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Sälg</t>
        </is>
      </c>
      <c r="S146">
        <f>HYPERLINK("https://klasma.github.io/Logging_2482/artfynd/A 60237-2022 artfynd.xlsx", "A 60237-2022")</f>
        <v/>
      </c>
      <c r="T146">
        <f>HYPERLINK("https://klasma.github.io/Logging_2482/kartor/A 60237-2022 karta.png", "A 60237-2022")</f>
        <v/>
      </c>
      <c r="V146">
        <f>HYPERLINK("https://klasma.github.io/Logging_2482/klagomål/A 60237-2022 FSC-klagomål.docx", "A 60237-2022")</f>
        <v/>
      </c>
      <c r="W146">
        <f>HYPERLINK("https://klasma.github.io/Logging_2482/klagomålsmail/A 60237-2022 FSC-klagomål mail.docx", "A 60237-2022")</f>
        <v/>
      </c>
      <c r="X146">
        <f>HYPERLINK("https://klasma.github.io/Logging_2482/tillsyn/A 60237-2022 tillsynsbegäran.docx", "A 60237-2022")</f>
        <v/>
      </c>
      <c r="Y146">
        <f>HYPERLINK("https://klasma.github.io/Logging_2482/tillsynsmail/A 60237-2022 tillsynsbegäran mail.docx", "A 60237-2022")</f>
        <v/>
      </c>
    </row>
    <row r="147" ht="15" customHeight="1">
      <c r="A147" t="inlineStr">
        <is>
          <t>A 34724-2025</t>
        </is>
      </c>
      <c r="B147" s="1" t="n">
        <v>45848</v>
      </c>
      <c r="C147" s="1" t="n">
        <v>46205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9.6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Videsparv</t>
        </is>
      </c>
      <c r="S147">
        <f>HYPERLINK("https://klasma.github.io/Logging_2482/artfynd/A 34724-2025 artfynd.xlsx", "A 34724-2025")</f>
        <v/>
      </c>
      <c r="T147">
        <f>HYPERLINK("https://klasma.github.io/Logging_2482/kartor/A 34724-2025 karta.png", "A 34724-2025")</f>
        <v/>
      </c>
      <c r="V147">
        <f>HYPERLINK("https://klasma.github.io/Logging_2482/klagomål/A 34724-2025 FSC-klagomål.docx", "A 34724-2025")</f>
        <v/>
      </c>
      <c r="W147">
        <f>HYPERLINK("https://klasma.github.io/Logging_2482/klagomålsmail/A 34724-2025 FSC-klagomål mail.docx", "A 34724-2025")</f>
        <v/>
      </c>
      <c r="X147">
        <f>HYPERLINK("https://klasma.github.io/Logging_2482/tillsyn/A 34724-2025 tillsynsbegäran.docx", "A 34724-2025")</f>
        <v/>
      </c>
      <c r="Y147">
        <f>HYPERLINK("https://klasma.github.io/Logging_2482/tillsynsmail/A 34724-2025 tillsynsbegäran mail.docx", "A 34724-2025")</f>
        <v/>
      </c>
      <c r="Z147">
        <f>HYPERLINK("https://klasma.github.io/Logging_2482/fåglar/A 34724-2025 prioriterade fågelarter.docx", "A 34724-2025")</f>
        <v/>
      </c>
    </row>
    <row r="148" ht="15" customHeight="1">
      <c r="A148" t="inlineStr">
        <is>
          <t>A 1694-2025</t>
        </is>
      </c>
      <c r="B148" s="1" t="n">
        <v>45670</v>
      </c>
      <c r="C148" s="1" t="n">
        <v>46205</v>
      </c>
      <c r="D148" t="inlineStr">
        <is>
          <t>VÄSTERBOTTENS LÄN</t>
        </is>
      </c>
      <c r="E148" t="inlineStr">
        <is>
          <t>SKELLEFTEÅ</t>
        </is>
      </c>
      <c r="G148" t="n">
        <v>1.8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HYPERLINK("https://klasma.github.io/Logging_2482/artfynd/A 1694-2025 artfynd.xlsx", "A 1694-2025")</f>
        <v/>
      </c>
      <c r="T148">
        <f>HYPERLINK("https://klasma.github.io/Logging_2482/kartor/A 1694-2025 karta.png", "A 1694-2025")</f>
        <v/>
      </c>
      <c r="V148">
        <f>HYPERLINK("https://klasma.github.io/Logging_2482/klagomål/A 1694-2025 FSC-klagomål.docx", "A 1694-2025")</f>
        <v/>
      </c>
      <c r="W148">
        <f>HYPERLINK("https://klasma.github.io/Logging_2482/klagomålsmail/A 1694-2025 FSC-klagomål mail.docx", "A 1694-2025")</f>
        <v/>
      </c>
      <c r="X148">
        <f>HYPERLINK("https://klasma.github.io/Logging_2482/tillsyn/A 1694-2025 tillsynsbegäran.docx", "A 1694-2025")</f>
        <v/>
      </c>
      <c r="Y148">
        <f>HYPERLINK("https://klasma.github.io/Logging_2482/tillsynsmail/A 1694-2025 tillsynsbegäran mail.docx", "A 1694-2025")</f>
        <v/>
      </c>
      <c r="Z148">
        <f>HYPERLINK("https://klasma.github.io/Logging_2482/fåglar/A 1694-2025 prioriterade fågelarter.docx", "A 1694-2025")</f>
        <v/>
      </c>
    </row>
    <row r="149" ht="15" customHeight="1">
      <c r="A149" t="inlineStr">
        <is>
          <t>A 47354-2025</t>
        </is>
      </c>
      <c r="B149" s="1" t="n">
        <v>45930</v>
      </c>
      <c r="C149" s="1" t="n">
        <v>46205</v>
      </c>
      <c r="D149" t="inlineStr">
        <is>
          <t>VÄSTERBOTTENS LÄN</t>
        </is>
      </c>
      <c r="E149" t="inlineStr">
        <is>
          <t>SKELLEFTEÅ</t>
        </is>
      </c>
      <c r="G149" t="n">
        <v>0.5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Mindre vattensalamander</t>
        </is>
      </c>
      <c r="S149">
        <f>HYPERLINK("https://klasma.github.io/Logging_2482/artfynd/A 47354-2025 artfynd.xlsx", "A 47354-2025")</f>
        <v/>
      </c>
      <c r="T149">
        <f>HYPERLINK("https://klasma.github.io/Logging_2482/kartor/A 47354-2025 karta.png", "A 47354-2025")</f>
        <v/>
      </c>
      <c r="V149">
        <f>HYPERLINK("https://klasma.github.io/Logging_2482/klagomål/A 47354-2025 FSC-klagomål.docx", "A 47354-2025")</f>
        <v/>
      </c>
      <c r="W149">
        <f>HYPERLINK("https://klasma.github.io/Logging_2482/klagomålsmail/A 47354-2025 FSC-klagomål mail.docx", "A 47354-2025")</f>
        <v/>
      </c>
      <c r="X149">
        <f>HYPERLINK("https://klasma.github.io/Logging_2482/tillsyn/A 47354-2025 tillsynsbegäran.docx", "A 47354-2025")</f>
        <v/>
      </c>
      <c r="Y149">
        <f>HYPERLINK("https://klasma.github.io/Logging_2482/tillsynsmail/A 47354-2025 tillsynsbegäran mail.docx", "A 47354-2025")</f>
        <v/>
      </c>
    </row>
    <row r="150" ht="15" customHeight="1">
      <c r="A150" t="inlineStr">
        <is>
          <t>A 59709-2024</t>
        </is>
      </c>
      <c r="B150" s="1" t="n">
        <v>45639</v>
      </c>
      <c r="C150" s="1" t="n">
        <v>46205</v>
      </c>
      <c r="D150" t="inlineStr">
        <is>
          <t>VÄSTERBOTTENS LÄN</t>
        </is>
      </c>
      <c r="E150" t="inlineStr">
        <is>
          <t>SKELLEFTEÅ</t>
        </is>
      </c>
      <c r="G150" t="n">
        <v>2.7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HYPERLINK("https://klasma.github.io/Logging_2482/artfynd/A 59709-2024 artfynd.xlsx", "A 59709-2024")</f>
        <v/>
      </c>
      <c r="T150">
        <f>HYPERLINK("https://klasma.github.io/Logging_2482/kartor/A 59709-2024 karta.png", "A 59709-2024")</f>
        <v/>
      </c>
      <c r="V150">
        <f>HYPERLINK("https://klasma.github.io/Logging_2482/klagomål/A 59709-2024 FSC-klagomål.docx", "A 59709-2024")</f>
        <v/>
      </c>
      <c r="W150">
        <f>HYPERLINK("https://klasma.github.io/Logging_2482/klagomålsmail/A 59709-2024 FSC-klagomål mail.docx", "A 59709-2024")</f>
        <v/>
      </c>
      <c r="X150">
        <f>HYPERLINK("https://klasma.github.io/Logging_2482/tillsyn/A 59709-2024 tillsynsbegäran.docx", "A 59709-2024")</f>
        <v/>
      </c>
      <c r="Y150">
        <f>HYPERLINK("https://klasma.github.io/Logging_2482/tillsynsmail/A 59709-2024 tillsynsbegäran mail.docx", "A 59709-2024")</f>
        <v/>
      </c>
      <c r="Z150">
        <f>HYPERLINK("https://klasma.github.io/Logging_2482/fåglar/A 59709-2024 prioriterade fågelarter.docx", "A 59709-2024")</f>
        <v/>
      </c>
    </row>
    <row r="151" ht="15" customHeight="1">
      <c r="A151" t="inlineStr">
        <is>
          <t>A 57568-2024</t>
        </is>
      </c>
      <c r="B151" s="1" t="n">
        <v>45630</v>
      </c>
      <c r="C151" s="1" t="n">
        <v>46205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7.3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Stjärntagging</t>
        </is>
      </c>
      <c r="S151">
        <f>HYPERLINK("https://klasma.github.io/Logging_2482/artfynd/A 57568-2024 artfynd.xlsx", "A 57568-2024")</f>
        <v/>
      </c>
      <c r="T151">
        <f>HYPERLINK("https://klasma.github.io/Logging_2482/kartor/A 57568-2024 karta.png", "A 57568-2024")</f>
        <v/>
      </c>
      <c r="V151">
        <f>HYPERLINK("https://klasma.github.io/Logging_2482/klagomål/A 57568-2024 FSC-klagomål.docx", "A 57568-2024")</f>
        <v/>
      </c>
      <c r="W151">
        <f>HYPERLINK("https://klasma.github.io/Logging_2482/klagomålsmail/A 57568-2024 FSC-klagomål mail.docx", "A 57568-2024")</f>
        <v/>
      </c>
      <c r="X151">
        <f>HYPERLINK("https://klasma.github.io/Logging_2482/tillsyn/A 57568-2024 tillsynsbegäran.docx", "A 57568-2024")</f>
        <v/>
      </c>
      <c r="Y151">
        <f>HYPERLINK("https://klasma.github.io/Logging_2482/tillsynsmail/A 57568-2024 tillsynsbegäran mail.docx", "A 57568-2024")</f>
        <v/>
      </c>
    </row>
    <row r="152" ht="15" customHeight="1">
      <c r="A152" t="inlineStr">
        <is>
          <t>A 11624-2023</t>
        </is>
      </c>
      <c r="B152" s="1" t="n">
        <v>44994</v>
      </c>
      <c r="C152" s="1" t="n">
        <v>46205</v>
      </c>
      <c r="D152" t="inlineStr">
        <is>
          <t>VÄSTERBOTTENS LÄN</t>
        </is>
      </c>
      <c r="E152" t="inlineStr">
        <is>
          <t>SKELLEFTEÅ</t>
        </is>
      </c>
      <c r="G152" t="n">
        <v>47.6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Revlummer</t>
        </is>
      </c>
      <c r="S152">
        <f>HYPERLINK("https://klasma.github.io/Logging_2482/artfynd/A 11624-2023 artfynd.xlsx", "A 11624-2023")</f>
        <v/>
      </c>
      <c r="T152">
        <f>HYPERLINK("https://klasma.github.io/Logging_2482/kartor/A 11624-2023 karta.png", "A 11624-2023")</f>
        <v/>
      </c>
      <c r="V152">
        <f>HYPERLINK("https://klasma.github.io/Logging_2482/klagomål/A 11624-2023 FSC-klagomål.docx", "A 11624-2023")</f>
        <v/>
      </c>
      <c r="W152">
        <f>HYPERLINK("https://klasma.github.io/Logging_2482/klagomålsmail/A 11624-2023 FSC-klagomål mail.docx", "A 11624-2023")</f>
        <v/>
      </c>
      <c r="X152">
        <f>HYPERLINK("https://klasma.github.io/Logging_2482/tillsyn/A 11624-2023 tillsynsbegäran.docx", "A 11624-2023")</f>
        <v/>
      </c>
      <c r="Y152">
        <f>HYPERLINK("https://klasma.github.io/Logging_2482/tillsynsmail/A 11624-2023 tillsynsbegäran mail.docx", "A 11624-2023")</f>
        <v/>
      </c>
    </row>
    <row r="153" ht="15" customHeight="1">
      <c r="A153" t="inlineStr">
        <is>
          <t>A 51667-2025</t>
        </is>
      </c>
      <c r="B153" s="1" t="n">
        <v>45951</v>
      </c>
      <c r="C153" s="1" t="n">
        <v>46205</v>
      </c>
      <c r="D153" t="inlineStr">
        <is>
          <t>VÄSTERBOTTENS LÄN</t>
        </is>
      </c>
      <c r="E153" t="inlineStr">
        <is>
          <t>SKELLEFTEÅ</t>
        </is>
      </c>
      <c r="G153" t="n">
        <v>2.6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HYPERLINK("https://klasma.github.io/Logging_2482/artfynd/A 51667-2025 artfynd.xlsx", "A 51667-2025")</f>
        <v/>
      </c>
      <c r="T153">
        <f>HYPERLINK("https://klasma.github.io/Logging_2482/kartor/A 51667-2025 karta.png", "A 51667-2025")</f>
        <v/>
      </c>
      <c r="V153">
        <f>HYPERLINK("https://klasma.github.io/Logging_2482/klagomål/A 51667-2025 FSC-klagomål.docx", "A 51667-2025")</f>
        <v/>
      </c>
      <c r="W153">
        <f>HYPERLINK("https://klasma.github.io/Logging_2482/klagomålsmail/A 51667-2025 FSC-klagomål mail.docx", "A 51667-2025")</f>
        <v/>
      </c>
      <c r="X153">
        <f>HYPERLINK("https://klasma.github.io/Logging_2482/tillsyn/A 51667-2025 tillsynsbegäran.docx", "A 51667-2025")</f>
        <v/>
      </c>
      <c r="Y153">
        <f>HYPERLINK("https://klasma.github.io/Logging_2482/tillsynsmail/A 51667-2025 tillsynsbegäran mail.docx", "A 51667-2025")</f>
        <v/>
      </c>
    </row>
    <row r="154" ht="15" customHeight="1">
      <c r="A154" t="inlineStr">
        <is>
          <t>A 19066-2023</t>
        </is>
      </c>
      <c r="B154" s="1" t="n">
        <v>45043</v>
      </c>
      <c r="C154" s="1" t="n">
        <v>46205</v>
      </c>
      <c r="D154" t="inlineStr">
        <is>
          <t>VÄSTERBOTTENS LÄN</t>
        </is>
      </c>
      <c r="E154" t="inlineStr">
        <is>
          <t>SKELLEFTEÅ</t>
        </is>
      </c>
      <c r="G154" t="n">
        <v>2.7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HYPERLINK("https://klasma.github.io/Logging_2482/artfynd/A 19066-2023 artfynd.xlsx", "A 19066-2023")</f>
        <v/>
      </c>
      <c r="T154">
        <f>HYPERLINK("https://klasma.github.io/Logging_2482/kartor/A 19066-2023 karta.png", "A 19066-2023")</f>
        <v/>
      </c>
      <c r="V154">
        <f>HYPERLINK("https://klasma.github.io/Logging_2482/klagomål/A 19066-2023 FSC-klagomål.docx", "A 19066-2023")</f>
        <v/>
      </c>
      <c r="W154">
        <f>HYPERLINK("https://klasma.github.io/Logging_2482/klagomålsmail/A 19066-2023 FSC-klagomål mail.docx", "A 19066-2023")</f>
        <v/>
      </c>
      <c r="X154">
        <f>HYPERLINK("https://klasma.github.io/Logging_2482/tillsyn/A 19066-2023 tillsynsbegäran.docx", "A 19066-2023")</f>
        <v/>
      </c>
      <c r="Y154">
        <f>HYPERLINK("https://klasma.github.io/Logging_2482/tillsynsmail/A 19066-2023 tillsynsbegäran mail.docx", "A 19066-2023")</f>
        <v/>
      </c>
    </row>
    <row r="155" ht="15" customHeight="1">
      <c r="A155" t="inlineStr">
        <is>
          <t>A 2436-2025</t>
        </is>
      </c>
      <c r="B155" s="1" t="n">
        <v>45673</v>
      </c>
      <c r="C155" s="1" t="n">
        <v>46205</v>
      </c>
      <c r="D155" t="inlineStr">
        <is>
          <t>VÄSTERBOTTENS LÄN</t>
        </is>
      </c>
      <c r="E155" t="inlineStr">
        <is>
          <t>SKELLEFTEÅ</t>
        </is>
      </c>
      <c r="G155" t="n">
        <v>5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HYPERLINK("https://klasma.github.io/Logging_2482/artfynd/A 2436-2025 artfynd.xlsx", "A 2436-2025")</f>
        <v/>
      </c>
      <c r="T155">
        <f>HYPERLINK("https://klasma.github.io/Logging_2482/kartor/A 2436-2025 karta.png", "A 2436-2025")</f>
        <v/>
      </c>
      <c r="V155">
        <f>HYPERLINK("https://klasma.github.io/Logging_2482/klagomål/A 2436-2025 FSC-klagomål.docx", "A 2436-2025")</f>
        <v/>
      </c>
      <c r="W155">
        <f>HYPERLINK("https://klasma.github.io/Logging_2482/klagomålsmail/A 2436-2025 FSC-klagomål mail.docx", "A 2436-2025")</f>
        <v/>
      </c>
      <c r="X155">
        <f>HYPERLINK("https://klasma.github.io/Logging_2482/tillsyn/A 2436-2025 tillsynsbegäran.docx", "A 2436-2025")</f>
        <v/>
      </c>
      <c r="Y155">
        <f>HYPERLINK("https://klasma.github.io/Logging_2482/tillsynsmail/A 2436-2025 tillsynsbegäran mail.docx", "A 2436-2025")</f>
        <v/>
      </c>
      <c r="Z155">
        <f>HYPERLINK("https://klasma.github.io/Logging_2482/fåglar/A 2436-2025 prioriterade fågelarter.docx", "A 2436-2025")</f>
        <v/>
      </c>
    </row>
    <row r="156" ht="15" customHeight="1">
      <c r="A156" t="inlineStr">
        <is>
          <t>A 57378-2025</t>
        </is>
      </c>
      <c r="B156" s="1" t="n">
        <v>45980</v>
      </c>
      <c r="C156" s="1" t="n">
        <v>46205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HYPERLINK("https://klasma.github.io/Logging_2482/artfynd/A 57378-2025 artfynd.xlsx", "A 57378-2025")</f>
        <v/>
      </c>
      <c r="T156">
        <f>HYPERLINK("https://klasma.github.io/Logging_2482/kartor/A 57378-2025 karta.png", "A 57378-2025")</f>
        <v/>
      </c>
      <c r="V156">
        <f>HYPERLINK("https://klasma.github.io/Logging_2482/klagomål/A 57378-2025 FSC-klagomål.docx", "A 57378-2025")</f>
        <v/>
      </c>
      <c r="W156">
        <f>HYPERLINK("https://klasma.github.io/Logging_2482/klagomålsmail/A 57378-2025 FSC-klagomål mail.docx", "A 57378-2025")</f>
        <v/>
      </c>
      <c r="X156">
        <f>HYPERLINK("https://klasma.github.io/Logging_2482/tillsyn/A 57378-2025 tillsynsbegäran.docx", "A 57378-2025")</f>
        <v/>
      </c>
      <c r="Y156">
        <f>HYPERLINK("https://klasma.github.io/Logging_2482/tillsynsmail/A 57378-2025 tillsynsbegäran mail.docx", "A 57378-2025")</f>
        <v/>
      </c>
    </row>
    <row r="157" ht="15" customHeight="1">
      <c r="A157" t="inlineStr">
        <is>
          <t>A 57992-2025</t>
        </is>
      </c>
      <c r="B157" s="1" t="n">
        <v>45982</v>
      </c>
      <c r="C157" s="1" t="n">
        <v>46205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13.6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Tjäder</t>
        </is>
      </c>
      <c r="S157">
        <f>HYPERLINK("https://klasma.github.io/Logging_2482/artfynd/A 57992-2025 artfynd.xlsx", "A 57992-2025")</f>
        <v/>
      </c>
      <c r="T157">
        <f>HYPERLINK("https://klasma.github.io/Logging_2482/kartor/A 57992-2025 karta.png", "A 57992-2025")</f>
        <v/>
      </c>
      <c r="V157">
        <f>HYPERLINK("https://klasma.github.io/Logging_2482/klagomål/A 57992-2025 FSC-klagomål.docx", "A 57992-2025")</f>
        <v/>
      </c>
      <c r="W157">
        <f>HYPERLINK("https://klasma.github.io/Logging_2482/klagomålsmail/A 57992-2025 FSC-klagomål mail.docx", "A 57992-2025")</f>
        <v/>
      </c>
      <c r="X157">
        <f>HYPERLINK("https://klasma.github.io/Logging_2482/tillsyn/A 57992-2025 tillsynsbegäran.docx", "A 57992-2025")</f>
        <v/>
      </c>
      <c r="Y157">
        <f>HYPERLINK("https://klasma.github.io/Logging_2482/tillsynsmail/A 57992-2025 tillsynsbegäran mail.docx", "A 57992-2025")</f>
        <v/>
      </c>
      <c r="Z157">
        <f>HYPERLINK("https://klasma.github.io/Logging_2482/fåglar/A 57992-2025 prioriterade fågelarter.docx", "A 57992-2025")</f>
        <v/>
      </c>
    </row>
    <row r="158" ht="15" customHeight="1">
      <c r="A158" t="inlineStr">
        <is>
          <t>A 59097-2025</t>
        </is>
      </c>
      <c r="B158" s="1" t="n">
        <v>45988</v>
      </c>
      <c r="C158" s="1" t="n">
        <v>46205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11.6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Huggorm</t>
        </is>
      </c>
      <c r="S158">
        <f>HYPERLINK("https://klasma.github.io/Logging_2482/artfynd/A 59097-2025 artfynd.xlsx", "A 59097-2025")</f>
        <v/>
      </c>
      <c r="T158">
        <f>HYPERLINK("https://klasma.github.io/Logging_2482/kartor/A 59097-2025 karta.png", "A 59097-2025")</f>
        <v/>
      </c>
      <c r="V158">
        <f>HYPERLINK("https://klasma.github.io/Logging_2482/klagomål/A 59097-2025 FSC-klagomål.docx", "A 59097-2025")</f>
        <v/>
      </c>
      <c r="W158">
        <f>HYPERLINK("https://klasma.github.io/Logging_2482/klagomålsmail/A 59097-2025 FSC-klagomål mail.docx", "A 59097-2025")</f>
        <v/>
      </c>
      <c r="X158">
        <f>HYPERLINK("https://klasma.github.io/Logging_2482/tillsyn/A 59097-2025 tillsynsbegäran.docx", "A 59097-2025")</f>
        <v/>
      </c>
      <c r="Y158">
        <f>HYPERLINK("https://klasma.github.io/Logging_2482/tillsynsmail/A 59097-2025 tillsynsbegäran mail.docx", "A 59097-2025")</f>
        <v/>
      </c>
    </row>
    <row r="159" ht="15" customHeight="1">
      <c r="A159" t="inlineStr">
        <is>
          <t>A 59280-2025</t>
        </is>
      </c>
      <c r="B159" s="1" t="n">
        <v>45988</v>
      </c>
      <c r="C159" s="1" t="n">
        <v>46205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8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HYPERLINK("https://klasma.github.io/Logging_2482/artfynd/A 59280-2025 artfynd.xlsx", "A 59280-2025")</f>
        <v/>
      </c>
      <c r="T159">
        <f>HYPERLINK("https://klasma.github.io/Logging_2482/kartor/A 59280-2025 karta.png", "A 59280-2025")</f>
        <v/>
      </c>
      <c r="V159">
        <f>HYPERLINK("https://klasma.github.io/Logging_2482/klagomål/A 59280-2025 FSC-klagomål.docx", "A 59280-2025")</f>
        <v/>
      </c>
      <c r="W159">
        <f>HYPERLINK("https://klasma.github.io/Logging_2482/klagomålsmail/A 59280-2025 FSC-klagomål mail.docx", "A 59280-2025")</f>
        <v/>
      </c>
      <c r="X159">
        <f>HYPERLINK("https://klasma.github.io/Logging_2482/tillsyn/A 59280-2025 tillsynsbegäran.docx", "A 59280-2025")</f>
        <v/>
      </c>
      <c r="Y159">
        <f>HYPERLINK("https://klasma.github.io/Logging_2482/tillsynsmail/A 59280-2025 tillsynsbegäran mail.docx", "A 59280-2025")</f>
        <v/>
      </c>
    </row>
    <row r="160" ht="15" customHeight="1">
      <c r="A160" t="inlineStr">
        <is>
          <t>A 60010-2025</t>
        </is>
      </c>
      <c r="B160" s="1" t="n">
        <v>45993</v>
      </c>
      <c r="C160" s="1" t="n">
        <v>46205</v>
      </c>
      <c r="D160" t="inlineStr">
        <is>
          <t>VÄSTERBOTTENS LÄN</t>
        </is>
      </c>
      <c r="E160" t="inlineStr">
        <is>
          <t>SKELLEFTEÅ</t>
        </is>
      </c>
      <c r="G160" t="n">
        <v>25.1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HYPERLINK("https://klasma.github.io/Logging_2482/artfynd/A 60010-2025 artfynd.xlsx", "A 60010-2025")</f>
        <v/>
      </c>
      <c r="T160">
        <f>HYPERLINK("https://klasma.github.io/Logging_2482/kartor/A 60010-2025 karta.png", "A 60010-2025")</f>
        <v/>
      </c>
      <c r="V160">
        <f>HYPERLINK("https://klasma.github.io/Logging_2482/klagomål/A 60010-2025 FSC-klagomål.docx", "A 60010-2025")</f>
        <v/>
      </c>
      <c r="W160">
        <f>HYPERLINK("https://klasma.github.io/Logging_2482/klagomålsmail/A 60010-2025 FSC-klagomål mail.docx", "A 60010-2025")</f>
        <v/>
      </c>
      <c r="X160">
        <f>HYPERLINK("https://klasma.github.io/Logging_2482/tillsyn/A 60010-2025 tillsynsbegäran.docx", "A 60010-2025")</f>
        <v/>
      </c>
      <c r="Y160">
        <f>HYPERLINK("https://klasma.github.io/Logging_2482/tillsynsmail/A 60010-2025 tillsynsbegäran mail.docx", "A 60010-2025")</f>
        <v/>
      </c>
      <c r="Z160">
        <f>HYPERLINK("https://klasma.github.io/Logging_2482/fåglar/A 60010-2025 prioriterade fågelarter.docx", "A 60010-2025")</f>
        <v/>
      </c>
    </row>
    <row r="161" ht="15" customHeight="1">
      <c r="A161" t="inlineStr">
        <is>
          <t>A 60929-2025</t>
        </is>
      </c>
      <c r="B161" s="1" t="n">
        <v>45999</v>
      </c>
      <c r="C161" s="1" t="n">
        <v>46205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Kommuner</t>
        </is>
      </c>
      <c r="G161" t="n">
        <v>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HYPERLINK("https://klasma.github.io/Logging_2482/artfynd/A 60929-2025 artfynd.xlsx", "A 60929-2025")</f>
        <v/>
      </c>
      <c r="T161">
        <f>HYPERLINK("https://klasma.github.io/Logging_2482/kartor/A 60929-2025 karta.png", "A 60929-2025")</f>
        <v/>
      </c>
      <c r="V161">
        <f>HYPERLINK("https://klasma.github.io/Logging_2482/klagomål/A 60929-2025 FSC-klagomål.docx", "A 60929-2025")</f>
        <v/>
      </c>
      <c r="W161">
        <f>HYPERLINK("https://klasma.github.io/Logging_2482/klagomålsmail/A 60929-2025 FSC-klagomål mail.docx", "A 60929-2025")</f>
        <v/>
      </c>
      <c r="X161">
        <f>HYPERLINK("https://klasma.github.io/Logging_2482/tillsyn/A 60929-2025 tillsynsbegäran.docx", "A 60929-2025")</f>
        <v/>
      </c>
      <c r="Y161">
        <f>HYPERLINK("https://klasma.github.io/Logging_2482/tillsynsmail/A 60929-2025 tillsynsbegäran mail.docx", "A 60929-2025")</f>
        <v/>
      </c>
      <c r="Z161">
        <f>HYPERLINK("https://klasma.github.io/Logging_2482/fåglar/A 60929-2025 prioriterade fågelarter.docx", "A 60929-2025")</f>
        <v/>
      </c>
    </row>
    <row r="162" ht="15" customHeight="1">
      <c r="A162" t="inlineStr">
        <is>
          <t>A 23759-2023</t>
        </is>
      </c>
      <c r="B162" s="1" t="n">
        <v>45077</v>
      </c>
      <c r="C162" s="1" t="n">
        <v>46205</v>
      </c>
      <c r="D162" t="inlineStr">
        <is>
          <t>VÄSTERBOTTENS LÄN</t>
        </is>
      </c>
      <c r="E162" t="inlineStr">
        <is>
          <t>SKELLEFTEÅ</t>
        </is>
      </c>
      <c r="G162" t="n">
        <v>2.3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Harticka</t>
        </is>
      </c>
      <c r="S162">
        <f>HYPERLINK("https://klasma.github.io/Logging_2482/artfynd/A 23759-2023 artfynd.xlsx", "A 23759-2023")</f>
        <v/>
      </c>
      <c r="T162">
        <f>HYPERLINK("https://klasma.github.io/Logging_2482/kartor/A 23759-2023 karta.png", "A 23759-2023")</f>
        <v/>
      </c>
      <c r="V162">
        <f>HYPERLINK("https://klasma.github.io/Logging_2482/klagomål/A 23759-2023 FSC-klagomål.docx", "A 23759-2023")</f>
        <v/>
      </c>
      <c r="W162">
        <f>HYPERLINK("https://klasma.github.io/Logging_2482/klagomålsmail/A 23759-2023 FSC-klagomål mail.docx", "A 23759-2023")</f>
        <v/>
      </c>
      <c r="X162">
        <f>HYPERLINK("https://klasma.github.io/Logging_2482/tillsyn/A 23759-2023 tillsynsbegäran.docx", "A 23759-2023")</f>
        <v/>
      </c>
      <c r="Y162">
        <f>HYPERLINK("https://klasma.github.io/Logging_2482/tillsynsmail/A 23759-2023 tillsynsbegäran mail.docx", "A 23759-2023")</f>
        <v/>
      </c>
    </row>
    <row r="163" ht="15" customHeight="1">
      <c r="A163" t="inlineStr">
        <is>
          <t>A 28448-2023</t>
        </is>
      </c>
      <c r="B163" s="1" t="n">
        <v>45103</v>
      </c>
      <c r="C163" s="1" t="n">
        <v>46205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Kyrkan</t>
        </is>
      </c>
      <c r="G163" t="n">
        <v>9.4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HYPERLINK("https://klasma.github.io/Logging_2482/artfynd/A 28448-2023 artfynd.xlsx", "A 28448-2023")</f>
        <v/>
      </c>
      <c r="T163">
        <f>HYPERLINK("https://klasma.github.io/Logging_2482/kartor/A 28448-2023 karta.png", "A 28448-2023")</f>
        <v/>
      </c>
      <c r="V163">
        <f>HYPERLINK("https://klasma.github.io/Logging_2482/klagomål/A 28448-2023 FSC-klagomål.docx", "A 28448-2023")</f>
        <v/>
      </c>
      <c r="W163">
        <f>HYPERLINK("https://klasma.github.io/Logging_2482/klagomålsmail/A 28448-2023 FSC-klagomål mail.docx", "A 28448-2023")</f>
        <v/>
      </c>
      <c r="X163">
        <f>HYPERLINK("https://klasma.github.io/Logging_2482/tillsyn/A 28448-2023 tillsynsbegäran.docx", "A 28448-2023")</f>
        <v/>
      </c>
      <c r="Y163">
        <f>HYPERLINK("https://klasma.github.io/Logging_2482/tillsynsmail/A 28448-2023 tillsynsbegäran mail.docx", "A 28448-2023")</f>
        <v/>
      </c>
    </row>
    <row r="164" ht="15" customHeight="1">
      <c r="A164" t="inlineStr">
        <is>
          <t>A 36628-2023</t>
        </is>
      </c>
      <c r="B164" s="1" t="n">
        <v>45153</v>
      </c>
      <c r="C164" s="1" t="n">
        <v>46205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Gultoppig fingersvamp</t>
        </is>
      </c>
      <c r="S164">
        <f>HYPERLINK("https://klasma.github.io/Logging_2482/artfynd/A 36628-2023 artfynd.xlsx", "A 36628-2023")</f>
        <v/>
      </c>
      <c r="T164">
        <f>HYPERLINK("https://klasma.github.io/Logging_2482/kartor/A 36628-2023 karta.png", "A 36628-2023")</f>
        <v/>
      </c>
      <c r="V164">
        <f>HYPERLINK("https://klasma.github.io/Logging_2482/klagomål/A 36628-2023 FSC-klagomål.docx", "A 36628-2023")</f>
        <v/>
      </c>
      <c r="W164">
        <f>HYPERLINK("https://klasma.github.io/Logging_2482/klagomålsmail/A 36628-2023 FSC-klagomål mail.docx", "A 36628-2023")</f>
        <v/>
      </c>
      <c r="X164">
        <f>HYPERLINK("https://klasma.github.io/Logging_2482/tillsyn/A 36628-2023 tillsynsbegäran.docx", "A 36628-2023")</f>
        <v/>
      </c>
      <c r="Y164">
        <f>HYPERLINK("https://klasma.github.io/Logging_2482/tillsynsmail/A 36628-2023 tillsynsbegäran mail.docx", "A 36628-2023")</f>
        <v/>
      </c>
    </row>
    <row r="165" ht="15" customHeight="1">
      <c r="A165" t="inlineStr">
        <is>
          <t>A 51734-2021</t>
        </is>
      </c>
      <c r="B165" s="1" t="n">
        <v>44461</v>
      </c>
      <c r="C165" s="1" t="n">
        <v>46205</v>
      </c>
      <c r="D165" t="inlineStr">
        <is>
          <t>VÄSTERBOTTENS LÄN</t>
        </is>
      </c>
      <c r="E165" t="inlineStr">
        <is>
          <t>SKELLEFTEÅ</t>
        </is>
      </c>
      <c r="G165" t="n">
        <v>3.5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Buskskvätta</t>
        </is>
      </c>
      <c r="S165">
        <f>HYPERLINK("https://klasma.github.io/Logging_2482/artfynd/A 51734-2021 artfynd.xlsx", "A 51734-2021")</f>
        <v/>
      </c>
      <c r="T165">
        <f>HYPERLINK("https://klasma.github.io/Logging_2482/kartor/A 51734-2021 karta.png", "A 51734-2021")</f>
        <v/>
      </c>
      <c r="V165">
        <f>HYPERLINK("https://klasma.github.io/Logging_2482/klagomål/A 51734-2021 FSC-klagomål.docx", "A 51734-2021")</f>
        <v/>
      </c>
      <c r="W165">
        <f>HYPERLINK("https://klasma.github.io/Logging_2482/klagomålsmail/A 51734-2021 FSC-klagomål mail.docx", "A 51734-2021")</f>
        <v/>
      </c>
      <c r="X165">
        <f>HYPERLINK("https://klasma.github.io/Logging_2482/tillsyn/A 51734-2021 tillsynsbegäran.docx", "A 51734-2021")</f>
        <v/>
      </c>
      <c r="Y165">
        <f>HYPERLINK("https://klasma.github.io/Logging_2482/tillsynsmail/A 51734-2021 tillsynsbegäran mail.docx", "A 51734-2021")</f>
        <v/>
      </c>
    </row>
    <row r="166" ht="15" customHeight="1">
      <c r="A166" t="inlineStr">
        <is>
          <t>A 42848-2024</t>
        </is>
      </c>
      <c r="B166" s="1" t="n">
        <v>45566</v>
      </c>
      <c r="C166" s="1" t="n">
        <v>46205</v>
      </c>
      <c r="D166" t="inlineStr">
        <is>
          <t>VÄSTERBOTTENS LÄN</t>
        </is>
      </c>
      <c r="E166" t="inlineStr">
        <is>
          <t>SKELLEFTEÅ</t>
        </is>
      </c>
      <c r="G166" t="n">
        <v>2.2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Rosenticka</t>
        </is>
      </c>
      <c r="S166">
        <f>HYPERLINK("https://klasma.github.io/Logging_2482/artfynd/A 42848-2024 artfynd.xlsx", "A 42848-2024")</f>
        <v/>
      </c>
      <c r="T166">
        <f>HYPERLINK("https://klasma.github.io/Logging_2482/kartor/A 42848-2024 karta.png", "A 42848-2024")</f>
        <v/>
      </c>
      <c r="V166">
        <f>HYPERLINK("https://klasma.github.io/Logging_2482/klagomål/A 42848-2024 FSC-klagomål.docx", "A 42848-2024")</f>
        <v/>
      </c>
      <c r="W166">
        <f>HYPERLINK("https://klasma.github.io/Logging_2482/klagomålsmail/A 42848-2024 FSC-klagomål mail.docx", "A 42848-2024")</f>
        <v/>
      </c>
      <c r="X166">
        <f>HYPERLINK("https://klasma.github.io/Logging_2482/tillsyn/A 42848-2024 tillsynsbegäran.docx", "A 42848-2024")</f>
        <v/>
      </c>
      <c r="Y166">
        <f>HYPERLINK("https://klasma.github.io/Logging_2482/tillsynsmail/A 42848-2024 tillsynsbegäran mail.docx", "A 42848-2024")</f>
        <v/>
      </c>
    </row>
    <row r="167" ht="15" customHeight="1">
      <c r="A167" t="inlineStr">
        <is>
          <t>A 10655-2024</t>
        </is>
      </c>
      <c r="B167" s="1" t="n">
        <v>45368</v>
      </c>
      <c r="C167" s="1" t="n">
        <v>46205</v>
      </c>
      <c r="D167" t="inlineStr">
        <is>
          <t>VÄSTERBOTTENS LÄN</t>
        </is>
      </c>
      <c r="E167" t="inlineStr">
        <is>
          <t>SKELLEFTEÅ</t>
        </is>
      </c>
      <c r="G167" t="n">
        <v>3.4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Slaguggla</t>
        </is>
      </c>
      <c r="S167">
        <f>HYPERLINK("https://klasma.github.io/Logging_2482/artfynd/A 10655-2024 artfynd.xlsx", "A 10655-2024")</f>
        <v/>
      </c>
      <c r="T167">
        <f>HYPERLINK("https://klasma.github.io/Logging_2482/kartor/A 10655-2024 karta.png", "A 10655-2024")</f>
        <v/>
      </c>
      <c r="V167">
        <f>HYPERLINK("https://klasma.github.io/Logging_2482/klagomål/A 10655-2024 FSC-klagomål.docx", "A 10655-2024")</f>
        <v/>
      </c>
      <c r="W167">
        <f>HYPERLINK("https://klasma.github.io/Logging_2482/klagomålsmail/A 10655-2024 FSC-klagomål mail.docx", "A 10655-2024")</f>
        <v/>
      </c>
      <c r="X167">
        <f>HYPERLINK("https://klasma.github.io/Logging_2482/tillsyn/A 10655-2024 tillsynsbegäran.docx", "A 10655-2024")</f>
        <v/>
      </c>
      <c r="Y167">
        <f>HYPERLINK("https://klasma.github.io/Logging_2482/tillsynsmail/A 10655-2024 tillsynsbegäran mail.docx", "A 10655-2024")</f>
        <v/>
      </c>
      <c r="Z167">
        <f>HYPERLINK("https://klasma.github.io/Logging_2482/fåglar/A 10655-2024 prioriterade fågelarter.docx", "A 10655-2024")</f>
        <v/>
      </c>
    </row>
    <row r="168" ht="15" customHeight="1">
      <c r="A168" t="inlineStr">
        <is>
          <t>A 15233-2026</t>
        </is>
      </c>
      <c r="B168" s="1" t="n">
        <v>46105</v>
      </c>
      <c r="C168" s="1" t="n">
        <v>46205</v>
      </c>
      <c r="D168" t="inlineStr">
        <is>
          <t>VÄSTERBOTTENS LÄN</t>
        </is>
      </c>
      <c r="E168" t="inlineStr">
        <is>
          <t>SKELLEFTEÅ</t>
        </is>
      </c>
      <c r="G168" t="n">
        <v>10.5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HYPERLINK("https://klasma.github.io/Logging_2482/artfynd/A 15233-2026 artfynd.xlsx", "A 15233-2026")</f>
        <v/>
      </c>
      <c r="T168">
        <f>HYPERLINK("https://klasma.github.io/Logging_2482/kartor/A 15233-2026 karta.png", "A 15233-2026")</f>
        <v/>
      </c>
      <c r="V168">
        <f>HYPERLINK("https://klasma.github.io/Logging_2482/klagomål/A 15233-2026 FSC-klagomål.docx", "A 15233-2026")</f>
        <v/>
      </c>
      <c r="W168">
        <f>HYPERLINK("https://klasma.github.io/Logging_2482/klagomålsmail/A 15233-2026 FSC-klagomål mail.docx", "A 15233-2026")</f>
        <v/>
      </c>
      <c r="X168">
        <f>HYPERLINK("https://klasma.github.io/Logging_2482/tillsyn/A 15233-2026 tillsynsbegäran.docx", "A 15233-2026")</f>
        <v/>
      </c>
      <c r="Y168">
        <f>HYPERLINK("https://klasma.github.io/Logging_2482/tillsynsmail/A 15233-2026 tillsynsbegäran mail.docx", "A 15233-2026")</f>
        <v/>
      </c>
    </row>
    <row r="169" ht="15" customHeight="1">
      <c r="A169" t="inlineStr">
        <is>
          <t>A 28433-2023</t>
        </is>
      </c>
      <c r="B169" s="1" t="n">
        <v>45102</v>
      </c>
      <c r="C169" s="1" t="n">
        <v>46205</v>
      </c>
      <c r="D169" t="inlineStr">
        <is>
          <t>VÄSTERBOTTENS LÄN</t>
        </is>
      </c>
      <c r="E169" t="inlineStr">
        <is>
          <t>SKELLEFTEÅ</t>
        </is>
      </c>
      <c r="G169" t="n">
        <v>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HYPERLINK("https://klasma.github.io/Logging_2482/artfynd/A 28433-2023 artfynd.xlsx", "A 28433-2023")</f>
        <v/>
      </c>
      <c r="T169">
        <f>HYPERLINK("https://klasma.github.io/Logging_2482/kartor/A 28433-2023 karta.png", "A 28433-2023")</f>
        <v/>
      </c>
      <c r="V169">
        <f>HYPERLINK("https://klasma.github.io/Logging_2482/klagomål/A 28433-2023 FSC-klagomål.docx", "A 28433-2023")</f>
        <v/>
      </c>
      <c r="W169">
        <f>HYPERLINK("https://klasma.github.io/Logging_2482/klagomålsmail/A 28433-2023 FSC-klagomål mail.docx", "A 28433-2023")</f>
        <v/>
      </c>
      <c r="X169">
        <f>HYPERLINK("https://klasma.github.io/Logging_2482/tillsyn/A 28433-2023 tillsynsbegäran.docx", "A 28433-2023")</f>
        <v/>
      </c>
      <c r="Y169">
        <f>HYPERLINK("https://klasma.github.io/Logging_2482/tillsynsmail/A 28433-2023 tillsynsbegäran mail.docx", "A 28433-2023")</f>
        <v/>
      </c>
    </row>
    <row r="170" ht="15" customHeight="1">
      <c r="A170" t="inlineStr">
        <is>
          <t>A 40966-2024</t>
        </is>
      </c>
      <c r="B170" s="1" t="n">
        <v>45558</v>
      </c>
      <c r="C170" s="1" t="n">
        <v>46205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Garnlav</t>
        </is>
      </c>
      <c r="S170">
        <f>HYPERLINK("https://klasma.github.io/Logging_2482/artfynd/A 40966-2024 artfynd.xlsx", "A 40966-2024")</f>
        <v/>
      </c>
      <c r="T170">
        <f>HYPERLINK("https://klasma.github.io/Logging_2482/kartor/A 40966-2024 karta.png", "A 40966-2024")</f>
        <v/>
      </c>
      <c r="V170">
        <f>HYPERLINK("https://klasma.github.io/Logging_2482/klagomål/A 40966-2024 FSC-klagomål.docx", "A 40966-2024")</f>
        <v/>
      </c>
      <c r="W170">
        <f>HYPERLINK("https://klasma.github.io/Logging_2482/klagomålsmail/A 40966-2024 FSC-klagomål mail.docx", "A 40966-2024")</f>
        <v/>
      </c>
      <c r="X170">
        <f>HYPERLINK("https://klasma.github.io/Logging_2482/tillsyn/A 40966-2024 tillsynsbegäran.docx", "A 40966-2024")</f>
        <v/>
      </c>
      <c r="Y170">
        <f>HYPERLINK("https://klasma.github.io/Logging_2482/tillsynsmail/A 40966-2024 tillsynsbegäran mail.docx", "A 40966-2024")</f>
        <v/>
      </c>
    </row>
    <row r="171" ht="15" customHeight="1">
      <c r="A171" t="inlineStr">
        <is>
          <t>A 17227-2026</t>
        </is>
      </c>
      <c r="B171" s="1" t="n">
        <v>46119</v>
      </c>
      <c r="C171" s="1" t="n">
        <v>46205</v>
      </c>
      <c r="D171" t="inlineStr">
        <is>
          <t>VÄSTERBOTTENS LÄN</t>
        </is>
      </c>
      <c r="E171" t="inlineStr">
        <is>
          <t>SKELLEFTEÅ</t>
        </is>
      </c>
      <c r="G171" t="n">
        <v>4.3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17227-2026 artfynd.xlsx", "A 17227-2026")</f>
        <v/>
      </c>
      <c r="T171">
        <f>HYPERLINK("https://klasma.github.io/Logging_2482/kartor/A 17227-2026 karta.png", "A 17227-2026")</f>
        <v/>
      </c>
      <c r="V171">
        <f>HYPERLINK("https://klasma.github.io/Logging_2482/klagomål/A 17227-2026 FSC-klagomål.docx", "A 17227-2026")</f>
        <v/>
      </c>
      <c r="W171">
        <f>HYPERLINK("https://klasma.github.io/Logging_2482/klagomålsmail/A 17227-2026 FSC-klagomål mail.docx", "A 17227-2026")</f>
        <v/>
      </c>
      <c r="X171">
        <f>HYPERLINK("https://klasma.github.io/Logging_2482/tillsyn/A 17227-2026 tillsynsbegäran.docx", "A 17227-2026")</f>
        <v/>
      </c>
      <c r="Y171">
        <f>HYPERLINK("https://klasma.github.io/Logging_2482/tillsynsmail/A 17227-2026 tillsynsbegäran mail.docx", "A 17227-2026")</f>
        <v/>
      </c>
      <c r="Z171">
        <f>HYPERLINK("https://klasma.github.io/Logging_2482/fåglar/A 17227-2026 prioriterade fågelarter.docx", "A 17227-2026")</f>
        <v/>
      </c>
    </row>
    <row r="172" ht="15" customHeight="1">
      <c r="A172" t="inlineStr">
        <is>
          <t>A 73985-2021</t>
        </is>
      </c>
      <c r="B172" s="1" t="n">
        <v>44555</v>
      </c>
      <c r="C172" s="1" t="n">
        <v>46205</v>
      </c>
      <c r="D172" t="inlineStr">
        <is>
          <t>VÄSTERBOTTENS LÄN</t>
        </is>
      </c>
      <c r="E172" t="inlineStr">
        <is>
          <t>SKELLEFTEÅ</t>
        </is>
      </c>
      <c r="G172" t="n">
        <v>1.8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Fläcknycklar</t>
        </is>
      </c>
      <c r="S172">
        <f>HYPERLINK("https://klasma.github.io/Logging_2482/artfynd/A 73985-2021 artfynd.xlsx", "A 73985-2021")</f>
        <v/>
      </c>
      <c r="T172">
        <f>HYPERLINK("https://klasma.github.io/Logging_2482/kartor/A 73985-2021 karta.png", "A 73985-2021")</f>
        <v/>
      </c>
      <c r="V172">
        <f>HYPERLINK("https://klasma.github.io/Logging_2482/klagomål/A 73985-2021 FSC-klagomål.docx", "A 73985-2021")</f>
        <v/>
      </c>
      <c r="W172">
        <f>HYPERLINK("https://klasma.github.io/Logging_2482/klagomålsmail/A 73985-2021 FSC-klagomål mail.docx", "A 73985-2021")</f>
        <v/>
      </c>
      <c r="X172">
        <f>HYPERLINK("https://klasma.github.io/Logging_2482/tillsyn/A 73985-2021 tillsynsbegäran.docx", "A 73985-2021")</f>
        <v/>
      </c>
      <c r="Y172">
        <f>HYPERLINK("https://klasma.github.io/Logging_2482/tillsynsmail/A 73985-2021 tillsynsbegäran mail.docx", "A 73985-2021")</f>
        <v/>
      </c>
    </row>
    <row r="173" ht="15" customHeight="1">
      <c r="A173" t="inlineStr">
        <is>
          <t>A 23322-2026</t>
        </is>
      </c>
      <c r="B173" s="1" t="n">
        <v>46162</v>
      </c>
      <c r="C173" s="1" t="n">
        <v>46205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13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Garnlav</t>
        </is>
      </c>
      <c r="S173">
        <f>HYPERLINK("https://klasma.github.io/Logging_2482/artfynd/A 23322-2026 artfynd.xlsx", "A 23322-2026")</f>
        <v/>
      </c>
      <c r="T173">
        <f>HYPERLINK("https://klasma.github.io/Logging_2482/kartor/A 23322-2026 karta.png", "A 23322-2026")</f>
        <v/>
      </c>
      <c r="V173">
        <f>HYPERLINK("https://klasma.github.io/Logging_2482/klagomål/A 23322-2026 FSC-klagomål.docx", "A 23322-2026")</f>
        <v/>
      </c>
      <c r="W173">
        <f>HYPERLINK("https://klasma.github.io/Logging_2482/klagomålsmail/A 23322-2026 FSC-klagomål mail.docx", "A 23322-2026")</f>
        <v/>
      </c>
      <c r="X173">
        <f>HYPERLINK("https://klasma.github.io/Logging_2482/tillsyn/A 23322-2026 tillsynsbegäran.docx", "A 23322-2026")</f>
        <v/>
      </c>
      <c r="Y173">
        <f>HYPERLINK("https://klasma.github.io/Logging_2482/tillsynsmail/A 23322-2026 tillsynsbegäran mail.docx", "A 23322-2026")</f>
        <v/>
      </c>
    </row>
    <row r="174" ht="15" customHeight="1">
      <c r="A174" t="inlineStr">
        <is>
          <t>A 30686-2023</t>
        </is>
      </c>
      <c r="B174" s="1" t="n">
        <v>45112</v>
      </c>
      <c r="C174" s="1" t="n">
        <v>46205</v>
      </c>
      <c r="D174" t="inlineStr">
        <is>
          <t>VÄSTERBOTTENS LÄN</t>
        </is>
      </c>
      <c r="E174" t="inlineStr">
        <is>
          <t>SKELLEFTEÅ</t>
        </is>
      </c>
      <c r="G174" t="n">
        <v>1.7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Norna</t>
        </is>
      </c>
      <c r="S174">
        <f>HYPERLINK("https://klasma.github.io/Logging_2482/artfynd/A 30686-2023 artfynd.xlsx", "A 30686-2023")</f>
        <v/>
      </c>
      <c r="T174">
        <f>HYPERLINK("https://klasma.github.io/Logging_2482/kartor/A 30686-2023 karta.png", "A 30686-2023")</f>
        <v/>
      </c>
      <c r="V174">
        <f>HYPERLINK("https://klasma.github.io/Logging_2482/klagomål/A 30686-2023 FSC-klagomål.docx", "A 30686-2023")</f>
        <v/>
      </c>
      <c r="W174">
        <f>HYPERLINK("https://klasma.github.io/Logging_2482/klagomålsmail/A 30686-2023 FSC-klagomål mail.docx", "A 30686-2023")</f>
        <v/>
      </c>
      <c r="X174">
        <f>HYPERLINK("https://klasma.github.io/Logging_2482/tillsyn/A 30686-2023 tillsynsbegäran.docx", "A 30686-2023")</f>
        <v/>
      </c>
      <c r="Y174">
        <f>HYPERLINK("https://klasma.github.io/Logging_2482/tillsynsmail/A 30686-2023 tillsynsbegäran mail.docx", "A 30686-2023")</f>
        <v/>
      </c>
    </row>
    <row r="175" ht="15" customHeight="1">
      <c r="A175" t="inlineStr">
        <is>
          <t>A 24885-2022</t>
        </is>
      </c>
      <c r="B175" s="1" t="n">
        <v>44728</v>
      </c>
      <c r="C175" s="1" t="n">
        <v>46205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HYPERLINK("https://klasma.github.io/Logging_2482/artfynd/A 24885-2022 artfynd.xlsx", "A 24885-2022")</f>
        <v/>
      </c>
      <c r="T175">
        <f>HYPERLINK("https://klasma.github.io/Logging_2482/kartor/A 24885-2022 karta.png", "A 24885-2022")</f>
        <v/>
      </c>
      <c r="V175">
        <f>HYPERLINK("https://klasma.github.io/Logging_2482/klagomål/A 24885-2022 FSC-klagomål.docx", "A 24885-2022")</f>
        <v/>
      </c>
      <c r="W175">
        <f>HYPERLINK("https://klasma.github.io/Logging_2482/klagomålsmail/A 24885-2022 FSC-klagomål mail.docx", "A 24885-2022")</f>
        <v/>
      </c>
      <c r="X175">
        <f>HYPERLINK("https://klasma.github.io/Logging_2482/tillsyn/A 24885-2022 tillsynsbegäran.docx", "A 24885-2022")</f>
        <v/>
      </c>
      <c r="Y175">
        <f>HYPERLINK("https://klasma.github.io/Logging_2482/tillsynsmail/A 24885-2022 tillsynsbegäran mail.docx", "A 24885-2022")</f>
        <v/>
      </c>
    </row>
    <row r="176" ht="15" customHeight="1">
      <c r="A176" t="inlineStr">
        <is>
          <t>A 20574-2026</t>
        </is>
      </c>
      <c r="B176" s="1" t="n">
        <v>46140</v>
      </c>
      <c r="C176" s="1" t="n">
        <v>46205</v>
      </c>
      <c r="D176" t="inlineStr">
        <is>
          <t>VÄSTERBOTTENS LÄN</t>
        </is>
      </c>
      <c r="E176" t="inlineStr">
        <is>
          <t>SKELLEFTEÅ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Gammelgransskål</t>
        </is>
      </c>
      <c r="S176">
        <f>HYPERLINK("https://klasma.github.io/Logging_2482/artfynd/A 20574-2026 artfynd.xlsx", "A 20574-2026")</f>
        <v/>
      </c>
      <c r="T176">
        <f>HYPERLINK("https://klasma.github.io/Logging_2482/kartor/A 20574-2026 karta.png", "A 20574-2026")</f>
        <v/>
      </c>
      <c r="V176">
        <f>HYPERLINK("https://klasma.github.io/Logging_2482/klagomål/A 20574-2026 FSC-klagomål.docx", "A 20574-2026")</f>
        <v/>
      </c>
      <c r="W176">
        <f>HYPERLINK("https://klasma.github.io/Logging_2482/klagomålsmail/A 20574-2026 FSC-klagomål mail.docx", "A 20574-2026")</f>
        <v/>
      </c>
      <c r="X176">
        <f>HYPERLINK("https://klasma.github.io/Logging_2482/tillsyn/A 20574-2026 tillsynsbegäran.docx", "A 20574-2026")</f>
        <v/>
      </c>
      <c r="Y176">
        <f>HYPERLINK("https://klasma.github.io/Logging_2482/tillsynsmail/A 20574-2026 tillsynsbegäran mail.docx", "A 20574-2026")</f>
        <v/>
      </c>
    </row>
    <row r="177" ht="15" customHeight="1">
      <c r="A177" t="inlineStr">
        <is>
          <t>A 2043-2024</t>
        </is>
      </c>
      <c r="B177" s="1" t="n">
        <v>45308</v>
      </c>
      <c r="C177" s="1" t="n">
        <v>46205</v>
      </c>
      <c r="D177" t="inlineStr">
        <is>
          <t>VÄSTERBOTTENS LÄN</t>
        </is>
      </c>
      <c r="E177" t="inlineStr">
        <is>
          <t>SKELLEFTEÅ</t>
        </is>
      </c>
      <c r="G177" t="n">
        <v>10.5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HYPERLINK("https://klasma.github.io/Logging_2482/artfynd/A 2043-2024 artfynd.xlsx", "A 2043-2024")</f>
        <v/>
      </c>
      <c r="T177">
        <f>HYPERLINK("https://klasma.github.io/Logging_2482/kartor/A 2043-2024 karta.png", "A 2043-2024")</f>
        <v/>
      </c>
      <c r="V177">
        <f>HYPERLINK("https://klasma.github.io/Logging_2482/klagomål/A 2043-2024 FSC-klagomål.docx", "A 2043-2024")</f>
        <v/>
      </c>
      <c r="W177">
        <f>HYPERLINK("https://klasma.github.io/Logging_2482/klagomålsmail/A 2043-2024 FSC-klagomål mail.docx", "A 2043-2024")</f>
        <v/>
      </c>
      <c r="X177">
        <f>HYPERLINK("https://klasma.github.io/Logging_2482/tillsyn/A 2043-2024 tillsynsbegäran.docx", "A 2043-2024")</f>
        <v/>
      </c>
      <c r="Y177">
        <f>HYPERLINK("https://klasma.github.io/Logging_2482/tillsynsmail/A 2043-2024 tillsynsbegäran mail.docx", "A 2043-2024")</f>
        <v/>
      </c>
      <c r="Z177">
        <f>HYPERLINK("https://klasma.github.io/Logging_2482/fåglar/A 2043-2024 prioriterade fågelarter.docx", "A 2043-2024")</f>
        <v/>
      </c>
    </row>
    <row r="178" ht="15" customHeight="1">
      <c r="A178" t="inlineStr">
        <is>
          <t>A 25997-2026</t>
        </is>
      </c>
      <c r="B178" s="1" t="n">
        <v>46181</v>
      </c>
      <c r="C178" s="1" t="n">
        <v>46205</v>
      </c>
      <c r="D178" t="inlineStr">
        <is>
          <t>VÄSTERBOTTENS LÄN</t>
        </is>
      </c>
      <c r="E178" t="inlineStr">
        <is>
          <t>SKELLEFTEÅ</t>
        </is>
      </c>
      <c r="G178" t="n">
        <v>2.1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Ullticka</t>
        </is>
      </c>
      <c r="S178">
        <f>HYPERLINK("https://klasma.github.io/Logging_2482/artfynd/A 25997-2026 artfynd.xlsx", "A 25997-2026")</f>
        <v/>
      </c>
      <c r="T178">
        <f>HYPERLINK("https://klasma.github.io/Logging_2482/kartor/A 25997-2026 karta.png", "A 25997-2026")</f>
        <v/>
      </c>
      <c r="V178">
        <f>HYPERLINK("https://klasma.github.io/Logging_2482/klagomål/A 25997-2026 FSC-klagomål.docx", "A 25997-2026")</f>
        <v/>
      </c>
      <c r="W178">
        <f>HYPERLINK("https://klasma.github.io/Logging_2482/klagomålsmail/A 25997-2026 FSC-klagomål mail.docx", "A 25997-2026")</f>
        <v/>
      </c>
      <c r="X178">
        <f>HYPERLINK("https://klasma.github.io/Logging_2482/tillsyn/A 25997-2026 tillsynsbegäran.docx", "A 25997-2026")</f>
        <v/>
      </c>
      <c r="Y178">
        <f>HYPERLINK("https://klasma.github.io/Logging_2482/tillsynsmail/A 25997-2026 tillsynsbegäran mail.docx", "A 25997-2026")</f>
        <v/>
      </c>
    </row>
    <row r="179" ht="15" customHeight="1">
      <c r="A179" t="inlineStr">
        <is>
          <t>A 277-2025</t>
        </is>
      </c>
      <c r="B179" s="1" t="n">
        <v>45660</v>
      </c>
      <c r="C179" s="1" t="n">
        <v>46205</v>
      </c>
      <c r="D179" t="inlineStr">
        <is>
          <t>VÄSTERBOTTENS LÄN</t>
        </is>
      </c>
      <c r="E179" t="inlineStr">
        <is>
          <t>SKELLEFTEÅ</t>
        </is>
      </c>
      <c r="G179" t="n">
        <v>17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277-2025 artfynd.xlsx", "A 277-2025")</f>
        <v/>
      </c>
      <c r="T179">
        <f>HYPERLINK("https://klasma.github.io/Logging_2482/kartor/A 277-2025 karta.png", "A 277-2025")</f>
        <v/>
      </c>
      <c r="V179">
        <f>HYPERLINK("https://klasma.github.io/Logging_2482/klagomål/A 277-2025 FSC-klagomål.docx", "A 277-2025")</f>
        <v/>
      </c>
      <c r="W179">
        <f>HYPERLINK("https://klasma.github.io/Logging_2482/klagomålsmail/A 277-2025 FSC-klagomål mail.docx", "A 277-2025")</f>
        <v/>
      </c>
      <c r="X179">
        <f>HYPERLINK("https://klasma.github.io/Logging_2482/tillsyn/A 277-2025 tillsynsbegäran.docx", "A 277-2025")</f>
        <v/>
      </c>
      <c r="Y179">
        <f>HYPERLINK("https://klasma.github.io/Logging_2482/tillsynsmail/A 277-2025 tillsynsbegäran mail.docx", "A 277-2025")</f>
        <v/>
      </c>
      <c r="Z179">
        <f>HYPERLINK("https://klasma.github.io/Logging_2482/fåglar/A 277-2025 prioriterade fågelarter.docx", "A 277-2025")</f>
        <v/>
      </c>
    </row>
    <row r="180" ht="15" customHeight="1">
      <c r="A180" t="inlineStr">
        <is>
          <t>A 5252-2024</t>
        </is>
      </c>
      <c r="B180" s="1" t="n">
        <v>45330</v>
      </c>
      <c r="C180" s="1" t="n">
        <v>46205</v>
      </c>
      <c r="D180" t="inlineStr">
        <is>
          <t>VÄSTERBOTTENS LÄN</t>
        </is>
      </c>
      <c r="E180" t="inlineStr">
        <is>
          <t>SKELLEFTEÅ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HYPERLINK("https://klasma.github.io/Logging_2482/artfynd/A 5252-2024 artfynd.xlsx", "A 5252-2024")</f>
        <v/>
      </c>
      <c r="T180">
        <f>HYPERLINK("https://klasma.github.io/Logging_2482/kartor/A 5252-2024 karta.png", "A 5252-2024")</f>
        <v/>
      </c>
      <c r="V180">
        <f>HYPERLINK("https://klasma.github.io/Logging_2482/klagomål/A 5252-2024 FSC-klagomål.docx", "A 5252-2024")</f>
        <v/>
      </c>
      <c r="W180">
        <f>HYPERLINK("https://klasma.github.io/Logging_2482/klagomålsmail/A 5252-2024 FSC-klagomål mail.docx", "A 5252-2024")</f>
        <v/>
      </c>
      <c r="X180">
        <f>HYPERLINK("https://klasma.github.io/Logging_2482/tillsyn/A 5252-2024 tillsynsbegäran.docx", "A 5252-2024")</f>
        <v/>
      </c>
      <c r="Y180">
        <f>HYPERLINK("https://klasma.github.io/Logging_2482/tillsynsmail/A 5252-2024 tillsynsbegäran mail.docx", "A 5252-2024")</f>
        <v/>
      </c>
    </row>
    <row r="181" ht="15" customHeight="1">
      <c r="A181" t="inlineStr">
        <is>
          <t>A 5876-2025</t>
        </is>
      </c>
      <c r="B181" s="1" t="n">
        <v>45694</v>
      </c>
      <c r="C181" s="1" t="n">
        <v>46205</v>
      </c>
      <c r="D181" t="inlineStr">
        <is>
          <t>VÄSTERBOTTENS LÄN</t>
        </is>
      </c>
      <c r="E181" t="inlineStr">
        <is>
          <t>SKELLEFTEÅ</t>
        </is>
      </c>
      <c r="G181" t="n">
        <v>60.7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Nordfladdermus</t>
        </is>
      </c>
      <c r="S181">
        <f>HYPERLINK("https://klasma.github.io/Logging_2482/artfynd/A 5876-2025 artfynd.xlsx", "A 5876-2025")</f>
        <v/>
      </c>
      <c r="T181">
        <f>HYPERLINK("https://klasma.github.io/Logging_2482/kartor/A 5876-2025 karta.png", "A 5876-2025")</f>
        <v/>
      </c>
      <c r="V181">
        <f>HYPERLINK("https://klasma.github.io/Logging_2482/klagomål/A 5876-2025 FSC-klagomål.docx", "A 5876-2025")</f>
        <v/>
      </c>
      <c r="W181">
        <f>HYPERLINK("https://klasma.github.io/Logging_2482/klagomålsmail/A 5876-2025 FSC-klagomål mail.docx", "A 5876-2025")</f>
        <v/>
      </c>
      <c r="X181">
        <f>HYPERLINK("https://klasma.github.io/Logging_2482/tillsyn/A 5876-2025 tillsynsbegäran.docx", "A 5876-2025")</f>
        <v/>
      </c>
      <c r="Y181">
        <f>HYPERLINK("https://klasma.github.io/Logging_2482/tillsynsmail/A 5876-2025 tillsynsbegäran mail.docx", "A 5876-2025")</f>
        <v/>
      </c>
    </row>
    <row r="182" ht="15" customHeight="1">
      <c r="A182" t="inlineStr">
        <is>
          <t>A 21196-2026</t>
        </is>
      </c>
      <c r="B182" s="1" t="n">
        <v>46146</v>
      </c>
      <c r="C182" s="1" t="n">
        <v>46205</v>
      </c>
      <c r="D182" t="inlineStr">
        <is>
          <t>VÄSTERBOTTENS LÄN</t>
        </is>
      </c>
      <c r="E182" t="inlineStr">
        <is>
          <t>SKELLEFTEÅ</t>
        </is>
      </c>
      <c r="G182" t="n">
        <v>1.8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21196-2026 artfynd.xlsx", "A 21196-2026")</f>
        <v/>
      </c>
      <c r="T182">
        <f>HYPERLINK("https://klasma.github.io/Logging_2482/kartor/A 21196-2026 karta.png", "A 21196-2026")</f>
        <v/>
      </c>
      <c r="V182">
        <f>HYPERLINK("https://klasma.github.io/Logging_2482/klagomål/A 21196-2026 FSC-klagomål.docx", "A 21196-2026")</f>
        <v/>
      </c>
      <c r="W182">
        <f>HYPERLINK("https://klasma.github.io/Logging_2482/klagomålsmail/A 21196-2026 FSC-klagomål mail.docx", "A 21196-2026")</f>
        <v/>
      </c>
      <c r="X182">
        <f>HYPERLINK("https://klasma.github.io/Logging_2482/tillsyn/A 21196-2026 tillsynsbegäran.docx", "A 21196-2026")</f>
        <v/>
      </c>
      <c r="Y182">
        <f>HYPERLINK("https://klasma.github.io/Logging_2482/tillsynsmail/A 21196-2026 tillsynsbegäran mail.docx", "A 21196-2026")</f>
        <v/>
      </c>
    </row>
    <row r="183" ht="15" customHeight="1">
      <c r="A183" t="inlineStr">
        <is>
          <t>A 57851-2022</t>
        </is>
      </c>
      <c r="B183" s="1" t="n">
        <v>44898</v>
      </c>
      <c r="C183" s="1" t="n">
        <v>46205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4.6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Utter</t>
        </is>
      </c>
      <c r="S183">
        <f>HYPERLINK("https://klasma.github.io/Logging_2482/artfynd/A 57851-2022 artfynd.xlsx", "A 57851-2022")</f>
        <v/>
      </c>
      <c r="T183">
        <f>HYPERLINK("https://klasma.github.io/Logging_2482/kartor/A 57851-2022 karta.png", "A 57851-2022")</f>
        <v/>
      </c>
      <c r="V183">
        <f>HYPERLINK("https://klasma.github.io/Logging_2482/klagomål/A 57851-2022 FSC-klagomål.docx", "A 57851-2022")</f>
        <v/>
      </c>
      <c r="W183">
        <f>HYPERLINK("https://klasma.github.io/Logging_2482/klagomålsmail/A 57851-2022 FSC-klagomål mail.docx", "A 57851-2022")</f>
        <v/>
      </c>
      <c r="X183">
        <f>HYPERLINK("https://klasma.github.io/Logging_2482/tillsyn/A 57851-2022 tillsynsbegäran.docx", "A 57851-2022")</f>
        <v/>
      </c>
      <c r="Y183">
        <f>HYPERLINK("https://klasma.github.io/Logging_2482/tillsynsmail/A 57851-2022 tillsynsbegäran mail.docx", "A 57851-2022")</f>
        <v/>
      </c>
    </row>
    <row r="184" ht="15" customHeight="1">
      <c r="A184" t="inlineStr">
        <is>
          <t>A 45376-2024</t>
        </is>
      </c>
      <c r="B184" s="1" t="n">
        <v>45576</v>
      </c>
      <c r="C184" s="1" t="n">
        <v>46205</v>
      </c>
      <c r="D184" t="inlineStr">
        <is>
          <t>VÄSTERBOTTENS LÄN</t>
        </is>
      </c>
      <c r="E184" t="inlineStr">
        <is>
          <t>SKELLEFTEÅ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45376-2024 artfynd.xlsx", "A 45376-2024")</f>
        <v/>
      </c>
      <c r="T184">
        <f>HYPERLINK("https://klasma.github.io/Logging_2482/kartor/A 45376-2024 karta.png", "A 45376-2024")</f>
        <v/>
      </c>
      <c r="V184">
        <f>HYPERLINK("https://klasma.github.io/Logging_2482/klagomål/A 45376-2024 FSC-klagomål.docx", "A 45376-2024")</f>
        <v/>
      </c>
      <c r="W184">
        <f>HYPERLINK("https://klasma.github.io/Logging_2482/klagomålsmail/A 45376-2024 FSC-klagomål mail.docx", "A 45376-2024")</f>
        <v/>
      </c>
      <c r="X184">
        <f>HYPERLINK("https://klasma.github.io/Logging_2482/tillsyn/A 45376-2024 tillsynsbegäran.docx", "A 45376-2024")</f>
        <v/>
      </c>
      <c r="Y184">
        <f>HYPERLINK("https://klasma.github.io/Logging_2482/tillsynsmail/A 45376-2024 tillsynsbegäran mail.docx", "A 45376-2024")</f>
        <v/>
      </c>
    </row>
    <row r="185" ht="15" customHeight="1">
      <c r="A185" t="inlineStr">
        <is>
          <t>A 2844-2026</t>
        </is>
      </c>
      <c r="B185" s="1" t="n">
        <v>46036</v>
      </c>
      <c r="C185" s="1" t="n">
        <v>46205</v>
      </c>
      <c r="D185" t="inlineStr">
        <is>
          <t>VÄSTERBOTTENS LÄN</t>
        </is>
      </c>
      <c r="E185" t="inlineStr">
        <is>
          <t>SKELLEFTEÅ</t>
        </is>
      </c>
      <c r="G185" t="n">
        <v>3.4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2844-2026 artfynd.xlsx", "A 2844-2026")</f>
        <v/>
      </c>
      <c r="T185">
        <f>HYPERLINK("https://klasma.github.io/Logging_2482/kartor/A 2844-2026 karta.png", "A 2844-2026")</f>
        <v/>
      </c>
      <c r="V185">
        <f>HYPERLINK("https://klasma.github.io/Logging_2482/klagomål/A 2844-2026 FSC-klagomål.docx", "A 2844-2026")</f>
        <v/>
      </c>
      <c r="W185">
        <f>HYPERLINK("https://klasma.github.io/Logging_2482/klagomålsmail/A 2844-2026 FSC-klagomål mail.docx", "A 2844-2026")</f>
        <v/>
      </c>
      <c r="X185">
        <f>HYPERLINK("https://klasma.github.io/Logging_2482/tillsyn/A 2844-2026 tillsynsbegäran.docx", "A 2844-2026")</f>
        <v/>
      </c>
      <c r="Y185">
        <f>HYPERLINK("https://klasma.github.io/Logging_2482/tillsynsmail/A 2844-2026 tillsynsbegäran mail.docx", "A 2844-2026")</f>
        <v/>
      </c>
    </row>
    <row r="186" ht="15" customHeight="1">
      <c r="A186" t="inlineStr">
        <is>
          <t>A 8820-2025</t>
        </is>
      </c>
      <c r="B186" s="1" t="n">
        <v>45712</v>
      </c>
      <c r="C186" s="1" t="n">
        <v>46205</v>
      </c>
      <c r="D186" t="inlineStr">
        <is>
          <t>VÄSTERBOTTENS LÄN</t>
        </is>
      </c>
      <c r="E186" t="inlineStr">
        <is>
          <t>SKELLEFTEÅ</t>
        </is>
      </c>
      <c r="G186" t="n">
        <v>2.5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HYPERLINK("https://klasma.github.io/Logging_2482/artfynd/A 8820-2025 artfynd.xlsx", "A 8820-2025")</f>
        <v/>
      </c>
      <c r="T186">
        <f>HYPERLINK("https://klasma.github.io/Logging_2482/kartor/A 8820-2025 karta.png", "A 8820-2025")</f>
        <v/>
      </c>
      <c r="U186">
        <f>HYPERLINK("https://klasma.github.io/Logging_2482/knärot/A 8820-2025 karta knärot.png", "A 8820-2025")</f>
        <v/>
      </c>
      <c r="V186">
        <f>HYPERLINK("https://klasma.github.io/Logging_2482/klagomål/A 8820-2025 FSC-klagomål.docx", "A 8820-2025")</f>
        <v/>
      </c>
      <c r="W186">
        <f>HYPERLINK("https://klasma.github.io/Logging_2482/klagomålsmail/A 8820-2025 FSC-klagomål mail.docx", "A 8820-2025")</f>
        <v/>
      </c>
      <c r="X186">
        <f>HYPERLINK("https://klasma.github.io/Logging_2482/tillsyn/A 8820-2025 tillsynsbegäran.docx", "A 8820-2025")</f>
        <v/>
      </c>
      <c r="Y186">
        <f>HYPERLINK("https://klasma.github.io/Logging_2482/tillsynsmail/A 8820-2025 tillsynsbegäran mail.docx", "A 8820-2025")</f>
        <v/>
      </c>
    </row>
    <row r="187" ht="15" customHeight="1">
      <c r="A187" t="inlineStr">
        <is>
          <t>A 47014-2024</t>
        </is>
      </c>
      <c r="B187" s="1" t="n">
        <v>45586</v>
      </c>
      <c r="C187" s="1" t="n">
        <v>46205</v>
      </c>
      <c r="D187" t="inlineStr">
        <is>
          <t>VÄSTERBOTTENS LÄN</t>
        </is>
      </c>
      <c r="E187" t="inlineStr">
        <is>
          <t>SKELLEFTEÅ</t>
        </is>
      </c>
      <c r="G187" t="n">
        <v>14.7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Spillkråka</t>
        </is>
      </c>
      <c r="S187">
        <f>HYPERLINK("https://klasma.github.io/Logging_2482/artfynd/A 47014-2024 artfynd.xlsx", "A 47014-2024")</f>
        <v/>
      </c>
      <c r="T187">
        <f>HYPERLINK("https://klasma.github.io/Logging_2482/kartor/A 47014-2024 karta.png", "A 47014-2024")</f>
        <v/>
      </c>
      <c r="V187">
        <f>HYPERLINK("https://klasma.github.io/Logging_2482/klagomål/A 47014-2024 FSC-klagomål.docx", "A 47014-2024")</f>
        <v/>
      </c>
      <c r="W187">
        <f>HYPERLINK("https://klasma.github.io/Logging_2482/klagomålsmail/A 47014-2024 FSC-klagomål mail.docx", "A 47014-2024")</f>
        <v/>
      </c>
      <c r="X187">
        <f>HYPERLINK("https://klasma.github.io/Logging_2482/tillsyn/A 47014-2024 tillsynsbegäran.docx", "A 47014-2024")</f>
        <v/>
      </c>
      <c r="Y187">
        <f>HYPERLINK("https://klasma.github.io/Logging_2482/tillsynsmail/A 47014-2024 tillsynsbegäran mail.docx", "A 47014-2024")</f>
        <v/>
      </c>
      <c r="Z187">
        <f>HYPERLINK("https://klasma.github.io/Logging_2482/fåglar/A 47014-2024 prioriterade fågelarter.docx", "A 47014-2024")</f>
        <v/>
      </c>
    </row>
    <row r="188" ht="15" customHeight="1">
      <c r="A188" t="inlineStr">
        <is>
          <t>A 642-2025</t>
        </is>
      </c>
      <c r="B188" s="1" t="n">
        <v>45660</v>
      </c>
      <c r="C188" s="1" t="n">
        <v>46205</v>
      </c>
      <c r="D188" t="inlineStr">
        <is>
          <t>VÄSTERBOTTENS LÄN</t>
        </is>
      </c>
      <c r="E188" t="inlineStr">
        <is>
          <t>SKELLEFTEÅ</t>
        </is>
      </c>
      <c r="G188" t="n">
        <v>6.2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Blodticka</t>
        </is>
      </c>
      <c r="S188">
        <f>HYPERLINK("https://klasma.github.io/Logging_2482/artfynd/A 642-2025 artfynd.xlsx", "A 642-2025")</f>
        <v/>
      </c>
      <c r="T188">
        <f>HYPERLINK("https://klasma.github.io/Logging_2482/kartor/A 642-2025 karta.png", "A 642-2025")</f>
        <v/>
      </c>
      <c r="V188">
        <f>HYPERLINK("https://klasma.github.io/Logging_2482/klagomål/A 642-2025 FSC-klagomål.docx", "A 642-2025")</f>
        <v/>
      </c>
      <c r="W188">
        <f>HYPERLINK("https://klasma.github.io/Logging_2482/klagomålsmail/A 642-2025 FSC-klagomål mail.docx", "A 642-2025")</f>
        <v/>
      </c>
      <c r="X188">
        <f>HYPERLINK("https://klasma.github.io/Logging_2482/tillsyn/A 642-2025 tillsynsbegäran.docx", "A 642-2025")</f>
        <v/>
      </c>
      <c r="Y188">
        <f>HYPERLINK("https://klasma.github.io/Logging_2482/tillsynsmail/A 642-2025 tillsynsbegäran mail.docx", "A 642-2025")</f>
        <v/>
      </c>
    </row>
    <row r="189" ht="15" customHeight="1">
      <c r="A189" t="inlineStr">
        <is>
          <t>A 64316-2021</t>
        </is>
      </c>
      <c r="B189" s="1" t="n">
        <v>44510</v>
      </c>
      <c r="C189" s="1" t="n">
        <v>46205</v>
      </c>
      <c r="D189" t="inlineStr">
        <is>
          <t>VÄSTERBOTTENS LÄN</t>
        </is>
      </c>
      <c r="E189" t="inlineStr">
        <is>
          <t>SKELLEFTEÅ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36603-2021</t>
        </is>
      </c>
      <c r="B190" s="1" t="n">
        <v>44391</v>
      </c>
      <c r="C190" s="1" t="n">
        <v>46205</v>
      </c>
      <c r="D190" t="inlineStr">
        <is>
          <t>VÄSTERBOTTENS LÄN</t>
        </is>
      </c>
      <c r="E190" t="inlineStr">
        <is>
          <t>SKELLEFTEÅ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8023-2022</t>
        </is>
      </c>
      <c r="B191" s="1" t="n">
        <v>44609</v>
      </c>
      <c r="C191" s="1" t="n">
        <v>46205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Kyrkan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56001-2021</t>
        </is>
      </c>
      <c r="B192" s="1" t="n">
        <v>44477</v>
      </c>
      <c r="C192" s="1" t="n">
        <v>46205</v>
      </c>
      <c r="D192" t="inlineStr">
        <is>
          <t>VÄSTERBOTTENS LÄN</t>
        </is>
      </c>
      <c r="E192" t="inlineStr">
        <is>
          <t>SKELLEFTEÅ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40345-2022</t>
        </is>
      </c>
      <c r="B193" s="1" t="n">
        <v>44823</v>
      </c>
      <c r="C193" s="1" t="n">
        <v>46205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Holmen skog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21539-2022</t>
        </is>
      </c>
      <c r="B194" s="1" t="n">
        <v>44706</v>
      </c>
      <c r="C194" s="1" t="n">
        <v>46205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36723-2022</t>
        </is>
      </c>
      <c r="B195" s="1" t="n">
        <v>44804</v>
      </c>
      <c r="C195" s="1" t="n">
        <v>46205</v>
      </c>
      <c r="D195" t="inlineStr">
        <is>
          <t>VÄSTERBOTTENS LÄN</t>
        </is>
      </c>
      <c r="E195" t="inlineStr">
        <is>
          <t>SKELLEFTEÅ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47991-2022</t>
        </is>
      </c>
      <c r="B196" s="1" t="n">
        <v>44853</v>
      </c>
      <c r="C196" s="1" t="n">
        <v>46205</v>
      </c>
      <c r="D196" t="inlineStr">
        <is>
          <t>VÄSTERBOTTENS LÄN</t>
        </is>
      </c>
      <c r="E196" t="inlineStr">
        <is>
          <t>SKELLEFTEÅ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64399-2021</t>
        </is>
      </c>
      <c r="B197" s="1" t="n">
        <v>44511</v>
      </c>
      <c r="C197" s="1" t="n">
        <v>46205</v>
      </c>
      <c r="D197" t="inlineStr">
        <is>
          <t>VÄSTERBOTTENS LÄN</t>
        </is>
      </c>
      <c r="E197" t="inlineStr">
        <is>
          <t>SKELLEFTEÅ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70508-2021</t>
        </is>
      </c>
      <c r="B198" s="1" t="n">
        <v>44536</v>
      </c>
      <c r="C198" s="1" t="n">
        <v>46205</v>
      </c>
      <c r="D198" t="inlineStr">
        <is>
          <t>VÄSTERBOTTENS LÄN</t>
        </is>
      </c>
      <c r="E198" t="inlineStr">
        <is>
          <t>SKELLEFTEÅ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46006-2021</t>
        </is>
      </c>
      <c r="B199" s="1" t="n">
        <v>44441</v>
      </c>
      <c r="C199" s="1" t="n">
        <v>46205</v>
      </c>
      <c r="D199" t="inlineStr">
        <is>
          <t>VÄSTERBOTTENS LÄN</t>
        </is>
      </c>
      <c r="E199" t="inlineStr">
        <is>
          <t>SKELLEFTEÅ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55168-2021</t>
        </is>
      </c>
      <c r="B200" s="1" t="n">
        <v>44475</v>
      </c>
      <c r="C200" s="1" t="n">
        <v>46205</v>
      </c>
      <c r="D200" t="inlineStr">
        <is>
          <t>VÄSTERBOTTENS LÄN</t>
        </is>
      </c>
      <c r="E200" t="inlineStr">
        <is>
          <t>SKELLEFTEÅ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11468-2022</t>
        </is>
      </c>
      <c r="B201" s="1" t="n">
        <v>44630</v>
      </c>
      <c r="C201" s="1" t="n">
        <v>46205</v>
      </c>
      <c r="D201" t="inlineStr">
        <is>
          <t>VÄSTERBOTTENS LÄN</t>
        </is>
      </c>
      <c r="E201" t="inlineStr">
        <is>
          <t>SKELLEFTEÅ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11226-2022</t>
        </is>
      </c>
      <c r="B202" s="1" t="n">
        <v>44624</v>
      </c>
      <c r="C202" s="1" t="n">
        <v>46205</v>
      </c>
      <c r="D202" t="inlineStr">
        <is>
          <t>VÄSTERBOTTENS LÄN</t>
        </is>
      </c>
      <c r="E202" t="inlineStr">
        <is>
          <t>SKELLEFTEÅ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40314-2022</t>
        </is>
      </c>
      <c r="B203" s="1" t="n">
        <v>44823</v>
      </c>
      <c r="C203" s="1" t="n">
        <v>46205</v>
      </c>
      <c r="D203" t="inlineStr">
        <is>
          <t>VÄSTERBOTTENS LÄN</t>
        </is>
      </c>
      <c r="E203" t="inlineStr">
        <is>
          <t>SKELLEFTEÅ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12529-2022</t>
        </is>
      </c>
      <c r="B204" s="1" t="n">
        <v>44638</v>
      </c>
      <c r="C204" s="1" t="n">
        <v>46205</v>
      </c>
      <c r="D204" t="inlineStr">
        <is>
          <t>VÄSTERBOTTENS LÄN</t>
        </is>
      </c>
      <c r="E204" t="inlineStr">
        <is>
          <t>SKELLEFTEÅ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30389-2022</t>
        </is>
      </c>
      <c r="B205" s="1" t="n">
        <v>44760</v>
      </c>
      <c r="C205" s="1" t="n">
        <v>46205</v>
      </c>
      <c r="D205" t="inlineStr">
        <is>
          <t>VÄSTERBOTTENS LÄN</t>
        </is>
      </c>
      <c r="E205" t="inlineStr">
        <is>
          <t>SKELLEFTEÅ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26798-2022</t>
        </is>
      </c>
      <c r="B206" s="1" t="n">
        <v>44740</v>
      </c>
      <c r="C206" s="1" t="n">
        <v>46205</v>
      </c>
      <c r="D206" t="inlineStr">
        <is>
          <t>VÄSTERBOTTENS LÄN</t>
        </is>
      </c>
      <c r="E206" t="inlineStr">
        <is>
          <t>SKELLEFTEÅ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46005-2021</t>
        </is>
      </c>
      <c r="B207" s="1" t="n">
        <v>44441</v>
      </c>
      <c r="C207" s="1" t="n">
        <v>46205</v>
      </c>
      <c r="D207" t="inlineStr">
        <is>
          <t>VÄSTERBOTTENS LÄN</t>
        </is>
      </c>
      <c r="E207" t="inlineStr">
        <is>
          <t>SKELLEFTEÅ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52482-2022</t>
        </is>
      </c>
      <c r="B208" s="1" t="n">
        <v>44869</v>
      </c>
      <c r="C208" s="1" t="n">
        <v>46205</v>
      </c>
      <c r="D208" t="inlineStr">
        <is>
          <t>VÄSTERBOTTENS LÄN</t>
        </is>
      </c>
      <c r="E208" t="inlineStr">
        <is>
          <t>SKELLEFTEÅ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18046-2022</t>
        </is>
      </c>
      <c r="B209" s="1" t="n">
        <v>44684</v>
      </c>
      <c r="C209" s="1" t="n">
        <v>46205</v>
      </c>
      <c r="D209" t="inlineStr">
        <is>
          <t>VÄSTERBOTTENS LÄN</t>
        </is>
      </c>
      <c r="E209" t="inlineStr">
        <is>
          <t>SKELLEFTEÅ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70229-2021</t>
        </is>
      </c>
      <c r="B210" s="1" t="n">
        <v>44533</v>
      </c>
      <c r="C210" s="1" t="n">
        <v>46205</v>
      </c>
      <c r="D210" t="inlineStr">
        <is>
          <t>VÄSTERBOTTENS LÄN</t>
        </is>
      </c>
      <c r="E210" t="inlineStr">
        <is>
          <t>SKELLEFTEÅ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71934-2021</t>
        </is>
      </c>
      <c r="B211" s="1" t="n">
        <v>44543</v>
      </c>
      <c r="C211" s="1" t="n">
        <v>46205</v>
      </c>
      <c r="D211" t="inlineStr">
        <is>
          <t>VÄSTERBOTTENS LÄN</t>
        </is>
      </c>
      <c r="E211" t="inlineStr">
        <is>
          <t>SKELLEFTEÅ</t>
        </is>
      </c>
      <c r="F211" t="inlineStr">
        <is>
          <t>SCA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36588-2021</t>
        </is>
      </c>
      <c r="B212" s="1" t="n">
        <v>44391</v>
      </c>
      <c r="C212" s="1" t="n">
        <v>46205</v>
      </c>
      <c r="D212" t="inlineStr">
        <is>
          <t>VÄSTERBOTTENS LÄN</t>
        </is>
      </c>
      <c r="E212" t="inlineStr">
        <is>
          <t>SKELLEFTEÅ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40034-2022</t>
        </is>
      </c>
      <c r="B213" s="1" t="n">
        <v>44820</v>
      </c>
      <c r="C213" s="1" t="n">
        <v>46205</v>
      </c>
      <c r="D213" t="inlineStr">
        <is>
          <t>VÄSTERBOTTENS LÄN</t>
        </is>
      </c>
      <c r="E213" t="inlineStr">
        <is>
          <t>SKELLEFTEÅ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43078-2022</t>
        </is>
      </c>
      <c r="B214" s="1" t="n">
        <v>44833</v>
      </c>
      <c r="C214" s="1" t="n">
        <v>46205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Sveaskog</t>
        </is>
      </c>
      <c r="G214" t="n">
        <v>19.6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66756-2021</t>
        </is>
      </c>
      <c r="B215" s="1" t="n">
        <v>44521</v>
      </c>
      <c r="C215" s="1" t="n">
        <v>46205</v>
      </c>
      <c r="D215" t="inlineStr">
        <is>
          <t>VÄSTERBOTTENS LÄN</t>
        </is>
      </c>
      <c r="E215" t="inlineStr">
        <is>
          <t>SKELLEFTEÅ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41513-2022</t>
        </is>
      </c>
      <c r="B216" s="1" t="n">
        <v>44827</v>
      </c>
      <c r="C216" s="1" t="n">
        <v>46205</v>
      </c>
      <c r="D216" t="inlineStr">
        <is>
          <t>VÄSTERBOTTENS LÄN</t>
        </is>
      </c>
      <c r="E216" t="inlineStr">
        <is>
          <t>SKELLEFTEÅ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36609-2021</t>
        </is>
      </c>
      <c r="B217" s="1" t="n">
        <v>44391</v>
      </c>
      <c r="C217" s="1" t="n">
        <v>46205</v>
      </c>
      <c r="D217" t="inlineStr">
        <is>
          <t>VÄSTERBOTTENS LÄN</t>
        </is>
      </c>
      <c r="E217" t="inlineStr">
        <is>
          <t>SKELLEFTEÅ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44621-2022</t>
        </is>
      </c>
      <c r="B218" s="1" t="n">
        <v>44838</v>
      </c>
      <c r="C218" s="1" t="n">
        <v>46205</v>
      </c>
      <c r="D218" t="inlineStr">
        <is>
          <t>VÄSTERBOTTENS LÄN</t>
        </is>
      </c>
      <c r="E218" t="inlineStr">
        <is>
          <t>SKELLEFTEÅ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59372-2021</t>
        </is>
      </c>
      <c r="B219" s="1" t="n">
        <v>44491</v>
      </c>
      <c r="C219" s="1" t="n">
        <v>46205</v>
      </c>
      <c r="D219" t="inlineStr">
        <is>
          <t>VÄSTERBOTTENS LÄN</t>
        </is>
      </c>
      <c r="E219" t="inlineStr">
        <is>
          <t>SKELLEFTEÅ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15441-2022</t>
        </is>
      </c>
      <c r="B220" s="1" t="n">
        <v>44659</v>
      </c>
      <c r="C220" s="1" t="n">
        <v>46205</v>
      </c>
      <c r="D220" t="inlineStr">
        <is>
          <t>VÄSTERBOTTENS LÄN</t>
        </is>
      </c>
      <c r="E220" t="inlineStr">
        <is>
          <t>SKELLEFTEÅ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64087-2021</t>
        </is>
      </c>
      <c r="B221" s="1" t="n">
        <v>44509</v>
      </c>
      <c r="C221" s="1" t="n">
        <v>46205</v>
      </c>
      <c r="D221" t="inlineStr">
        <is>
          <t>VÄSTERBOTTENS LÄN</t>
        </is>
      </c>
      <c r="E221" t="inlineStr">
        <is>
          <t>SKELLEFTEÅ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23042-2022</t>
        </is>
      </c>
      <c r="B222" s="1" t="n">
        <v>44719</v>
      </c>
      <c r="C222" s="1" t="n">
        <v>46205</v>
      </c>
      <c r="D222" t="inlineStr">
        <is>
          <t>VÄSTERBOTTENS LÄN</t>
        </is>
      </c>
      <c r="E222" t="inlineStr">
        <is>
          <t>SKELLEFTEÅ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49876-2022</t>
        </is>
      </c>
      <c r="B223" s="1" t="n">
        <v>44863</v>
      </c>
      <c r="C223" s="1" t="n">
        <v>46205</v>
      </c>
      <c r="D223" t="inlineStr">
        <is>
          <t>VÄSTERBOTTENS LÄN</t>
        </is>
      </c>
      <c r="E223" t="inlineStr">
        <is>
          <t>SKELLEFTEÅ</t>
        </is>
      </c>
      <c r="F223" t="inlineStr">
        <is>
          <t>SCA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52086-2021</t>
        </is>
      </c>
      <c r="B224" s="1" t="n">
        <v>44463</v>
      </c>
      <c r="C224" s="1" t="n">
        <v>46205</v>
      </c>
      <c r="D224" t="inlineStr">
        <is>
          <t>VÄSTERBOTTENS LÄN</t>
        </is>
      </c>
      <c r="E224" t="inlineStr">
        <is>
          <t>SKELLEFTEÅ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32434-2022</t>
        </is>
      </c>
      <c r="B225" s="1" t="n">
        <v>44782</v>
      </c>
      <c r="C225" s="1" t="n">
        <v>46205</v>
      </c>
      <c r="D225" t="inlineStr">
        <is>
          <t>VÄSTERBOTTENS LÄN</t>
        </is>
      </c>
      <c r="E225" t="inlineStr">
        <is>
          <t>SKELLEFTEÅ</t>
        </is>
      </c>
      <c r="G225" t="n">
        <v>12.3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46628-2021</t>
        </is>
      </c>
      <c r="B226" s="1" t="n">
        <v>44445</v>
      </c>
      <c r="C226" s="1" t="n">
        <v>46205</v>
      </c>
      <c r="D226" t="inlineStr">
        <is>
          <t>VÄSTERBOTTENS LÄN</t>
        </is>
      </c>
      <c r="E226" t="inlineStr">
        <is>
          <t>SKELLEFTEÅ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8456-2022</t>
        </is>
      </c>
      <c r="B227" s="1" t="n">
        <v>44612</v>
      </c>
      <c r="C227" s="1" t="n">
        <v>46205</v>
      </c>
      <c r="D227" t="inlineStr">
        <is>
          <t>VÄSTERBOTTENS LÄN</t>
        </is>
      </c>
      <c r="E227" t="inlineStr">
        <is>
          <t>SKELLEFTEÅ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3876-2022</t>
        </is>
      </c>
      <c r="B228" s="1" t="n">
        <v>44587</v>
      </c>
      <c r="C228" s="1" t="n">
        <v>46205</v>
      </c>
      <c r="D228" t="inlineStr">
        <is>
          <t>VÄSTERBOTTENS LÄN</t>
        </is>
      </c>
      <c r="E228" t="inlineStr">
        <is>
          <t>SKELLEFTEÅ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3963-2022</t>
        </is>
      </c>
      <c r="B229" s="1" t="n">
        <v>44587</v>
      </c>
      <c r="C229" s="1" t="n">
        <v>46205</v>
      </c>
      <c r="D229" t="inlineStr">
        <is>
          <t>VÄSTERBOTTENS LÄN</t>
        </is>
      </c>
      <c r="E229" t="inlineStr">
        <is>
          <t>SKELLEFTEÅ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45890-2022</t>
        </is>
      </c>
      <c r="B230" s="1" t="n">
        <v>44844</v>
      </c>
      <c r="C230" s="1" t="n">
        <v>46205</v>
      </c>
      <c r="D230" t="inlineStr">
        <is>
          <t>VÄSTERBOTTENS LÄN</t>
        </is>
      </c>
      <c r="E230" t="inlineStr">
        <is>
          <t>SKELLEFTEÅ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32415-2022</t>
        </is>
      </c>
      <c r="B231" s="1" t="n">
        <v>44782</v>
      </c>
      <c r="C231" s="1" t="n">
        <v>46205</v>
      </c>
      <c r="D231" t="inlineStr">
        <is>
          <t>VÄSTERBOTTENS LÄN</t>
        </is>
      </c>
      <c r="E231" t="inlineStr">
        <is>
          <t>SKELLEFTEÅ</t>
        </is>
      </c>
      <c r="F231" t="inlineStr">
        <is>
          <t>Kommuner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6834-2022</t>
        </is>
      </c>
      <c r="B232" s="1" t="n">
        <v>44602</v>
      </c>
      <c r="C232" s="1" t="n">
        <v>46205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42682-2022</t>
        </is>
      </c>
      <c r="B233" s="1" t="n">
        <v>44831</v>
      </c>
      <c r="C233" s="1" t="n">
        <v>46205</v>
      </c>
      <c r="D233" t="inlineStr">
        <is>
          <t>VÄSTERBOTTENS LÄN</t>
        </is>
      </c>
      <c r="E233" t="inlineStr">
        <is>
          <t>SKELLEFTEÅ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26807-2022</t>
        </is>
      </c>
      <c r="B234" s="1" t="n">
        <v>44740</v>
      </c>
      <c r="C234" s="1" t="n">
        <v>46205</v>
      </c>
      <c r="D234" t="inlineStr">
        <is>
          <t>VÄSTERBOTTENS LÄN</t>
        </is>
      </c>
      <c r="E234" t="inlineStr">
        <is>
          <t>SKELLEFTEÅ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29029-2022</t>
        </is>
      </c>
      <c r="B235" s="1" t="n">
        <v>44749</v>
      </c>
      <c r="C235" s="1" t="n">
        <v>46205</v>
      </c>
      <c r="D235" t="inlineStr">
        <is>
          <t>VÄSTERBOTTENS LÄN</t>
        </is>
      </c>
      <c r="E235" t="inlineStr">
        <is>
          <t>SKELLEFTEÅ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24663-2022</t>
        </is>
      </c>
      <c r="B236" s="1" t="n">
        <v>44728</v>
      </c>
      <c r="C236" s="1" t="n">
        <v>46205</v>
      </c>
      <c r="D236" t="inlineStr">
        <is>
          <t>VÄSTERBOTTENS LÄN</t>
        </is>
      </c>
      <c r="E236" t="inlineStr">
        <is>
          <t>SKELLEFTEÅ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42348-2022</t>
        </is>
      </c>
      <c r="B237" s="1" t="n">
        <v>44827</v>
      </c>
      <c r="C237" s="1" t="n">
        <v>46205</v>
      </c>
      <c r="D237" t="inlineStr">
        <is>
          <t>VÄSTERBOTTENS LÄN</t>
        </is>
      </c>
      <c r="E237" t="inlineStr">
        <is>
          <t>SKELLEFTEÅ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47410-2022</t>
        </is>
      </c>
      <c r="B238" s="1" t="n">
        <v>44853</v>
      </c>
      <c r="C238" s="1" t="n">
        <v>46205</v>
      </c>
      <c r="D238" t="inlineStr">
        <is>
          <t>VÄSTERBOTTENS LÄN</t>
        </is>
      </c>
      <c r="E238" t="inlineStr">
        <is>
          <t>SKELLEFTEÅ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43069-2022</t>
        </is>
      </c>
      <c r="B239" s="1" t="n">
        <v>44833</v>
      </c>
      <c r="C239" s="1" t="n">
        <v>46205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Sveaskog</t>
        </is>
      </c>
      <c r="G239" t="n">
        <v>19.6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16750-2022</t>
        </is>
      </c>
      <c r="B240" s="1" t="n">
        <v>44673</v>
      </c>
      <c r="C240" s="1" t="n">
        <v>46205</v>
      </c>
      <c r="D240" t="inlineStr">
        <is>
          <t>VÄSTERBOTTENS LÄN</t>
        </is>
      </c>
      <c r="E240" t="inlineStr">
        <is>
          <t>SKELLEFTEÅ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32657-2022</t>
        </is>
      </c>
      <c r="B241" s="1" t="n">
        <v>44783</v>
      </c>
      <c r="C241" s="1" t="n">
        <v>46205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Sveaskog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71019-2021</t>
        </is>
      </c>
      <c r="B242" s="1" t="n">
        <v>44538</v>
      </c>
      <c r="C242" s="1" t="n">
        <v>46205</v>
      </c>
      <c r="D242" t="inlineStr">
        <is>
          <t>VÄSTERBOTTENS LÄN</t>
        </is>
      </c>
      <c r="E242" t="inlineStr">
        <is>
          <t>SKELLEFTEÅ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52589-2022</t>
        </is>
      </c>
      <c r="B243" s="1" t="n">
        <v>44874</v>
      </c>
      <c r="C243" s="1" t="n">
        <v>46205</v>
      </c>
      <c r="D243" t="inlineStr">
        <is>
          <t>VÄSTERBOTTENS LÄN</t>
        </is>
      </c>
      <c r="E243" t="inlineStr">
        <is>
          <t>SKELLEFTEÅ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72203-2021</t>
        </is>
      </c>
      <c r="B244" s="1" t="n">
        <v>44543</v>
      </c>
      <c r="C244" s="1" t="n">
        <v>46205</v>
      </c>
      <c r="D244" t="inlineStr">
        <is>
          <t>VÄSTERBOTTENS LÄN</t>
        </is>
      </c>
      <c r="E244" t="inlineStr">
        <is>
          <t>SKELLEFTEÅ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39827-2021</t>
        </is>
      </c>
      <c r="B245" s="1" t="n">
        <v>44417</v>
      </c>
      <c r="C245" s="1" t="n">
        <v>46205</v>
      </c>
      <c r="D245" t="inlineStr">
        <is>
          <t>VÄSTERBOTTENS LÄN</t>
        </is>
      </c>
      <c r="E245" t="inlineStr">
        <is>
          <t>SKELLEFTEÅ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59171-2021</t>
        </is>
      </c>
      <c r="B246" s="1" t="n">
        <v>44489</v>
      </c>
      <c r="C246" s="1" t="n">
        <v>46205</v>
      </c>
      <c r="D246" t="inlineStr">
        <is>
          <t>VÄSTERBOTTENS LÄN</t>
        </is>
      </c>
      <c r="E246" t="inlineStr">
        <is>
          <t>SKELLEFTEÅ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34633-2021</t>
        </is>
      </c>
      <c r="B247" s="1" t="n">
        <v>44382</v>
      </c>
      <c r="C247" s="1" t="n">
        <v>46205</v>
      </c>
      <c r="D247" t="inlineStr">
        <is>
          <t>VÄSTERBOTTENS LÄN</t>
        </is>
      </c>
      <c r="E247" t="inlineStr">
        <is>
          <t>SKELLEFTEÅ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37937-2021</t>
        </is>
      </c>
      <c r="B248" s="1" t="n">
        <v>44403</v>
      </c>
      <c r="C248" s="1" t="n">
        <v>46205</v>
      </c>
      <c r="D248" t="inlineStr">
        <is>
          <t>VÄSTERBOTTENS LÄN</t>
        </is>
      </c>
      <c r="E248" t="inlineStr">
        <is>
          <t>SKELLEFTEÅ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38932-2022</t>
        </is>
      </c>
      <c r="B249" s="1" t="n">
        <v>44816</v>
      </c>
      <c r="C249" s="1" t="n">
        <v>46205</v>
      </c>
      <c r="D249" t="inlineStr">
        <is>
          <t>VÄSTERBOTTENS LÄN</t>
        </is>
      </c>
      <c r="E249" t="inlineStr">
        <is>
          <t>SKELLEFTEÅ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53152-2021</t>
        </is>
      </c>
      <c r="B250" s="1" t="n">
        <v>44468</v>
      </c>
      <c r="C250" s="1" t="n">
        <v>46205</v>
      </c>
      <c r="D250" t="inlineStr">
        <is>
          <t>VÄSTERBOTTENS LÄN</t>
        </is>
      </c>
      <c r="E250" t="inlineStr">
        <is>
          <t>SKELLEFTEÅ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45043-2021</t>
        </is>
      </c>
      <c r="B251" s="1" t="n">
        <v>44438</v>
      </c>
      <c r="C251" s="1" t="n">
        <v>46205</v>
      </c>
      <c r="D251" t="inlineStr">
        <is>
          <t>VÄSTERBOTTENS LÄN</t>
        </is>
      </c>
      <c r="E251" t="inlineStr">
        <is>
          <t>SKELLEFTEÅ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41464-2021</t>
        </is>
      </c>
      <c r="B252" s="1" t="n">
        <v>44424</v>
      </c>
      <c r="C252" s="1" t="n">
        <v>46205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47974-2021</t>
        </is>
      </c>
      <c r="B253" s="1" t="n">
        <v>44448</v>
      </c>
      <c r="C253" s="1" t="n">
        <v>46205</v>
      </c>
      <c r="D253" t="inlineStr">
        <is>
          <t>VÄSTERBOTTENS LÄN</t>
        </is>
      </c>
      <c r="E253" t="inlineStr">
        <is>
          <t>SKELLEFTEÅ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9579-2022</t>
        </is>
      </c>
      <c r="B254" s="1" t="n">
        <v>44617</v>
      </c>
      <c r="C254" s="1" t="n">
        <v>46205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19870-2022</t>
        </is>
      </c>
      <c r="B255" s="1" t="n">
        <v>44694</v>
      </c>
      <c r="C255" s="1" t="n">
        <v>46205</v>
      </c>
      <c r="D255" t="inlineStr">
        <is>
          <t>VÄSTERBOTTENS LÄN</t>
        </is>
      </c>
      <c r="E255" t="inlineStr">
        <is>
          <t>SKELLEFTEÅ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3882-2022</t>
        </is>
      </c>
      <c r="B256" s="1" t="n">
        <v>44587</v>
      </c>
      <c r="C256" s="1" t="n">
        <v>46205</v>
      </c>
      <c r="D256" t="inlineStr">
        <is>
          <t>VÄSTERBOTTENS LÄN</t>
        </is>
      </c>
      <c r="E256" t="inlineStr">
        <is>
          <t>SKELLEFTEÅ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39035-2021</t>
        </is>
      </c>
      <c r="B257" s="1" t="n">
        <v>44411</v>
      </c>
      <c r="C257" s="1" t="n">
        <v>46205</v>
      </c>
      <c r="D257" t="inlineStr">
        <is>
          <t>VÄSTERBOTTENS LÄN</t>
        </is>
      </c>
      <c r="E257" t="inlineStr">
        <is>
          <t>SKELLEFTEÅ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49906-2022</t>
        </is>
      </c>
      <c r="B258" s="1" t="n">
        <v>44864</v>
      </c>
      <c r="C258" s="1" t="n">
        <v>46205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37823-2022</t>
        </is>
      </c>
      <c r="B259" s="1" t="n">
        <v>44810</v>
      </c>
      <c r="C259" s="1" t="n">
        <v>46205</v>
      </c>
      <c r="D259" t="inlineStr">
        <is>
          <t>VÄSTERBOTTENS LÄN</t>
        </is>
      </c>
      <c r="E259" t="inlineStr">
        <is>
          <t>SKELLEFTEÅ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38873-2022</t>
        </is>
      </c>
      <c r="B260" s="1" t="n">
        <v>44816</v>
      </c>
      <c r="C260" s="1" t="n">
        <v>46205</v>
      </c>
      <c r="D260" t="inlineStr">
        <is>
          <t>VÄSTERBOTTENS LÄN</t>
        </is>
      </c>
      <c r="E260" t="inlineStr">
        <is>
          <t>SKELLEFTEÅ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38876-2022</t>
        </is>
      </c>
      <c r="B261" s="1" t="n">
        <v>44816</v>
      </c>
      <c r="C261" s="1" t="n">
        <v>46205</v>
      </c>
      <c r="D261" t="inlineStr">
        <is>
          <t>VÄSTERBOTTENS LÄN</t>
        </is>
      </c>
      <c r="E261" t="inlineStr">
        <is>
          <t>SKELLEFTEÅ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44722-2022</t>
        </is>
      </c>
      <c r="B262" s="1" t="n">
        <v>44840</v>
      </c>
      <c r="C262" s="1" t="n">
        <v>46205</v>
      </c>
      <c r="D262" t="inlineStr">
        <is>
          <t>VÄSTERBOTTENS LÄN</t>
        </is>
      </c>
      <c r="E262" t="inlineStr">
        <is>
          <t>SKELLEFTEÅ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58811-2021</t>
        </is>
      </c>
      <c r="B263" s="1" t="n">
        <v>44489</v>
      </c>
      <c r="C263" s="1" t="n">
        <v>46205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22828-2022</t>
        </is>
      </c>
      <c r="B264" s="1" t="n">
        <v>44714</v>
      </c>
      <c r="C264" s="1" t="n">
        <v>46205</v>
      </c>
      <c r="D264" t="inlineStr">
        <is>
          <t>VÄSTERBOTTENS LÄN</t>
        </is>
      </c>
      <c r="E264" t="inlineStr">
        <is>
          <t>SKELLEFTEÅ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23513-2022</t>
        </is>
      </c>
      <c r="B265" s="1" t="n">
        <v>44721</v>
      </c>
      <c r="C265" s="1" t="n">
        <v>46205</v>
      </c>
      <c r="D265" t="inlineStr">
        <is>
          <t>VÄSTERBOTTENS LÄN</t>
        </is>
      </c>
      <c r="E265" t="inlineStr">
        <is>
          <t>SKELLEFTEÅ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45554-2022</t>
        </is>
      </c>
      <c r="B266" s="1" t="n">
        <v>44845</v>
      </c>
      <c r="C266" s="1" t="n">
        <v>46205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Holmen skog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25674-2022</t>
        </is>
      </c>
      <c r="B267" s="1" t="n">
        <v>44732</v>
      </c>
      <c r="C267" s="1" t="n">
        <v>46205</v>
      </c>
      <c r="D267" t="inlineStr">
        <is>
          <t>VÄSTERBOTTENS LÄN</t>
        </is>
      </c>
      <c r="E267" t="inlineStr">
        <is>
          <t>SKELLEFTEÅ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2607-2022</t>
        </is>
      </c>
      <c r="B268" s="1" t="n">
        <v>44580</v>
      </c>
      <c r="C268" s="1" t="n">
        <v>46205</v>
      </c>
      <c r="D268" t="inlineStr">
        <is>
          <t>VÄSTERBOTTENS LÄN</t>
        </is>
      </c>
      <c r="E268" t="inlineStr">
        <is>
          <t>SKELLEFTEÅ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1834-2022</t>
        </is>
      </c>
      <c r="B269" s="1" t="n">
        <v>44574</v>
      </c>
      <c r="C269" s="1" t="n">
        <v>46205</v>
      </c>
      <c r="D269" t="inlineStr">
        <is>
          <t>VÄSTERBOTTENS LÄN</t>
        </is>
      </c>
      <c r="E269" t="inlineStr">
        <is>
          <t>SKELLEFTEÅ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59659-2021</t>
        </is>
      </c>
      <c r="B270" s="1" t="n">
        <v>44491</v>
      </c>
      <c r="C270" s="1" t="n">
        <v>46205</v>
      </c>
      <c r="D270" t="inlineStr">
        <is>
          <t>VÄSTERBOTTENS LÄN</t>
        </is>
      </c>
      <c r="E270" t="inlineStr">
        <is>
          <t>SKELLEFTEÅ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55814-2021</t>
        </is>
      </c>
      <c r="B271" s="1" t="n">
        <v>44476</v>
      </c>
      <c r="C271" s="1" t="n">
        <v>46205</v>
      </c>
      <c r="D271" t="inlineStr">
        <is>
          <t>VÄSTERBOTTENS LÄN</t>
        </is>
      </c>
      <c r="E271" t="inlineStr">
        <is>
          <t>SKELLEFTEÅ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73956-2021</t>
        </is>
      </c>
      <c r="B272" s="1" t="n">
        <v>44553</v>
      </c>
      <c r="C272" s="1" t="n">
        <v>46205</v>
      </c>
      <c r="D272" t="inlineStr">
        <is>
          <t>VÄSTERBOTTENS LÄN</t>
        </is>
      </c>
      <c r="E272" t="inlineStr">
        <is>
          <t>SKELLEFTEÅ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35888-2022</t>
        </is>
      </c>
      <c r="B273" s="1" t="n">
        <v>44803</v>
      </c>
      <c r="C273" s="1" t="n">
        <v>46205</v>
      </c>
      <c r="D273" t="inlineStr">
        <is>
          <t>VÄSTERBOTTENS LÄN</t>
        </is>
      </c>
      <c r="E273" t="inlineStr">
        <is>
          <t>SKELLEFTEÅ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62486-2021</t>
        </is>
      </c>
      <c r="B274" s="1" t="n">
        <v>44503</v>
      </c>
      <c r="C274" s="1" t="n">
        <v>46205</v>
      </c>
      <c r="D274" t="inlineStr">
        <is>
          <t>VÄSTERBOTTENS LÄN</t>
        </is>
      </c>
      <c r="E274" t="inlineStr">
        <is>
          <t>SKELLEFTEÅ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71410-2021</t>
        </is>
      </c>
      <c r="B275" s="1" t="n">
        <v>44540</v>
      </c>
      <c r="C275" s="1" t="n">
        <v>46205</v>
      </c>
      <c r="D275" t="inlineStr">
        <is>
          <t>VÄSTERBOTTENS LÄN</t>
        </is>
      </c>
      <c r="E275" t="inlineStr">
        <is>
          <t>SKELLEFTEÅ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32436-2022</t>
        </is>
      </c>
      <c r="B276" s="1" t="n">
        <v>44782</v>
      </c>
      <c r="C276" s="1" t="n">
        <v>46205</v>
      </c>
      <c r="D276" t="inlineStr">
        <is>
          <t>VÄSTERBOTTENS LÄN</t>
        </is>
      </c>
      <c r="E276" t="inlineStr">
        <is>
          <t>SKELLEFTEÅ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39732-2022</t>
        </is>
      </c>
      <c r="B277" s="1" t="n">
        <v>44819</v>
      </c>
      <c r="C277" s="1" t="n">
        <v>46205</v>
      </c>
      <c r="D277" t="inlineStr">
        <is>
          <t>VÄSTERBOTTENS LÄN</t>
        </is>
      </c>
      <c r="E277" t="inlineStr">
        <is>
          <t>SKELLEFTEÅ</t>
        </is>
      </c>
      <c r="F277" t="inlineStr">
        <is>
          <t>Holmen skog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45985-2022</t>
        </is>
      </c>
      <c r="B278" s="1" t="n">
        <v>44844</v>
      </c>
      <c r="C278" s="1" t="n">
        <v>46205</v>
      </c>
      <c r="D278" t="inlineStr">
        <is>
          <t>VÄSTERBOTTENS LÄN</t>
        </is>
      </c>
      <c r="E278" t="inlineStr">
        <is>
          <t>SKELLEFTEÅ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39019-2022</t>
        </is>
      </c>
      <c r="B279" s="1" t="n">
        <v>44817</v>
      </c>
      <c r="C279" s="1" t="n">
        <v>46205</v>
      </c>
      <c r="D279" t="inlineStr">
        <is>
          <t>VÄSTERBOTTENS LÄN</t>
        </is>
      </c>
      <c r="E279" t="inlineStr">
        <is>
          <t>SKELLEFTEÅ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17197-2022</t>
        </is>
      </c>
      <c r="B280" s="1" t="n">
        <v>44677</v>
      </c>
      <c r="C280" s="1" t="n">
        <v>46205</v>
      </c>
      <c r="D280" t="inlineStr">
        <is>
          <t>VÄSTERBOTTENS LÄN</t>
        </is>
      </c>
      <c r="E280" t="inlineStr">
        <is>
          <t>SKELLEFTEÅ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27637-2022</t>
        </is>
      </c>
      <c r="B281" s="1" t="n">
        <v>44743</v>
      </c>
      <c r="C281" s="1" t="n">
        <v>46205</v>
      </c>
      <c r="D281" t="inlineStr">
        <is>
          <t>VÄSTERBOTTENS LÄN</t>
        </is>
      </c>
      <c r="E281" t="inlineStr">
        <is>
          <t>SKELLEFTEÅ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29092-2022</t>
        </is>
      </c>
      <c r="B282" s="1" t="n">
        <v>44750</v>
      </c>
      <c r="C282" s="1" t="n">
        <v>46205</v>
      </c>
      <c r="D282" t="inlineStr">
        <is>
          <t>VÄSTERBOTTENS LÄN</t>
        </is>
      </c>
      <c r="E282" t="inlineStr">
        <is>
          <t>SKELLEFTEÅ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51982-2022</t>
        </is>
      </c>
      <c r="B283" s="1" t="n">
        <v>44872</v>
      </c>
      <c r="C283" s="1" t="n">
        <v>46205</v>
      </c>
      <c r="D283" t="inlineStr">
        <is>
          <t>VÄSTERBOTTENS LÄN</t>
        </is>
      </c>
      <c r="E283" t="inlineStr">
        <is>
          <t>SKELLEFTEÅ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43917-2022</t>
        </is>
      </c>
      <c r="B284" s="1" t="n">
        <v>44838</v>
      </c>
      <c r="C284" s="1" t="n">
        <v>46205</v>
      </c>
      <c r="D284" t="inlineStr">
        <is>
          <t>VÄSTERBOTTENS LÄN</t>
        </is>
      </c>
      <c r="E284" t="inlineStr">
        <is>
          <t>SKELLEFTEÅ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17251-2022</t>
        </is>
      </c>
      <c r="B285" s="1" t="n">
        <v>44678</v>
      </c>
      <c r="C285" s="1" t="n">
        <v>46205</v>
      </c>
      <c r="D285" t="inlineStr">
        <is>
          <t>VÄSTERBOTTENS LÄN</t>
        </is>
      </c>
      <c r="E285" t="inlineStr">
        <is>
          <t>SKELLEFTEÅ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3362-2022</t>
        </is>
      </c>
      <c r="B286" s="1" t="n">
        <v>44585</v>
      </c>
      <c r="C286" s="1" t="n">
        <v>46205</v>
      </c>
      <c r="D286" t="inlineStr">
        <is>
          <t>VÄSTERBOTTENS LÄN</t>
        </is>
      </c>
      <c r="E286" t="inlineStr">
        <is>
          <t>SKELLEFTEÅ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70703-2021</t>
        </is>
      </c>
      <c r="B287" s="1" t="n">
        <v>44536</v>
      </c>
      <c r="C287" s="1" t="n">
        <v>46205</v>
      </c>
      <c r="D287" t="inlineStr">
        <is>
          <t>VÄSTERBOTTENS LÄN</t>
        </is>
      </c>
      <c r="E287" t="inlineStr">
        <is>
          <t>SKELLEFTEÅ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6666-2022</t>
        </is>
      </c>
      <c r="B288" s="1" t="n">
        <v>44602</v>
      </c>
      <c r="C288" s="1" t="n">
        <v>46205</v>
      </c>
      <c r="D288" t="inlineStr">
        <is>
          <t>VÄSTERBOTTENS LÄN</t>
        </is>
      </c>
      <c r="E288" t="inlineStr">
        <is>
          <t>SKELLEFTEÅ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22661-2022</t>
        </is>
      </c>
      <c r="B289" s="1" t="n">
        <v>44714</v>
      </c>
      <c r="C289" s="1" t="n">
        <v>46205</v>
      </c>
      <c r="D289" t="inlineStr">
        <is>
          <t>VÄSTERBOTTENS LÄN</t>
        </is>
      </c>
      <c r="E289" t="inlineStr">
        <is>
          <t>SKELLEFTEÅ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21843-2022</t>
        </is>
      </c>
      <c r="B290" s="1" t="n">
        <v>44711</v>
      </c>
      <c r="C290" s="1" t="n">
        <v>46205</v>
      </c>
      <c r="D290" t="inlineStr">
        <is>
          <t>VÄSTERBOTTENS LÄN</t>
        </is>
      </c>
      <c r="E290" t="inlineStr">
        <is>
          <t>SKELLEFTEÅ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24242-2022</t>
        </is>
      </c>
      <c r="B291" s="1" t="n">
        <v>44725</v>
      </c>
      <c r="C291" s="1" t="n">
        <v>46205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Övriga Aktiebolag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51919-2022</t>
        </is>
      </c>
      <c r="B292" s="1" t="n">
        <v>44872</v>
      </c>
      <c r="C292" s="1" t="n">
        <v>46205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Holmen skog AB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50055-2022</t>
        </is>
      </c>
      <c r="B293" s="1" t="n">
        <v>44865</v>
      </c>
      <c r="C293" s="1" t="n">
        <v>46205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65455-2021</t>
        </is>
      </c>
      <c r="B294" s="1" t="n">
        <v>44516</v>
      </c>
      <c r="C294" s="1" t="n">
        <v>46205</v>
      </c>
      <c r="D294" t="inlineStr">
        <is>
          <t>VÄSTERBOTTENS LÄN</t>
        </is>
      </c>
      <c r="E294" t="inlineStr">
        <is>
          <t>SKELLEFTEÅ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73614-2021</t>
        </is>
      </c>
      <c r="B295" s="1" t="n">
        <v>44551</v>
      </c>
      <c r="C295" s="1" t="n">
        <v>46205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42609-2021</t>
        </is>
      </c>
      <c r="B296" s="1" t="n">
        <v>44428</v>
      </c>
      <c r="C296" s="1" t="n">
        <v>46205</v>
      </c>
      <c r="D296" t="inlineStr">
        <is>
          <t>VÄSTERBOTTENS LÄN</t>
        </is>
      </c>
      <c r="E296" t="inlineStr">
        <is>
          <t>SKELLEFTEÅ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39192-2021</t>
        </is>
      </c>
      <c r="B297" s="1" t="n">
        <v>44413</v>
      </c>
      <c r="C297" s="1" t="n">
        <v>46205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13693-2022</t>
        </is>
      </c>
      <c r="B298" s="1" t="n">
        <v>44648</v>
      </c>
      <c r="C298" s="1" t="n">
        <v>46205</v>
      </c>
      <c r="D298" t="inlineStr">
        <is>
          <t>VÄSTERBOTTENS LÄN</t>
        </is>
      </c>
      <c r="E298" t="inlineStr">
        <is>
          <t>SKELLEFTEÅ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52080-2021</t>
        </is>
      </c>
      <c r="B299" s="1" t="n">
        <v>44463</v>
      </c>
      <c r="C299" s="1" t="n">
        <v>46205</v>
      </c>
      <c r="D299" t="inlineStr">
        <is>
          <t>VÄSTERBOTTENS LÄN</t>
        </is>
      </c>
      <c r="E299" t="inlineStr">
        <is>
          <t>SKELLEFTEÅ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31954-2022</t>
        </is>
      </c>
      <c r="B300" s="1" t="n">
        <v>44777</v>
      </c>
      <c r="C300" s="1" t="n">
        <v>46205</v>
      </c>
      <c r="D300" t="inlineStr">
        <is>
          <t>VÄSTERBOTTENS LÄN</t>
        </is>
      </c>
      <c r="E300" t="inlineStr">
        <is>
          <t>SKELLEFTEÅ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4844-2022</t>
        </is>
      </c>
      <c r="B301" s="1" t="n">
        <v>44592</v>
      </c>
      <c r="C301" s="1" t="n">
        <v>46205</v>
      </c>
      <c r="D301" t="inlineStr">
        <is>
          <t>VÄSTERBOTTENS LÄN</t>
        </is>
      </c>
      <c r="E301" t="inlineStr">
        <is>
          <t>SKELLEFTEÅ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35608-2022</t>
        </is>
      </c>
      <c r="B302" s="1" t="n">
        <v>44799</v>
      </c>
      <c r="C302" s="1" t="n">
        <v>46205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37938-2021</t>
        </is>
      </c>
      <c r="B303" s="1" t="n">
        <v>44403</v>
      </c>
      <c r="C303" s="1" t="n">
        <v>46205</v>
      </c>
      <c r="D303" t="inlineStr">
        <is>
          <t>VÄSTERBOTTENS LÄN</t>
        </is>
      </c>
      <c r="E303" t="inlineStr">
        <is>
          <t>SKELLEFTEÅ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35442-2021</t>
        </is>
      </c>
      <c r="B304" s="1" t="n">
        <v>44384</v>
      </c>
      <c r="C304" s="1" t="n">
        <v>46205</v>
      </c>
      <c r="D304" t="inlineStr">
        <is>
          <t>VÄSTERBOTTENS LÄN</t>
        </is>
      </c>
      <c r="E304" t="inlineStr">
        <is>
          <t>SKELLEFTEÅ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22364-2022</t>
        </is>
      </c>
      <c r="B305" s="1" t="n">
        <v>44713</v>
      </c>
      <c r="C305" s="1" t="n">
        <v>46205</v>
      </c>
      <c r="D305" t="inlineStr">
        <is>
          <t>VÄSTERBOTTENS LÄN</t>
        </is>
      </c>
      <c r="E305" t="inlineStr">
        <is>
          <t>SKELLEFTEÅ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3266-2022</t>
        </is>
      </c>
      <c r="B306" s="1" t="n">
        <v>44583</v>
      </c>
      <c r="C306" s="1" t="n">
        <v>46205</v>
      </c>
      <c r="D306" t="inlineStr">
        <is>
          <t>VÄSTERBOTTENS LÄN</t>
        </is>
      </c>
      <c r="E306" t="inlineStr">
        <is>
          <t>SKELLEFTEÅ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57370-2021</t>
        </is>
      </c>
      <c r="B307" s="1" t="n">
        <v>44483</v>
      </c>
      <c r="C307" s="1" t="n">
        <v>46205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Holmen skog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14627-2022</t>
        </is>
      </c>
      <c r="B308" s="1" t="n">
        <v>44655</v>
      </c>
      <c r="C308" s="1" t="n">
        <v>46205</v>
      </c>
      <c r="D308" t="inlineStr">
        <is>
          <t>VÄSTERBOTTENS LÄN</t>
        </is>
      </c>
      <c r="E308" t="inlineStr">
        <is>
          <t>SKELLEFTEÅ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69996-2021</t>
        </is>
      </c>
      <c r="B309" s="1" t="n">
        <v>44533</v>
      </c>
      <c r="C309" s="1" t="n">
        <v>46205</v>
      </c>
      <c r="D309" t="inlineStr">
        <is>
          <t>VÄSTERBOTTENS LÄN</t>
        </is>
      </c>
      <c r="E309" t="inlineStr">
        <is>
          <t>SKELLEFTEÅ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5972-2022</t>
        </is>
      </c>
      <c r="B310" s="1" t="n">
        <v>44599</v>
      </c>
      <c r="C310" s="1" t="n">
        <v>46205</v>
      </c>
      <c r="D310" t="inlineStr">
        <is>
          <t>VÄSTERBOTTENS LÄN</t>
        </is>
      </c>
      <c r="E310" t="inlineStr">
        <is>
          <t>SKELLEFTEÅ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14759-2022</t>
        </is>
      </c>
      <c r="B311" s="1" t="n">
        <v>44656</v>
      </c>
      <c r="C311" s="1" t="n">
        <v>46205</v>
      </c>
      <c r="D311" t="inlineStr">
        <is>
          <t>VÄSTERBOTTENS LÄN</t>
        </is>
      </c>
      <c r="E311" t="inlineStr">
        <is>
          <t>SKELLEFTEÅ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17257-2022</t>
        </is>
      </c>
      <c r="B312" s="1" t="n">
        <v>44678</v>
      </c>
      <c r="C312" s="1" t="n">
        <v>46205</v>
      </c>
      <c r="D312" t="inlineStr">
        <is>
          <t>VÄSTERBOTTENS LÄN</t>
        </is>
      </c>
      <c r="E312" t="inlineStr">
        <is>
          <t>SKELLEFTEÅ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20610-2022</t>
        </is>
      </c>
      <c r="B313" s="1" t="n">
        <v>44700</v>
      </c>
      <c r="C313" s="1" t="n">
        <v>46205</v>
      </c>
      <c r="D313" t="inlineStr">
        <is>
          <t>VÄSTERBOTTENS LÄN</t>
        </is>
      </c>
      <c r="E313" t="inlineStr">
        <is>
          <t>SKELLEFTEÅ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14952-2022</t>
        </is>
      </c>
      <c r="B314" s="1" t="n">
        <v>44657</v>
      </c>
      <c r="C314" s="1" t="n">
        <v>46205</v>
      </c>
      <c r="D314" t="inlineStr">
        <is>
          <t>VÄSTERBOTTENS LÄN</t>
        </is>
      </c>
      <c r="E314" t="inlineStr">
        <is>
          <t>SKELLEFTEÅ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51789-2021</t>
        </is>
      </c>
      <c r="B315" s="1" t="n">
        <v>44461</v>
      </c>
      <c r="C315" s="1" t="n">
        <v>46205</v>
      </c>
      <c r="D315" t="inlineStr">
        <is>
          <t>VÄSTERBOTTENS LÄN</t>
        </is>
      </c>
      <c r="E315" t="inlineStr">
        <is>
          <t>SKELLEFTEÅ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42026-2021</t>
        </is>
      </c>
      <c r="B316" s="1" t="n">
        <v>44426</v>
      </c>
      <c r="C316" s="1" t="n">
        <v>46205</v>
      </c>
      <c r="D316" t="inlineStr">
        <is>
          <t>VÄSTERBOTTENS LÄN</t>
        </is>
      </c>
      <c r="E316" t="inlineStr">
        <is>
          <t>SKELLEFTEÅ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63171-2021</t>
        </is>
      </c>
      <c r="B317" s="1" t="n">
        <v>44506</v>
      </c>
      <c r="C317" s="1" t="n">
        <v>46205</v>
      </c>
      <c r="D317" t="inlineStr">
        <is>
          <t>VÄSTERBOTTENS LÄN</t>
        </is>
      </c>
      <c r="E317" t="inlineStr">
        <is>
          <t>SKELLEFTEÅ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42099-2022</t>
        </is>
      </c>
      <c r="B318" s="1" t="n">
        <v>44827</v>
      </c>
      <c r="C318" s="1" t="n">
        <v>46205</v>
      </c>
      <c r="D318" t="inlineStr">
        <is>
          <t>VÄSTERBOTTENS LÄN</t>
        </is>
      </c>
      <c r="E318" t="inlineStr">
        <is>
          <t>SKELLEFTEÅ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36539-2022</t>
        </is>
      </c>
      <c r="B319" s="1" t="n">
        <v>44804</v>
      </c>
      <c r="C319" s="1" t="n">
        <v>46205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Kommuner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40013-2022</t>
        </is>
      </c>
      <c r="B320" s="1" t="n">
        <v>44820</v>
      </c>
      <c r="C320" s="1" t="n">
        <v>46205</v>
      </c>
      <c r="D320" t="inlineStr">
        <is>
          <t>VÄSTERBOTTENS LÄN</t>
        </is>
      </c>
      <c r="E320" t="inlineStr">
        <is>
          <t>SKELLEFTEÅ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56797-2024</t>
        </is>
      </c>
      <c r="B321" s="1" t="n">
        <v>45628</v>
      </c>
      <c r="C321" s="1" t="n">
        <v>46205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Holmen skog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4032-2024</t>
        </is>
      </c>
      <c r="B322" s="1" t="n">
        <v>45323</v>
      </c>
      <c r="C322" s="1" t="n">
        <v>46205</v>
      </c>
      <c r="D322" t="inlineStr">
        <is>
          <t>VÄSTERBOTTENS LÄN</t>
        </is>
      </c>
      <c r="E322" t="inlineStr">
        <is>
          <t>SKELLEFTEÅ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27560-2022</t>
        </is>
      </c>
      <c r="B323" s="1" t="n">
        <v>44742</v>
      </c>
      <c r="C323" s="1" t="n">
        <v>46205</v>
      </c>
      <c r="D323" t="inlineStr">
        <is>
          <t>VÄSTERBOTTENS LÄN</t>
        </is>
      </c>
      <c r="E323" t="inlineStr">
        <is>
          <t>SKELLEFTEÅ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18478-2023</t>
        </is>
      </c>
      <c r="B324" s="1" t="n">
        <v>45042</v>
      </c>
      <c r="C324" s="1" t="n">
        <v>46205</v>
      </c>
      <c r="D324" t="inlineStr">
        <is>
          <t>VÄSTERBOTTENS LÄN</t>
        </is>
      </c>
      <c r="E324" t="inlineStr">
        <is>
          <t>SKELLEFTEÅ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30901-2024</t>
        </is>
      </c>
      <c r="B325" s="1" t="n">
        <v>45498</v>
      </c>
      <c r="C325" s="1" t="n">
        <v>46205</v>
      </c>
      <c r="D325" t="inlineStr">
        <is>
          <t>VÄSTERBOTTENS LÄN</t>
        </is>
      </c>
      <c r="E325" t="inlineStr">
        <is>
          <t>SKELLEFTEÅ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50081-2023</t>
        </is>
      </c>
      <c r="B326" s="1" t="n">
        <v>45215</v>
      </c>
      <c r="C326" s="1" t="n">
        <v>46205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38995-2022</t>
        </is>
      </c>
      <c r="B327" s="1" t="n">
        <v>44816</v>
      </c>
      <c r="C327" s="1" t="n">
        <v>46205</v>
      </c>
      <c r="D327" t="inlineStr">
        <is>
          <t>VÄSTERBOTTENS LÄN</t>
        </is>
      </c>
      <c r="E327" t="inlineStr">
        <is>
          <t>SKELLEFTEÅ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33529-2022</t>
        </is>
      </c>
      <c r="B328" s="1" t="n">
        <v>44789</v>
      </c>
      <c r="C328" s="1" t="n">
        <v>46205</v>
      </c>
      <c r="D328" t="inlineStr">
        <is>
          <t>VÄSTERBOTTENS LÄN</t>
        </is>
      </c>
      <c r="E328" t="inlineStr">
        <is>
          <t>SKELLEFTEÅ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43544-2022</t>
        </is>
      </c>
      <c r="B329" s="1" t="n">
        <v>44837</v>
      </c>
      <c r="C329" s="1" t="n">
        <v>46205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62504-2023</t>
        </is>
      </c>
      <c r="B330" s="1" t="n">
        <v>45268</v>
      </c>
      <c r="C330" s="1" t="n">
        <v>46205</v>
      </c>
      <c r="D330" t="inlineStr">
        <is>
          <t>VÄSTERBOTTENS LÄN</t>
        </is>
      </c>
      <c r="E330" t="inlineStr">
        <is>
          <t>SKELLEFTEÅ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38940-2022</t>
        </is>
      </c>
      <c r="B331" s="1" t="n">
        <v>44816</v>
      </c>
      <c r="C331" s="1" t="n">
        <v>46205</v>
      </c>
      <c r="D331" t="inlineStr">
        <is>
          <t>VÄSTERBOTTENS LÄN</t>
        </is>
      </c>
      <c r="E331" t="inlineStr">
        <is>
          <t>SKELLEFTEÅ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50531-2022</t>
        </is>
      </c>
      <c r="B332" s="1" t="n">
        <v>44866</v>
      </c>
      <c r="C332" s="1" t="n">
        <v>46205</v>
      </c>
      <c r="D332" t="inlineStr">
        <is>
          <t>VÄSTERBOTTENS LÄN</t>
        </is>
      </c>
      <c r="E332" t="inlineStr">
        <is>
          <t>SKELLEFTEÅ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47534-2023</t>
        </is>
      </c>
      <c r="B333" s="1" t="n">
        <v>45203</v>
      </c>
      <c r="C333" s="1" t="n">
        <v>46205</v>
      </c>
      <c r="D333" t="inlineStr">
        <is>
          <t>VÄSTERBOTTENS LÄN</t>
        </is>
      </c>
      <c r="E333" t="inlineStr">
        <is>
          <t>SKELLEFTEÅ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54024-2023</t>
        </is>
      </c>
      <c r="B334" s="1" t="n">
        <v>45231</v>
      </c>
      <c r="C334" s="1" t="n">
        <v>46205</v>
      </c>
      <c r="D334" t="inlineStr">
        <is>
          <t>VÄSTERBOTTENS LÄN</t>
        </is>
      </c>
      <c r="E334" t="inlineStr">
        <is>
          <t>SKELLEFTEÅ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54113-2023</t>
        </is>
      </c>
      <c r="B335" s="1" t="n">
        <v>45232</v>
      </c>
      <c r="C335" s="1" t="n">
        <v>46205</v>
      </c>
      <c r="D335" t="inlineStr">
        <is>
          <t>VÄSTERBOTTENS LÄN</t>
        </is>
      </c>
      <c r="E335" t="inlineStr">
        <is>
          <t>SKELLEFTEÅ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53642-2022</t>
        </is>
      </c>
      <c r="B336" s="1" t="n">
        <v>44879</v>
      </c>
      <c r="C336" s="1" t="n">
        <v>46205</v>
      </c>
      <c r="D336" t="inlineStr">
        <is>
          <t>VÄSTERBOTTENS LÄN</t>
        </is>
      </c>
      <c r="E336" t="inlineStr">
        <is>
          <t>SKELLEFTEÅ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22020-2023</t>
        </is>
      </c>
      <c r="B337" s="1" t="n">
        <v>45069</v>
      </c>
      <c r="C337" s="1" t="n">
        <v>46205</v>
      </c>
      <c r="D337" t="inlineStr">
        <is>
          <t>VÄSTERBOTTENS LÄN</t>
        </is>
      </c>
      <c r="E337" t="inlineStr">
        <is>
          <t>SKELLEFTEÅ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48133-2022</t>
        </is>
      </c>
      <c r="B338" s="1" t="n">
        <v>44857</v>
      </c>
      <c r="C338" s="1" t="n">
        <v>46205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18.3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24430-2023</t>
        </is>
      </c>
      <c r="B339" s="1" t="n">
        <v>45076</v>
      </c>
      <c r="C339" s="1" t="n">
        <v>46205</v>
      </c>
      <c r="D339" t="inlineStr">
        <is>
          <t>VÄSTERBOTTENS LÄN</t>
        </is>
      </c>
      <c r="E339" t="inlineStr">
        <is>
          <t>SKELLEFTEÅ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34035-2023</t>
        </is>
      </c>
      <c r="B340" s="1" t="n">
        <v>45135</v>
      </c>
      <c r="C340" s="1" t="n">
        <v>46205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10719-2024</t>
        </is>
      </c>
      <c r="B341" s="1" t="n">
        <v>45369</v>
      </c>
      <c r="C341" s="1" t="n">
        <v>46205</v>
      </c>
      <c r="D341" t="inlineStr">
        <is>
          <t>VÄSTERBOTTENS LÄN</t>
        </is>
      </c>
      <c r="E341" t="inlineStr">
        <is>
          <t>SKELLEFTEÅ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38026-2021</t>
        </is>
      </c>
      <c r="B342" s="1" t="n">
        <v>44404</v>
      </c>
      <c r="C342" s="1" t="n">
        <v>46205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Holmen skog AB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64761-2021</t>
        </is>
      </c>
      <c r="B343" s="1" t="n">
        <v>44511</v>
      </c>
      <c r="C343" s="1" t="n">
        <v>46205</v>
      </c>
      <c r="D343" t="inlineStr">
        <is>
          <t>VÄSTERBOTTENS LÄN</t>
        </is>
      </c>
      <c r="E343" t="inlineStr">
        <is>
          <t>SKELLEFTEÅ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38493-2024</t>
        </is>
      </c>
      <c r="B344" s="1" t="n">
        <v>45546</v>
      </c>
      <c r="C344" s="1" t="n">
        <v>46205</v>
      </c>
      <c r="D344" t="inlineStr">
        <is>
          <t>VÄSTERBOTTENS LÄN</t>
        </is>
      </c>
      <c r="E344" t="inlineStr">
        <is>
          <t>SKELLEFTEÅ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47039-2021</t>
        </is>
      </c>
      <c r="B345" s="1" t="n">
        <v>44446</v>
      </c>
      <c r="C345" s="1" t="n">
        <v>46205</v>
      </c>
      <c r="D345" t="inlineStr">
        <is>
          <t>VÄSTERBOTTENS LÄN</t>
        </is>
      </c>
      <c r="E345" t="inlineStr">
        <is>
          <t>SKELLEFTEÅ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11525-2024</t>
        </is>
      </c>
      <c r="B346" s="1" t="n">
        <v>45372</v>
      </c>
      <c r="C346" s="1" t="n">
        <v>46205</v>
      </c>
      <c r="D346" t="inlineStr">
        <is>
          <t>VÄSTERBOTTENS LÄN</t>
        </is>
      </c>
      <c r="E346" t="inlineStr">
        <is>
          <t>SKELLEFTEÅ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9425-2024</t>
        </is>
      </c>
      <c r="B347" s="1" t="n">
        <v>45359</v>
      </c>
      <c r="C347" s="1" t="n">
        <v>46205</v>
      </c>
      <c r="D347" t="inlineStr">
        <is>
          <t>VÄSTERBOTTENS LÄN</t>
        </is>
      </c>
      <c r="E347" t="inlineStr">
        <is>
          <t>SKELLEFTEÅ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12759-2024</t>
        </is>
      </c>
      <c r="B348" s="1" t="n">
        <v>45384</v>
      </c>
      <c r="C348" s="1" t="n">
        <v>46205</v>
      </c>
      <c r="D348" t="inlineStr">
        <is>
          <t>VÄSTERBOTTENS LÄN</t>
        </is>
      </c>
      <c r="E348" t="inlineStr">
        <is>
          <t>SKELLEFTEÅ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40828-2021</t>
        </is>
      </c>
      <c r="B349" s="1" t="n">
        <v>44421</v>
      </c>
      <c r="C349" s="1" t="n">
        <v>46205</v>
      </c>
      <c r="D349" t="inlineStr">
        <is>
          <t>VÄSTERBOTTENS LÄN</t>
        </is>
      </c>
      <c r="E349" t="inlineStr">
        <is>
          <t>SKELLEFTEÅ</t>
        </is>
      </c>
      <c r="G349" t="n">
        <v>23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53753-2022</t>
        </is>
      </c>
      <c r="B350" s="1" t="n">
        <v>44872</v>
      </c>
      <c r="C350" s="1" t="n">
        <v>46205</v>
      </c>
      <c r="D350" t="inlineStr">
        <is>
          <t>VÄSTERBOTTENS LÄN</t>
        </is>
      </c>
      <c r="E350" t="inlineStr">
        <is>
          <t>SKELLEFTEÅ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51664-2023</t>
        </is>
      </c>
      <c r="B351" s="1" t="n">
        <v>45215</v>
      </c>
      <c r="C351" s="1" t="n">
        <v>46205</v>
      </c>
      <c r="D351" t="inlineStr">
        <is>
          <t>VÄSTERBOTTENS LÄN</t>
        </is>
      </c>
      <c r="E351" t="inlineStr">
        <is>
          <t>SKELLEFTEÅ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23445-2024</t>
        </is>
      </c>
      <c r="B352" s="1" t="n">
        <v>45453</v>
      </c>
      <c r="C352" s="1" t="n">
        <v>46205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48516-2023</t>
        </is>
      </c>
      <c r="B353" s="1" t="n">
        <v>45208</v>
      </c>
      <c r="C353" s="1" t="n">
        <v>46205</v>
      </c>
      <c r="D353" t="inlineStr">
        <is>
          <t>VÄSTERBOTTENS LÄN</t>
        </is>
      </c>
      <c r="E353" t="inlineStr">
        <is>
          <t>SKELLEFTEÅ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1256-2024</t>
        </is>
      </c>
      <c r="B354" s="1" t="n">
        <v>45302</v>
      </c>
      <c r="C354" s="1" t="n">
        <v>46205</v>
      </c>
      <c r="D354" t="inlineStr">
        <is>
          <t>VÄSTERBOTTENS LÄN</t>
        </is>
      </c>
      <c r="E354" t="inlineStr">
        <is>
          <t>SKELLEFTEÅ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4102-2023</t>
        </is>
      </c>
      <c r="B355" s="1" t="n">
        <v>44952</v>
      </c>
      <c r="C355" s="1" t="n">
        <v>46205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Sveaskog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17168-2025</t>
        </is>
      </c>
      <c r="B356" s="1" t="n">
        <v>45755</v>
      </c>
      <c r="C356" s="1" t="n">
        <v>46205</v>
      </c>
      <c r="D356" t="inlineStr">
        <is>
          <t>VÄSTERBOTTENS LÄN</t>
        </is>
      </c>
      <c r="E356" t="inlineStr">
        <is>
          <t>SKELLEFTEÅ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12515-2024</t>
        </is>
      </c>
      <c r="B357" s="1" t="n">
        <v>45379</v>
      </c>
      <c r="C357" s="1" t="n">
        <v>46205</v>
      </c>
      <c r="D357" t="inlineStr">
        <is>
          <t>VÄSTERBOTTENS LÄN</t>
        </is>
      </c>
      <c r="E357" t="inlineStr">
        <is>
          <t>SKELLEFTEÅ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59165-2023</t>
        </is>
      </c>
      <c r="B358" s="1" t="n">
        <v>45251</v>
      </c>
      <c r="C358" s="1" t="n">
        <v>46205</v>
      </c>
      <c r="D358" t="inlineStr">
        <is>
          <t>VÄSTERBOTTENS LÄN</t>
        </is>
      </c>
      <c r="E358" t="inlineStr">
        <is>
          <t>SKELLEFTEÅ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39553-2021</t>
        </is>
      </c>
      <c r="B359" s="1" t="n">
        <v>44416</v>
      </c>
      <c r="C359" s="1" t="n">
        <v>46205</v>
      </c>
      <c r="D359" t="inlineStr">
        <is>
          <t>VÄSTERBOTTENS LÄN</t>
        </is>
      </c>
      <c r="E359" t="inlineStr">
        <is>
          <t>SKELLEFTEÅ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55032-2021</t>
        </is>
      </c>
      <c r="B360" s="1" t="n">
        <v>44474</v>
      </c>
      <c r="C360" s="1" t="n">
        <v>46205</v>
      </c>
      <c r="D360" t="inlineStr">
        <is>
          <t>VÄSTERBOTTENS LÄN</t>
        </is>
      </c>
      <c r="E360" t="inlineStr">
        <is>
          <t>SKELLEFTEÅ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12763-2024</t>
        </is>
      </c>
      <c r="B361" s="1" t="n">
        <v>45384</v>
      </c>
      <c r="C361" s="1" t="n">
        <v>46205</v>
      </c>
      <c r="D361" t="inlineStr">
        <is>
          <t>VÄSTERBOTTENS LÄN</t>
        </is>
      </c>
      <c r="E361" t="inlineStr">
        <is>
          <t>SKELLEFTEÅ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13330-2024</t>
        </is>
      </c>
      <c r="B362" s="1" t="n">
        <v>45386</v>
      </c>
      <c r="C362" s="1" t="n">
        <v>46205</v>
      </c>
      <c r="D362" t="inlineStr">
        <is>
          <t>VÄSTERBOTTENS LÄN</t>
        </is>
      </c>
      <c r="E362" t="inlineStr">
        <is>
          <t>SKELLEFTEÅ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42109-2022</t>
        </is>
      </c>
      <c r="B363" s="1" t="n">
        <v>44827</v>
      </c>
      <c r="C363" s="1" t="n">
        <v>46205</v>
      </c>
      <c r="D363" t="inlineStr">
        <is>
          <t>VÄSTERBOTTENS LÄN</t>
        </is>
      </c>
      <c r="E363" t="inlineStr">
        <is>
          <t>SKELLEFTEÅ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73159-2021</t>
        </is>
      </c>
      <c r="B364" s="1" t="n">
        <v>44550</v>
      </c>
      <c r="C364" s="1" t="n">
        <v>46205</v>
      </c>
      <c r="D364" t="inlineStr">
        <is>
          <t>VÄSTERBOTTENS LÄN</t>
        </is>
      </c>
      <c r="E364" t="inlineStr">
        <is>
          <t>SKELLEFTEÅ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5744-2023</t>
        </is>
      </c>
      <c r="B365" s="1" t="n">
        <v>44962</v>
      </c>
      <c r="C365" s="1" t="n">
        <v>46205</v>
      </c>
      <c r="D365" t="inlineStr">
        <is>
          <t>VÄSTERBOTTENS LÄN</t>
        </is>
      </c>
      <c r="E365" t="inlineStr">
        <is>
          <t>SKELLEFTEÅ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28113-2023</t>
        </is>
      </c>
      <c r="B366" s="1" t="n">
        <v>45096</v>
      </c>
      <c r="C366" s="1" t="n">
        <v>46205</v>
      </c>
      <c r="D366" t="inlineStr">
        <is>
          <t>VÄSTERBOTTENS LÄN</t>
        </is>
      </c>
      <c r="E366" t="inlineStr">
        <is>
          <t>SKELLEFTEÅ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19782-2024</t>
        </is>
      </c>
      <c r="B367" s="1" t="n">
        <v>45432</v>
      </c>
      <c r="C367" s="1" t="n">
        <v>46205</v>
      </c>
      <c r="D367" t="inlineStr">
        <is>
          <t>VÄSTERBOTTENS LÄN</t>
        </is>
      </c>
      <c r="E367" t="inlineStr">
        <is>
          <t>SKELLEFTEÅ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25632-2023</t>
        </is>
      </c>
      <c r="B368" s="1" t="n">
        <v>45084</v>
      </c>
      <c r="C368" s="1" t="n">
        <v>46205</v>
      </c>
      <c r="D368" t="inlineStr">
        <is>
          <t>VÄSTERBOTTENS LÄN</t>
        </is>
      </c>
      <c r="E368" t="inlineStr">
        <is>
          <t>SKELLEFTEÅ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58517-2023</t>
        </is>
      </c>
      <c r="B369" s="1" t="n">
        <v>45251</v>
      </c>
      <c r="C369" s="1" t="n">
        <v>46205</v>
      </c>
      <c r="D369" t="inlineStr">
        <is>
          <t>VÄSTERBOTTENS LÄN</t>
        </is>
      </c>
      <c r="E369" t="inlineStr">
        <is>
          <t>SKELLEFTEÅ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60612-2023</t>
        </is>
      </c>
      <c r="B370" s="1" t="n">
        <v>45260</v>
      </c>
      <c r="C370" s="1" t="n">
        <v>46205</v>
      </c>
      <c r="D370" t="inlineStr">
        <is>
          <t>VÄSTERBOTTENS LÄN</t>
        </is>
      </c>
      <c r="E370" t="inlineStr">
        <is>
          <t>SKELLEFTEÅ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49433-2022</t>
        </is>
      </c>
      <c r="B371" s="1" t="n">
        <v>44859</v>
      </c>
      <c r="C371" s="1" t="n">
        <v>46205</v>
      </c>
      <c r="D371" t="inlineStr">
        <is>
          <t>VÄSTERBOTTENS LÄN</t>
        </is>
      </c>
      <c r="E371" t="inlineStr">
        <is>
          <t>SKELLEFTEÅ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42946-2022</t>
        </is>
      </c>
      <c r="B372" s="1" t="n">
        <v>44833</v>
      </c>
      <c r="C372" s="1" t="n">
        <v>46205</v>
      </c>
      <c r="D372" t="inlineStr">
        <is>
          <t>VÄSTERBOTTENS LÄN</t>
        </is>
      </c>
      <c r="E372" t="inlineStr">
        <is>
          <t>SKELLEFTEÅ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47988-2022</t>
        </is>
      </c>
      <c r="B373" s="1" t="n">
        <v>44853</v>
      </c>
      <c r="C373" s="1" t="n">
        <v>46205</v>
      </c>
      <c r="D373" t="inlineStr">
        <is>
          <t>VÄSTERBOTTENS LÄN</t>
        </is>
      </c>
      <c r="E373" t="inlineStr">
        <is>
          <t>SKELLEFTEÅ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33289-2023</t>
        </is>
      </c>
      <c r="B374" s="1" t="n">
        <v>45116</v>
      </c>
      <c r="C374" s="1" t="n">
        <v>46205</v>
      </c>
      <c r="D374" t="inlineStr">
        <is>
          <t>VÄSTERBOTTENS LÄN</t>
        </is>
      </c>
      <c r="E374" t="inlineStr">
        <is>
          <t>SKELLEFTEÅ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24963-2023</t>
        </is>
      </c>
      <c r="B375" s="1" t="n">
        <v>45085</v>
      </c>
      <c r="C375" s="1" t="n">
        <v>46205</v>
      </c>
      <c r="D375" t="inlineStr">
        <is>
          <t>VÄSTERBOTTENS LÄN</t>
        </is>
      </c>
      <c r="E375" t="inlineStr">
        <is>
          <t>SKELLEFTEÅ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42798-2022</t>
        </is>
      </c>
      <c r="B376" s="1" t="n">
        <v>44832</v>
      </c>
      <c r="C376" s="1" t="n">
        <v>46205</v>
      </c>
      <c r="D376" t="inlineStr">
        <is>
          <t>VÄSTERBOTTENS LÄN</t>
        </is>
      </c>
      <c r="E376" t="inlineStr">
        <is>
          <t>SKELLEFTEÅ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3947-2024</t>
        </is>
      </c>
      <c r="B377" s="1" t="n">
        <v>45322</v>
      </c>
      <c r="C377" s="1" t="n">
        <v>46205</v>
      </c>
      <c r="D377" t="inlineStr">
        <is>
          <t>VÄSTERBOTTENS LÄN</t>
        </is>
      </c>
      <c r="E377" t="inlineStr">
        <is>
          <t>SKELLEFTEÅ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24195-2024</t>
        </is>
      </c>
      <c r="B378" s="1" t="n">
        <v>45456</v>
      </c>
      <c r="C378" s="1" t="n">
        <v>46205</v>
      </c>
      <c r="D378" t="inlineStr">
        <is>
          <t>VÄSTERBOTTENS LÄN</t>
        </is>
      </c>
      <c r="E378" t="inlineStr">
        <is>
          <t>SKELLEFTEÅ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60853-2022</t>
        </is>
      </c>
      <c r="B379" s="1" t="n">
        <v>44914</v>
      </c>
      <c r="C379" s="1" t="n">
        <v>46205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58114-2022</t>
        </is>
      </c>
      <c r="B380" s="1" t="n">
        <v>44893</v>
      </c>
      <c r="C380" s="1" t="n">
        <v>46205</v>
      </c>
      <c r="D380" t="inlineStr">
        <is>
          <t>VÄSTERBOTTENS LÄN</t>
        </is>
      </c>
      <c r="E380" t="inlineStr">
        <is>
          <t>SKELLEFTEÅ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56435-2022</t>
        </is>
      </c>
      <c r="B381" s="1" t="n">
        <v>44892</v>
      </c>
      <c r="C381" s="1" t="n">
        <v>46205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64006-2023</t>
        </is>
      </c>
      <c r="B382" s="1" t="n">
        <v>45278</v>
      </c>
      <c r="C382" s="1" t="n">
        <v>46205</v>
      </c>
      <c r="D382" t="inlineStr">
        <is>
          <t>VÄSTERBOTTENS LÄN</t>
        </is>
      </c>
      <c r="E382" t="inlineStr">
        <is>
          <t>SKELLEFTEÅ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35435-2024</t>
        </is>
      </c>
      <c r="B383" s="1" t="n">
        <v>45531</v>
      </c>
      <c r="C383" s="1" t="n">
        <v>46205</v>
      </c>
      <c r="D383" t="inlineStr">
        <is>
          <t>VÄSTERBOTTENS LÄN</t>
        </is>
      </c>
      <c r="E383" t="inlineStr">
        <is>
          <t>SKELLEFTEÅ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21836-2024</t>
        </is>
      </c>
      <c r="B384" s="1" t="n">
        <v>45442</v>
      </c>
      <c r="C384" s="1" t="n">
        <v>46205</v>
      </c>
      <c r="D384" t="inlineStr">
        <is>
          <t>VÄSTERBOTTENS LÄN</t>
        </is>
      </c>
      <c r="E384" t="inlineStr">
        <is>
          <t>SKELLEFTEÅ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57578-2022</t>
        </is>
      </c>
      <c r="B385" s="1" t="n">
        <v>44896</v>
      </c>
      <c r="C385" s="1" t="n">
        <v>46205</v>
      </c>
      <c r="D385" t="inlineStr">
        <is>
          <t>VÄSTERBOTTENS LÄN</t>
        </is>
      </c>
      <c r="E385" t="inlineStr">
        <is>
          <t>SKELLEFTEÅ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57583-2022</t>
        </is>
      </c>
      <c r="B386" s="1" t="n">
        <v>44896</v>
      </c>
      <c r="C386" s="1" t="n">
        <v>46205</v>
      </c>
      <c r="D386" t="inlineStr">
        <is>
          <t>VÄSTERBOTTENS LÄN</t>
        </is>
      </c>
      <c r="E386" t="inlineStr">
        <is>
          <t>SKELLEFTEÅ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18443-2025</t>
        </is>
      </c>
      <c r="B387" s="1" t="n">
        <v>45762</v>
      </c>
      <c r="C387" s="1" t="n">
        <v>46205</v>
      </c>
      <c r="D387" t="inlineStr">
        <is>
          <t>VÄSTERBOTTENS LÄN</t>
        </is>
      </c>
      <c r="E387" t="inlineStr">
        <is>
          <t>SKELLEFTEÅ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34670-2023</t>
        </is>
      </c>
      <c r="B388" s="1" t="n">
        <v>45140</v>
      </c>
      <c r="C388" s="1" t="n">
        <v>46205</v>
      </c>
      <c r="D388" t="inlineStr">
        <is>
          <t>VÄSTERBOTTENS LÄN</t>
        </is>
      </c>
      <c r="E388" t="inlineStr">
        <is>
          <t>SKELLEFTEÅ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34672-2023</t>
        </is>
      </c>
      <c r="B389" s="1" t="n">
        <v>45140</v>
      </c>
      <c r="C389" s="1" t="n">
        <v>46205</v>
      </c>
      <c r="D389" t="inlineStr">
        <is>
          <t>VÄSTERBOTTENS LÄN</t>
        </is>
      </c>
      <c r="E389" t="inlineStr">
        <is>
          <t>SKELLEFTEÅ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30786-2023</t>
        </is>
      </c>
      <c r="B390" s="1" t="n">
        <v>45112</v>
      </c>
      <c r="C390" s="1" t="n">
        <v>46205</v>
      </c>
      <c r="D390" t="inlineStr">
        <is>
          <t>VÄSTERBOTTENS LÄN</t>
        </is>
      </c>
      <c r="E390" t="inlineStr">
        <is>
          <t>SKELLEFTEÅ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56995-2022</t>
        </is>
      </c>
      <c r="B391" s="1" t="n">
        <v>44894</v>
      </c>
      <c r="C391" s="1" t="n">
        <v>46205</v>
      </c>
      <c r="D391" t="inlineStr">
        <is>
          <t>VÄSTERBOTTENS LÄN</t>
        </is>
      </c>
      <c r="E391" t="inlineStr">
        <is>
          <t>SKELLEFTEÅ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18497-2025</t>
        </is>
      </c>
      <c r="B392" s="1" t="n">
        <v>45763</v>
      </c>
      <c r="C392" s="1" t="n">
        <v>46205</v>
      </c>
      <c r="D392" t="inlineStr">
        <is>
          <t>VÄSTERBOTTENS LÄN</t>
        </is>
      </c>
      <c r="E392" t="inlineStr">
        <is>
          <t>SKELLEFTEÅ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20559-2024</t>
        </is>
      </c>
      <c r="B393" s="1" t="n">
        <v>45436</v>
      </c>
      <c r="C393" s="1" t="n">
        <v>46205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20454-2024</t>
        </is>
      </c>
      <c r="B394" s="1" t="n">
        <v>45435</v>
      </c>
      <c r="C394" s="1" t="n">
        <v>46205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Holmen skog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22044-2024</t>
        </is>
      </c>
      <c r="B395" s="1" t="n">
        <v>45443</v>
      </c>
      <c r="C395" s="1" t="n">
        <v>46205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35881-2024</t>
        </is>
      </c>
      <c r="B396" s="1" t="n">
        <v>45533</v>
      </c>
      <c r="C396" s="1" t="n">
        <v>46205</v>
      </c>
      <c r="D396" t="inlineStr">
        <is>
          <t>VÄSTERBOTTENS LÄN</t>
        </is>
      </c>
      <c r="E396" t="inlineStr">
        <is>
          <t>SKELLEFTEÅ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34580-2024</t>
        </is>
      </c>
      <c r="B397" s="1" t="n">
        <v>45526</v>
      </c>
      <c r="C397" s="1" t="n">
        <v>46205</v>
      </c>
      <c r="D397" t="inlineStr">
        <is>
          <t>VÄSTERBOTTENS LÄN</t>
        </is>
      </c>
      <c r="E397" t="inlineStr">
        <is>
          <t>SKELLEFTEÅ</t>
        </is>
      </c>
      <c r="G397" t="n">
        <v>13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38616-2024</t>
        </is>
      </c>
      <c r="B398" s="1" t="n">
        <v>45546</v>
      </c>
      <c r="C398" s="1" t="n">
        <v>46205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Holmen skog AB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34063-2023</t>
        </is>
      </c>
      <c r="B399" s="1" t="n">
        <v>45135</v>
      </c>
      <c r="C399" s="1" t="n">
        <v>46205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Holmen skog AB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61700-2022</t>
        </is>
      </c>
      <c r="B400" s="1" t="n">
        <v>44911</v>
      </c>
      <c r="C400" s="1" t="n">
        <v>46205</v>
      </c>
      <c r="D400" t="inlineStr">
        <is>
          <t>VÄSTERBOTTENS LÄN</t>
        </is>
      </c>
      <c r="E400" t="inlineStr">
        <is>
          <t>SKELLEFTEÅ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29321-2024</t>
        </is>
      </c>
      <c r="B401" s="1" t="n">
        <v>45483</v>
      </c>
      <c r="C401" s="1" t="n">
        <v>46205</v>
      </c>
      <c r="D401" t="inlineStr">
        <is>
          <t>VÄSTERBOTTENS LÄN</t>
        </is>
      </c>
      <c r="E401" t="inlineStr">
        <is>
          <t>SKELLEFTEÅ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32709-2024</t>
        </is>
      </c>
      <c r="B402" s="1" t="n">
        <v>45516</v>
      </c>
      <c r="C402" s="1" t="n">
        <v>46205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Holmen skog AB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17478-2023</t>
        </is>
      </c>
      <c r="B403" s="1" t="n">
        <v>45034</v>
      </c>
      <c r="C403" s="1" t="n">
        <v>46205</v>
      </c>
      <c r="D403" t="inlineStr">
        <is>
          <t>VÄSTERBOTTENS LÄN</t>
        </is>
      </c>
      <c r="E403" t="inlineStr">
        <is>
          <t>SKELLEFTEÅ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24205-2025</t>
        </is>
      </c>
      <c r="B404" s="1" t="n">
        <v>45797</v>
      </c>
      <c r="C404" s="1" t="n">
        <v>46205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36297-2024</t>
        </is>
      </c>
      <c r="B405" s="1" t="n">
        <v>45534</v>
      </c>
      <c r="C405" s="1" t="n">
        <v>46205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Sveaskog</t>
        </is>
      </c>
      <c r="G405" t="n">
        <v>20.9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51810-2024</t>
        </is>
      </c>
      <c r="B406" s="1" t="n">
        <v>45607</v>
      </c>
      <c r="C406" s="1" t="n">
        <v>46205</v>
      </c>
      <c r="D406" t="inlineStr">
        <is>
          <t>VÄSTERBOTTENS LÄN</t>
        </is>
      </c>
      <c r="E406" t="inlineStr">
        <is>
          <t>SKELLEFTEÅ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1076-2023</t>
        </is>
      </c>
      <c r="B407" s="1" t="n">
        <v>44929</v>
      </c>
      <c r="C407" s="1" t="n">
        <v>46205</v>
      </c>
      <c r="D407" t="inlineStr">
        <is>
          <t>VÄSTERBOTTENS LÄN</t>
        </is>
      </c>
      <c r="E407" t="inlineStr">
        <is>
          <t>SKELLEFTEÅ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24727-2025</t>
        </is>
      </c>
      <c r="B408" s="1" t="n">
        <v>45799</v>
      </c>
      <c r="C408" s="1" t="n">
        <v>46205</v>
      </c>
      <c r="D408" t="inlineStr">
        <is>
          <t>VÄSTERBOTTENS LÄN</t>
        </is>
      </c>
      <c r="E408" t="inlineStr">
        <is>
          <t>SKELLEFTEÅ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1498-2024</t>
        </is>
      </c>
      <c r="B409" s="1" t="n">
        <v>45306</v>
      </c>
      <c r="C409" s="1" t="n">
        <v>46205</v>
      </c>
      <c r="D409" t="inlineStr">
        <is>
          <t>VÄSTERBOTTENS LÄN</t>
        </is>
      </c>
      <c r="E409" t="inlineStr">
        <is>
          <t>SKELLEFTEÅ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19839-2024</t>
        </is>
      </c>
      <c r="B410" s="1" t="n">
        <v>45433</v>
      </c>
      <c r="C410" s="1" t="n">
        <v>46205</v>
      </c>
      <c r="D410" t="inlineStr">
        <is>
          <t>VÄSTERBOTTENS LÄN</t>
        </is>
      </c>
      <c r="E410" t="inlineStr">
        <is>
          <t>SKELLEFTEÅ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12798-2024</t>
        </is>
      </c>
      <c r="B411" s="1" t="n">
        <v>45384</v>
      </c>
      <c r="C411" s="1" t="n">
        <v>46205</v>
      </c>
      <c r="D411" t="inlineStr">
        <is>
          <t>VÄSTERBOTTENS LÄN</t>
        </is>
      </c>
      <c r="E411" t="inlineStr">
        <is>
          <t>SKELLEFTEÅ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59640-2024</t>
        </is>
      </c>
      <c r="B412" s="1" t="n">
        <v>45639</v>
      </c>
      <c r="C412" s="1" t="n">
        <v>46205</v>
      </c>
      <c r="D412" t="inlineStr">
        <is>
          <t>VÄSTERBOTTENS LÄN</t>
        </is>
      </c>
      <c r="E412" t="inlineStr">
        <is>
          <t>SKELLEFTEÅ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25688-2025</t>
        </is>
      </c>
      <c r="B413" s="1" t="n">
        <v>45800</v>
      </c>
      <c r="C413" s="1" t="n">
        <v>46205</v>
      </c>
      <c r="D413" t="inlineStr">
        <is>
          <t>VÄSTERBOTTENS LÄN</t>
        </is>
      </c>
      <c r="E413" t="inlineStr">
        <is>
          <t>SKELLEFTEÅ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25403-2025</t>
        </is>
      </c>
      <c r="B414" s="1" t="n">
        <v>45800</v>
      </c>
      <c r="C414" s="1" t="n">
        <v>46205</v>
      </c>
      <c r="D414" t="inlineStr">
        <is>
          <t>VÄSTERBOTTENS LÄN</t>
        </is>
      </c>
      <c r="E414" t="inlineStr">
        <is>
          <t>SKELLEFTEÅ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35114-2024</t>
        </is>
      </c>
      <c r="B415" s="1" t="n">
        <v>45529</v>
      </c>
      <c r="C415" s="1" t="n">
        <v>46205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14089-2023</t>
        </is>
      </c>
      <c r="B416" s="1" t="n">
        <v>45009</v>
      </c>
      <c r="C416" s="1" t="n">
        <v>46205</v>
      </c>
      <c r="D416" t="inlineStr">
        <is>
          <t>VÄSTERBOTTENS LÄN</t>
        </is>
      </c>
      <c r="E416" t="inlineStr">
        <is>
          <t>SKELLEFTEÅ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12842-2025</t>
        </is>
      </c>
      <c r="B417" s="1" t="n">
        <v>45733</v>
      </c>
      <c r="C417" s="1" t="n">
        <v>46205</v>
      </c>
      <c r="D417" t="inlineStr">
        <is>
          <t>VÄSTERBOTTENS LÄN</t>
        </is>
      </c>
      <c r="E417" t="inlineStr">
        <is>
          <t>SKELLEFTEÅ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39513-2023</t>
        </is>
      </c>
      <c r="B418" s="1" t="n">
        <v>45167</v>
      </c>
      <c r="C418" s="1" t="n">
        <v>46205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60134-2024</t>
        </is>
      </c>
      <c r="B419" s="1" t="n">
        <v>45642</v>
      </c>
      <c r="C419" s="1" t="n">
        <v>46205</v>
      </c>
      <c r="D419" t="inlineStr">
        <is>
          <t>VÄSTERBOTTENS LÄN</t>
        </is>
      </c>
      <c r="E419" t="inlineStr">
        <is>
          <t>SKELLEFTEÅ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24829-2025</t>
        </is>
      </c>
      <c r="B420" s="1" t="n">
        <v>45799</v>
      </c>
      <c r="C420" s="1" t="n">
        <v>46205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25641-2025</t>
        </is>
      </c>
      <c r="B421" s="1" t="n">
        <v>45803</v>
      </c>
      <c r="C421" s="1" t="n">
        <v>46205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Holmen skog AB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25542-2025</t>
        </is>
      </c>
      <c r="B422" s="1" t="n">
        <v>45803</v>
      </c>
      <c r="C422" s="1" t="n">
        <v>46205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Holmen skog AB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25526-2025</t>
        </is>
      </c>
      <c r="B423" s="1" t="n">
        <v>45803</v>
      </c>
      <c r="C423" s="1" t="n">
        <v>46205</v>
      </c>
      <c r="D423" t="inlineStr">
        <is>
          <t>VÄSTERBOTTENS LÄN</t>
        </is>
      </c>
      <c r="E423" t="inlineStr">
        <is>
          <t>SKELLEFTEÅ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464-2026</t>
        </is>
      </c>
      <c r="B424" s="1" t="n">
        <v>46029</v>
      </c>
      <c r="C424" s="1" t="n">
        <v>46205</v>
      </c>
      <c r="D424" t="inlineStr">
        <is>
          <t>VÄSTERBOTTENS LÄN</t>
        </is>
      </c>
      <c r="E424" t="inlineStr">
        <is>
          <t>SKELLEFTEÅ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38500-2025</t>
        </is>
      </c>
      <c r="B425" s="1" t="n">
        <v>45884</v>
      </c>
      <c r="C425" s="1" t="n">
        <v>46205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Holmen skog AB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14332-2023</t>
        </is>
      </c>
      <c r="B426" s="1" t="n">
        <v>45009</v>
      </c>
      <c r="C426" s="1" t="n">
        <v>46205</v>
      </c>
      <c r="D426" t="inlineStr">
        <is>
          <t>VÄSTERBOTTENS LÄN</t>
        </is>
      </c>
      <c r="E426" t="inlineStr">
        <is>
          <t>SKELLEFTEÅ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25773-2025</t>
        </is>
      </c>
      <c r="B427" s="1" t="n">
        <v>45804</v>
      </c>
      <c r="C427" s="1" t="n">
        <v>46205</v>
      </c>
      <c r="D427" t="inlineStr">
        <is>
          <t>VÄSTERBOTTENS LÄN</t>
        </is>
      </c>
      <c r="E427" t="inlineStr">
        <is>
          <t>SKELLEFTEÅ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25958-2025</t>
        </is>
      </c>
      <c r="B428" s="1" t="n">
        <v>45804</v>
      </c>
      <c r="C428" s="1" t="n">
        <v>46205</v>
      </c>
      <c r="D428" t="inlineStr">
        <is>
          <t>VÄSTERBOTTENS LÄN</t>
        </is>
      </c>
      <c r="E428" t="inlineStr">
        <is>
          <t>SKELLEFTEÅ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26049-2025</t>
        </is>
      </c>
      <c r="B429" s="1" t="n">
        <v>45804</v>
      </c>
      <c r="C429" s="1" t="n">
        <v>46205</v>
      </c>
      <c r="D429" t="inlineStr">
        <is>
          <t>VÄSTERBOTTENS LÄN</t>
        </is>
      </c>
      <c r="E429" t="inlineStr">
        <is>
          <t>SKELLEFTEÅ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473-2026</t>
        </is>
      </c>
      <c r="B430" s="1" t="n">
        <v>46029</v>
      </c>
      <c r="C430" s="1" t="n">
        <v>46205</v>
      </c>
      <c r="D430" t="inlineStr">
        <is>
          <t>VÄSTERBOTTENS LÄN</t>
        </is>
      </c>
      <c r="E430" t="inlineStr">
        <is>
          <t>SKELLEFTEÅ</t>
        </is>
      </c>
      <c r="G430" t="n">
        <v>12.8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474-2026</t>
        </is>
      </c>
      <c r="B431" s="1" t="n">
        <v>46029</v>
      </c>
      <c r="C431" s="1" t="n">
        <v>46205</v>
      </c>
      <c r="D431" t="inlineStr">
        <is>
          <t>VÄSTERBOTTENS LÄN</t>
        </is>
      </c>
      <c r="E431" t="inlineStr">
        <is>
          <t>SKELLEFTEÅ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60339-2023</t>
        </is>
      </c>
      <c r="B432" s="1" t="n">
        <v>45259</v>
      </c>
      <c r="C432" s="1" t="n">
        <v>46205</v>
      </c>
      <c r="D432" t="inlineStr">
        <is>
          <t>VÄSTERBOTTENS LÄN</t>
        </is>
      </c>
      <c r="E432" t="inlineStr">
        <is>
          <t>SKELLEFTEÅ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28166-2023</t>
        </is>
      </c>
      <c r="B433" s="1" t="n">
        <v>45096</v>
      </c>
      <c r="C433" s="1" t="n">
        <v>46205</v>
      </c>
      <c r="D433" t="inlineStr">
        <is>
          <t>VÄSTERBOTTENS LÄN</t>
        </is>
      </c>
      <c r="E433" t="inlineStr">
        <is>
          <t>SKELLEFTEÅ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25514-2025</t>
        </is>
      </c>
      <c r="B434" s="1" t="n">
        <v>45803</v>
      </c>
      <c r="C434" s="1" t="n">
        <v>46205</v>
      </c>
      <c r="D434" t="inlineStr">
        <is>
          <t>VÄSTERBOTTENS LÄN</t>
        </is>
      </c>
      <c r="E434" t="inlineStr">
        <is>
          <t>SKELLEFTEÅ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1257-2024</t>
        </is>
      </c>
      <c r="B435" s="1" t="n">
        <v>45302</v>
      </c>
      <c r="C435" s="1" t="n">
        <v>46205</v>
      </c>
      <c r="D435" t="inlineStr">
        <is>
          <t>VÄSTERBOTTENS LÄN</t>
        </is>
      </c>
      <c r="E435" t="inlineStr">
        <is>
          <t>SKELLEFTEÅ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25525-2025</t>
        </is>
      </c>
      <c r="B436" s="1" t="n">
        <v>45803</v>
      </c>
      <c r="C436" s="1" t="n">
        <v>46205</v>
      </c>
      <c r="D436" t="inlineStr">
        <is>
          <t>VÄSTERBOTTENS LÄN</t>
        </is>
      </c>
      <c r="E436" t="inlineStr">
        <is>
          <t>SKELLEFTEÅ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50488-2023</t>
        </is>
      </c>
      <c r="B437" s="1" t="n">
        <v>45216</v>
      </c>
      <c r="C437" s="1" t="n">
        <v>46205</v>
      </c>
      <c r="D437" t="inlineStr">
        <is>
          <t>VÄSTERBOTTENS LÄN</t>
        </is>
      </c>
      <c r="E437" t="inlineStr">
        <is>
          <t>SKELLEFTEÅ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53075-2022</t>
        </is>
      </c>
      <c r="B438" s="1" t="n">
        <v>44876</v>
      </c>
      <c r="C438" s="1" t="n">
        <v>46205</v>
      </c>
      <c r="D438" t="inlineStr">
        <is>
          <t>VÄSTERBOTTENS LÄN</t>
        </is>
      </c>
      <c r="E438" t="inlineStr">
        <is>
          <t>SKELLEFTEÅ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26194-2025</t>
        </is>
      </c>
      <c r="B439" s="1" t="n">
        <v>45805</v>
      </c>
      <c r="C439" s="1" t="n">
        <v>46205</v>
      </c>
      <c r="D439" t="inlineStr">
        <is>
          <t>VÄSTERBOTTENS LÄN</t>
        </is>
      </c>
      <c r="E439" t="inlineStr">
        <is>
          <t>SKELLEFTEÅ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26483-2022</t>
        </is>
      </c>
      <c r="B440" s="1" t="n">
        <v>44739</v>
      </c>
      <c r="C440" s="1" t="n">
        <v>46205</v>
      </c>
      <c r="D440" t="inlineStr">
        <is>
          <t>VÄSTERBOTTENS LÄN</t>
        </is>
      </c>
      <c r="E440" t="inlineStr">
        <is>
          <t>SKELLEFTEÅ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38586-2025</t>
        </is>
      </c>
      <c r="B441" s="1" t="n">
        <v>45884</v>
      </c>
      <c r="C441" s="1" t="n">
        <v>46205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3924-2022</t>
        </is>
      </c>
      <c r="B442" s="1" t="n">
        <v>44587</v>
      </c>
      <c r="C442" s="1" t="n">
        <v>46205</v>
      </c>
      <c r="D442" t="inlineStr">
        <is>
          <t>VÄSTERBOTTENS LÄN</t>
        </is>
      </c>
      <c r="E442" t="inlineStr">
        <is>
          <t>SKELLEFTEÅ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39589-2021</t>
        </is>
      </c>
      <c r="B443" s="1" t="n">
        <v>44413</v>
      </c>
      <c r="C443" s="1" t="n">
        <v>46205</v>
      </c>
      <c r="D443" t="inlineStr">
        <is>
          <t>VÄSTERBOTTENS LÄN</t>
        </is>
      </c>
      <c r="E443" t="inlineStr">
        <is>
          <t>SKELLEFTEÅ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34082-2022</t>
        </is>
      </c>
      <c r="B444" s="1" t="n">
        <v>44791</v>
      </c>
      <c r="C444" s="1" t="n">
        <v>46205</v>
      </c>
      <c r="D444" t="inlineStr">
        <is>
          <t>VÄSTERBOTTENS LÄN</t>
        </is>
      </c>
      <c r="E444" t="inlineStr">
        <is>
          <t>SKELLEFTEÅ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70718-2021</t>
        </is>
      </c>
      <c r="B445" s="1" t="n">
        <v>44536</v>
      </c>
      <c r="C445" s="1" t="n">
        <v>46205</v>
      </c>
      <c r="D445" t="inlineStr">
        <is>
          <t>VÄSTERBOTTENS LÄN</t>
        </is>
      </c>
      <c r="E445" t="inlineStr">
        <is>
          <t>SKELLEFTEÅ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26215-2025</t>
        </is>
      </c>
      <c r="B446" s="1" t="n">
        <v>45805</v>
      </c>
      <c r="C446" s="1" t="n">
        <v>46205</v>
      </c>
      <c r="D446" t="inlineStr">
        <is>
          <t>VÄSTERBOTTENS LÄN</t>
        </is>
      </c>
      <c r="E446" t="inlineStr">
        <is>
          <t>SKELLEFTEÅ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26601-2025</t>
        </is>
      </c>
      <c r="B447" s="1" t="n">
        <v>45808</v>
      </c>
      <c r="C447" s="1" t="n">
        <v>46205</v>
      </c>
      <c r="D447" t="inlineStr">
        <is>
          <t>VÄSTERBOTTENS LÄN</t>
        </is>
      </c>
      <c r="E447" t="inlineStr">
        <is>
          <t>SKELLEFTEÅ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6244-2024</t>
        </is>
      </c>
      <c r="B448" s="1" t="n">
        <v>45337</v>
      </c>
      <c r="C448" s="1" t="n">
        <v>46205</v>
      </c>
      <c r="D448" t="inlineStr">
        <is>
          <t>VÄSTERBOTTENS LÄN</t>
        </is>
      </c>
      <c r="E448" t="inlineStr">
        <is>
          <t>SKELLEFTEÅ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38481-2025</t>
        </is>
      </c>
      <c r="B449" s="1" t="n">
        <v>45884</v>
      </c>
      <c r="C449" s="1" t="n">
        <v>46205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Holmen skog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56993-2022</t>
        </is>
      </c>
      <c r="B450" s="1" t="n">
        <v>44894</v>
      </c>
      <c r="C450" s="1" t="n">
        <v>46205</v>
      </c>
      <c r="D450" t="inlineStr">
        <is>
          <t>VÄSTERBOTTENS LÄN</t>
        </is>
      </c>
      <c r="E450" t="inlineStr">
        <is>
          <t>SKELLEFTEÅ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44301-2023</t>
        </is>
      </c>
      <c r="B451" s="1" t="n">
        <v>45188</v>
      </c>
      <c r="C451" s="1" t="n">
        <v>46205</v>
      </c>
      <c r="D451" t="inlineStr">
        <is>
          <t>VÄSTERBOTTENS LÄN</t>
        </is>
      </c>
      <c r="E451" t="inlineStr">
        <is>
          <t>SKELLEFTEÅ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38690-2025</t>
        </is>
      </c>
      <c r="B452" s="1" t="n">
        <v>45884</v>
      </c>
      <c r="C452" s="1" t="n">
        <v>46205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Holmen skog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50082-2024</t>
        </is>
      </c>
      <c r="B453" s="1" t="n">
        <v>45597</v>
      </c>
      <c r="C453" s="1" t="n">
        <v>46205</v>
      </c>
      <c r="D453" t="inlineStr">
        <is>
          <t>VÄSTERBOTTENS LÄN</t>
        </is>
      </c>
      <c r="E453" t="inlineStr">
        <is>
          <t>SKELLEFTEÅ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54162-2024</t>
        </is>
      </c>
      <c r="B454" s="1" t="n">
        <v>45616</v>
      </c>
      <c r="C454" s="1" t="n">
        <v>46205</v>
      </c>
      <c r="D454" t="inlineStr">
        <is>
          <t>VÄSTERBOTTENS LÄN</t>
        </is>
      </c>
      <c r="E454" t="inlineStr">
        <is>
          <t>SKELLEFTEÅ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54825-2022</t>
        </is>
      </c>
      <c r="B455" s="1" t="n">
        <v>44883</v>
      </c>
      <c r="C455" s="1" t="n">
        <v>46205</v>
      </c>
      <c r="D455" t="inlineStr">
        <is>
          <t>VÄSTERBOTTENS LÄN</t>
        </is>
      </c>
      <c r="E455" t="inlineStr">
        <is>
          <t>SKELLEFTEÅ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58119-2024</t>
        </is>
      </c>
      <c r="B456" s="1" t="n">
        <v>45632</v>
      </c>
      <c r="C456" s="1" t="n">
        <v>46205</v>
      </c>
      <c r="D456" t="inlineStr">
        <is>
          <t>VÄSTERBOTTENS LÄN</t>
        </is>
      </c>
      <c r="E456" t="inlineStr">
        <is>
          <t>SKELLEFTEÅ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5636-2024</t>
        </is>
      </c>
      <c r="B457" s="1" t="n">
        <v>45334</v>
      </c>
      <c r="C457" s="1" t="n">
        <v>46205</v>
      </c>
      <c r="D457" t="inlineStr">
        <is>
          <t>VÄSTERBOTTENS LÄN</t>
        </is>
      </c>
      <c r="E457" t="inlineStr">
        <is>
          <t>SKELLEFTEÅ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11771-2023</t>
        </is>
      </c>
      <c r="B458" s="1" t="n">
        <v>44994</v>
      </c>
      <c r="C458" s="1" t="n">
        <v>46205</v>
      </c>
      <c r="D458" t="inlineStr">
        <is>
          <t>VÄSTERBOTTENS LÄN</t>
        </is>
      </c>
      <c r="E458" t="inlineStr">
        <is>
          <t>SKELLEFTEÅ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58776-2024</t>
        </is>
      </c>
      <c r="B459" s="1" t="n">
        <v>45635</v>
      </c>
      <c r="C459" s="1" t="n">
        <v>46205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27082-2025</t>
        </is>
      </c>
      <c r="B460" s="1" t="n">
        <v>45811</v>
      </c>
      <c r="C460" s="1" t="n">
        <v>46205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16415-2025</t>
        </is>
      </c>
      <c r="B461" s="1" t="n">
        <v>45751</v>
      </c>
      <c r="C461" s="1" t="n">
        <v>46205</v>
      </c>
      <c r="D461" t="inlineStr">
        <is>
          <t>VÄSTERBOTTENS LÄN</t>
        </is>
      </c>
      <c r="E461" t="inlineStr">
        <is>
          <t>SKELLEFTEÅ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52105-2023</t>
        </is>
      </c>
      <c r="B462" s="1" t="n">
        <v>45223</v>
      </c>
      <c r="C462" s="1" t="n">
        <v>46205</v>
      </c>
      <c r="D462" t="inlineStr">
        <is>
          <t>VÄSTERBOTTENS LÄN</t>
        </is>
      </c>
      <c r="E462" t="inlineStr">
        <is>
          <t>SKELLEFTEÅ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44078-2023</t>
        </is>
      </c>
      <c r="B463" s="1" t="n">
        <v>45188</v>
      </c>
      <c r="C463" s="1" t="n">
        <v>46205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13.7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1763-2026</t>
        </is>
      </c>
      <c r="B464" s="1" t="n">
        <v>46034</v>
      </c>
      <c r="C464" s="1" t="n">
        <v>46205</v>
      </c>
      <c r="D464" t="inlineStr">
        <is>
          <t>VÄSTERBOTTENS LÄN</t>
        </is>
      </c>
      <c r="E464" t="inlineStr">
        <is>
          <t>SKELLEFTEÅ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10568-2023</t>
        </is>
      </c>
      <c r="B465" s="1" t="n">
        <v>44981</v>
      </c>
      <c r="C465" s="1" t="n">
        <v>46205</v>
      </c>
      <c r="D465" t="inlineStr">
        <is>
          <t>VÄSTERBOTTENS LÄN</t>
        </is>
      </c>
      <c r="E465" t="inlineStr">
        <is>
          <t>SKELLEFTEÅ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6448-2024</t>
        </is>
      </c>
      <c r="B466" s="1" t="n">
        <v>45338</v>
      </c>
      <c r="C466" s="1" t="n">
        <v>46205</v>
      </c>
      <c r="D466" t="inlineStr">
        <is>
          <t>VÄSTERBOTTENS LÄN</t>
        </is>
      </c>
      <c r="E466" t="inlineStr">
        <is>
          <t>SKELLEFTEÅ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26909-2025</t>
        </is>
      </c>
      <c r="B467" s="1" t="n">
        <v>45811</v>
      </c>
      <c r="C467" s="1" t="n">
        <v>46205</v>
      </c>
      <c r="D467" t="inlineStr">
        <is>
          <t>VÄSTERBOTTENS LÄN</t>
        </is>
      </c>
      <c r="E467" t="inlineStr">
        <is>
          <t>SKELLEFTEÅ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16409-2025</t>
        </is>
      </c>
      <c r="B468" s="1" t="n">
        <v>45751</v>
      </c>
      <c r="C468" s="1" t="n">
        <v>46205</v>
      </c>
      <c r="D468" t="inlineStr">
        <is>
          <t>VÄSTERBOTTENS LÄN</t>
        </is>
      </c>
      <c r="E468" t="inlineStr">
        <is>
          <t>SKELLEFTEÅ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38216-2025</t>
        </is>
      </c>
      <c r="B469" s="1" t="n">
        <v>45883</v>
      </c>
      <c r="C469" s="1" t="n">
        <v>46205</v>
      </c>
      <c r="D469" t="inlineStr">
        <is>
          <t>VÄSTERBOTTENS LÄN</t>
        </is>
      </c>
      <c r="E469" t="inlineStr">
        <is>
          <t>SKELLEFTEÅ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27091-2025</t>
        </is>
      </c>
      <c r="B470" s="1" t="n">
        <v>45811</v>
      </c>
      <c r="C470" s="1" t="n">
        <v>46205</v>
      </c>
      <c r="D470" t="inlineStr">
        <is>
          <t>VÄSTERBOTTENS LÄN</t>
        </is>
      </c>
      <c r="E470" t="inlineStr">
        <is>
          <t>SKELLEFTEÅ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121-2023</t>
        </is>
      </c>
      <c r="B471" s="1" t="n">
        <v>44918</v>
      </c>
      <c r="C471" s="1" t="n">
        <v>46205</v>
      </c>
      <c r="D471" t="inlineStr">
        <is>
          <t>VÄSTERBOTTENS LÄN</t>
        </is>
      </c>
      <c r="E471" t="inlineStr">
        <is>
          <t>SKELLEFTEÅ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39123-2025</t>
        </is>
      </c>
      <c r="B472" s="1" t="n">
        <v>45888</v>
      </c>
      <c r="C472" s="1" t="n">
        <v>46205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7991-2025</t>
        </is>
      </c>
      <c r="B473" s="1" t="n">
        <v>45707</v>
      </c>
      <c r="C473" s="1" t="n">
        <v>46205</v>
      </c>
      <c r="D473" t="inlineStr">
        <is>
          <t>VÄSTERBOTTENS LÄN</t>
        </is>
      </c>
      <c r="E473" t="inlineStr">
        <is>
          <t>SKELLEFTEÅ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14342-2024</t>
        </is>
      </c>
      <c r="B474" s="1" t="n">
        <v>45393</v>
      </c>
      <c r="C474" s="1" t="n">
        <v>46205</v>
      </c>
      <c r="D474" t="inlineStr">
        <is>
          <t>VÄSTERBOTTENS LÄN</t>
        </is>
      </c>
      <c r="E474" t="inlineStr">
        <is>
          <t>SKELLEFTEÅ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1524-2026</t>
        </is>
      </c>
      <c r="B475" s="1" t="n">
        <v>46034</v>
      </c>
      <c r="C475" s="1" t="n">
        <v>46205</v>
      </c>
      <c r="D475" t="inlineStr">
        <is>
          <t>VÄSTERBOTTENS LÄN</t>
        </is>
      </c>
      <c r="E475" t="inlineStr">
        <is>
          <t>SKELLEFTEÅ</t>
        </is>
      </c>
      <c r="G475" t="n">
        <v>20.7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61275-2022</t>
        </is>
      </c>
      <c r="B476" s="1" t="n">
        <v>44909</v>
      </c>
      <c r="C476" s="1" t="n">
        <v>46205</v>
      </c>
      <c r="D476" t="inlineStr">
        <is>
          <t>VÄSTERBOTTENS LÄN</t>
        </is>
      </c>
      <c r="E476" t="inlineStr">
        <is>
          <t>SKELLEFTEÅ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7816-2025</t>
        </is>
      </c>
      <c r="B477" s="1" t="n">
        <v>45706</v>
      </c>
      <c r="C477" s="1" t="n">
        <v>46205</v>
      </c>
      <c r="D477" t="inlineStr">
        <is>
          <t>VÄSTERBOTTENS LÄN</t>
        </is>
      </c>
      <c r="E477" t="inlineStr">
        <is>
          <t>SKELLEFTEÅ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64391-2021</t>
        </is>
      </c>
      <c r="B478" s="1" t="n">
        <v>44511</v>
      </c>
      <c r="C478" s="1" t="n">
        <v>46205</v>
      </c>
      <c r="D478" t="inlineStr">
        <is>
          <t>VÄSTERBOTTENS LÄN</t>
        </is>
      </c>
      <c r="E478" t="inlineStr">
        <is>
          <t>SKELLEFTEÅ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39064-2025</t>
        </is>
      </c>
      <c r="B479" s="1" t="n">
        <v>45888</v>
      </c>
      <c r="C479" s="1" t="n">
        <v>46205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39105-2025</t>
        </is>
      </c>
      <c r="B480" s="1" t="n">
        <v>45888</v>
      </c>
      <c r="C480" s="1" t="n">
        <v>46205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27578-2025</t>
        </is>
      </c>
      <c r="B481" s="1" t="n">
        <v>45813</v>
      </c>
      <c r="C481" s="1" t="n">
        <v>46205</v>
      </c>
      <c r="D481" t="inlineStr">
        <is>
          <t>VÄSTERBOTTENS LÄN</t>
        </is>
      </c>
      <c r="E481" t="inlineStr">
        <is>
          <t>SKELLEFTEÅ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27579-2025</t>
        </is>
      </c>
      <c r="B482" s="1" t="n">
        <v>45813</v>
      </c>
      <c r="C482" s="1" t="n">
        <v>46205</v>
      </c>
      <c r="D482" t="inlineStr">
        <is>
          <t>VÄSTERBOTTENS LÄN</t>
        </is>
      </c>
      <c r="E482" t="inlineStr">
        <is>
          <t>SKELLEFTEÅ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38778-2025</t>
        </is>
      </c>
      <c r="B483" s="1" t="n">
        <v>45887</v>
      </c>
      <c r="C483" s="1" t="n">
        <v>46205</v>
      </c>
      <c r="D483" t="inlineStr">
        <is>
          <t>VÄSTERBOTTENS LÄN</t>
        </is>
      </c>
      <c r="E483" t="inlineStr">
        <is>
          <t>SKELLEFTEÅ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48093-2024</t>
        </is>
      </c>
      <c r="B484" s="1" t="n">
        <v>45589</v>
      </c>
      <c r="C484" s="1" t="n">
        <v>46205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27442-2025</t>
        </is>
      </c>
      <c r="B485" s="1" t="n">
        <v>45813</v>
      </c>
      <c r="C485" s="1" t="n">
        <v>46205</v>
      </c>
      <c r="D485" t="inlineStr">
        <is>
          <t>VÄSTERBOTTENS LÄN</t>
        </is>
      </c>
      <c r="E485" t="inlineStr">
        <is>
          <t>SKELLEFTEÅ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57406-2022</t>
        </is>
      </c>
      <c r="B486" s="1" t="n">
        <v>44893</v>
      </c>
      <c r="C486" s="1" t="n">
        <v>46205</v>
      </c>
      <c r="D486" t="inlineStr">
        <is>
          <t>VÄSTERBOTTENS LÄN</t>
        </is>
      </c>
      <c r="E486" t="inlineStr">
        <is>
          <t>SKELLEFTEÅ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27715-2025</t>
        </is>
      </c>
      <c r="B487" s="1" t="n">
        <v>45813</v>
      </c>
      <c r="C487" s="1" t="n">
        <v>46205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27433-2025</t>
        </is>
      </c>
      <c r="B488" s="1" t="n">
        <v>45813</v>
      </c>
      <c r="C488" s="1" t="n">
        <v>46205</v>
      </c>
      <c r="D488" t="inlineStr">
        <is>
          <t>VÄSTERBOTTENS LÄN</t>
        </is>
      </c>
      <c r="E488" t="inlineStr">
        <is>
          <t>SKELLEFTEÅ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29932-2023</t>
        </is>
      </c>
      <c r="B489" s="1" t="n">
        <v>45107</v>
      </c>
      <c r="C489" s="1" t="n">
        <v>46205</v>
      </c>
      <c r="D489" t="inlineStr">
        <is>
          <t>VÄSTERBOTTENS LÄN</t>
        </is>
      </c>
      <c r="E489" t="inlineStr">
        <is>
          <t>SKELLEFTEÅ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35168-2024</t>
        </is>
      </c>
      <c r="B490" s="1" t="n">
        <v>45530</v>
      </c>
      <c r="C490" s="1" t="n">
        <v>46205</v>
      </c>
      <c r="D490" t="inlineStr">
        <is>
          <t>VÄSTERBOTTENS LÄN</t>
        </is>
      </c>
      <c r="E490" t="inlineStr">
        <is>
          <t>SKELLEFTEÅ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27437-2025</t>
        </is>
      </c>
      <c r="B491" s="1" t="n">
        <v>45813</v>
      </c>
      <c r="C491" s="1" t="n">
        <v>46205</v>
      </c>
      <c r="D491" t="inlineStr">
        <is>
          <t>VÄSTERBOTTENS LÄN</t>
        </is>
      </c>
      <c r="E491" t="inlineStr">
        <is>
          <t>SKELLEFTEÅ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28221-2025</t>
        </is>
      </c>
      <c r="B492" s="1" t="n">
        <v>45818</v>
      </c>
      <c r="C492" s="1" t="n">
        <v>46205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29101-2025</t>
        </is>
      </c>
      <c r="B493" s="1" t="n">
        <v>45821</v>
      </c>
      <c r="C493" s="1" t="n">
        <v>46205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Holmen skog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39166-2025</t>
        </is>
      </c>
      <c r="B494" s="1" t="n">
        <v>45888</v>
      </c>
      <c r="C494" s="1" t="n">
        <v>46205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Holmen skog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39024-2025</t>
        </is>
      </c>
      <c r="B495" s="1" t="n">
        <v>45888</v>
      </c>
      <c r="C495" s="1" t="n">
        <v>46205</v>
      </c>
      <c r="D495" t="inlineStr">
        <is>
          <t>VÄSTERBOTTENS LÄN</t>
        </is>
      </c>
      <c r="E495" t="inlineStr">
        <is>
          <t>SKELLEFTEÅ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27869-2025</t>
        </is>
      </c>
      <c r="B496" s="1" t="n">
        <v>45817</v>
      </c>
      <c r="C496" s="1" t="n">
        <v>46205</v>
      </c>
      <c r="D496" t="inlineStr">
        <is>
          <t>VÄSTERBOTTENS LÄN</t>
        </is>
      </c>
      <c r="E496" t="inlineStr">
        <is>
          <t>SKELLEFTEÅ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28778-2025</t>
        </is>
      </c>
      <c r="B497" s="1" t="n">
        <v>45820</v>
      </c>
      <c r="C497" s="1" t="n">
        <v>46205</v>
      </c>
      <c r="D497" t="inlineStr">
        <is>
          <t>VÄSTERBOTTENS LÄN</t>
        </is>
      </c>
      <c r="E497" t="inlineStr">
        <is>
          <t>SKELLEFTEÅ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27875-2025</t>
        </is>
      </c>
      <c r="B498" s="1" t="n">
        <v>45817</v>
      </c>
      <c r="C498" s="1" t="n">
        <v>46205</v>
      </c>
      <c r="D498" t="inlineStr">
        <is>
          <t>VÄSTERBOTTENS LÄN</t>
        </is>
      </c>
      <c r="E498" t="inlineStr">
        <is>
          <t>SKELLEFTEÅ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3944-2022</t>
        </is>
      </c>
      <c r="B499" s="1" t="n">
        <v>44587</v>
      </c>
      <c r="C499" s="1" t="n">
        <v>46205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Kommuner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39522-2025</t>
        </is>
      </c>
      <c r="B500" s="1" t="n">
        <v>45890</v>
      </c>
      <c r="C500" s="1" t="n">
        <v>46205</v>
      </c>
      <c r="D500" t="inlineStr">
        <is>
          <t>VÄSTERBOTTENS LÄN</t>
        </is>
      </c>
      <c r="E500" t="inlineStr">
        <is>
          <t>SKELLEFTEÅ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27876-2025</t>
        </is>
      </c>
      <c r="B501" s="1" t="n">
        <v>45817</v>
      </c>
      <c r="C501" s="1" t="n">
        <v>46205</v>
      </c>
      <c r="D501" t="inlineStr">
        <is>
          <t>VÄSTERBOTTENS LÄN</t>
        </is>
      </c>
      <c r="E501" t="inlineStr">
        <is>
          <t>SKELLEFTEÅ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28311-2025</t>
        </is>
      </c>
      <c r="B502" s="1" t="n">
        <v>45818</v>
      </c>
      <c r="C502" s="1" t="n">
        <v>46205</v>
      </c>
      <c r="D502" t="inlineStr">
        <is>
          <t>VÄSTERBOTTENS LÄN</t>
        </is>
      </c>
      <c r="E502" t="inlineStr">
        <is>
          <t>SKELLEFTEÅ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39379-2025</t>
        </is>
      </c>
      <c r="B503" s="1" t="n">
        <v>45889</v>
      </c>
      <c r="C503" s="1" t="n">
        <v>46205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61101-2022</t>
        </is>
      </c>
      <c r="B504" s="1" t="n">
        <v>44915</v>
      </c>
      <c r="C504" s="1" t="n">
        <v>46205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39705-2025</t>
        </is>
      </c>
      <c r="B505" s="1" t="n">
        <v>45890</v>
      </c>
      <c r="C505" s="1" t="n">
        <v>46205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39589-2025</t>
        </is>
      </c>
      <c r="B506" s="1" t="n">
        <v>45890</v>
      </c>
      <c r="C506" s="1" t="n">
        <v>46205</v>
      </c>
      <c r="D506" t="inlineStr">
        <is>
          <t>VÄSTERBOTTENS LÄN</t>
        </is>
      </c>
      <c r="E506" t="inlineStr">
        <is>
          <t>SKELLEFTEÅ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27877-2025</t>
        </is>
      </c>
      <c r="B507" s="1" t="n">
        <v>45817</v>
      </c>
      <c r="C507" s="1" t="n">
        <v>46205</v>
      </c>
      <c r="D507" t="inlineStr">
        <is>
          <t>VÄSTERBOTTENS LÄN</t>
        </is>
      </c>
      <c r="E507" t="inlineStr">
        <is>
          <t>SKELLEFTEÅ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60210-2024</t>
        </is>
      </c>
      <c r="B508" s="1" t="n">
        <v>45642</v>
      </c>
      <c r="C508" s="1" t="n">
        <v>46205</v>
      </c>
      <c r="D508" t="inlineStr">
        <is>
          <t>VÄSTERBOTTENS LÄN</t>
        </is>
      </c>
      <c r="E508" t="inlineStr">
        <is>
          <t>SKELLEFTEÅ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8436-2022</t>
        </is>
      </c>
      <c r="B509" s="1" t="n">
        <v>44612</v>
      </c>
      <c r="C509" s="1" t="n">
        <v>46205</v>
      </c>
      <c r="D509" t="inlineStr">
        <is>
          <t>VÄSTERBOTTENS LÄN</t>
        </is>
      </c>
      <c r="E509" t="inlineStr">
        <is>
          <t>SKELLEFTEÅ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39477-2025</t>
        </is>
      </c>
      <c r="B510" s="1" t="n">
        <v>45890</v>
      </c>
      <c r="C510" s="1" t="n">
        <v>46205</v>
      </c>
      <c r="D510" t="inlineStr">
        <is>
          <t>VÄSTERBOTTENS LÄN</t>
        </is>
      </c>
      <c r="E510" t="inlineStr">
        <is>
          <t>SKELLEFTEÅ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39259-2025</t>
        </is>
      </c>
      <c r="B511" s="1" t="n">
        <v>45889</v>
      </c>
      <c r="C511" s="1" t="n">
        <v>46205</v>
      </c>
      <c r="D511" t="inlineStr">
        <is>
          <t>VÄSTERBOTTENS LÄN</t>
        </is>
      </c>
      <c r="E511" t="inlineStr">
        <is>
          <t>SKELLEFTEÅ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1548-2026</t>
        </is>
      </c>
      <c r="B512" s="1" t="n">
        <v>46034</v>
      </c>
      <c r="C512" s="1" t="n">
        <v>46205</v>
      </c>
      <c r="D512" t="inlineStr">
        <is>
          <t>VÄSTERBOTTENS LÄN</t>
        </is>
      </c>
      <c r="E512" t="inlineStr">
        <is>
          <t>SKELLEFTEÅ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1551-2026</t>
        </is>
      </c>
      <c r="B513" s="1" t="n">
        <v>46034</v>
      </c>
      <c r="C513" s="1" t="n">
        <v>46205</v>
      </c>
      <c r="D513" t="inlineStr">
        <is>
          <t>VÄSTERBOTTENS LÄN</t>
        </is>
      </c>
      <c r="E513" t="inlineStr">
        <is>
          <t>SKELLEFTEÅ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28577-2025</t>
        </is>
      </c>
      <c r="B514" s="1" t="n">
        <v>45819</v>
      </c>
      <c r="C514" s="1" t="n">
        <v>46205</v>
      </c>
      <c r="D514" t="inlineStr">
        <is>
          <t>VÄSTERBOTTENS LÄN</t>
        </is>
      </c>
      <c r="E514" t="inlineStr">
        <is>
          <t>SKELLEFTEÅ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28354-2025</t>
        </is>
      </c>
      <c r="B515" s="1" t="n">
        <v>45818</v>
      </c>
      <c r="C515" s="1" t="n">
        <v>46205</v>
      </c>
      <c r="D515" t="inlineStr">
        <is>
          <t>VÄSTERBOTTENS LÄN</t>
        </is>
      </c>
      <c r="E515" t="inlineStr">
        <is>
          <t>SKELLEFTEÅ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28358-2025</t>
        </is>
      </c>
      <c r="B516" s="1" t="n">
        <v>45818</v>
      </c>
      <c r="C516" s="1" t="n">
        <v>46205</v>
      </c>
      <c r="D516" t="inlineStr">
        <is>
          <t>VÄSTERBOTTENS LÄN</t>
        </is>
      </c>
      <c r="E516" t="inlineStr">
        <is>
          <t>SKELLEFTEÅ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1523-2026</t>
        </is>
      </c>
      <c r="B517" s="1" t="n">
        <v>46034</v>
      </c>
      <c r="C517" s="1" t="n">
        <v>46205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39530-2025</t>
        </is>
      </c>
      <c r="B518" s="1" t="n">
        <v>45890</v>
      </c>
      <c r="C518" s="1" t="n">
        <v>46205</v>
      </c>
      <c r="D518" t="inlineStr">
        <is>
          <t>VÄSTERBOTTENS LÄN</t>
        </is>
      </c>
      <c r="E518" t="inlineStr">
        <is>
          <t>SKELLEFTEÅ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1550-2026</t>
        </is>
      </c>
      <c r="B519" s="1" t="n">
        <v>46034</v>
      </c>
      <c r="C519" s="1" t="n">
        <v>46205</v>
      </c>
      <c r="D519" t="inlineStr">
        <is>
          <t>VÄSTERBOTTENS LÄN</t>
        </is>
      </c>
      <c r="E519" t="inlineStr">
        <is>
          <t>SKELLEFTEÅ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1578-2026</t>
        </is>
      </c>
      <c r="B520" s="1" t="n">
        <v>46034</v>
      </c>
      <c r="C520" s="1" t="n">
        <v>46205</v>
      </c>
      <c r="D520" t="inlineStr">
        <is>
          <t>VÄSTERBOTTENS LÄN</t>
        </is>
      </c>
      <c r="E520" t="inlineStr">
        <is>
          <t>SKELLEFTEÅ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39890-2025</t>
        </is>
      </c>
      <c r="B521" s="1" t="n">
        <v>45891</v>
      </c>
      <c r="C521" s="1" t="n">
        <v>46205</v>
      </c>
      <c r="D521" t="inlineStr">
        <is>
          <t>VÄSTERBOTTENS LÄN</t>
        </is>
      </c>
      <c r="E521" t="inlineStr">
        <is>
          <t>SKELLEFTEÅ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28777-2025</t>
        </is>
      </c>
      <c r="B522" s="1" t="n">
        <v>45820</v>
      </c>
      <c r="C522" s="1" t="n">
        <v>46205</v>
      </c>
      <c r="D522" t="inlineStr">
        <is>
          <t>VÄSTERBOTTENS LÄN</t>
        </is>
      </c>
      <c r="E522" t="inlineStr">
        <is>
          <t>SKELLEFTEÅ</t>
        </is>
      </c>
      <c r="G522" t="n">
        <v>12.4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28787-2025</t>
        </is>
      </c>
      <c r="B523" s="1" t="n">
        <v>45820</v>
      </c>
      <c r="C523" s="1" t="n">
        <v>46205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28408-2025</t>
        </is>
      </c>
      <c r="B524" s="1" t="n">
        <v>45819</v>
      </c>
      <c r="C524" s="1" t="n">
        <v>46205</v>
      </c>
      <c r="D524" t="inlineStr">
        <is>
          <t>VÄSTERBOTTENS LÄN</t>
        </is>
      </c>
      <c r="E524" t="inlineStr">
        <is>
          <t>SKELLEFTEÅ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24142-2025</t>
        </is>
      </c>
      <c r="B525" s="1" t="n">
        <v>45796</v>
      </c>
      <c r="C525" s="1" t="n">
        <v>46205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22516-2023</t>
        </is>
      </c>
      <c r="B526" s="1" t="n">
        <v>45069</v>
      </c>
      <c r="C526" s="1" t="n">
        <v>46205</v>
      </c>
      <c r="D526" t="inlineStr">
        <is>
          <t>VÄSTERBOTTENS LÄN</t>
        </is>
      </c>
      <c r="E526" t="inlineStr">
        <is>
          <t>SKELLEFTEÅ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28360-2025</t>
        </is>
      </c>
      <c r="B527" s="1" t="n">
        <v>45818</v>
      </c>
      <c r="C527" s="1" t="n">
        <v>46205</v>
      </c>
      <c r="D527" t="inlineStr">
        <is>
          <t>VÄSTERBOTTENS LÄN</t>
        </is>
      </c>
      <c r="E527" t="inlineStr">
        <is>
          <t>SKELLEFTEÅ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28359-2025</t>
        </is>
      </c>
      <c r="B528" s="1" t="n">
        <v>45818</v>
      </c>
      <c r="C528" s="1" t="n">
        <v>46205</v>
      </c>
      <c r="D528" t="inlineStr">
        <is>
          <t>VÄSTERBOTTENS LÄN</t>
        </is>
      </c>
      <c r="E528" t="inlineStr">
        <is>
          <t>SKELLEFTEÅ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31387-2025</t>
        </is>
      </c>
      <c r="B529" s="1" t="n">
        <v>45833</v>
      </c>
      <c r="C529" s="1" t="n">
        <v>46205</v>
      </c>
      <c r="D529" t="inlineStr">
        <is>
          <t>VÄSTERBOTTENS LÄN</t>
        </is>
      </c>
      <c r="E529" t="inlineStr">
        <is>
          <t>SKELLEFTEÅ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544-2025</t>
        </is>
      </c>
      <c r="B530" s="1" t="n">
        <v>45660</v>
      </c>
      <c r="C530" s="1" t="n">
        <v>46205</v>
      </c>
      <c r="D530" t="inlineStr">
        <is>
          <t>VÄSTERBOTTENS LÄN</t>
        </is>
      </c>
      <c r="E530" t="inlineStr">
        <is>
          <t>SKELLEFTEÅ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28984-2025</t>
        </is>
      </c>
      <c r="B531" s="1" t="n">
        <v>45821</v>
      </c>
      <c r="C531" s="1" t="n">
        <v>46205</v>
      </c>
      <c r="D531" t="inlineStr">
        <is>
          <t>VÄSTERBOTTENS LÄN</t>
        </is>
      </c>
      <c r="E531" t="inlineStr">
        <is>
          <t>SKELLEFTEÅ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56157-2024</t>
        </is>
      </c>
      <c r="B532" s="1" t="n">
        <v>45623</v>
      </c>
      <c r="C532" s="1" t="n">
        <v>46205</v>
      </c>
      <c r="D532" t="inlineStr">
        <is>
          <t>VÄSTERBOTTENS LÄN</t>
        </is>
      </c>
      <c r="E532" t="inlineStr">
        <is>
          <t>SKELLEFTEÅ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29194-2025</t>
        </is>
      </c>
      <c r="B533" s="1" t="n">
        <v>45822</v>
      </c>
      <c r="C533" s="1" t="n">
        <v>46205</v>
      </c>
      <c r="D533" t="inlineStr">
        <is>
          <t>VÄSTERBOTTENS LÄN</t>
        </is>
      </c>
      <c r="E533" t="inlineStr">
        <is>
          <t>SKELLEFTEÅ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28961-2025</t>
        </is>
      </c>
      <c r="B534" s="1" t="n">
        <v>45821</v>
      </c>
      <c r="C534" s="1" t="n">
        <v>46205</v>
      </c>
      <c r="D534" t="inlineStr">
        <is>
          <t>VÄSTERBOTTENS LÄN</t>
        </is>
      </c>
      <c r="E534" t="inlineStr">
        <is>
          <t>SKELLEFTEÅ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1761-2026</t>
        </is>
      </c>
      <c r="B535" s="1" t="n">
        <v>46034</v>
      </c>
      <c r="C535" s="1" t="n">
        <v>46205</v>
      </c>
      <c r="D535" t="inlineStr">
        <is>
          <t>VÄSTERBOTTENS LÄN</t>
        </is>
      </c>
      <c r="E535" t="inlineStr">
        <is>
          <t>SKELLEFTEÅ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40020-2025</t>
        </is>
      </c>
      <c r="B536" s="1" t="n">
        <v>45894</v>
      </c>
      <c r="C536" s="1" t="n">
        <v>46205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1665-2026</t>
        </is>
      </c>
      <c r="B537" s="1" t="n">
        <v>46034</v>
      </c>
      <c r="C537" s="1" t="n">
        <v>46205</v>
      </c>
      <c r="D537" t="inlineStr">
        <is>
          <t>VÄSTERBOTTENS LÄN</t>
        </is>
      </c>
      <c r="E537" t="inlineStr">
        <is>
          <t>SKELLEFTEÅ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1732-2026</t>
        </is>
      </c>
      <c r="B538" s="1" t="n">
        <v>46034</v>
      </c>
      <c r="C538" s="1" t="n">
        <v>46205</v>
      </c>
      <c r="D538" t="inlineStr">
        <is>
          <t>VÄSTERBOTTENS LÄN</t>
        </is>
      </c>
      <c r="E538" t="inlineStr">
        <is>
          <t>SKELLEFTEÅ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29277-2025</t>
        </is>
      </c>
      <c r="B539" s="1" t="n">
        <v>45824</v>
      </c>
      <c r="C539" s="1" t="n">
        <v>46205</v>
      </c>
      <c r="D539" t="inlineStr">
        <is>
          <t>VÄSTERBOTTENS LÄN</t>
        </is>
      </c>
      <c r="E539" t="inlineStr">
        <is>
          <t>SKELLEFTEÅ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11638-2023</t>
        </is>
      </c>
      <c r="B540" s="1" t="n">
        <v>44994</v>
      </c>
      <c r="C540" s="1" t="n">
        <v>46205</v>
      </c>
      <c r="D540" t="inlineStr">
        <is>
          <t>VÄSTERBOTTENS LÄN</t>
        </is>
      </c>
      <c r="E540" t="inlineStr">
        <is>
          <t>SKELLEFTEÅ</t>
        </is>
      </c>
      <c r="G540" t="n">
        <v>19.8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40271-2025</t>
        </is>
      </c>
      <c r="B541" s="1" t="n">
        <v>45895</v>
      </c>
      <c r="C541" s="1" t="n">
        <v>46205</v>
      </c>
      <c r="D541" t="inlineStr">
        <is>
          <t>VÄSTERBOTTENS LÄN</t>
        </is>
      </c>
      <c r="E541" t="inlineStr">
        <is>
          <t>SKELLEFTEÅ</t>
        </is>
      </c>
      <c r="G541" t="n">
        <v>12.1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40615-2025</t>
        </is>
      </c>
      <c r="B542" s="1" t="n">
        <v>45896</v>
      </c>
      <c r="C542" s="1" t="n">
        <v>46205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12873-2025</t>
        </is>
      </c>
      <c r="B543" s="1" t="n">
        <v>45733</v>
      </c>
      <c r="C543" s="1" t="n">
        <v>46205</v>
      </c>
      <c r="D543" t="inlineStr">
        <is>
          <t>VÄSTERBOTTENS LÄN</t>
        </is>
      </c>
      <c r="E543" t="inlineStr">
        <is>
          <t>SKELLEFTEÅ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45011-2022</t>
        </is>
      </c>
      <c r="B544" s="1" t="n">
        <v>44840</v>
      </c>
      <c r="C544" s="1" t="n">
        <v>46205</v>
      </c>
      <c r="D544" t="inlineStr">
        <is>
          <t>VÄSTERBOTTENS LÄN</t>
        </is>
      </c>
      <c r="E544" t="inlineStr">
        <is>
          <t>SKELLEFTEÅ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40295-2025</t>
        </is>
      </c>
      <c r="B545" s="1" t="n">
        <v>45895</v>
      </c>
      <c r="C545" s="1" t="n">
        <v>46205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Sveaskog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36771-2024</t>
        </is>
      </c>
      <c r="B546" s="1" t="n">
        <v>45538</v>
      </c>
      <c r="C546" s="1" t="n">
        <v>46205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2111-2026</t>
        </is>
      </c>
      <c r="B547" s="1" t="n">
        <v>46036</v>
      </c>
      <c r="C547" s="1" t="n">
        <v>46205</v>
      </c>
      <c r="D547" t="inlineStr">
        <is>
          <t>VÄSTERBOTTENS LÄN</t>
        </is>
      </c>
      <c r="E547" t="inlineStr">
        <is>
          <t>SKELLEFTEÅ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2254-2026</t>
        </is>
      </c>
      <c r="B548" s="1" t="n">
        <v>46036</v>
      </c>
      <c r="C548" s="1" t="n">
        <v>46205</v>
      </c>
      <c r="D548" t="inlineStr">
        <is>
          <t>VÄSTERBOTTENS LÄN</t>
        </is>
      </c>
      <c r="E548" t="inlineStr">
        <is>
          <t>SKELLEFTEÅ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2091-2026</t>
        </is>
      </c>
      <c r="B549" s="1" t="n">
        <v>46036</v>
      </c>
      <c r="C549" s="1" t="n">
        <v>46205</v>
      </c>
      <c r="D549" t="inlineStr">
        <is>
          <t>VÄSTERBOTTENS LÄN</t>
        </is>
      </c>
      <c r="E549" t="inlineStr">
        <is>
          <t>SKELLEFTEÅ</t>
        </is>
      </c>
      <c r="G549" t="n">
        <v>9.9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41058-2025</t>
        </is>
      </c>
      <c r="B550" s="1" t="n">
        <v>45898</v>
      </c>
      <c r="C550" s="1" t="n">
        <v>46205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12009-2022</t>
        </is>
      </c>
      <c r="B551" s="1" t="n">
        <v>44635</v>
      </c>
      <c r="C551" s="1" t="n">
        <v>46205</v>
      </c>
      <c r="D551" t="inlineStr">
        <is>
          <t>VÄSTERBOTTENS LÄN</t>
        </is>
      </c>
      <c r="E551" t="inlineStr">
        <is>
          <t>SKELLEFTEÅ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50464-2023</t>
        </is>
      </c>
      <c r="B552" s="1" t="n">
        <v>45216</v>
      </c>
      <c r="C552" s="1" t="n">
        <v>46205</v>
      </c>
      <c r="D552" t="inlineStr">
        <is>
          <t>VÄSTERBOTTENS LÄN</t>
        </is>
      </c>
      <c r="E552" t="inlineStr">
        <is>
          <t>SKELLEFTEÅ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50462-2023</t>
        </is>
      </c>
      <c r="B553" s="1" t="n">
        <v>45216</v>
      </c>
      <c r="C553" s="1" t="n">
        <v>46205</v>
      </c>
      <c r="D553" t="inlineStr">
        <is>
          <t>VÄSTERBOTTENS LÄN</t>
        </is>
      </c>
      <c r="E553" t="inlineStr">
        <is>
          <t>SKELLEFTEÅ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15825-2023</t>
        </is>
      </c>
      <c r="B554" s="1" t="n">
        <v>45021</v>
      </c>
      <c r="C554" s="1" t="n">
        <v>46205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16.8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1917-2026</t>
        </is>
      </c>
      <c r="B555" s="1" t="n">
        <v>46035</v>
      </c>
      <c r="C555" s="1" t="n">
        <v>46205</v>
      </c>
      <c r="D555" t="inlineStr">
        <is>
          <t>VÄSTERBOTTENS LÄN</t>
        </is>
      </c>
      <c r="E555" t="inlineStr">
        <is>
          <t>SKELLEFTEÅ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62483-2022</t>
        </is>
      </c>
      <c r="B556" s="1" t="n">
        <v>44924</v>
      </c>
      <c r="C556" s="1" t="n">
        <v>46205</v>
      </c>
      <c r="D556" t="inlineStr">
        <is>
          <t>VÄSTERBOTTENS LÄN</t>
        </is>
      </c>
      <c r="E556" t="inlineStr">
        <is>
          <t>SKELLEFTEÅ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37760-2024</t>
        </is>
      </c>
      <c r="B557" s="1" t="n">
        <v>45541</v>
      </c>
      <c r="C557" s="1" t="n">
        <v>46205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27.6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22429-2025</t>
        </is>
      </c>
      <c r="B558" s="1" t="n">
        <v>45786</v>
      </c>
      <c r="C558" s="1" t="n">
        <v>46205</v>
      </c>
      <c r="D558" t="inlineStr">
        <is>
          <t>VÄSTERBOTTENS LÄN</t>
        </is>
      </c>
      <c r="E558" t="inlineStr">
        <is>
          <t>SKELLEFTEÅ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58376-2022</t>
        </is>
      </c>
      <c r="B559" s="1" t="n">
        <v>44901</v>
      </c>
      <c r="C559" s="1" t="n">
        <v>46205</v>
      </c>
      <c r="D559" t="inlineStr">
        <is>
          <t>VÄSTERBOTTENS LÄN</t>
        </is>
      </c>
      <c r="E559" t="inlineStr">
        <is>
          <t>SKELLEFTEÅ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30901-2024</t>
        </is>
      </c>
      <c r="B560" s="1" t="n">
        <v>45498</v>
      </c>
      <c r="C560" s="1" t="n">
        <v>46205</v>
      </c>
      <c r="D560" t="inlineStr">
        <is>
          <t>VÄSTERBOTTENS LÄN</t>
        </is>
      </c>
      <c r="E560" t="inlineStr">
        <is>
          <t>SKELLEFTEÅ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58897-2022</t>
        </is>
      </c>
      <c r="B561" s="1" t="n">
        <v>44895</v>
      </c>
      <c r="C561" s="1" t="n">
        <v>46205</v>
      </c>
      <c r="D561" t="inlineStr">
        <is>
          <t>VÄSTERBOTTENS LÄN</t>
        </is>
      </c>
      <c r="E561" t="inlineStr">
        <is>
          <t>SKELLEFTEÅ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41677-2025</t>
        </is>
      </c>
      <c r="B562" s="1" t="n">
        <v>45902</v>
      </c>
      <c r="C562" s="1" t="n">
        <v>46205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41701-2025</t>
        </is>
      </c>
      <c r="B563" s="1" t="n">
        <v>45902</v>
      </c>
      <c r="C563" s="1" t="n">
        <v>46205</v>
      </c>
      <c r="D563" t="inlineStr">
        <is>
          <t>VÄSTERBOTTENS LÄN</t>
        </is>
      </c>
      <c r="E563" t="inlineStr">
        <is>
          <t>SKELLEFTEÅ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41720-2025</t>
        </is>
      </c>
      <c r="B564" s="1" t="n">
        <v>45902</v>
      </c>
      <c r="C564" s="1" t="n">
        <v>46205</v>
      </c>
      <c r="D564" t="inlineStr">
        <is>
          <t>VÄSTERBOTTENS LÄN</t>
        </is>
      </c>
      <c r="E564" t="inlineStr">
        <is>
          <t>SKELLEFTEÅ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41574-2025</t>
        </is>
      </c>
      <c r="B565" s="1" t="n">
        <v>45901</v>
      </c>
      <c r="C565" s="1" t="n">
        <v>46205</v>
      </c>
      <c r="D565" t="inlineStr">
        <is>
          <t>VÄSTERBOTTENS LÄN</t>
        </is>
      </c>
      <c r="E565" t="inlineStr">
        <is>
          <t>SKELLEFTEÅ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38558-2024</t>
        </is>
      </c>
      <c r="B566" s="1" t="n">
        <v>45546</v>
      </c>
      <c r="C566" s="1" t="n">
        <v>46205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41697-2025</t>
        </is>
      </c>
      <c r="B567" s="1" t="n">
        <v>45902</v>
      </c>
      <c r="C567" s="1" t="n">
        <v>46205</v>
      </c>
      <c r="D567" t="inlineStr">
        <is>
          <t>VÄSTERBOTTENS LÄN</t>
        </is>
      </c>
      <c r="E567" t="inlineStr">
        <is>
          <t>SKELLEFTEÅ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15846-2024</t>
        </is>
      </c>
      <c r="B568" s="1" t="n">
        <v>45404</v>
      </c>
      <c r="C568" s="1" t="n">
        <v>46205</v>
      </c>
      <c r="D568" t="inlineStr">
        <is>
          <t>VÄSTERBOTTENS LÄN</t>
        </is>
      </c>
      <c r="E568" t="inlineStr">
        <is>
          <t>SKELLEFTEÅ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15848-2024</t>
        </is>
      </c>
      <c r="B569" s="1" t="n">
        <v>45404</v>
      </c>
      <c r="C569" s="1" t="n">
        <v>46205</v>
      </c>
      <c r="D569" t="inlineStr">
        <is>
          <t>VÄSTERBOTTENS LÄN</t>
        </is>
      </c>
      <c r="E569" t="inlineStr">
        <is>
          <t>SKELLEFTEÅ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41534-2025</t>
        </is>
      </c>
      <c r="B570" s="1" t="n">
        <v>45901</v>
      </c>
      <c r="C570" s="1" t="n">
        <v>46205</v>
      </c>
      <c r="D570" t="inlineStr">
        <is>
          <t>VÄSTERBOTTENS LÄN</t>
        </is>
      </c>
      <c r="E570" t="inlineStr">
        <is>
          <t>SKELLEFTEÅ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11973-2023</t>
        </is>
      </c>
      <c r="B571" s="1" t="n">
        <v>44994</v>
      </c>
      <c r="C571" s="1" t="n">
        <v>46205</v>
      </c>
      <c r="D571" t="inlineStr">
        <is>
          <t>VÄSTERBOTTENS LÄN</t>
        </is>
      </c>
      <c r="E571" t="inlineStr">
        <is>
          <t>SKELLEFTEÅ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2247-2026</t>
        </is>
      </c>
      <c r="B572" s="1" t="n">
        <v>46036</v>
      </c>
      <c r="C572" s="1" t="n">
        <v>46205</v>
      </c>
      <c r="D572" t="inlineStr">
        <is>
          <t>VÄSTERBOTTENS LÄN</t>
        </is>
      </c>
      <c r="E572" t="inlineStr">
        <is>
          <t>SKELLEFTEÅ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31355-2025</t>
        </is>
      </c>
      <c r="B573" s="1" t="n">
        <v>45833</v>
      </c>
      <c r="C573" s="1" t="n">
        <v>46205</v>
      </c>
      <c r="D573" t="inlineStr">
        <is>
          <t>VÄSTERBOTTENS LÄN</t>
        </is>
      </c>
      <c r="E573" t="inlineStr">
        <is>
          <t>SKELLEFTEÅ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41670-2025</t>
        </is>
      </c>
      <c r="B574" s="1" t="n">
        <v>45902</v>
      </c>
      <c r="C574" s="1" t="n">
        <v>46205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30081-2025</t>
        </is>
      </c>
      <c r="B575" s="1" t="n">
        <v>45826</v>
      </c>
      <c r="C575" s="1" t="n">
        <v>46205</v>
      </c>
      <c r="D575" t="inlineStr">
        <is>
          <t>VÄSTERBOTTENS LÄN</t>
        </is>
      </c>
      <c r="E575" t="inlineStr">
        <is>
          <t>SKELLEFTEÅ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37134-2023</t>
        </is>
      </c>
      <c r="B576" s="1" t="n">
        <v>45155</v>
      </c>
      <c r="C576" s="1" t="n">
        <v>46205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1896-2026</t>
        </is>
      </c>
      <c r="B577" s="1" t="n">
        <v>46035</v>
      </c>
      <c r="C577" s="1" t="n">
        <v>46205</v>
      </c>
      <c r="D577" t="inlineStr">
        <is>
          <t>VÄSTERBOTTENS LÄN</t>
        </is>
      </c>
      <c r="E577" t="inlineStr">
        <is>
          <t>SKELLEFTEÅ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29613-2025</t>
        </is>
      </c>
      <c r="B578" s="1" t="n">
        <v>45825</v>
      </c>
      <c r="C578" s="1" t="n">
        <v>46205</v>
      </c>
      <c r="D578" t="inlineStr">
        <is>
          <t>VÄSTERBOTTENS LÄN</t>
        </is>
      </c>
      <c r="E578" t="inlineStr">
        <is>
          <t>SKELLEFTEÅ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26293-2025</t>
        </is>
      </c>
      <c r="B579" s="1" t="n">
        <v>45805</v>
      </c>
      <c r="C579" s="1" t="n">
        <v>46205</v>
      </c>
      <c r="D579" t="inlineStr">
        <is>
          <t>VÄSTERBOTTENS LÄN</t>
        </is>
      </c>
      <c r="E579" t="inlineStr">
        <is>
          <t>SKELLEFTEÅ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33109-2024</t>
        </is>
      </c>
      <c r="B580" s="1" t="n">
        <v>45517</v>
      </c>
      <c r="C580" s="1" t="n">
        <v>46205</v>
      </c>
      <c r="D580" t="inlineStr">
        <is>
          <t>VÄSTERBOTTENS LÄN</t>
        </is>
      </c>
      <c r="E580" t="inlineStr">
        <is>
          <t>SKELLEFTEÅ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42116-2025</t>
        </is>
      </c>
      <c r="B581" s="1" t="n">
        <v>45904</v>
      </c>
      <c r="C581" s="1" t="n">
        <v>46205</v>
      </c>
      <c r="D581" t="inlineStr">
        <is>
          <t>VÄSTERBOTTENS LÄN</t>
        </is>
      </c>
      <c r="E581" t="inlineStr">
        <is>
          <t>SKELLEFTEÅ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42121-2025</t>
        </is>
      </c>
      <c r="B582" s="1" t="n">
        <v>45904</v>
      </c>
      <c r="C582" s="1" t="n">
        <v>46205</v>
      </c>
      <c r="D582" t="inlineStr">
        <is>
          <t>VÄSTERBOTTENS LÄN</t>
        </is>
      </c>
      <c r="E582" t="inlineStr">
        <is>
          <t>SKELLEFTEÅ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29750-2025</t>
        </is>
      </c>
      <c r="B583" s="1" t="n">
        <v>45825</v>
      </c>
      <c r="C583" s="1" t="n">
        <v>46205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41992-2025</t>
        </is>
      </c>
      <c r="B584" s="1" t="n">
        <v>45903</v>
      </c>
      <c r="C584" s="1" t="n">
        <v>46205</v>
      </c>
      <c r="D584" t="inlineStr">
        <is>
          <t>VÄSTERBOTTENS LÄN</t>
        </is>
      </c>
      <c r="E584" t="inlineStr">
        <is>
          <t>SKELLEFTEÅ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42059-2025</t>
        </is>
      </c>
      <c r="B585" s="1" t="n">
        <v>45903</v>
      </c>
      <c r="C585" s="1" t="n">
        <v>46205</v>
      </c>
      <c r="D585" t="inlineStr">
        <is>
          <t>VÄSTERBOTTENS LÄN</t>
        </is>
      </c>
      <c r="E585" t="inlineStr">
        <is>
          <t>SKELLEFTEÅ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53646-2022</t>
        </is>
      </c>
      <c r="B586" s="1" t="n">
        <v>44879</v>
      </c>
      <c r="C586" s="1" t="n">
        <v>46205</v>
      </c>
      <c r="D586" t="inlineStr">
        <is>
          <t>VÄSTERBOTTENS LÄN</t>
        </is>
      </c>
      <c r="E586" t="inlineStr">
        <is>
          <t>SKELLEFTEÅ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42137-2025</t>
        </is>
      </c>
      <c r="B587" s="1" t="n">
        <v>45904</v>
      </c>
      <c r="C587" s="1" t="n">
        <v>46205</v>
      </c>
      <c r="D587" t="inlineStr">
        <is>
          <t>VÄSTERBOTTENS LÄN</t>
        </is>
      </c>
      <c r="E587" t="inlineStr">
        <is>
          <t>SKELLEFTEÅ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52218-2024</t>
        </is>
      </c>
      <c r="B588" s="1" t="n">
        <v>45608</v>
      </c>
      <c r="C588" s="1" t="n">
        <v>46205</v>
      </c>
      <c r="D588" t="inlineStr">
        <is>
          <t>VÄSTERBOTTENS LÄN</t>
        </is>
      </c>
      <c r="E588" t="inlineStr">
        <is>
          <t>SKELLEFTEÅ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54880-2024</t>
        </is>
      </c>
      <c r="B589" s="1" t="n">
        <v>45618</v>
      </c>
      <c r="C589" s="1" t="n">
        <v>46205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Sveaskog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42133-2025</t>
        </is>
      </c>
      <c r="B590" s="1" t="n">
        <v>45904</v>
      </c>
      <c r="C590" s="1" t="n">
        <v>46205</v>
      </c>
      <c r="D590" t="inlineStr">
        <is>
          <t>VÄSTERBOTTENS LÄN</t>
        </is>
      </c>
      <c r="E590" t="inlineStr">
        <is>
          <t>SKELLEFTEÅ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41908-2025</t>
        </is>
      </c>
      <c r="B591" s="1" t="n">
        <v>45903</v>
      </c>
      <c r="C591" s="1" t="n">
        <v>46205</v>
      </c>
      <c r="D591" t="inlineStr">
        <is>
          <t>VÄSTERBOTTENS LÄN</t>
        </is>
      </c>
      <c r="E591" t="inlineStr">
        <is>
          <t>SKELLEFTEÅ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42020-2025</t>
        </is>
      </c>
      <c r="B592" s="1" t="n">
        <v>45903</v>
      </c>
      <c r="C592" s="1" t="n">
        <v>46205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Holmen skog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27157-2025</t>
        </is>
      </c>
      <c r="B593" s="1" t="n">
        <v>45812</v>
      </c>
      <c r="C593" s="1" t="n">
        <v>46205</v>
      </c>
      <c r="D593" t="inlineStr">
        <is>
          <t>VÄSTERBOTTENS LÄN</t>
        </is>
      </c>
      <c r="E593" t="inlineStr">
        <is>
          <t>SKELLEFTEÅ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30172-2025</t>
        </is>
      </c>
      <c r="B594" s="1" t="n">
        <v>45827</v>
      </c>
      <c r="C594" s="1" t="n">
        <v>46205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Kyrkan</t>
        </is>
      </c>
      <c r="G594" t="n">
        <v>21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42401-2025</t>
        </is>
      </c>
      <c r="B595" s="1" t="n">
        <v>45905</v>
      </c>
      <c r="C595" s="1" t="n">
        <v>46205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Holmen skog AB</t>
        </is>
      </c>
      <c r="G595" t="n">
        <v>11.9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31178-2025</t>
        </is>
      </c>
      <c r="B596" s="1" t="n">
        <v>45832</v>
      </c>
      <c r="C596" s="1" t="n">
        <v>46205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19.2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31077-2025</t>
        </is>
      </c>
      <c r="B597" s="1" t="n">
        <v>45831</v>
      </c>
      <c r="C597" s="1" t="n">
        <v>46205</v>
      </c>
      <c r="D597" t="inlineStr">
        <is>
          <t>VÄSTERBOTTENS LÄN</t>
        </is>
      </c>
      <c r="E597" t="inlineStr">
        <is>
          <t>SKELLEFTEÅ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31108-2025</t>
        </is>
      </c>
      <c r="B598" s="1" t="n">
        <v>45832</v>
      </c>
      <c r="C598" s="1" t="n">
        <v>46205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Holmen skog AB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52475-2022</t>
        </is>
      </c>
      <c r="B599" s="1" t="n">
        <v>44869</v>
      </c>
      <c r="C599" s="1" t="n">
        <v>46205</v>
      </c>
      <c r="D599" t="inlineStr">
        <is>
          <t>VÄSTERBOTTENS LÄN</t>
        </is>
      </c>
      <c r="E599" t="inlineStr">
        <is>
          <t>SKELLEFTEÅ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8141-2025</t>
        </is>
      </c>
      <c r="B600" s="1" t="n">
        <v>45708</v>
      </c>
      <c r="C600" s="1" t="n">
        <v>46205</v>
      </c>
      <c r="D600" t="inlineStr">
        <is>
          <t>VÄSTERBOTTENS LÄN</t>
        </is>
      </c>
      <c r="E600" t="inlineStr">
        <is>
          <t>SKELLEFTEÅ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41037-2024</t>
        </is>
      </c>
      <c r="B601" s="1" t="n">
        <v>45559</v>
      </c>
      <c r="C601" s="1" t="n">
        <v>46205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31627-2025</t>
        </is>
      </c>
      <c r="B602" s="1" t="n">
        <v>45834</v>
      </c>
      <c r="C602" s="1" t="n">
        <v>46205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Holmen skog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31670-2025</t>
        </is>
      </c>
      <c r="B603" s="1" t="n">
        <v>45834</v>
      </c>
      <c r="C603" s="1" t="n">
        <v>46205</v>
      </c>
      <c r="D603" t="inlineStr">
        <is>
          <t>VÄSTERBOTTENS LÄN</t>
        </is>
      </c>
      <c r="E603" t="inlineStr">
        <is>
          <t>SKELLEFTEÅ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31797-2025</t>
        </is>
      </c>
      <c r="B604" s="1" t="n">
        <v>45834</v>
      </c>
      <c r="C604" s="1" t="n">
        <v>46205</v>
      </c>
      <c r="D604" t="inlineStr">
        <is>
          <t>VÄSTERBOTTENS LÄN</t>
        </is>
      </c>
      <c r="E604" t="inlineStr">
        <is>
          <t>SKELLEFTEÅ</t>
        </is>
      </c>
      <c r="G604" t="n">
        <v>19.1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1639-2023</t>
        </is>
      </c>
      <c r="B605" s="1" t="n">
        <v>44937</v>
      </c>
      <c r="C605" s="1" t="n">
        <v>46205</v>
      </c>
      <c r="D605" t="inlineStr">
        <is>
          <t>VÄSTERBOTTENS LÄN</t>
        </is>
      </c>
      <c r="E605" t="inlineStr">
        <is>
          <t>SKELLEFTEÅ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7884-2024</t>
        </is>
      </c>
      <c r="B606" s="1" t="n">
        <v>45349</v>
      </c>
      <c r="C606" s="1" t="n">
        <v>46205</v>
      </c>
      <c r="D606" t="inlineStr">
        <is>
          <t>VÄSTERBOTTENS LÄN</t>
        </is>
      </c>
      <c r="E606" t="inlineStr">
        <is>
          <t>SKELLEFTEÅ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31257-2025</t>
        </is>
      </c>
      <c r="B607" s="1" t="n">
        <v>45833</v>
      </c>
      <c r="C607" s="1" t="n">
        <v>46205</v>
      </c>
      <c r="D607" t="inlineStr">
        <is>
          <t>VÄSTERBOTTENS LÄN</t>
        </is>
      </c>
      <c r="E607" t="inlineStr">
        <is>
          <t>SKELLEFTEÅ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43325-2025</t>
        </is>
      </c>
      <c r="B608" s="1" t="n">
        <v>45910</v>
      </c>
      <c r="C608" s="1" t="n">
        <v>46205</v>
      </c>
      <c r="D608" t="inlineStr">
        <is>
          <t>VÄSTERBOTTENS LÄN</t>
        </is>
      </c>
      <c r="E608" t="inlineStr">
        <is>
          <t>SKELLEFTEÅ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2594-2026</t>
        </is>
      </c>
      <c r="B609" s="1" t="n">
        <v>46037</v>
      </c>
      <c r="C609" s="1" t="n">
        <v>46205</v>
      </c>
      <c r="D609" t="inlineStr">
        <is>
          <t>VÄSTERBOTTENS LÄN</t>
        </is>
      </c>
      <c r="E609" t="inlineStr">
        <is>
          <t>SKELLEFTEÅ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43307-2025</t>
        </is>
      </c>
      <c r="B610" s="1" t="n">
        <v>45910</v>
      </c>
      <c r="C610" s="1" t="n">
        <v>46205</v>
      </c>
      <c r="D610" t="inlineStr">
        <is>
          <t>VÄSTERBOTTENS LÄN</t>
        </is>
      </c>
      <c r="E610" t="inlineStr">
        <is>
          <t>SKELLEFTEÅ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43309-2025</t>
        </is>
      </c>
      <c r="B611" s="1" t="n">
        <v>45910</v>
      </c>
      <c r="C611" s="1" t="n">
        <v>46205</v>
      </c>
      <c r="D611" t="inlineStr">
        <is>
          <t>VÄSTERBOTTENS LÄN</t>
        </is>
      </c>
      <c r="E611" t="inlineStr">
        <is>
          <t>SKELLEFTEÅ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31727-2025</t>
        </is>
      </c>
      <c r="B612" s="1" t="n">
        <v>45834</v>
      </c>
      <c r="C612" s="1" t="n">
        <v>46205</v>
      </c>
      <c r="D612" t="inlineStr">
        <is>
          <t>VÄSTERBOTTENS LÄN</t>
        </is>
      </c>
      <c r="E612" t="inlineStr">
        <is>
          <t>SKELLEFTEÅ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41226-2024</t>
        </is>
      </c>
      <c r="B613" s="1" t="n">
        <v>45559</v>
      </c>
      <c r="C613" s="1" t="n">
        <v>46205</v>
      </c>
      <c r="D613" t="inlineStr">
        <is>
          <t>VÄSTERBOTTENS LÄN</t>
        </is>
      </c>
      <c r="E613" t="inlineStr">
        <is>
          <t>SKELLEFTEÅ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3032-2026</t>
        </is>
      </c>
      <c r="B614" s="1" t="n">
        <v>46038</v>
      </c>
      <c r="C614" s="1" t="n">
        <v>46205</v>
      </c>
      <c r="D614" t="inlineStr">
        <is>
          <t>VÄSTERBOTTENS LÄN</t>
        </is>
      </c>
      <c r="E614" t="inlineStr">
        <is>
          <t>SKELLEFTEÅ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43318-2025</t>
        </is>
      </c>
      <c r="B615" s="1" t="n">
        <v>45910</v>
      </c>
      <c r="C615" s="1" t="n">
        <v>46205</v>
      </c>
      <c r="D615" t="inlineStr">
        <is>
          <t>VÄSTERBOTTENS LÄN</t>
        </is>
      </c>
      <c r="E615" t="inlineStr">
        <is>
          <t>SKELLEFTEÅ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6656-2023</t>
        </is>
      </c>
      <c r="B616" s="1" t="n">
        <v>44963</v>
      </c>
      <c r="C616" s="1" t="n">
        <v>46205</v>
      </c>
      <c r="D616" t="inlineStr">
        <is>
          <t>VÄSTERBOTTENS LÄN</t>
        </is>
      </c>
      <c r="E616" t="inlineStr">
        <is>
          <t>SKELLEFTEÅ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15461-2025</t>
        </is>
      </c>
      <c r="B617" s="1" t="n">
        <v>45747</v>
      </c>
      <c r="C617" s="1" t="n">
        <v>46205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Holmen skog AB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31717-2025</t>
        </is>
      </c>
      <c r="B618" s="1" t="n">
        <v>45834</v>
      </c>
      <c r="C618" s="1" t="n">
        <v>46205</v>
      </c>
      <c r="D618" t="inlineStr">
        <is>
          <t>VÄSTERBOTTENS LÄN</t>
        </is>
      </c>
      <c r="E618" t="inlineStr">
        <is>
          <t>SKELLEFTEÅ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31688-2025</t>
        </is>
      </c>
      <c r="B619" s="1" t="n">
        <v>45834</v>
      </c>
      <c r="C619" s="1" t="n">
        <v>46205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2877-2026</t>
        </is>
      </c>
      <c r="B620" s="1" t="n">
        <v>46038</v>
      </c>
      <c r="C620" s="1" t="n">
        <v>46205</v>
      </c>
      <c r="D620" t="inlineStr">
        <is>
          <t>VÄSTERBOTTENS LÄN</t>
        </is>
      </c>
      <c r="E620" t="inlineStr">
        <is>
          <t>SKELLEFTEÅ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32066-2025</t>
        </is>
      </c>
      <c r="B621" s="1" t="n">
        <v>45835</v>
      </c>
      <c r="C621" s="1" t="n">
        <v>46205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32450-2025</t>
        </is>
      </c>
      <c r="B622" s="1" t="n">
        <v>45838</v>
      </c>
      <c r="C622" s="1" t="n">
        <v>46205</v>
      </c>
      <c r="D622" t="inlineStr">
        <is>
          <t>VÄSTERBOTTENS LÄN</t>
        </is>
      </c>
      <c r="E622" t="inlineStr">
        <is>
          <t>SKELLEFTEÅ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43600-2025</t>
        </is>
      </c>
      <c r="B623" s="1" t="n">
        <v>45911</v>
      </c>
      <c r="C623" s="1" t="n">
        <v>46205</v>
      </c>
      <c r="D623" t="inlineStr">
        <is>
          <t>VÄSTERBOTTENS LÄN</t>
        </is>
      </c>
      <c r="E623" t="inlineStr">
        <is>
          <t>SKELLEFTEÅ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43791-2025</t>
        </is>
      </c>
      <c r="B624" s="1" t="n">
        <v>45912</v>
      </c>
      <c r="C624" s="1" t="n">
        <v>46205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Holmen skog AB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32550-2025</t>
        </is>
      </c>
      <c r="B625" s="1" t="n">
        <v>45838</v>
      </c>
      <c r="C625" s="1" t="n">
        <v>46205</v>
      </c>
      <c r="D625" t="inlineStr">
        <is>
          <t>VÄSTERBOTTENS LÄN</t>
        </is>
      </c>
      <c r="E625" t="inlineStr">
        <is>
          <t>SKELLEFTEÅ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43861-2025</t>
        </is>
      </c>
      <c r="B626" s="1" t="n">
        <v>45912</v>
      </c>
      <c r="C626" s="1" t="n">
        <v>46205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Sveaskog</t>
        </is>
      </c>
      <c r="G626" t="n">
        <v>15.6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42791-2024</t>
        </is>
      </c>
      <c r="B627" s="1" t="n">
        <v>45566</v>
      </c>
      <c r="C627" s="1" t="n">
        <v>46205</v>
      </c>
      <c r="D627" t="inlineStr">
        <is>
          <t>VÄSTERBOTTENS LÄN</t>
        </is>
      </c>
      <c r="E627" t="inlineStr">
        <is>
          <t>SKELLEFTEÅ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43894-2025</t>
        </is>
      </c>
      <c r="B628" s="1" t="n">
        <v>45912</v>
      </c>
      <c r="C628" s="1" t="n">
        <v>46205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Sveaskog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43895-2025</t>
        </is>
      </c>
      <c r="B629" s="1" t="n">
        <v>45912</v>
      </c>
      <c r="C629" s="1" t="n">
        <v>46205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Sveaskog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32486-2025</t>
        </is>
      </c>
      <c r="B630" s="1" t="n">
        <v>45838</v>
      </c>
      <c r="C630" s="1" t="n">
        <v>46205</v>
      </c>
      <c r="D630" t="inlineStr">
        <is>
          <t>VÄSTERBOTTENS LÄN</t>
        </is>
      </c>
      <c r="E630" t="inlineStr">
        <is>
          <t>SKELLEFTEÅ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2440-2026</t>
        </is>
      </c>
      <c r="B631" s="1" t="n">
        <v>46037</v>
      </c>
      <c r="C631" s="1" t="n">
        <v>46205</v>
      </c>
      <c r="D631" t="inlineStr">
        <is>
          <t>VÄSTERBOTTENS LÄN</t>
        </is>
      </c>
      <c r="E631" t="inlineStr">
        <is>
          <t>SKELLEFTEÅ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31997-2025</t>
        </is>
      </c>
      <c r="B632" s="1" t="n">
        <v>45835</v>
      </c>
      <c r="C632" s="1" t="n">
        <v>46205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43800-2025</t>
        </is>
      </c>
      <c r="B633" s="1" t="n">
        <v>45912</v>
      </c>
      <c r="C633" s="1" t="n">
        <v>46205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Sveaskog</t>
        </is>
      </c>
      <c r="G633" t="n">
        <v>25.3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43797-2025</t>
        </is>
      </c>
      <c r="B634" s="1" t="n">
        <v>45912</v>
      </c>
      <c r="C634" s="1" t="n">
        <v>46205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32485-2025</t>
        </is>
      </c>
      <c r="B635" s="1" t="n">
        <v>45838</v>
      </c>
      <c r="C635" s="1" t="n">
        <v>46205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Holmen skog AB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44061-2025</t>
        </is>
      </c>
      <c r="B636" s="1" t="n">
        <v>45915</v>
      </c>
      <c r="C636" s="1" t="n">
        <v>46205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Sveaskog</t>
        </is>
      </c>
      <c r="G636" t="n">
        <v>11.8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32781-2025</t>
        </is>
      </c>
      <c r="B637" s="1" t="n">
        <v>45839</v>
      </c>
      <c r="C637" s="1" t="n">
        <v>46205</v>
      </c>
      <c r="D637" t="inlineStr">
        <is>
          <t>VÄSTERBOTTENS LÄN</t>
        </is>
      </c>
      <c r="E637" t="inlineStr">
        <is>
          <t>SKELLEFTEÅ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38398-2024</t>
        </is>
      </c>
      <c r="B638" s="1" t="n">
        <v>45546</v>
      </c>
      <c r="C638" s="1" t="n">
        <v>46205</v>
      </c>
      <c r="D638" t="inlineStr">
        <is>
          <t>VÄSTERBOTTENS LÄN</t>
        </is>
      </c>
      <c r="E638" t="inlineStr">
        <is>
          <t>SKELLEFTEÅ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3453-2024</t>
        </is>
      </c>
      <c r="B639" s="1" t="n">
        <v>45320</v>
      </c>
      <c r="C639" s="1" t="n">
        <v>46205</v>
      </c>
      <c r="D639" t="inlineStr">
        <is>
          <t>VÄSTERBOTTENS LÄN</t>
        </is>
      </c>
      <c r="E639" t="inlineStr">
        <is>
          <t>SKELLEFTEÅ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33154-2025</t>
        </is>
      </c>
      <c r="B640" s="1" t="n">
        <v>45840</v>
      </c>
      <c r="C640" s="1" t="n">
        <v>46205</v>
      </c>
      <c r="D640" t="inlineStr">
        <is>
          <t>VÄSTERBOTTENS LÄN</t>
        </is>
      </c>
      <c r="E640" t="inlineStr">
        <is>
          <t>SKELLEFTEÅ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43749-2024</t>
        </is>
      </c>
      <c r="B641" s="1" t="n">
        <v>45569</v>
      </c>
      <c r="C641" s="1" t="n">
        <v>46205</v>
      </c>
      <c r="D641" t="inlineStr">
        <is>
          <t>VÄSTERBOTTENS LÄN</t>
        </is>
      </c>
      <c r="E641" t="inlineStr">
        <is>
          <t>SKELLEFTEÅ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15903-2023</t>
        </is>
      </c>
      <c r="B642" s="1" t="n">
        <v>45021</v>
      </c>
      <c r="C642" s="1" t="n">
        <v>46205</v>
      </c>
      <c r="D642" t="inlineStr">
        <is>
          <t>VÄSTERBOTTENS LÄN</t>
        </is>
      </c>
      <c r="E642" t="inlineStr">
        <is>
          <t>SKELLEFTEÅ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44408-2025</t>
        </is>
      </c>
      <c r="B643" s="1" t="n">
        <v>45916</v>
      </c>
      <c r="C643" s="1" t="n">
        <v>46205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11527-2024</t>
        </is>
      </c>
      <c r="B644" s="1" t="n">
        <v>45372</v>
      </c>
      <c r="C644" s="1" t="n">
        <v>46205</v>
      </c>
      <c r="D644" t="inlineStr">
        <is>
          <t>VÄSTERBOTTENS LÄN</t>
        </is>
      </c>
      <c r="E644" t="inlineStr">
        <is>
          <t>SKELLEFTEÅ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29263-2025</t>
        </is>
      </c>
      <c r="B645" s="1" t="n">
        <v>45824</v>
      </c>
      <c r="C645" s="1" t="n">
        <v>46205</v>
      </c>
      <c r="D645" t="inlineStr">
        <is>
          <t>VÄSTERBOTTENS LÄN</t>
        </is>
      </c>
      <c r="E645" t="inlineStr">
        <is>
          <t>SKELLEFTEÅ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44082-2025</t>
        </is>
      </c>
      <c r="B646" s="1" t="n">
        <v>45915</v>
      </c>
      <c r="C646" s="1" t="n">
        <v>46205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Sveaskog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33073-2025</t>
        </is>
      </c>
      <c r="B647" s="1" t="n">
        <v>45840</v>
      </c>
      <c r="C647" s="1" t="n">
        <v>46205</v>
      </c>
      <c r="D647" t="inlineStr">
        <is>
          <t>VÄSTERBOTTENS LÄN</t>
        </is>
      </c>
      <c r="E647" t="inlineStr">
        <is>
          <t>SKELLEFTEÅ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31955-2025</t>
        </is>
      </c>
      <c r="B648" s="1" t="n">
        <v>45835</v>
      </c>
      <c r="C648" s="1" t="n">
        <v>46205</v>
      </c>
      <c r="D648" t="inlineStr">
        <is>
          <t>VÄSTERBOTTENS LÄN</t>
        </is>
      </c>
      <c r="E648" t="inlineStr">
        <is>
          <t>SKELLEFTEÅ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43948-2025</t>
        </is>
      </c>
      <c r="B649" s="1" t="n">
        <v>45915</v>
      </c>
      <c r="C649" s="1" t="n">
        <v>46205</v>
      </c>
      <c r="D649" t="inlineStr">
        <is>
          <t>VÄSTERBOTTENS LÄN</t>
        </is>
      </c>
      <c r="E649" t="inlineStr">
        <is>
          <t>SKELLEFTEÅ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4626-2025</t>
        </is>
      </c>
      <c r="B650" s="1" t="n">
        <v>45687</v>
      </c>
      <c r="C650" s="1" t="n">
        <v>46205</v>
      </c>
      <c r="D650" t="inlineStr">
        <is>
          <t>VÄSTERBOTTENS LÄN</t>
        </is>
      </c>
      <c r="E650" t="inlineStr">
        <is>
          <t>SKELLEFTEÅ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44009-2025</t>
        </is>
      </c>
      <c r="B651" s="1" t="n">
        <v>45915</v>
      </c>
      <c r="C651" s="1" t="n">
        <v>46205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44113-2025</t>
        </is>
      </c>
      <c r="B652" s="1" t="n">
        <v>45915</v>
      </c>
      <c r="C652" s="1" t="n">
        <v>46205</v>
      </c>
      <c r="D652" t="inlineStr">
        <is>
          <t>VÄSTERBOTTENS LÄN</t>
        </is>
      </c>
      <c r="E652" t="inlineStr">
        <is>
          <t>SKELLEFTEÅ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28365-2025</t>
        </is>
      </c>
      <c r="B653" s="1" t="n">
        <v>45818</v>
      </c>
      <c r="C653" s="1" t="n">
        <v>46205</v>
      </c>
      <c r="D653" t="inlineStr">
        <is>
          <t>VÄSTERBOTTENS LÄN</t>
        </is>
      </c>
      <c r="E653" t="inlineStr">
        <is>
          <t>SKELLEFTEÅ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59660-2024</t>
        </is>
      </c>
      <c r="B654" s="1" t="n">
        <v>45639</v>
      </c>
      <c r="C654" s="1" t="n">
        <v>46205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Sveaskog</t>
        </is>
      </c>
      <c r="G654" t="n">
        <v>13.9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34638-2023</t>
        </is>
      </c>
      <c r="B655" s="1" t="n">
        <v>45140</v>
      </c>
      <c r="C655" s="1" t="n">
        <v>46205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Holmen skog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33104-2025</t>
        </is>
      </c>
      <c r="B656" s="1" t="n">
        <v>45840</v>
      </c>
      <c r="C656" s="1" t="n">
        <v>46205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44182-2025</t>
        </is>
      </c>
      <c r="B657" s="1" t="n">
        <v>45915</v>
      </c>
      <c r="C657" s="1" t="n">
        <v>46205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Sveaskog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44106-2025</t>
        </is>
      </c>
      <c r="B658" s="1" t="n">
        <v>45915</v>
      </c>
      <c r="C658" s="1" t="n">
        <v>46205</v>
      </c>
      <c r="D658" t="inlineStr">
        <is>
          <t>VÄSTERBOTTENS LÄN</t>
        </is>
      </c>
      <c r="E658" t="inlineStr">
        <is>
          <t>SKELLEFTEÅ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1853-2023</t>
        </is>
      </c>
      <c r="B659" s="1" t="n">
        <v>44938</v>
      </c>
      <c r="C659" s="1" t="n">
        <v>46205</v>
      </c>
      <c r="D659" t="inlineStr">
        <is>
          <t>VÄSTERBOTTENS LÄN</t>
        </is>
      </c>
      <c r="E659" t="inlineStr">
        <is>
          <t>SKELLEFTEÅ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35338-2023</t>
        </is>
      </c>
      <c r="B660" s="1" t="n">
        <v>45145</v>
      </c>
      <c r="C660" s="1" t="n">
        <v>46205</v>
      </c>
      <c r="D660" t="inlineStr">
        <is>
          <t>VÄSTERBOTTENS LÄN</t>
        </is>
      </c>
      <c r="E660" t="inlineStr">
        <is>
          <t>SKELLEFTEÅ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33305-2025</t>
        </is>
      </c>
      <c r="B661" s="1" t="n">
        <v>45841</v>
      </c>
      <c r="C661" s="1" t="n">
        <v>46205</v>
      </c>
      <c r="D661" t="inlineStr">
        <is>
          <t>VÄSTERBOTTENS LÄN</t>
        </is>
      </c>
      <c r="E661" t="inlineStr">
        <is>
          <t>SKELLEFTEÅ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44637-2025</t>
        </is>
      </c>
      <c r="B662" s="1" t="n">
        <v>45917</v>
      </c>
      <c r="C662" s="1" t="n">
        <v>46205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44921-2025</t>
        </is>
      </c>
      <c r="B663" s="1" t="n">
        <v>45918</v>
      </c>
      <c r="C663" s="1" t="n">
        <v>46205</v>
      </c>
      <c r="D663" t="inlineStr">
        <is>
          <t>VÄSTERBOTTENS LÄN</t>
        </is>
      </c>
      <c r="E663" t="inlineStr">
        <is>
          <t>SKELLEFTEÅ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44920-2025</t>
        </is>
      </c>
      <c r="B664" s="1" t="n">
        <v>45918</v>
      </c>
      <c r="C664" s="1" t="n">
        <v>46205</v>
      </c>
      <c r="D664" t="inlineStr">
        <is>
          <t>VÄSTERBOTTENS LÄN</t>
        </is>
      </c>
      <c r="E664" t="inlineStr">
        <is>
          <t>SKELLEFTEÅ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44908-2025</t>
        </is>
      </c>
      <c r="B665" s="1" t="n">
        <v>45918</v>
      </c>
      <c r="C665" s="1" t="n">
        <v>46205</v>
      </c>
      <c r="D665" t="inlineStr">
        <is>
          <t>VÄSTERBOTTENS LÄN</t>
        </is>
      </c>
      <c r="E665" t="inlineStr">
        <is>
          <t>SKELLEFTEÅ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44909-2025</t>
        </is>
      </c>
      <c r="B666" s="1" t="n">
        <v>45918</v>
      </c>
      <c r="C666" s="1" t="n">
        <v>46205</v>
      </c>
      <c r="D666" t="inlineStr">
        <is>
          <t>VÄSTERBOTTENS LÄN</t>
        </is>
      </c>
      <c r="E666" t="inlineStr">
        <is>
          <t>SKELLEFTEÅ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44910-2025</t>
        </is>
      </c>
      <c r="B667" s="1" t="n">
        <v>45918</v>
      </c>
      <c r="C667" s="1" t="n">
        <v>46205</v>
      </c>
      <c r="D667" t="inlineStr">
        <is>
          <t>VÄSTERBOTTENS LÄN</t>
        </is>
      </c>
      <c r="E667" t="inlineStr">
        <is>
          <t>SKELLEFTEÅ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44942-2025</t>
        </is>
      </c>
      <c r="B668" s="1" t="n">
        <v>45918</v>
      </c>
      <c r="C668" s="1" t="n">
        <v>46205</v>
      </c>
      <c r="D668" t="inlineStr">
        <is>
          <t>VÄSTERBOTTENS LÄN</t>
        </is>
      </c>
      <c r="E668" t="inlineStr">
        <is>
          <t>SKELLEFTEÅ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44823-2025</t>
        </is>
      </c>
      <c r="B669" s="1" t="n">
        <v>45918</v>
      </c>
      <c r="C669" s="1" t="n">
        <v>46205</v>
      </c>
      <c r="D669" t="inlineStr">
        <is>
          <t>VÄSTERBOTTENS LÄN</t>
        </is>
      </c>
      <c r="E669" t="inlineStr">
        <is>
          <t>SKELLEFTEÅ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44602-2025</t>
        </is>
      </c>
      <c r="B670" s="1" t="n">
        <v>45917</v>
      </c>
      <c r="C670" s="1" t="n">
        <v>46205</v>
      </c>
      <c r="D670" t="inlineStr">
        <is>
          <t>VÄSTERBOTTENS LÄN</t>
        </is>
      </c>
      <c r="E670" t="inlineStr">
        <is>
          <t>SKELLEFTEÅ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33892-2025</t>
        </is>
      </c>
      <c r="B671" s="1" t="n">
        <v>45842</v>
      </c>
      <c r="C671" s="1" t="n">
        <v>46205</v>
      </c>
      <c r="D671" t="inlineStr">
        <is>
          <t>VÄSTERBOTTENS LÄN</t>
        </is>
      </c>
      <c r="E671" t="inlineStr">
        <is>
          <t>SKELLEFTEÅ</t>
        </is>
      </c>
      <c r="G671" t="n">
        <v>8.5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43204-2024</t>
        </is>
      </c>
      <c r="B672" s="1" t="n">
        <v>45567</v>
      </c>
      <c r="C672" s="1" t="n">
        <v>46205</v>
      </c>
      <c r="D672" t="inlineStr">
        <is>
          <t>VÄSTERBOTTENS LÄN</t>
        </is>
      </c>
      <c r="E672" t="inlineStr">
        <is>
          <t>SKELLEFTEÅ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33800-2025</t>
        </is>
      </c>
      <c r="B673" s="1" t="n">
        <v>45842</v>
      </c>
      <c r="C673" s="1" t="n">
        <v>46205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8328-2023</t>
        </is>
      </c>
      <c r="B674" s="1" t="n">
        <v>44974</v>
      </c>
      <c r="C674" s="1" t="n">
        <v>46205</v>
      </c>
      <c r="D674" t="inlineStr">
        <is>
          <t>VÄSTERBOTTENS LÄN</t>
        </is>
      </c>
      <c r="E674" t="inlineStr">
        <is>
          <t>SKELLEFTEÅ</t>
        </is>
      </c>
      <c r="G674" t="n">
        <v>18.5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44826-2025</t>
        </is>
      </c>
      <c r="B675" s="1" t="n">
        <v>45918</v>
      </c>
      <c r="C675" s="1" t="n">
        <v>46205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Holmen skog AB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12537-2024</t>
        </is>
      </c>
      <c r="B676" s="1" t="n">
        <v>45379</v>
      </c>
      <c r="C676" s="1" t="n">
        <v>46205</v>
      </c>
      <c r="D676" t="inlineStr">
        <is>
          <t>VÄSTERBOTTENS LÄN</t>
        </is>
      </c>
      <c r="E676" t="inlineStr">
        <is>
          <t>SKELLEFTEÅ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44911-2025</t>
        </is>
      </c>
      <c r="B677" s="1" t="n">
        <v>45918</v>
      </c>
      <c r="C677" s="1" t="n">
        <v>46205</v>
      </c>
      <c r="D677" t="inlineStr">
        <is>
          <t>VÄSTERBOTTENS LÄN</t>
        </is>
      </c>
      <c r="E677" t="inlineStr">
        <is>
          <t>SKELLEFTEÅ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44922-2025</t>
        </is>
      </c>
      <c r="B678" s="1" t="n">
        <v>45918</v>
      </c>
      <c r="C678" s="1" t="n">
        <v>46205</v>
      </c>
      <c r="D678" t="inlineStr">
        <is>
          <t>VÄSTERBOTTENS LÄN</t>
        </is>
      </c>
      <c r="E678" t="inlineStr">
        <is>
          <t>SKELLEFTEÅ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44714-2025</t>
        </is>
      </c>
      <c r="B679" s="1" t="n">
        <v>45917</v>
      </c>
      <c r="C679" s="1" t="n">
        <v>46205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Sveaskog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44739-2025</t>
        </is>
      </c>
      <c r="B680" s="1" t="n">
        <v>45917</v>
      </c>
      <c r="C680" s="1" t="n">
        <v>46205</v>
      </c>
      <c r="D680" t="inlineStr">
        <is>
          <t>VÄSTERBOTTENS LÄN</t>
        </is>
      </c>
      <c r="E680" t="inlineStr">
        <is>
          <t>SKELLEFTEÅ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33918-2025</t>
        </is>
      </c>
      <c r="B681" s="1" t="n">
        <v>45842</v>
      </c>
      <c r="C681" s="1" t="n">
        <v>46205</v>
      </c>
      <c r="D681" t="inlineStr">
        <is>
          <t>VÄSTERBOTTENS LÄN</t>
        </is>
      </c>
      <c r="E681" t="inlineStr">
        <is>
          <t>SKELLEFTEÅ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45394-2025</t>
        </is>
      </c>
      <c r="B682" s="1" t="n">
        <v>45922</v>
      </c>
      <c r="C682" s="1" t="n">
        <v>46205</v>
      </c>
      <c r="D682" t="inlineStr">
        <is>
          <t>VÄSTERBOTTENS LÄN</t>
        </is>
      </c>
      <c r="E682" t="inlineStr">
        <is>
          <t>SKELLEFTEÅ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57569-2022</t>
        </is>
      </c>
      <c r="B683" s="1" t="n">
        <v>44896</v>
      </c>
      <c r="C683" s="1" t="n">
        <v>46205</v>
      </c>
      <c r="D683" t="inlineStr">
        <is>
          <t>VÄSTERBOTTENS LÄN</t>
        </is>
      </c>
      <c r="E683" t="inlineStr">
        <is>
          <t>SKELLEFTEÅ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21854-2024</t>
        </is>
      </c>
      <c r="B684" s="1" t="n">
        <v>45442</v>
      </c>
      <c r="C684" s="1" t="n">
        <v>46205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SCA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45183-2025</t>
        </is>
      </c>
      <c r="B685" s="1" t="n">
        <v>45919</v>
      </c>
      <c r="C685" s="1" t="n">
        <v>46205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Holmen skog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43434-2024</t>
        </is>
      </c>
      <c r="B686" s="1" t="n">
        <v>45568</v>
      </c>
      <c r="C686" s="1" t="n">
        <v>46205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Holmen skog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34362-2025</t>
        </is>
      </c>
      <c r="B687" s="1" t="n">
        <v>45846</v>
      </c>
      <c r="C687" s="1" t="n">
        <v>46205</v>
      </c>
      <c r="D687" t="inlineStr">
        <is>
          <t>VÄSTERBOTTENS LÄN</t>
        </is>
      </c>
      <c r="E687" t="inlineStr">
        <is>
          <t>SKELLEFTEÅ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2992-2026</t>
        </is>
      </c>
      <c r="B688" s="1" t="n">
        <v>46038</v>
      </c>
      <c r="C688" s="1" t="n">
        <v>46205</v>
      </c>
      <c r="D688" t="inlineStr">
        <is>
          <t>VÄSTERBOTTENS LÄN</t>
        </is>
      </c>
      <c r="E688" t="inlineStr">
        <is>
          <t>SKELLEFTEÅ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45413-2025</t>
        </is>
      </c>
      <c r="B689" s="1" t="n">
        <v>45922</v>
      </c>
      <c r="C689" s="1" t="n">
        <v>46205</v>
      </c>
      <c r="D689" t="inlineStr">
        <is>
          <t>VÄSTERBOTTENS LÄN</t>
        </is>
      </c>
      <c r="E689" t="inlineStr">
        <is>
          <t>SKELLEFTEÅ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34273-2025</t>
        </is>
      </c>
      <c r="B690" s="1" t="n">
        <v>45845</v>
      </c>
      <c r="C690" s="1" t="n">
        <v>46205</v>
      </c>
      <c r="D690" t="inlineStr">
        <is>
          <t>VÄSTERBOTTENS LÄN</t>
        </is>
      </c>
      <c r="E690" t="inlineStr">
        <is>
          <t>SKELLEFTEÅ</t>
        </is>
      </c>
      <c r="G690" t="n">
        <v>28.4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45364-2025</t>
        </is>
      </c>
      <c r="B691" s="1" t="n">
        <v>45922</v>
      </c>
      <c r="C691" s="1" t="n">
        <v>46205</v>
      </c>
      <c r="D691" t="inlineStr">
        <is>
          <t>VÄSTERBOTTENS LÄN</t>
        </is>
      </c>
      <c r="E691" t="inlineStr">
        <is>
          <t>SKELLEFTEÅ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34405-2025</t>
        </is>
      </c>
      <c r="B692" s="1" t="n">
        <v>45846</v>
      </c>
      <c r="C692" s="1" t="n">
        <v>46205</v>
      </c>
      <c r="D692" t="inlineStr">
        <is>
          <t>VÄSTERBOTTENS LÄN</t>
        </is>
      </c>
      <c r="E692" t="inlineStr">
        <is>
          <t>SKELLEFTEÅ</t>
        </is>
      </c>
      <c r="G692" t="n">
        <v>13.6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45393-2025</t>
        </is>
      </c>
      <c r="B693" s="1" t="n">
        <v>45922</v>
      </c>
      <c r="C693" s="1" t="n">
        <v>46205</v>
      </c>
      <c r="D693" t="inlineStr">
        <is>
          <t>VÄSTERBOTTENS LÄN</t>
        </is>
      </c>
      <c r="E693" t="inlineStr">
        <is>
          <t>SKELLEFTEÅ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45392-2025</t>
        </is>
      </c>
      <c r="B694" s="1" t="n">
        <v>45922</v>
      </c>
      <c r="C694" s="1" t="n">
        <v>46205</v>
      </c>
      <c r="D694" t="inlineStr">
        <is>
          <t>VÄSTERBOTTENS LÄN</t>
        </is>
      </c>
      <c r="E694" t="inlineStr">
        <is>
          <t>SKELLEFTEÅ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10074-2025</t>
        </is>
      </c>
      <c r="B695" s="1" t="n">
        <v>45719</v>
      </c>
      <c r="C695" s="1" t="n">
        <v>46205</v>
      </c>
      <c r="D695" t="inlineStr">
        <is>
          <t>VÄSTERBOTTENS LÄN</t>
        </is>
      </c>
      <c r="E695" t="inlineStr">
        <is>
          <t>SKELLEFTEÅ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45365-2025</t>
        </is>
      </c>
      <c r="B696" s="1" t="n">
        <v>45922</v>
      </c>
      <c r="C696" s="1" t="n">
        <v>46205</v>
      </c>
      <c r="D696" t="inlineStr">
        <is>
          <t>VÄSTERBOTTENS LÄN</t>
        </is>
      </c>
      <c r="E696" t="inlineStr">
        <is>
          <t>SKELLEFTEÅ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12547-2025</t>
        </is>
      </c>
      <c r="B697" s="1" t="n">
        <v>45730</v>
      </c>
      <c r="C697" s="1" t="n">
        <v>46205</v>
      </c>
      <c r="D697" t="inlineStr">
        <is>
          <t>VÄSTERBOTTENS LÄN</t>
        </is>
      </c>
      <c r="E697" t="inlineStr">
        <is>
          <t>SKELLEFTEÅ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2876-2026</t>
        </is>
      </c>
      <c r="B698" s="1" t="n">
        <v>46038</v>
      </c>
      <c r="C698" s="1" t="n">
        <v>46205</v>
      </c>
      <c r="D698" t="inlineStr">
        <is>
          <t>VÄSTERBOTTENS LÄN</t>
        </is>
      </c>
      <c r="E698" t="inlineStr">
        <is>
          <t>SKELLEFTEÅ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34274-2025</t>
        </is>
      </c>
      <c r="B699" s="1" t="n">
        <v>45845</v>
      </c>
      <c r="C699" s="1" t="n">
        <v>46205</v>
      </c>
      <c r="D699" t="inlineStr">
        <is>
          <t>VÄSTERBOTTENS LÄN</t>
        </is>
      </c>
      <c r="E699" t="inlineStr">
        <is>
          <t>SKELLEFTEÅ</t>
        </is>
      </c>
      <c r="G699" t="n">
        <v>15.3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45964-2025</t>
        </is>
      </c>
      <c r="B700" s="1" t="n">
        <v>45924</v>
      </c>
      <c r="C700" s="1" t="n">
        <v>46205</v>
      </c>
      <c r="D700" t="inlineStr">
        <is>
          <t>VÄSTERBOTTENS LÄN</t>
        </is>
      </c>
      <c r="E700" t="inlineStr">
        <is>
          <t>SKELLEFTEÅ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7875-2023</t>
        </is>
      </c>
      <c r="B701" s="1" t="n">
        <v>44967</v>
      </c>
      <c r="C701" s="1" t="n">
        <v>46205</v>
      </c>
      <c r="D701" t="inlineStr">
        <is>
          <t>VÄSTERBOTTENS LÄN</t>
        </is>
      </c>
      <c r="E701" t="inlineStr">
        <is>
          <t>SKELLEFTEÅ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34471-2025</t>
        </is>
      </c>
      <c r="B702" s="1" t="n">
        <v>45847</v>
      </c>
      <c r="C702" s="1" t="n">
        <v>46205</v>
      </c>
      <c r="D702" t="inlineStr">
        <is>
          <t>VÄSTERBOTTENS LÄN</t>
        </is>
      </c>
      <c r="E702" t="inlineStr">
        <is>
          <t>SKELLEFTEÅ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58838-2023</t>
        </is>
      </c>
      <c r="B703" s="1" t="n">
        <v>45252</v>
      </c>
      <c r="C703" s="1" t="n">
        <v>46205</v>
      </c>
      <c r="D703" t="inlineStr">
        <is>
          <t>VÄSTERBOTTENS LÄN</t>
        </is>
      </c>
      <c r="E703" t="inlineStr">
        <is>
          <t>SKELLEFTEÅ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58830-2024</t>
        </is>
      </c>
      <c r="B704" s="1" t="n">
        <v>45636</v>
      </c>
      <c r="C704" s="1" t="n">
        <v>46205</v>
      </c>
      <c r="D704" t="inlineStr">
        <is>
          <t>VÄSTERBOTTENS LÄN</t>
        </is>
      </c>
      <c r="E704" t="inlineStr">
        <is>
          <t>SKELLEFTEÅ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45787-2025</t>
        </is>
      </c>
      <c r="B705" s="1" t="n">
        <v>45923</v>
      </c>
      <c r="C705" s="1" t="n">
        <v>46205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45885-2025</t>
        </is>
      </c>
      <c r="B706" s="1" t="n">
        <v>45923</v>
      </c>
      <c r="C706" s="1" t="n">
        <v>46205</v>
      </c>
      <c r="D706" t="inlineStr">
        <is>
          <t>VÄSTERBOTTENS LÄN</t>
        </is>
      </c>
      <c r="E706" t="inlineStr">
        <is>
          <t>SKELLEFTEÅ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34672-2025</t>
        </is>
      </c>
      <c r="B707" s="1" t="n">
        <v>45847</v>
      </c>
      <c r="C707" s="1" t="n">
        <v>46205</v>
      </c>
      <c r="D707" t="inlineStr">
        <is>
          <t>VÄSTERBOTTENS LÄN</t>
        </is>
      </c>
      <c r="E707" t="inlineStr">
        <is>
          <t>SKELLEFTEÅ</t>
        </is>
      </c>
      <c r="G707" t="n">
        <v>12.8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11942-2023</t>
        </is>
      </c>
      <c r="B708" s="1" t="n">
        <v>44995</v>
      </c>
      <c r="C708" s="1" t="n">
        <v>46205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Sveaskog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46377-2024</t>
        </is>
      </c>
      <c r="B709" s="1" t="n">
        <v>45582</v>
      </c>
      <c r="C709" s="1" t="n">
        <v>46205</v>
      </c>
      <c r="D709" t="inlineStr">
        <is>
          <t>VÄSTERBOTTENS LÄN</t>
        </is>
      </c>
      <c r="E709" t="inlineStr">
        <is>
          <t>SKELLEFTEÅ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46557-2024</t>
        </is>
      </c>
      <c r="B710" s="1" t="n">
        <v>45582</v>
      </c>
      <c r="C710" s="1" t="n">
        <v>46205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45827-2025</t>
        </is>
      </c>
      <c r="B711" s="1" t="n">
        <v>45923</v>
      </c>
      <c r="C711" s="1" t="n">
        <v>46205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45644-2025</t>
        </is>
      </c>
      <c r="B712" s="1" t="n">
        <v>45923</v>
      </c>
      <c r="C712" s="1" t="n">
        <v>46205</v>
      </c>
      <c r="D712" t="inlineStr">
        <is>
          <t>VÄSTERBOTTENS LÄN</t>
        </is>
      </c>
      <c r="E712" t="inlineStr">
        <is>
          <t>SKELLEFTEÅ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45651-2025</t>
        </is>
      </c>
      <c r="B713" s="1" t="n">
        <v>45923</v>
      </c>
      <c r="C713" s="1" t="n">
        <v>46205</v>
      </c>
      <c r="D713" t="inlineStr">
        <is>
          <t>VÄSTERBOTTENS LÄN</t>
        </is>
      </c>
      <c r="E713" t="inlineStr">
        <is>
          <t>SKELLEFTEÅ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34791-2025</t>
        </is>
      </c>
      <c r="B714" s="1" t="n">
        <v>45848</v>
      </c>
      <c r="C714" s="1" t="n">
        <v>46205</v>
      </c>
      <c r="D714" t="inlineStr">
        <is>
          <t>VÄSTERBOTTENS LÄN</t>
        </is>
      </c>
      <c r="E714" t="inlineStr">
        <is>
          <t>SKELLEFTEÅ</t>
        </is>
      </c>
      <c r="G714" t="n">
        <v>15.9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34536-2025</t>
        </is>
      </c>
      <c r="B715" s="1" t="n">
        <v>45847</v>
      </c>
      <c r="C715" s="1" t="n">
        <v>46205</v>
      </c>
      <c r="D715" t="inlineStr">
        <is>
          <t>VÄSTERBOTTENS LÄN</t>
        </is>
      </c>
      <c r="E715" t="inlineStr">
        <is>
          <t>SKELLEFTEÅ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58429-2022</t>
        </is>
      </c>
      <c r="B716" s="1" t="n">
        <v>44901</v>
      </c>
      <c r="C716" s="1" t="n">
        <v>46205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SCA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53903-2022</t>
        </is>
      </c>
      <c r="B717" s="1" t="n">
        <v>44880</v>
      </c>
      <c r="C717" s="1" t="n">
        <v>46205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45732-2025</t>
        </is>
      </c>
      <c r="B718" s="1" t="n">
        <v>45923</v>
      </c>
      <c r="C718" s="1" t="n">
        <v>46205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Holmen skog AB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45760-2025</t>
        </is>
      </c>
      <c r="B719" s="1" t="n">
        <v>45923</v>
      </c>
      <c r="C719" s="1" t="n">
        <v>46205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46268-2024</t>
        </is>
      </c>
      <c r="B720" s="1" t="n">
        <v>45581</v>
      </c>
      <c r="C720" s="1" t="n">
        <v>46205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46278-2025</t>
        </is>
      </c>
      <c r="B721" s="1" t="n">
        <v>45925</v>
      </c>
      <c r="C721" s="1" t="n">
        <v>46205</v>
      </c>
      <c r="D721" t="inlineStr">
        <is>
          <t>VÄSTERBOTTENS LÄN</t>
        </is>
      </c>
      <c r="E721" t="inlineStr">
        <is>
          <t>SKELLEFTEÅ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40787-2024</t>
        </is>
      </c>
      <c r="B722" s="1" t="n">
        <v>45558</v>
      </c>
      <c r="C722" s="1" t="n">
        <v>46205</v>
      </c>
      <c r="D722" t="inlineStr">
        <is>
          <t>VÄSTERBOTTENS LÄN</t>
        </is>
      </c>
      <c r="E722" t="inlineStr">
        <is>
          <t>SKELLEFTEÅ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61105-2022</t>
        </is>
      </c>
      <c r="B723" s="1" t="n">
        <v>44915</v>
      </c>
      <c r="C723" s="1" t="n">
        <v>46205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19.5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35090-2025</t>
        </is>
      </c>
      <c r="B724" s="1" t="n">
        <v>45852</v>
      </c>
      <c r="C724" s="1" t="n">
        <v>46205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45690-2024</t>
        </is>
      </c>
      <c r="B725" s="1" t="n">
        <v>45579</v>
      </c>
      <c r="C725" s="1" t="n">
        <v>46205</v>
      </c>
      <c r="D725" t="inlineStr">
        <is>
          <t>VÄSTERBOTTENS LÄN</t>
        </is>
      </c>
      <c r="E725" t="inlineStr">
        <is>
          <t>SKELLEFTEÅ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4292-2024</t>
        </is>
      </c>
      <c r="B726" s="1" t="n">
        <v>45324</v>
      </c>
      <c r="C726" s="1" t="n">
        <v>46205</v>
      </c>
      <c r="D726" t="inlineStr">
        <is>
          <t>VÄSTERBOTTENS LÄN</t>
        </is>
      </c>
      <c r="E726" t="inlineStr">
        <is>
          <t>SKELLEFTEÅ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46496-2025</t>
        </is>
      </c>
      <c r="B727" s="1" t="n">
        <v>45925</v>
      </c>
      <c r="C727" s="1" t="n">
        <v>46205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64942-2023</t>
        </is>
      </c>
      <c r="B728" s="1" t="n">
        <v>45282</v>
      </c>
      <c r="C728" s="1" t="n">
        <v>46205</v>
      </c>
      <c r="D728" t="inlineStr">
        <is>
          <t>VÄSTERBOTTENS LÄN</t>
        </is>
      </c>
      <c r="E728" t="inlineStr">
        <is>
          <t>SKELLEFTEÅ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46350-2025</t>
        </is>
      </c>
      <c r="B729" s="1" t="n">
        <v>45925</v>
      </c>
      <c r="C729" s="1" t="n">
        <v>46205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21.2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41642-2024</t>
        </is>
      </c>
      <c r="B730" s="1" t="n">
        <v>45560</v>
      </c>
      <c r="C730" s="1" t="n">
        <v>46205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41710-2024</t>
        </is>
      </c>
      <c r="B731" s="1" t="n">
        <v>45560</v>
      </c>
      <c r="C731" s="1" t="n">
        <v>46205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46480-2025</t>
        </is>
      </c>
      <c r="B732" s="1" t="n">
        <v>45925</v>
      </c>
      <c r="C732" s="1" t="n">
        <v>46205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Sveaskog</t>
        </is>
      </c>
      <c r="G732" t="n">
        <v>13.8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62047-2024</t>
        </is>
      </c>
      <c r="B733" s="1" t="n">
        <v>45656</v>
      </c>
      <c r="C733" s="1" t="n">
        <v>46205</v>
      </c>
      <c r="D733" t="inlineStr">
        <is>
          <t>VÄSTERBOTTENS LÄN</t>
        </is>
      </c>
      <c r="E733" t="inlineStr">
        <is>
          <t>SKELLEFTEÅ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46291-2025</t>
        </is>
      </c>
      <c r="B734" s="1" t="n">
        <v>45925</v>
      </c>
      <c r="C734" s="1" t="n">
        <v>46205</v>
      </c>
      <c r="D734" t="inlineStr">
        <is>
          <t>VÄSTERBOTTENS LÄN</t>
        </is>
      </c>
      <c r="E734" t="inlineStr">
        <is>
          <t>SKELLEFTEÅ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47246-2025</t>
        </is>
      </c>
      <c r="B735" s="1" t="n">
        <v>45930</v>
      </c>
      <c r="C735" s="1" t="n">
        <v>46205</v>
      </c>
      <c r="D735" t="inlineStr">
        <is>
          <t>VÄSTERBOTTENS LÄN</t>
        </is>
      </c>
      <c r="E735" t="inlineStr">
        <is>
          <t>SKELLEFTEÅ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5740-2023</t>
        </is>
      </c>
      <c r="B736" s="1" t="n">
        <v>44962</v>
      </c>
      <c r="C736" s="1" t="n">
        <v>46205</v>
      </c>
      <c r="D736" t="inlineStr">
        <is>
          <t>VÄSTERBOTTENS LÄN</t>
        </is>
      </c>
      <c r="E736" t="inlineStr">
        <is>
          <t>SKELLEFTEÅ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35223-2025</t>
        </is>
      </c>
      <c r="B737" s="1" t="n">
        <v>45853</v>
      </c>
      <c r="C737" s="1" t="n">
        <v>46205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61145-2023</t>
        </is>
      </c>
      <c r="B738" s="1" t="n">
        <v>45261</v>
      </c>
      <c r="C738" s="1" t="n">
        <v>46205</v>
      </c>
      <c r="D738" t="inlineStr">
        <is>
          <t>VÄSTERBOTTENS LÄN</t>
        </is>
      </c>
      <c r="E738" t="inlineStr">
        <is>
          <t>SKELLEFTEÅ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20163-2025</t>
        </is>
      </c>
      <c r="B739" s="1" t="n">
        <v>45772</v>
      </c>
      <c r="C739" s="1" t="n">
        <v>46205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47447-2025</t>
        </is>
      </c>
      <c r="B740" s="1" t="n">
        <v>45930</v>
      </c>
      <c r="C740" s="1" t="n">
        <v>46205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35428-2025</t>
        </is>
      </c>
      <c r="B741" s="1" t="n">
        <v>45855</v>
      </c>
      <c r="C741" s="1" t="n">
        <v>46205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46904-2025</t>
        </is>
      </c>
      <c r="B742" s="1" t="n">
        <v>45929</v>
      </c>
      <c r="C742" s="1" t="n">
        <v>46205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Kyrkan</t>
        </is>
      </c>
      <c r="G742" t="n">
        <v>21.8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59993-2024</t>
        </is>
      </c>
      <c r="B743" s="1" t="n">
        <v>45642</v>
      </c>
      <c r="C743" s="1" t="n">
        <v>46205</v>
      </c>
      <c r="D743" t="inlineStr">
        <is>
          <t>VÄSTERBOTTENS LÄN</t>
        </is>
      </c>
      <c r="E743" t="inlineStr">
        <is>
          <t>SKELLEFTEÅ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15706-2023</t>
        </is>
      </c>
      <c r="B744" s="1" t="n">
        <v>45020</v>
      </c>
      <c r="C744" s="1" t="n">
        <v>46205</v>
      </c>
      <c r="D744" t="inlineStr">
        <is>
          <t>VÄSTERBOTTENS LÄN</t>
        </is>
      </c>
      <c r="E744" t="inlineStr">
        <is>
          <t>SKELLEFTEÅ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35633-2025</t>
        </is>
      </c>
      <c r="B745" s="1" t="n">
        <v>45859</v>
      </c>
      <c r="C745" s="1" t="n">
        <v>46205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22735-2023</t>
        </is>
      </c>
      <c r="B746" s="1" t="n">
        <v>45071</v>
      </c>
      <c r="C746" s="1" t="n">
        <v>46205</v>
      </c>
      <c r="D746" t="inlineStr">
        <is>
          <t>VÄSTERBOTTENS LÄN</t>
        </is>
      </c>
      <c r="E746" t="inlineStr">
        <is>
          <t>SKELLEFTEÅ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40036-2025</t>
        </is>
      </c>
      <c r="B747" s="1" t="n">
        <v>45894</v>
      </c>
      <c r="C747" s="1" t="n">
        <v>46205</v>
      </c>
      <c r="D747" t="inlineStr">
        <is>
          <t>VÄSTERBOTTENS LÄN</t>
        </is>
      </c>
      <c r="E747" t="inlineStr">
        <is>
          <t>SKELLEFTEÅ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61467-2022</t>
        </is>
      </c>
      <c r="B748" s="1" t="n">
        <v>44916</v>
      </c>
      <c r="C748" s="1" t="n">
        <v>46205</v>
      </c>
      <c r="D748" t="inlineStr">
        <is>
          <t>VÄSTERBOTTENS LÄN</t>
        </is>
      </c>
      <c r="E748" t="inlineStr">
        <is>
          <t>SKELLEFTEÅ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57362-2022</t>
        </is>
      </c>
      <c r="B749" s="1" t="n">
        <v>44896</v>
      </c>
      <c r="C749" s="1" t="n">
        <v>46205</v>
      </c>
      <c r="D749" t="inlineStr">
        <is>
          <t>VÄSTERBOTTENS LÄN</t>
        </is>
      </c>
      <c r="E749" t="inlineStr">
        <is>
          <t>SKELLEFTEÅ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47864-2025</t>
        </is>
      </c>
      <c r="B750" s="1" t="n">
        <v>45932</v>
      </c>
      <c r="C750" s="1" t="n">
        <v>46205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Kyrkan</t>
        </is>
      </c>
      <c r="G750" t="n">
        <v>10.8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48033-2025</t>
        </is>
      </c>
      <c r="B751" s="1" t="n">
        <v>45932</v>
      </c>
      <c r="C751" s="1" t="n">
        <v>46205</v>
      </c>
      <c r="D751" t="inlineStr">
        <is>
          <t>VÄSTERBOTTENS LÄN</t>
        </is>
      </c>
      <c r="E751" t="inlineStr">
        <is>
          <t>SKELLEFTEÅ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35887-2025</t>
        </is>
      </c>
      <c r="B752" s="1" t="n">
        <v>45862</v>
      </c>
      <c r="C752" s="1" t="n">
        <v>46205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46482-2024</t>
        </is>
      </c>
      <c r="B753" s="1" t="n">
        <v>45582</v>
      </c>
      <c r="C753" s="1" t="n">
        <v>46205</v>
      </c>
      <c r="D753" t="inlineStr">
        <is>
          <t>VÄSTERBOTTENS LÄN</t>
        </is>
      </c>
      <c r="E753" t="inlineStr">
        <is>
          <t>SKELLEFTEÅ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57057-2022</t>
        </is>
      </c>
      <c r="B754" s="1" t="n">
        <v>44895</v>
      </c>
      <c r="C754" s="1" t="n">
        <v>46205</v>
      </c>
      <c r="D754" t="inlineStr">
        <is>
          <t>VÄSTERBOTTENS LÄN</t>
        </is>
      </c>
      <c r="E754" t="inlineStr">
        <is>
          <t>SKELLEFTEÅ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1649-2026</t>
        </is>
      </c>
      <c r="B755" s="1" t="n">
        <v>46034</v>
      </c>
      <c r="C755" s="1" t="n">
        <v>46205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41320-2024</t>
        </is>
      </c>
      <c r="B756" s="1" t="n">
        <v>45559</v>
      </c>
      <c r="C756" s="1" t="n">
        <v>46205</v>
      </c>
      <c r="D756" t="inlineStr">
        <is>
          <t>VÄSTERBOTTENS LÄN</t>
        </is>
      </c>
      <c r="E756" t="inlineStr">
        <is>
          <t>SKELLEFTEÅ</t>
        </is>
      </c>
      <c r="G756" t="n">
        <v>24.7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48021-2025</t>
        </is>
      </c>
      <c r="B757" s="1" t="n">
        <v>45932</v>
      </c>
      <c r="C757" s="1" t="n">
        <v>46205</v>
      </c>
      <c r="D757" t="inlineStr">
        <is>
          <t>VÄSTERBOTTENS LÄN</t>
        </is>
      </c>
      <c r="E757" t="inlineStr">
        <is>
          <t>SKELLEFTEÅ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47674-2025</t>
        </is>
      </c>
      <c r="B758" s="1" t="n">
        <v>45931</v>
      </c>
      <c r="C758" s="1" t="n">
        <v>46205</v>
      </c>
      <c r="D758" t="inlineStr">
        <is>
          <t>VÄSTERBOTTENS LÄN</t>
        </is>
      </c>
      <c r="E758" t="inlineStr">
        <is>
          <t>SKELLEFTEÅ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3442-2026</t>
        </is>
      </c>
      <c r="B759" s="1" t="n">
        <v>46042</v>
      </c>
      <c r="C759" s="1" t="n">
        <v>46205</v>
      </c>
      <c r="D759" t="inlineStr">
        <is>
          <t>VÄSTERBOTTENS LÄN</t>
        </is>
      </c>
      <c r="E759" t="inlineStr">
        <is>
          <t>SKELLEFTEÅ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47813-2025</t>
        </is>
      </c>
      <c r="B760" s="1" t="n">
        <v>45932</v>
      </c>
      <c r="C760" s="1" t="n">
        <v>46205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Kyrkan</t>
        </is>
      </c>
      <c r="G760" t="n">
        <v>10.8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34615-2024</t>
        </is>
      </c>
      <c r="B761" s="1" t="n">
        <v>45526</v>
      </c>
      <c r="C761" s="1" t="n">
        <v>46205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47827-2025</t>
        </is>
      </c>
      <c r="B762" s="1" t="n">
        <v>45932</v>
      </c>
      <c r="C762" s="1" t="n">
        <v>46205</v>
      </c>
      <c r="D762" t="inlineStr">
        <is>
          <t>VÄSTERBOTTENS LÄN</t>
        </is>
      </c>
      <c r="E762" t="inlineStr">
        <is>
          <t>SKELLEFTEÅ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48722-2022</t>
        </is>
      </c>
      <c r="B763" s="1" t="n">
        <v>44855</v>
      </c>
      <c r="C763" s="1" t="n">
        <v>46205</v>
      </c>
      <c r="D763" t="inlineStr">
        <is>
          <t>VÄSTERBOTTENS LÄN</t>
        </is>
      </c>
      <c r="E763" t="inlineStr">
        <is>
          <t>SKELLEFTEÅ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48131-2025</t>
        </is>
      </c>
      <c r="B764" s="1" t="n">
        <v>45933</v>
      </c>
      <c r="C764" s="1" t="n">
        <v>46205</v>
      </c>
      <c r="D764" t="inlineStr">
        <is>
          <t>VÄSTERBOTTENS LÄN</t>
        </is>
      </c>
      <c r="E764" t="inlineStr">
        <is>
          <t>SKELLEFTEÅ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16156-2025</t>
        </is>
      </c>
      <c r="B765" s="1" t="n">
        <v>45750</v>
      </c>
      <c r="C765" s="1" t="n">
        <v>46205</v>
      </c>
      <c r="D765" t="inlineStr">
        <is>
          <t>VÄSTERBOTTENS LÄN</t>
        </is>
      </c>
      <c r="E765" t="inlineStr">
        <is>
          <t>SKELLEFTEÅ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55613-2023</t>
        </is>
      </c>
      <c r="B766" s="1" t="n">
        <v>45238</v>
      </c>
      <c r="C766" s="1" t="n">
        <v>46205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Sveaskog</t>
        </is>
      </c>
      <c r="G766" t="n">
        <v>9.699999999999999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36215-2025</t>
        </is>
      </c>
      <c r="B767" s="1" t="n">
        <v>45867</v>
      </c>
      <c r="C767" s="1" t="n">
        <v>46205</v>
      </c>
      <c r="D767" t="inlineStr">
        <is>
          <t>VÄSTERBOTTENS LÄN</t>
        </is>
      </c>
      <c r="E767" t="inlineStr">
        <is>
          <t>SKELLEFTEÅ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3404-2026</t>
        </is>
      </c>
      <c r="B768" s="1" t="n">
        <v>46042</v>
      </c>
      <c r="C768" s="1" t="n">
        <v>46205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Sveaskog</t>
        </is>
      </c>
      <c r="G768" t="n">
        <v>62.4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6286-2025</t>
        </is>
      </c>
      <c r="B769" s="1" t="n">
        <v>45698</v>
      </c>
      <c r="C769" s="1" t="n">
        <v>46205</v>
      </c>
      <c r="D769" t="inlineStr">
        <is>
          <t>VÄSTERBOTTENS LÄN</t>
        </is>
      </c>
      <c r="E769" t="inlineStr">
        <is>
          <t>SKELLEFTEÅ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60982-2024</t>
        </is>
      </c>
      <c r="B770" s="1" t="n">
        <v>45645</v>
      </c>
      <c r="C770" s="1" t="n">
        <v>46205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22351-2023</t>
        </is>
      </c>
      <c r="B771" s="1" t="n">
        <v>45068</v>
      </c>
      <c r="C771" s="1" t="n">
        <v>46205</v>
      </c>
      <c r="D771" t="inlineStr">
        <is>
          <t>VÄSTERBOTTENS LÄN</t>
        </is>
      </c>
      <c r="E771" t="inlineStr">
        <is>
          <t>SKELLEFTEÅ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48092-2025</t>
        </is>
      </c>
      <c r="B772" s="1" t="n">
        <v>45933</v>
      </c>
      <c r="C772" s="1" t="n">
        <v>46205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4447-2023</t>
        </is>
      </c>
      <c r="B773" s="1" t="n">
        <v>44951</v>
      </c>
      <c r="C773" s="1" t="n">
        <v>46205</v>
      </c>
      <c r="D773" t="inlineStr">
        <is>
          <t>VÄSTERBOTTENS LÄN</t>
        </is>
      </c>
      <c r="E773" t="inlineStr">
        <is>
          <t>SKELLEFTEÅ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4458-2023</t>
        </is>
      </c>
      <c r="B774" s="1" t="n">
        <v>44952</v>
      </c>
      <c r="C774" s="1" t="n">
        <v>46205</v>
      </c>
      <c r="D774" t="inlineStr">
        <is>
          <t>VÄSTERBOTTENS LÄN</t>
        </is>
      </c>
      <c r="E774" t="inlineStr">
        <is>
          <t>SKELLEFTEÅ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48226-2025</t>
        </is>
      </c>
      <c r="B775" s="1" t="n">
        <v>45933</v>
      </c>
      <c r="C775" s="1" t="n">
        <v>46205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36903-2025</t>
        </is>
      </c>
      <c r="B776" s="1" t="n">
        <v>45874</v>
      </c>
      <c r="C776" s="1" t="n">
        <v>46205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Sveaskog</t>
        </is>
      </c>
      <c r="G776" t="n">
        <v>20.5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36888-2025</t>
        </is>
      </c>
      <c r="B777" s="1" t="n">
        <v>45874</v>
      </c>
      <c r="C777" s="1" t="n">
        <v>46205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36762-2025</t>
        </is>
      </c>
      <c r="B778" s="1" t="n">
        <v>45873</v>
      </c>
      <c r="C778" s="1" t="n">
        <v>46205</v>
      </c>
      <c r="D778" t="inlineStr">
        <is>
          <t>VÄSTERBOTTENS LÄN</t>
        </is>
      </c>
      <c r="E778" t="inlineStr">
        <is>
          <t>SKELLEFTEÅ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36925-2025</t>
        </is>
      </c>
      <c r="B779" s="1" t="n">
        <v>45874</v>
      </c>
      <c r="C779" s="1" t="n">
        <v>46205</v>
      </c>
      <c r="D779" t="inlineStr">
        <is>
          <t>VÄSTERBOTTENS LÄN</t>
        </is>
      </c>
      <c r="E779" t="inlineStr">
        <is>
          <t>SKELLEFTEÅ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36848-2025</t>
        </is>
      </c>
      <c r="B780" s="1" t="n">
        <v>45874</v>
      </c>
      <c r="C780" s="1" t="n">
        <v>46205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26545-2022</t>
        </is>
      </c>
      <c r="B781" s="1" t="n">
        <v>44739</v>
      </c>
      <c r="C781" s="1" t="n">
        <v>46205</v>
      </c>
      <c r="D781" t="inlineStr">
        <is>
          <t>VÄSTERBOTTENS LÄN</t>
        </is>
      </c>
      <c r="E781" t="inlineStr">
        <is>
          <t>SKELLEFTEÅ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36761-2025</t>
        </is>
      </c>
      <c r="B782" s="1" t="n">
        <v>45873</v>
      </c>
      <c r="C782" s="1" t="n">
        <v>46205</v>
      </c>
      <c r="D782" t="inlineStr">
        <is>
          <t>VÄSTERBOTTENS LÄN</t>
        </is>
      </c>
      <c r="E782" t="inlineStr">
        <is>
          <t>SKELLEFTEÅ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48960-2025</t>
        </is>
      </c>
      <c r="B783" s="1" t="n">
        <v>45937</v>
      </c>
      <c r="C783" s="1" t="n">
        <v>46205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26999-2022</t>
        </is>
      </c>
      <c r="B784" s="1" t="n">
        <v>44740</v>
      </c>
      <c r="C784" s="1" t="n">
        <v>46205</v>
      </c>
      <c r="D784" t="inlineStr">
        <is>
          <t>VÄSTERBOTTENS LÄN</t>
        </is>
      </c>
      <c r="E784" t="inlineStr">
        <is>
          <t>SKELLEFTEÅ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20245-2025</t>
        </is>
      </c>
      <c r="B785" s="1" t="n">
        <v>45772</v>
      </c>
      <c r="C785" s="1" t="n">
        <v>46205</v>
      </c>
      <c r="D785" t="inlineStr">
        <is>
          <t>VÄSTERBOTTENS LÄN</t>
        </is>
      </c>
      <c r="E785" t="inlineStr">
        <is>
          <t>SKELLEFTEÅ</t>
        </is>
      </c>
      <c r="G785" t="n">
        <v>14.1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49126-2025</t>
        </is>
      </c>
      <c r="B786" s="1" t="n">
        <v>45937</v>
      </c>
      <c r="C786" s="1" t="n">
        <v>46205</v>
      </c>
      <c r="D786" t="inlineStr">
        <is>
          <t>VÄSTERBOTTENS LÄN</t>
        </is>
      </c>
      <c r="E786" t="inlineStr">
        <is>
          <t>SKELLEFTEÅ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49184-2025</t>
        </is>
      </c>
      <c r="B787" s="1" t="n">
        <v>45938</v>
      </c>
      <c r="C787" s="1" t="n">
        <v>46205</v>
      </c>
      <c r="D787" t="inlineStr">
        <is>
          <t>VÄSTERBOTTENS LÄN</t>
        </is>
      </c>
      <c r="E787" t="inlineStr">
        <is>
          <t>SKELLEFTEÅ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49683-2025</t>
        </is>
      </c>
      <c r="B788" s="1" t="n">
        <v>45939</v>
      </c>
      <c r="C788" s="1" t="n">
        <v>46205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36763-2025</t>
        </is>
      </c>
      <c r="B789" s="1" t="n">
        <v>45873</v>
      </c>
      <c r="C789" s="1" t="n">
        <v>46205</v>
      </c>
      <c r="D789" t="inlineStr">
        <is>
          <t>VÄSTERBOTTENS LÄN</t>
        </is>
      </c>
      <c r="E789" t="inlineStr">
        <is>
          <t>SKELLEFTEÅ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49841-2025</t>
        </is>
      </c>
      <c r="B790" s="1" t="n">
        <v>45940</v>
      </c>
      <c r="C790" s="1" t="n">
        <v>46205</v>
      </c>
      <c r="D790" t="inlineStr">
        <is>
          <t>VÄSTERBOTTENS LÄN</t>
        </is>
      </c>
      <c r="E790" t="inlineStr">
        <is>
          <t>SKELLEFTEÅ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36640-2025</t>
        </is>
      </c>
      <c r="B791" s="1" t="n">
        <v>45871</v>
      </c>
      <c r="C791" s="1" t="n">
        <v>46205</v>
      </c>
      <c r="D791" t="inlineStr">
        <is>
          <t>VÄSTERBOTTENS LÄN</t>
        </is>
      </c>
      <c r="E791" t="inlineStr">
        <is>
          <t>SKELLEFTEÅ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49461-2025</t>
        </is>
      </c>
      <c r="B792" s="1" t="n">
        <v>45939</v>
      </c>
      <c r="C792" s="1" t="n">
        <v>46205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49839-2025</t>
        </is>
      </c>
      <c r="B793" s="1" t="n">
        <v>45940</v>
      </c>
      <c r="C793" s="1" t="n">
        <v>46205</v>
      </c>
      <c r="D793" t="inlineStr">
        <is>
          <t>VÄSTERBOTTENS LÄN</t>
        </is>
      </c>
      <c r="E793" t="inlineStr">
        <is>
          <t>SKELLEFTEÅ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40798-2024</t>
        </is>
      </c>
      <c r="B794" s="1" t="n">
        <v>45558</v>
      </c>
      <c r="C794" s="1" t="n">
        <v>46205</v>
      </c>
      <c r="D794" t="inlineStr">
        <is>
          <t>VÄSTERBOTTENS LÄN</t>
        </is>
      </c>
      <c r="E794" t="inlineStr">
        <is>
          <t>SKELLEFTEÅ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37318-2025</t>
        </is>
      </c>
      <c r="B795" s="1" t="n">
        <v>45876</v>
      </c>
      <c r="C795" s="1" t="n">
        <v>46205</v>
      </c>
      <c r="D795" t="inlineStr">
        <is>
          <t>VÄSTERBOTTENS LÄN</t>
        </is>
      </c>
      <c r="E795" t="inlineStr">
        <is>
          <t>SKELLEFTEÅ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37322-2025</t>
        </is>
      </c>
      <c r="B796" s="1" t="n">
        <v>45876</v>
      </c>
      <c r="C796" s="1" t="n">
        <v>46205</v>
      </c>
      <c r="D796" t="inlineStr">
        <is>
          <t>VÄSTERBOTTENS LÄN</t>
        </is>
      </c>
      <c r="E796" t="inlineStr">
        <is>
          <t>SKELLEFTEÅ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49840-2025</t>
        </is>
      </c>
      <c r="B797" s="1" t="n">
        <v>45940</v>
      </c>
      <c r="C797" s="1" t="n">
        <v>46205</v>
      </c>
      <c r="D797" t="inlineStr">
        <is>
          <t>VÄSTERBOTTENS LÄN</t>
        </is>
      </c>
      <c r="E797" t="inlineStr">
        <is>
          <t>SKELLEFTEÅ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11642-2023</t>
        </is>
      </c>
      <c r="B798" s="1" t="n">
        <v>44994</v>
      </c>
      <c r="C798" s="1" t="n">
        <v>46205</v>
      </c>
      <c r="D798" t="inlineStr">
        <is>
          <t>VÄSTERBOTTENS LÄN</t>
        </is>
      </c>
      <c r="E798" t="inlineStr">
        <is>
          <t>SKELLEFTEÅ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37313-2025</t>
        </is>
      </c>
      <c r="B799" s="1" t="n">
        <v>45876</v>
      </c>
      <c r="C799" s="1" t="n">
        <v>46205</v>
      </c>
      <c r="D799" t="inlineStr">
        <is>
          <t>VÄSTERBOTTENS LÄN</t>
        </is>
      </c>
      <c r="E799" t="inlineStr">
        <is>
          <t>SKELLEFTEÅ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1249-2025</t>
        </is>
      </c>
      <c r="B800" s="1" t="n">
        <v>45667</v>
      </c>
      <c r="C800" s="1" t="n">
        <v>46205</v>
      </c>
      <c r="D800" t="inlineStr">
        <is>
          <t>VÄSTERBOTTENS LÄN</t>
        </is>
      </c>
      <c r="E800" t="inlineStr">
        <is>
          <t>SKELLEFTEÅ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37429-2025</t>
        </is>
      </c>
      <c r="B801" s="1" t="n">
        <v>45877</v>
      </c>
      <c r="C801" s="1" t="n">
        <v>46205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13.4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49844-2024</t>
        </is>
      </c>
      <c r="B802" s="1" t="n">
        <v>45597</v>
      </c>
      <c r="C802" s="1" t="n">
        <v>46205</v>
      </c>
      <c r="D802" t="inlineStr">
        <is>
          <t>VÄSTERBOTTENS LÄN</t>
        </is>
      </c>
      <c r="E802" t="inlineStr">
        <is>
          <t>SKELLEFTEÅ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50894-2024</t>
        </is>
      </c>
      <c r="B803" s="1" t="n">
        <v>45602</v>
      </c>
      <c r="C803" s="1" t="n">
        <v>46205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Sveaskog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50037-2025</t>
        </is>
      </c>
      <c r="B804" s="1" t="n">
        <v>45943</v>
      </c>
      <c r="C804" s="1" t="n">
        <v>46205</v>
      </c>
      <c r="D804" t="inlineStr">
        <is>
          <t>VÄSTERBOTTENS LÄN</t>
        </is>
      </c>
      <c r="E804" t="inlineStr">
        <is>
          <t>SKELLEFTEÅ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47874-2025</t>
        </is>
      </c>
      <c r="B805" s="1" t="n">
        <v>45932</v>
      </c>
      <c r="C805" s="1" t="n">
        <v>46205</v>
      </c>
      <c r="D805" t="inlineStr">
        <is>
          <t>VÄSTERBOTTENS LÄN</t>
        </is>
      </c>
      <c r="E805" t="inlineStr">
        <is>
          <t>SKELLEFTEÅ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50061-2025</t>
        </is>
      </c>
      <c r="B806" s="1" t="n">
        <v>45943</v>
      </c>
      <c r="C806" s="1" t="n">
        <v>46205</v>
      </c>
      <c r="D806" t="inlineStr">
        <is>
          <t>VÄSTERBOTTENS LÄN</t>
        </is>
      </c>
      <c r="E806" t="inlineStr">
        <is>
          <t>SKELLEFTEÅ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50166-2025</t>
        </is>
      </c>
      <c r="B807" s="1" t="n">
        <v>45943</v>
      </c>
      <c r="C807" s="1" t="n">
        <v>46205</v>
      </c>
      <c r="D807" t="inlineStr">
        <is>
          <t>VÄSTERBOTTENS LÄN</t>
        </is>
      </c>
      <c r="E807" t="inlineStr">
        <is>
          <t>SKELLEFTEÅ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50381-2025</t>
        </is>
      </c>
      <c r="B808" s="1" t="n">
        <v>45944</v>
      </c>
      <c r="C808" s="1" t="n">
        <v>46205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10.5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49970-2025</t>
        </is>
      </c>
      <c r="B809" s="1" t="n">
        <v>45941</v>
      </c>
      <c r="C809" s="1" t="n">
        <v>46205</v>
      </c>
      <c r="D809" t="inlineStr">
        <is>
          <t>VÄSTERBOTTENS LÄN</t>
        </is>
      </c>
      <c r="E809" t="inlineStr">
        <is>
          <t>SKELLEFTEÅ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18564-2024</t>
        </is>
      </c>
      <c r="B810" s="1" t="n">
        <v>45425</v>
      </c>
      <c r="C810" s="1" t="n">
        <v>46205</v>
      </c>
      <c r="D810" t="inlineStr">
        <is>
          <t>VÄSTERBOTTENS LÄN</t>
        </is>
      </c>
      <c r="E810" t="inlineStr">
        <is>
          <t>SKELLEFTEÅ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50158-2025</t>
        </is>
      </c>
      <c r="B811" s="1" t="n">
        <v>45943</v>
      </c>
      <c r="C811" s="1" t="n">
        <v>46205</v>
      </c>
      <c r="D811" t="inlineStr">
        <is>
          <t>VÄSTERBOTTENS LÄN</t>
        </is>
      </c>
      <c r="E811" t="inlineStr">
        <is>
          <t>SKELLEFTEÅ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49971-2025</t>
        </is>
      </c>
      <c r="B812" s="1" t="n">
        <v>45941</v>
      </c>
      <c r="C812" s="1" t="n">
        <v>46205</v>
      </c>
      <c r="D812" t="inlineStr">
        <is>
          <t>VÄSTERBOTTENS LÄN</t>
        </is>
      </c>
      <c r="E812" t="inlineStr">
        <is>
          <t>SKELLEFTEÅ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37689-2025</t>
        </is>
      </c>
      <c r="B813" s="1" t="n">
        <v>45880</v>
      </c>
      <c r="C813" s="1" t="n">
        <v>46205</v>
      </c>
      <c r="D813" t="inlineStr">
        <is>
          <t>VÄSTERBOTTENS LÄN</t>
        </is>
      </c>
      <c r="E813" t="inlineStr">
        <is>
          <t>SKELLEFTEÅ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37702-2025</t>
        </is>
      </c>
      <c r="B814" s="1" t="n">
        <v>45880</v>
      </c>
      <c r="C814" s="1" t="n">
        <v>46205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3193-2025</t>
        </is>
      </c>
      <c r="B815" s="1" t="n">
        <v>45679</v>
      </c>
      <c r="C815" s="1" t="n">
        <v>46205</v>
      </c>
      <c r="D815" t="inlineStr">
        <is>
          <t>VÄSTERBOTTENS LÄN</t>
        </is>
      </c>
      <c r="E815" t="inlineStr">
        <is>
          <t>SKELLEFTEÅ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50235-2025</t>
        </is>
      </c>
      <c r="B816" s="1" t="n">
        <v>45943</v>
      </c>
      <c r="C816" s="1" t="n">
        <v>46205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Sveaskog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65206-2023</t>
        </is>
      </c>
      <c r="B817" s="1" t="n">
        <v>45289</v>
      </c>
      <c r="C817" s="1" t="n">
        <v>46205</v>
      </c>
      <c r="D817" t="inlineStr">
        <is>
          <t>VÄSTERBOTTENS LÄN</t>
        </is>
      </c>
      <c r="E817" t="inlineStr">
        <is>
          <t>SKELLEFTEÅ</t>
        </is>
      </c>
      <c r="G817" t="n">
        <v>19.2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24079-2025</t>
        </is>
      </c>
      <c r="B818" s="1" t="n">
        <v>45796</v>
      </c>
      <c r="C818" s="1" t="n">
        <v>46205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30432-2025</t>
        </is>
      </c>
      <c r="B819" s="1" t="n">
        <v>45827</v>
      </c>
      <c r="C819" s="1" t="n">
        <v>46205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10287-2025</t>
        </is>
      </c>
      <c r="B820" s="1" t="n">
        <v>45720</v>
      </c>
      <c r="C820" s="1" t="n">
        <v>46205</v>
      </c>
      <c r="D820" t="inlineStr">
        <is>
          <t>VÄSTERBOTTENS LÄN</t>
        </is>
      </c>
      <c r="E820" t="inlineStr">
        <is>
          <t>SKELLEFTEÅ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8658-2025</t>
        </is>
      </c>
      <c r="B821" s="1" t="n">
        <v>45712</v>
      </c>
      <c r="C821" s="1" t="n">
        <v>46205</v>
      </c>
      <c r="D821" t="inlineStr">
        <is>
          <t>VÄSTERBOTTENS LÄN</t>
        </is>
      </c>
      <c r="E821" t="inlineStr">
        <is>
          <t>SKELLEFTEÅ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8689-2025</t>
        </is>
      </c>
      <c r="B822" s="1" t="n">
        <v>45712</v>
      </c>
      <c r="C822" s="1" t="n">
        <v>46205</v>
      </c>
      <c r="D822" t="inlineStr">
        <is>
          <t>VÄSTERBOTTENS LÄN</t>
        </is>
      </c>
      <c r="E822" t="inlineStr">
        <is>
          <t>SKELLEFTEÅ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50060-2025</t>
        </is>
      </c>
      <c r="B823" s="1" t="n">
        <v>45943</v>
      </c>
      <c r="C823" s="1" t="n">
        <v>46205</v>
      </c>
      <c r="D823" t="inlineStr">
        <is>
          <t>VÄSTERBOTTENS LÄN</t>
        </is>
      </c>
      <c r="E823" t="inlineStr">
        <is>
          <t>SKELLEFTEÅ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38070-2025</t>
        </is>
      </c>
      <c r="B824" s="1" t="n">
        <v>45882</v>
      </c>
      <c r="C824" s="1" t="n">
        <v>46205</v>
      </c>
      <c r="D824" t="inlineStr">
        <is>
          <t>VÄSTERBOTTENS LÄN</t>
        </is>
      </c>
      <c r="E824" t="inlineStr">
        <is>
          <t>SKELLEFTEÅ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38004-2025</t>
        </is>
      </c>
      <c r="B825" s="1" t="n">
        <v>45881</v>
      </c>
      <c r="C825" s="1" t="n">
        <v>46205</v>
      </c>
      <c r="D825" t="inlineStr">
        <is>
          <t>VÄSTERBOTTENS LÄN</t>
        </is>
      </c>
      <c r="E825" t="inlineStr">
        <is>
          <t>SKELLEFTEÅ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50848-2025</t>
        </is>
      </c>
      <c r="B826" s="1" t="n">
        <v>45946</v>
      </c>
      <c r="C826" s="1" t="n">
        <v>46205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Holmen skog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37900-2025</t>
        </is>
      </c>
      <c r="B827" s="1" t="n">
        <v>45881</v>
      </c>
      <c r="C827" s="1" t="n">
        <v>46205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Holmen skog AB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50693-2025</t>
        </is>
      </c>
      <c r="B828" s="1" t="n">
        <v>45945</v>
      </c>
      <c r="C828" s="1" t="n">
        <v>46205</v>
      </c>
      <c r="D828" t="inlineStr">
        <is>
          <t>VÄSTERBOTTENS LÄN</t>
        </is>
      </c>
      <c r="E828" t="inlineStr">
        <is>
          <t>SKELLEFTEÅ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50882-2025</t>
        </is>
      </c>
      <c r="B829" s="1" t="n">
        <v>45946</v>
      </c>
      <c r="C829" s="1" t="n">
        <v>46205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37962-2025</t>
        </is>
      </c>
      <c r="B830" s="1" t="n">
        <v>45881</v>
      </c>
      <c r="C830" s="1" t="n">
        <v>46205</v>
      </c>
      <c r="D830" t="inlineStr">
        <is>
          <t>VÄSTERBOTTENS LÄN</t>
        </is>
      </c>
      <c r="E830" t="inlineStr">
        <is>
          <t>SKELLEFTEÅ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27028-2022</t>
        </is>
      </c>
      <c r="B831" s="1" t="n">
        <v>44740</v>
      </c>
      <c r="C831" s="1" t="n">
        <v>46205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SCA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35491-2022</t>
        </is>
      </c>
      <c r="B832" s="1" t="n">
        <v>44798</v>
      </c>
      <c r="C832" s="1" t="n">
        <v>46205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51420-2025</t>
        </is>
      </c>
      <c r="B833" s="1" t="n">
        <v>45950</v>
      </c>
      <c r="C833" s="1" t="n">
        <v>46205</v>
      </c>
      <c r="D833" t="inlineStr">
        <is>
          <t>VÄSTERBOTTENS LÄN</t>
        </is>
      </c>
      <c r="E833" t="inlineStr">
        <is>
          <t>SKELLEFTEÅ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51438-2025</t>
        </is>
      </c>
      <c r="B834" s="1" t="n">
        <v>45950</v>
      </c>
      <c r="C834" s="1" t="n">
        <v>46205</v>
      </c>
      <c r="D834" t="inlineStr">
        <is>
          <t>VÄSTERBOTTENS LÄN</t>
        </is>
      </c>
      <c r="E834" t="inlineStr">
        <is>
          <t>SKELLEFTEÅ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4084-2026</t>
        </is>
      </c>
      <c r="B835" s="1" t="n">
        <v>46044</v>
      </c>
      <c r="C835" s="1" t="n">
        <v>46205</v>
      </c>
      <c r="D835" t="inlineStr">
        <is>
          <t>VÄSTERBOTTENS LÄN</t>
        </is>
      </c>
      <c r="E835" t="inlineStr">
        <is>
          <t>SKELLEFTEÅ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57003-2024</t>
        </is>
      </c>
      <c r="B836" s="1" t="n">
        <v>45628</v>
      </c>
      <c r="C836" s="1" t="n">
        <v>46205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38539-2025</t>
        </is>
      </c>
      <c r="B837" s="1" t="n">
        <v>45884</v>
      </c>
      <c r="C837" s="1" t="n">
        <v>46205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Holmen skog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51216-2025</t>
        </is>
      </c>
      <c r="B838" s="1" t="n">
        <v>45947</v>
      </c>
      <c r="C838" s="1" t="n">
        <v>46205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13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1746-2025</t>
        </is>
      </c>
      <c r="B839" s="1" t="n">
        <v>45671</v>
      </c>
      <c r="C839" s="1" t="n">
        <v>46205</v>
      </c>
      <c r="D839" t="inlineStr">
        <is>
          <t>VÄSTERBOTTENS LÄN</t>
        </is>
      </c>
      <c r="E839" t="inlineStr">
        <is>
          <t>SKELLEFTEÅ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62599-2023</t>
        </is>
      </c>
      <c r="B840" s="1" t="n">
        <v>45267</v>
      </c>
      <c r="C840" s="1" t="n">
        <v>46205</v>
      </c>
      <c r="D840" t="inlineStr">
        <is>
          <t>VÄSTERBOTTENS LÄN</t>
        </is>
      </c>
      <c r="E840" t="inlineStr">
        <is>
          <t>SKELLEFTEÅ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62601-2023</t>
        </is>
      </c>
      <c r="B841" s="1" t="n">
        <v>45267</v>
      </c>
      <c r="C841" s="1" t="n">
        <v>46205</v>
      </c>
      <c r="D841" t="inlineStr">
        <is>
          <t>VÄSTERBOTTENS LÄN</t>
        </is>
      </c>
      <c r="E841" t="inlineStr">
        <is>
          <t>SKELLEFTEÅ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38661-2025</t>
        </is>
      </c>
      <c r="B842" s="1" t="n">
        <v>45884</v>
      </c>
      <c r="C842" s="1" t="n">
        <v>46205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4075-2026</t>
        </is>
      </c>
      <c r="B843" s="1" t="n">
        <v>46044</v>
      </c>
      <c r="C843" s="1" t="n">
        <v>46205</v>
      </c>
      <c r="D843" t="inlineStr">
        <is>
          <t>VÄSTERBOTTENS LÄN</t>
        </is>
      </c>
      <c r="E843" t="inlineStr">
        <is>
          <t>SKELLEFTEÅ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52509-2024</t>
        </is>
      </c>
      <c r="B844" s="1" t="n">
        <v>45609</v>
      </c>
      <c r="C844" s="1" t="n">
        <v>46205</v>
      </c>
      <c r="D844" t="inlineStr">
        <is>
          <t>VÄSTERBOTTENS LÄN</t>
        </is>
      </c>
      <c r="E844" t="inlineStr">
        <is>
          <t>SKELLEFTEÅ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38694-2025</t>
        </is>
      </c>
      <c r="B845" s="1" t="n">
        <v>45884</v>
      </c>
      <c r="C845" s="1" t="n">
        <v>46205</v>
      </c>
      <c r="D845" t="inlineStr">
        <is>
          <t>VÄSTERBOTTENS LÄN</t>
        </is>
      </c>
      <c r="E845" t="inlineStr">
        <is>
          <t>SKELLEFTEÅ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56806-2024</t>
        </is>
      </c>
      <c r="B846" s="1" t="n">
        <v>45628</v>
      </c>
      <c r="C846" s="1" t="n">
        <v>46205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60498-2022</t>
        </is>
      </c>
      <c r="B847" s="1" t="n">
        <v>44911</v>
      </c>
      <c r="C847" s="1" t="n">
        <v>46205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21.2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51250-2025</t>
        </is>
      </c>
      <c r="B848" s="1" t="n">
        <v>45948</v>
      </c>
      <c r="C848" s="1" t="n">
        <v>46205</v>
      </c>
      <c r="D848" t="inlineStr">
        <is>
          <t>VÄSTERBOTTENS LÄN</t>
        </is>
      </c>
      <c r="E848" t="inlineStr">
        <is>
          <t>SKELLEFTEÅ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51021-2025</t>
        </is>
      </c>
      <c r="B849" s="1" t="n">
        <v>45947</v>
      </c>
      <c r="C849" s="1" t="n">
        <v>46205</v>
      </c>
      <c r="D849" t="inlineStr">
        <is>
          <t>VÄSTERBOTTENS LÄN</t>
        </is>
      </c>
      <c r="E849" t="inlineStr">
        <is>
          <t>SKELLEFTEÅ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51502-2025</t>
        </is>
      </c>
      <c r="B850" s="1" t="n">
        <v>45950</v>
      </c>
      <c r="C850" s="1" t="n">
        <v>46205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3746-2026</t>
        </is>
      </c>
      <c r="B851" s="1" t="n">
        <v>46043</v>
      </c>
      <c r="C851" s="1" t="n">
        <v>46205</v>
      </c>
      <c r="D851" t="inlineStr">
        <is>
          <t>VÄSTERBOTTENS LÄN</t>
        </is>
      </c>
      <c r="E851" t="inlineStr">
        <is>
          <t>SKELLEFTEÅ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51573-2025</t>
        </is>
      </c>
      <c r="B852" s="1" t="n">
        <v>45951</v>
      </c>
      <c r="C852" s="1" t="n">
        <v>46205</v>
      </c>
      <c r="D852" t="inlineStr">
        <is>
          <t>VÄSTERBOTTENS LÄN</t>
        </is>
      </c>
      <c r="E852" t="inlineStr">
        <is>
          <t>SKELLEFTEÅ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46048-2024</t>
        </is>
      </c>
      <c r="B853" s="1" t="n">
        <v>45580</v>
      </c>
      <c r="C853" s="1" t="n">
        <v>46205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Sveaskog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4069-2026</t>
        </is>
      </c>
      <c r="B854" s="1" t="n">
        <v>46044</v>
      </c>
      <c r="C854" s="1" t="n">
        <v>46205</v>
      </c>
      <c r="D854" t="inlineStr">
        <is>
          <t>VÄSTERBOTTENS LÄN</t>
        </is>
      </c>
      <c r="E854" t="inlineStr">
        <is>
          <t>SKELLEFTEÅ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38214-2025</t>
        </is>
      </c>
      <c r="B855" s="1" t="n">
        <v>45883</v>
      </c>
      <c r="C855" s="1" t="n">
        <v>46205</v>
      </c>
      <c r="D855" t="inlineStr">
        <is>
          <t>VÄSTERBOTTENS LÄN</t>
        </is>
      </c>
      <c r="E855" t="inlineStr">
        <is>
          <t>SKELLEFTEÅ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57186-2024</t>
        </is>
      </c>
      <c r="B856" s="1" t="n">
        <v>45629</v>
      </c>
      <c r="C856" s="1" t="n">
        <v>46205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56154-2024</t>
        </is>
      </c>
      <c r="B857" s="1" t="n">
        <v>45623</v>
      </c>
      <c r="C857" s="1" t="n">
        <v>46205</v>
      </c>
      <c r="D857" t="inlineStr">
        <is>
          <t>VÄSTERBOTTENS LÄN</t>
        </is>
      </c>
      <c r="E857" t="inlineStr">
        <is>
          <t>SKELLEFTEÅ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52095-2025</t>
        </is>
      </c>
      <c r="B858" s="1" t="n">
        <v>45952</v>
      </c>
      <c r="C858" s="1" t="n">
        <v>46205</v>
      </c>
      <c r="D858" t="inlineStr">
        <is>
          <t>VÄSTERBOTTENS LÄN</t>
        </is>
      </c>
      <c r="E858" t="inlineStr">
        <is>
          <t>SKELLEFTEÅ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52037-2025</t>
        </is>
      </c>
      <c r="B859" s="1" t="n">
        <v>45952</v>
      </c>
      <c r="C859" s="1" t="n">
        <v>46205</v>
      </c>
      <c r="D859" t="inlineStr">
        <is>
          <t>VÄSTERBOTTENS LÄN</t>
        </is>
      </c>
      <c r="E859" t="inlineStr">
        <is>
          <t>SKELLEFTEÅ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52039-2025</t>
        </is>
      </c>
      <c r="B860" s="1" t="n">
        <v>45952</v>
      </c>
      <c r="C860" s="1" t="n">
        <v>46205</v>
      </c>
      <c r="D860" t="inlineStr">
        <is>
          <t>VÄSTERBOTTENS LÄN</t>
        </is>
      </c>
      <c r="E860" t="inlineStr">
        <is>
          <t>SKELLEFTEÅ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52042-2025</t>
        </is>
      </c>
      <c r="B861" s="1" t="n">
        <v>45952</v>
      </c>
      <c r="C861" s="1" t="n">
        <v>46205</v>
      </c>
      <c r="D861" t="inlineStr">
        <is>
          <t>VÄSTERBOTTENS LÄN</t>
        </is>
      </c>
      <c r="E861" t="inlineStr">
        <is>
          <t>SKELLEFTEÅ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51977-2025</t>
        </is>
      </c>
      <c r="B862" s="1" t="n">
        <v>45952</v>
      </c>
      <c r="C862" s="1" t="n">
        <v>46205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3827-2026</t>
        </is>
      </c>
      <c r="B863" s="1" t="n">
        <v>46043</v>
      </c>
      <c r="C863" s="1" t="n">
        <v>46205</v>
      </c>
      <c r="D863" t="inlineStr">
        <is>
          <t>VÄSTERBOTTENS LÄN</t>
        </is>
      </c>
      <c r="E863" t="inlineStr">
        <is>
          <t>SKELLEFTEÅ</t>
        </is>
      </c>
      <c r="G863" t="n">
        <v>10.8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52038-2025</t>
        </is>
      </c>
      <c r="B864" s="1" t="n">
        <v>45952</v>
      </c>
      <c r="C864" s="1" t="n">
        <v>46205</v>
      </c>
      <c r="D864" t="inlineStr">
        <is>
          <t>VÄSTERBOTTENS LÄN</t>
        </is>
      </c>
      <c r="E864" t="inlineStr">
        <is>
          <t>SKELLEFTEÅ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3814-2026</t>
        </is>
      </c>
      <c r="B865" s="1" t="n">
        <v>46043</v>
      </c>
      <c r="C865" s="1" t="n">
        <v>46205</v>
      </c>
      <c r="D865" t="inlineStr">
        <is>
          <t>VÄSTERBOTTENS LÄN</t>
        </is>
      </c>
      <c r="E865" t="inlineStr">
        <is>
          <t>SKELLEFTEÅ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10825-2024</t>
        </is>
      </c>
      <c r="B866" s="1" t="n">
        <v>45369</v>
      </c>
      <c r="C866" s="1" t="n">
        <v>46205</v>
      </c>
      <c r="D866" t="inlineStr">
        <is>
          <t>VÄSTERBOTTENS LÄN</t>
        </is>
      </c>
      <c r="E866" t="inlineStr">
        <is>
          <t>SKELLEFTEÅ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51630-2025</t>
        </is>
      </c>
      <c r="B867" s="1" t="n">
        <v>45951</v>
      </c>
      <c r="C867" s="1" t="n">
        <v>46205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51665-2025</t>
        </is>
      </c>
      <c r="B868" s="1" t="n">
        <v>45951</v>
      </c>
      <c r="C868" s="1" t="n">
        <v>46205</v>
      </c>
      <c r="D868" t="inlineStr">
        <is>
          <t>VÄSTERBOTTENS LÄN</t>
        </is>
      </c>
      <c r="E868" t="inlineStr">
        <is>
          <t>SKELLEFTEÅ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51594-2025</t>
        </is>
      </c>
      <c r="B869" s="1" t="n">
        <v>45951</v>
      </c>
      <c r="C869" s="1" t="n">
        <v>46205</v>
      </c>
      <c r="D869" t="inlineStr">
        <is>
          <t>VÄSTERBOTTENS LÄN</t>
        </is>
      </c>
      <c r="E869" t="inlineStr">
        <is>
          <t>SKELLEFTEÅ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3993-2026</t>
        </is>
      </c>
      <c r="B870" s="1" t="n">
        <v>46044</v>
      </c>
      <c r="C870" s="1" t="n">
        <v>46205</v>
      </c>
      <c r="D870" t="inlineStr">
        <is>
          <t>VÄSTERBOTTENS LÄN</t>
        </is>
      </c>
      <c r="E870" t="inlineStr">
        <is>
          <t>SKELLEFTEÅ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57199-2024</t>
        </is>
      </c>
      <c r="B871" s="1" t="n">
        <v>45628</v>
      </c>
      <c r="C871" s="1" t="n">
        <v>46205</v>
      </c>
      <c r="D871" t="inlineStr">
        <is>
          <t>VÄSTERBOTTENS LÄN</t>
        </is>
      </c>
      <c r="E871" t="inlineStr">
        <is>
          <t>SKELLEFTEÅ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52009-2025</t>
        </is>
      </c>
      <c r="B872" s="1" t="n">
        <v>45952</v>
      </c>
      <c r="C872" s="1" t="n">
        <v>46205</v>
      </c>
      <c r="D872" t="inlineStr">
        <is>
          <t>VÄSTERBOTTENS LÄN</t>
        </is>
      </c>
      <c r="E872" t="inlineStr">
        <is>
          <t>SKELLEFTEÅ</t>
        </is>
      </c>
      <c r="G872" t="n">
        <v>10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51934-2025</t>
        </is>
      </c>
      <c r="B873" s="1" t="n">
        <v>45952</v>
      </c>
      <c r="C873" s="1" t="n">
        <v>46205</v>
      </c>
      <c r="D873" t="inlineStr">
        <is>
          <t>VÄSTERBOTTENS LÄN</t>
        </is>
      </c>
      <c r="E873" t="inlineStr">
        <is>
          <t>SKELLEFTEÅ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52040-2025</t>
        </is>
      </c>
      <c r="B874" s="1" t="n">
        <v>45952</v>
      </c>
      <c r="C874" s="1" t="n">
        <v>46205</v>
      </c>
      <c r="D874" t="inlineStr">
        <is>
          <t>VÄSTERBOTTENS LÄN</t>
        </is>
      </c>
      <c r="E874" t="inlineStr">
        <is>
          <t>SKELLEFTEÅ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52041-2025</t>
        </is>
      </c>
      <c r="B875" s="1" t="n">
        <v>45952</v>
      </c>
      <c r="C875" s="1" t="n">
        <v>46205</v>
      </c>
      <c r="D875" t="inlineStr">
        <is>
          <t>VÄSTERBOTTENS LÄN</t>
        </is>
      </c>
      <c r="E875" t="inlineStr">
        <is>
          <t>SKELLEFTEÅ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24327-2023</t>
        </is>
      </c>
      <c r="B876" s="1" t="n">
        <v>45080</v>
      </c>
      <c r="C876" s="1" t="n">
        <v>46205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SCA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5602-2023</t>
        </is>
      </c>
      <c r="B877" s="1" t="n">
        <v>44960</v>
      </c>
      <c r="C877" s="1" t="n">
        <v>46205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Sveaskog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52094-2025</t>
        </is>
      </c>
      <c r="B878" s="1" t="n">
        <v>45952</v>
      </c>
      <c r="C878" s="1" t="n">
        <v>46205</v>
      </c>
      <c r="D878" t="inlineStr">
        <is>
          <t>VÄSTERBOTTENS LÄN</t>
        </is>
      </c>
      <c r="E878" t="inlineStr">
        <is>
          <t>SKELLEFTEÅ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51641-2025</t>
        </is>
      </c>
      <c r="B879" s="1" t="n">
        <v>45951</v>
      </c>
      <c r="C879" s="1" t="n">
        <v>46205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3644-2026</t>
        </is>
      </c>
      <c r="B880" s="1" t="n">
        <v>46043</v>
      </c>
      <c r="C880" s="1" t="n">
        <v>46205</v>
      </c>
      <c r="D880" t="inlineStr">
        <is>
          <t>VÄSTERBOTTENS LÄN</t>
        </is>
      </c>
      <c r="E880" t="inlineStr">
        <is>
          <t>SKELLEFTEÅ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49981-2024</t>
        </is>
      </c>
      <c r="B881" s="1" t="n">
        <v>45597</v>
      </c>
      <c r="C881" s="1" t="n">
        <v>46205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52157-2024</t>
        </is>
      </c>
      <c r="B882" s="1" t="n">
        <v>45608</v>
      </c>
      <c r="C882" s="1" t="n">
        <v>46205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52588-2025</t>
        </is>
      </c>
      <c r="B883" s="1" t="n">
        <v>45954</v>
      </c>
      <c r="C883" s="1" t="n">
        <v>46205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11629-2023</t>
        </is>
      </c>
      <c r="B884" s="1" t="n">
        <v>44994</v>
      </c>
      <c r="C884" s="1" t="n">
        <v>46205</v>
      </c>
      <c r="D884" t="inlineStr">
        <is>
          <t>VÄSTERBOTTENS LÄN</t>
        </is>
      </c>
      <c r="E884" t="inlineStr">
        <is>
          <t>SKELLEFTEÅ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57530-2021</t>
        </is>
      </c>
      <c r="B885" s="1" t="n">
        <v>44483</v>
      </c>
      <c r="C885" s="1" t="n">
        <v>46205</v>
      </c>
      <c r="D885" t="inlineStr">
        <is>
          <t>VÄSTERBOTTENS LÄN</t>
        </is>
      </c>
      <c r="E885" t="inlineStr">
        <is>
          <t>SKELLEFTEÅ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1666-2023</t>
        </is>
      </c>
      <c r="B886" s="1" t="n">
        <v>44938</v>
      </c>
      <c r="C886" s="1" t="n">
        <v>46205</v>
      </c>
      <c r="D886" t="inlineStr">
        <is>
          <t>VÄSTERBOTTENS LÄN</t>
        </is>
      </c>
      <c r="E886" t="inlineStr">
        <is>
          <t>SKELLEFTEÅ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56983-2024</t>
        </is>
      </c>
      <c r="B887" s="1" t="n">
        <v>45628</v>
      </c>
      <c r="C887" s="1" t="n">
        <v>46205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46282-2024</t>
        </is>
      </c>
      <c r="B888" s="1" t="n">
        <v>45581</v>
      </c>
      <c r="C888" s="1" t="n">
        <v>46205</v>
      </c>
      <c r="D888" t="inlineStr">
        <is>
          <t>VÄSTERBOTTENS LÄN</t>
        </is>
      </c>
      <c r="E888" t="inlineStr">
        <is>
          <t>SKELLEFTEÅ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52748-2025</t>
        </is>
      </c>
      <c r="B889" s="1" t="n">
        <v>45957</v>
      </c>
      <c r="C889" s="1" t="n">
        <v>46205</v>
      </c>
      <c r="D889" t="inlineStr">
        <is>
          <t>VÄSTERBOTTENS LÄN</t>
        </is>
      </c>
      <c r="E889" t="inlineStr">
        <is>
          <t>SKELLEFTEÅ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15899-2023</t>
        </is>
      </c>
      <c r="B890" s="1" t="n">
        <v>45021</v>
      </c>
      <c r="C890" s="1" t="n">
        <v>46205</v>
      </c>
      <c r="D890" t="inlineStr">
        <is>
          <t>VÄSTERBOTTENS LÄN</t>
        </is>
      </c>
      <c r="E890" t="inlineStr">
        <is>
          <t>SKELLEFTEÅ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61730-2023</t>
        </is>
      </c>
      <c r="B891" s="1" t="n">
        <v>45264</v>
      </c>
      <c r="C891" s="1" t="n">
        <v>46205</v>
      </c>
      <c r="D891" t="inlineStr">
        <is>
          <t>VÄSTERBOTTENS LÄN</t>
        </is>
      </c>
      <c r="E891" t="inlineStr">
        <is>
          <t>SKELLEFTEÅ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53023-2025</t>
        </is>
      </c>
      <c r="B892" s="1" t="n">
        <v>45958</v>
      </c>
      <c r="C892" s="1" t="n">
        <v>46205</v>
      </c>
      <c r="D892" t="inlineStr">
        <is>
          <t>VÄSTERBOTTENS LÄN</t>
        </is>
      </c>
      <c r="E892" t="inlineStr">
        <is>
          <t>SKELLEFTEÅ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52793-2025</t>
        </is>
      </c>
      <c r="B893" s="1" t="n">
        <v>45957</v>
      </c>
      <c r="C893" s="1" t="n">
        <v>46205</v>
      </c>
      <c r="D893" t="inlineStr">
        <is>
          <t>VÄSTERBOTTENS LÄN</t>
        </is>
      </c>
      <c r="E893" t="inlineStr">
        <is>
          <t>SKELLEFTEÅ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52872-2025</t>
        </is>
      </c>
      <c r="B894" s="1" t="n">
        <v>45957</v>
      </c>
      <c r="C894" s="1" t="n">
        <v>46205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Holmen skog AB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52660-2025</t>
        </is>
      </c>
      <c r="B895" s="1" t="n">
        <v>45955</v>
      </c>
      <c r="C895" s="1" t="n">
        <v>46205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SCA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4341-2026</t>
        </is>
      </c>
      <c r="B896" s="1" t="n">
        <v>46045</v>
      </c>
      <c r="C896" s="1" t="n">
        <v>46205</v>
      </c>
      <c r="D896" t="inlineStr">
        <is>
          <t>VÄSTERBOTTENS LÄN</t>
        </is>
      </c>
      <c r="E896" t="inlineStr">
        <is>
          <t>SKELLEFTEÅ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8648-2023</t>
        </is>
      </c>
      <c r="B897" s="1" t="n">
        <v>44977</v>
      </c>
      <c r="C897" s="1" t="n">
        <v>46205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SCA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52661-2025</t>
        </is>
      </c>
      <c r="B898" s="1" t="n">
        <v>45955</v>
      </c>
      <c r="C898" s="1" t="n">
        <v>46205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SCA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52889-2025</t>
        </is>
      </c>
      <c r="B899" s="1" t="n">
        <v>45957</v>
      </c>
      <c r="C899" s="1" t="n">
        <v>46205</v>
      </c>
      <c r="D899" t="inlineStr">
        <is>
          <t>VÄSTERBOTTENS LÄN</t>
        </is>
      </c>
      <c r="E899" t="inlineStr">
        <is>
          <t>SKELLEFTEÅ</t>
        </is>
      </c>
      <c r="G899" t="n">
        <v>9.699999999999999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17086-2023</t>
        </is>
      </c>
      <c r="B900" s="1" t="n">
        <v>45030</v>
      </c>
      <c r="C900" s="1" t="n">
        <v>46205</v>
      </c>
      <c r="D900" t="inlineStr">
        <is>
          <t>VÄSTERBOTTENS LÄN</t>
        </is>
      </c>
      <c r="E900" t="inlineStr">
        <is>
          <t>SKELLEFTEÅ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48264-2023</t>
        </is>
      </c>
      <c r="B901" s="1" t="n">
        <v>45205</v>
      </c>
      <c r="C901" s="1" t="n">
        <v>46205</v>
      </c>
      <c r="D901" t="inlineStr">
        <is>
          <t>VÄSTERBOTTENS LÄN</t>
        </is>
      </c>
      <c r="E901" t="inlineStr">
        <is>
          <t>SKELLEFTEÅ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62642-2022</t>
        </is>
      </c>
      <c r="B902" s="1" t="n">
        <v>44925</v>
      </c>
      <c r="C902" s="1" t="n">
        <v>46205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Holmen skog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26253-2024</t>
        </is>
      </c>
      <c r="B903" s="1" t="n">
        <v>45468</v>
      </c>
      <c r="C903" s="1" t="n">
        <v>46205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Holmen skog AB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52956-2025</t>
        </is>
      </c>
      <c r="B904" s="1" t="n">
        <v>45957</v>
      </c>
      <c r="C904" s="1" t="n">
        <v>46205</v>
      </c>
      <c r="D904" t="inlineStr">
        <is>
          <t>VÄSTERBOTTENS LÄN</t>
        </is>
      </c>
      <c r="E904" t="inlineStr">
        <is>
          <t>SKELLEFTEÅ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15479-2023</t>
        </is>
      </c>
      <c r="B905" s="1" t="n">
        <v>45020</v>
      </c>
      <c r="C905" s="1" t="n">
        <v>46205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Sveaskog</t>
        </is>
      </c>
      <c r="G905" t="n">
        <v>11.4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53415-2025</t>
        </is>
      </c>
      <c r="B906" s="1" t="n">
        <v>45959</v>
      </c>
      <c r="C906" s="1" t="n">
        <v>46205</v>
      </c>
      <c r="D906" t="inlineStr">
        <is>
          <t>VÄSTERBOTTENS LÄN</t>
        </is>
      </c>
      <c r="E906" t="inlineStr">
        <is>
          <t>SKELLEFTEÅ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23709-2023</t>
        </is>
      </c>
      <c r="B907" s="1" t="n">
        <v>45075</v>
      </c>
      <c r="C907" s="1" t="n">
        <v>46205</v>
      </c>
      <c r="D907" t="inlineStr">
        <is>
          <t>VÄSTERBOTTENS LÄN</t>
        </is>
      </c>
      <c r="E907" t="inlineStr">
        <is>
          <t>SKELLEFTEÅ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52634-2025</t>
        </is>
      </c>
      <c r="B908" s="1" t="n">
        <v>45953</v>
      </c>
      <c r="C908" s="1" t="n">
        <v>46205</v>
      </c>
      <c r="D908" t="inlineStr">
        <is>
          <t>VÄSTERBOTTENS LÄN</t>
        </is>
      </c>
      <c r="E908" t="inlineStr">
        <is>
          <t>SKELLEFTEÅ</t>
        </is>
      </c>
      <c r="G908" t="n">
        <v>8.300000000000001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53531-2025</t>
        </is>
      </c>
      <c r="B909" s="1" t="n">
        <v>45960</v>
      </c>
      <c r="C909" s="1" t="n">
        <v>46205</v>
      </c>
      <c r="D909" t="inlineStr">
        <is>
          <t>VÄSTERBOTTENS LÄN</t>
        </is>
      </c>
      <c r="E909" t="inlineStr">
        <is>
          <t>SKELLEFTEÅ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53767-2025</t>
        </is>
      </c>
      <c r="B910" s="1" t="n">
        <v>45960</v>
      </c>
      <c r="C910" s="1" t="n">
        <v>46205</v>
      </c>
      <c r="D910" t="inlineStr">
        <is>
          <t>VÄSTERBOTTENS LÄN</t>
        </is>
      </c>
      <c r="E910" t="inlineStr">
        <is>
          <t>SKELLEFTEÅ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33289-2023</t>
        </is>
      </c>
      <c r="B911" s="1" t="n">
        <v>45116</v>
      </c>
      <c r="C911" s="1" t="n">
        <v>46205</v>
      </c>
      <c r="D911" t="inlineStr">
        <is>
          <t>VÄSTERBOTTENS LÄN</t>
        </is>
      </c>
      <c r="E911" t="inlineStr">
        <is>
          <t>SKELLEFTEÅ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59932-2024</t>
        </is>
      </c>
      <c r="B912" s="1" t="n">
        <v>45642</v>
      </c>
      <c r="C912" s="1" t="n">
        <v>46205</v>
      </c>
      <c r="D912" t="inlineStr">
        <is>
          <t>VÄSTERBOTTENS LÄN</t>
        </is>
      </c>
      <c r="E912" t="inlineStr">
        <is>
          <t>SKELLEFTEÅ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53512-2025</t>
        </is>
      </c>
      <c r="B913" s="1" t="n">
        <v>45960</v>
      </c>
      <c r="C913" s="1" t="n">
        <v>46205</v>
      </c>
      <c r="D913" t="inlineStr">
        <is>
          <t>VÄSTERBOTTENS LÄN</t>
        </is>
      </c>
      <c r="E913" t="inlineStr">
        <is>
          <t>SKELLEFTEÅ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58555-2023</t>
        </is>
      </c>
      <c r="B914" s="1" t="n">
        <v>45251</v>
      </c>
      <c r="C914" s="1" t="n">
        <v>46205</v>
      </c>
      <c r="D914" t="inlineStr">
        <is>
          <t>VÄSTERBOTTENS LÄN</t>
        </is>
      </c>
      <c r="E914" t="inlineStr">
        <is>
          <t>SKELLEFTEÅ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62708-2023</t>
        </is>
      </c>
      <c r="B915" s="1" t="n">
        <v>45271</v>
      </c>
      <c r="C915" s="1" t="n">
        <v>46205</v>
      </c>
      <c r="D915" t="inlineStr">
        <is>
          <t>VÄSTERBOTTENS LÄN</t>
        </is>
      </c>
      <c r="E915" t="inlineStr">
        <is>
          <t>SKELLEFTEÅ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53514-2025</t>
        </is>
      </c>
      <c r="B916" s="1" t="n">
        <v>45960</v>
      </c>
      <c r="C916" s="1" t="n">
        <v>46205</v>
      </c>
      <c r="D916" t="inlineStr">
        <is>
          <t>VÄSTERBOTTENS LÄN</t>
        </is>
      </c>
      <c r="E916" t="inlineStr">
        <is>
          <t>SKELLEFTEÅ</t>
        </is>
      </c>
      <c r="G916" t="n">
        <v>18.1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53533-2025</t>
        </is>
      </c>
      <c r="B917" s="1" t="n">
        <v>45960</v>
      </c>
      <c r="C917" s="1" t="n">
        <v>46205</v>
      </c>
      <c r="D917" t="inlineStr">
        <is>
          <t>VÄSTERBOTTENS LÄN</t>
        </is>
      </c>
      <c r="E917" t="inlineStr">
        <is>
          <t>SKELLEFTEÅ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53515-2025</t>
        </is>
      </c>
      <c r="B918" s="1" t="n">
        <v>45959</v>
      </c>
      <c r="C918" s="1" t="n">
        <v>46205</v>
      </c>
      <c r="D918" t="inlineStr">
        <is>
          <t>VÄSTERBOTTENS LÄN</t>
        </is>
      </c>
      <c r="E918" t="inlineStr">
        <is>
          <t>SKELLEFTEÅ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53469-2025</t>
        </is>
      </c>
      <c r="B919" s="1" t="n">
        <v>45959</v>
      </c>
      <c r="C919" s="1" t="n">
        <v>46205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53385-2025</t>
        </is>
      </c>
      <c r="B920" s="1" t="n">
        <v>45959</v>
      </c>
      <c r="C920" s="1" t="n">
        <v>46205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17026-2023</t>
        </is>
      </c>
      <c r="B921" s="1" t="n">
        <v>45030</v>
      </c>
      <c r="C921" s="1" t="n">
        <v>46205</v>
      </c>
      <c r="D921" t="inlineStr">
        <is>
          <t>VÄSTERBOTTENS LÄN</t>
        </is>
      </c>
      <c r="E921" t="inlineStr">
        <is>
          <t>SKELLEFTEÅ</t>
        </is>
      </c>
      <c r="G921" t="n">
        <v>7.1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54108-2025</t>
        </is>
      </c>
      <c r="B922" s="1" t="n">
        <v>45964</v>
      </c>
      <c r="C922" s="1" t="n">
        <v>46205</v>
      </c>
      <c r="D922" t="inlineStr">
        <is>
          <t>VÄSTERBOTTENS LÄN</t>
        </is>
      </c>
      <c r="E922" t="inlineStr">
        <is>
          <t>SKELLEFTEÅ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6016-2023</t>
        </is>
      </c>
      <c r="B923" s="1" t="n">
        <v>44959</v>
      </c>
      <c r="C923" s="1" t="n">
        <v>46205</v>
      </c>
      <c r="D923" t="inlineStr">
        <is>
          <t>VÄSTERBOTTENS LÄN</t>
        </is>
      </c>
      <c r="E923" t="inlineStr">
        <is>
          <t>SKELLEFTEÅ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54109-2025</t>
        </is>
      </c>
      <c r="B924" s="1" t="n">
        <v>45964</v>
      </c>
      <c r="C924" s="1" t="n">
        <v>46205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Holmen skog AB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3626-2025</t>
        </is>
      </c>
      <c r="B925" s="1" t="n">
        <v>45681</v>
      </c>
      <c r="C925" s="1" t="n">
        <v>46205</v>
      </c>
      <c r="D925" t="inlineStr">
        <is>
          <t>VÄSTERBOTTENS LÄN</t>
        </is>
      </c>
      <c r="E925" t="inlineStr">
        <is>
          <t>SKELLEFTEÅ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2326-2025</t>
        </is>
      </c>
      <c r="B926" s="1" t="n">
        <v>45673</v>
      </c>
      <c r="C926" s="1" t="n">
        <v>46205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Holmen skog AB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53959-2025</t>
        </is>
      </c>
      <c r="B927" s="1" t="n">
        <v>45961</v>
      </c>
      <c r="C927" s="1" t="n">
        <v>46205</v>
      </c>
      <c r="D927" t="inlineStr">
        <is>
          <t>VÄSTERBOTTENS LÄN</t>
        </is>
      </c>
      <c r="E927" t="inlineStr">
        <is>
          <t>SKELLEFTEÅ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54036-2025</t>
        </is>
      </c>
      <c r="B928" s="1" t="n">
        <v>45963</v>
      </c>
      <c r="C928" s="1" t="n">
        <v>46205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Sveaskog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20497-2024</t>
        </is>
      </c>
      <c r="B929" s="1" t="n">
        <v>45435</v>
      </c>
      <c r="C929" s="1" t="n">
        <v>46205</v>
      </c>
      <c r="D929" t="inlineStr">
        <is>
          <t>VÄSTERBOTTENS LÄN</t>
        </is>
      </c>
      <c r="E929" t="inlineStr">
        <is>
          <t>SKELLEFTEÅ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29323-2024</t>
        </is>
      </c>
      <c r="B930" s="1" t="n">
        <v>45483</v>
      </c>
      <c r="C930" s="1" t="n">
        <v>46205</v>
      </c>
      <c r="D930" t="inlineStr">
        <is>
          <t>VÄSTERBOTTENS LÄN</t>
        </is>
      </c>
      <c r="E930" t="inlineStr">
        <is>
          <t>SKELLEFTEÅ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43599-2024</t>
        </is>
      </c>
      <c r="B931" s="1" t="n">
        <v>45569</v>
      </c>
      <c r="C931" s="1" t="n">
        <v>46205</v>
      </c>
      <c r="D931" t="inlineStr">
        <is>
          <t>VÄSTERBOTTENS LÄN</t>
        </is>
      </c>
      <c r="E931" t="inlineStr">
        <is>
          <t>SKELLEFTEÅ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19073-2023</t>
        </is>
      </c>
      <c r="B932" s="1" t="n">
        <v>45048</v>
      </c>
      <c r="C932" s="1" t="n">
        <v>46205</v>
      </c>
      <c r="D932" t="inlineStr">
        <is>
          <t>VÄSTERBOTTENS LÄN</t>
        </is>
      </c>
      <c r="E932" t="inlineStr">
        <is>
          <t>SKELLEFTEÅ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54557-2025</t>
        </is>
      </c>
      <c r="B933" s="1" t="n">
        <v>45965</v>
      </c>
      <c r="C933" s="1" t="n">
        <v>46205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54459-2025</t>
        </is>
      </c>
      <c r="B934" s="1" t="n">
        <v>45965</v>
      </c>
      <c r="C934" s="1" t="n">
        <v>46205</v>
      </c>
      <c r="D934" t="inlineStr">
        <is>
          <t>VÄSTERBOTTENS LÄN</t>
        </is>
      </c>
      <c r="E934" t="inlineStr">
        <is>
          <t>SKELLEFTEÅ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50476-2024</t>
        </is>
      </c>
      <c r="B935" s="1" t="n">
        <v>45601</v>
      </c>
      <c r="C935" s="1" t="n">
        <v>46205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5502-2026</t>
        </is>
      </c>
      <c r="B936" s="1" t="n">
        <v>46049</v>
      </c>
      <c r="C936" s="1" t="n">
        <v>46205</v>
      </c>
      <c r="D936" t="inlineStr">
        <is>
          <t>VÄSTERBOTTENS LÄN</t>
        </is>
      </c>
      <c r="E936" t="inlineStr">
        <is>
          <t>SKELLEFTEÅ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54690-2025</t>
        </is>
      </c>
      <c r="B937" s="1" t="n">
        <v>45966</v>
      </c>
      <c r="C937" s="1" t="n">
        <v>46205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12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5533-2026</t>
        </is>
      </c>
      <c r="B938" s="1" t="n">
        <v>46050</v>
      </c>
      <c r="C938" s="1" t="n">
        <v>46205</v>
      </c>
      <c r="D938" t="inlineStr">
        <is>
          <t>VÄSTERBOTTENS LÄN</t>
        </is>
      </c>
      <c r="E938" t="inlineStr">
        <is>
          <t>SKELLEFTEÅ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54287-2025</t>
        </is>
      </c>
      <c r="B939" s="1" t="n">
        <v>45964</v>
      </c>
      <c r="C939" s="1" t="n">
        <v>46205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Sveaskog</t>
        </is>
      </c>
      <c r="G939" t="n">
        <v>15.9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55420-2023</t>
        </is>
      </c>
      <c r="B940" s="1" t="n">
        <v>45231</v>
      </c>
      <c r="C940" s="1" t="n">
        <v>46205</v>
      </c>
      <c r="D940" t="inlineStr">
        <is>
          <t>VÄSTERBOTTENS LÄN</t>
        </is>
      </c>
      <c r="E940" t="inlineStr">
        <is>
          <t>SKELLEFTEÅ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54288-2025</t>
        </is>
      </c>
      <c r="B941" s="1" t="n">
        <v>45964</v>
      </c>
      <c r="C941" s="1" t="n">
        <v>46205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18.2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54464-2025</t>
        </is>
      </c>
      <c r="B942" s="1" t="n">
        <v>45965</v>
      </c>
      <c r="C942" s="1" t="n">
        <v>46205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Sveaskog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160-2025</t>
        </is>
      </c>
      <c r="B943" s="1" t="n">
        <v>45649</v>
      </c>
      <c r="C943" s="1" t="n">
        <v>46205</v>
      </c>
      <c r="D943" t="inlineStr">
        <is>
          <t>VÄSTERBOTTENS LÄN</t>
        </is>
      </c>
      <c r="E943" t="inlineStr">
        <is>
          <t>SKELLEFTEÅ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35771-2022</t>
        </is>
      </c>
      <c r="B944" s="1" t="n">
        <v>44801</v>
      </c>
      <c r="C944" s="1" t="n">
        <v>46205</v>
      </c>
      <c r="D944" t="inlineStr">
        <is>
          <t>VÄSTERBOTTENS LÄN</t>
        </is>
      </c>
      <c r="E944" t="inlineStr">
        <is>
          <t>SKELLEFTEÅ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55205-2025</t>
        </is>
      </c>
      <c r="B945" s="1" t="n">
        <v>45968</v>
      </c>
      <c r="C945" s="1" t="n">
        <v>46205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7.7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54180-2025</t>
        </is>
      </c>
      <c r="B946" s="1" t="n">
        <v>45964</v>
      </c>
      <c r="C946" s="1" t="n">
        <v>46205</v>
      </c>
      <c r="D946" t="inlineStr">
        <is>
          <t>VÄSTERBOTTENS LÄN</t>
        </is>
      </c>
      <c r="E946" t="inlineStr">
        <is>
          <t>SKELLEFTEÅ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54921-2025</t>
        </is>
      </c>
      <c r="B947" s="1" t="n">
        <v>45967</v>
      </c>
      <c r="C947" s="1" t="n">
        <v>46205</v>
      </c>
      <c r="D947" t="inlineStr">
        <is>
          <t>VÄSTERBOTTENS LÄN</t>
        </is>
      </c>
      <c r="E947" t="inlineStr">
        <is>
          <t>SKELLEFTEÅ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7028-2025</t>
        </is>
      </c>
      <c r="B948" s="1" t="n">
        <v>45701</v>
      </c>
      <c r="C948" s="1" t="n">
        <v>46205</v>
      </c>
      <c r="D948" t="inlineStr">
        <is>
          <t>VÄSTERBOTTENS LÄN</t>
        </is>
      </c>
      <c r="E948" t="inlineStr">
        <is>
          <t>SKELLEFTEÅ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47519-2024</t>
        </is>
      </c>
      <c r="B949" s="1" t="n">
        <v>45587</v>
      </c>
      <c r="C949" s="1" t="n">
        <v>46205</v>
      </c>
      <c r="D949" t="inlineStr">
        <is>
          <t>VÄSTERBOTTENS LÄN</t>
        </is>
      </c>
      <c r="E949" t="inlineStr">
        <is>
          <t>SKELLEFTEÅ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26154-2023</t>
        </is>
      </c>
      <c r="B950" s="1" t="n">
        <v>45091</v>
      </c>
      <c r="C950" s="1" t="n">
        <v>46205</v>
      </c>
      <c r="D950" t="inlineStr">
        <is>
          <t>VÄSTERBOTTENS LÄN</t>
        </is>
      </c>
      <c r="E950" t="inlineStr">
        <is>
          <t>SKELLEFTEÅ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55251-2025</t>
        </is>
      </c>
      <c r="B951" s="1" t="n">
        <v>45968</v>
      </c>
      <c r="C951" s="1" t="n">
        <v>46205</v>
      </c>
      <c r="D951" t="inlineStr">
        <is>
          <t>VÄSTERBOTTENS LÄN</t>
        </is>
      </c>
      <c r="E951" t="inlineStr">
        <is>
          <t>SKELLEFTEÅ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54915-2025</t>
        </is>
      </c>
      <c r="B952" s="1" t="n">
        <v>45967</v>
      </c>
      <c r="C952" s="1" t="n">
        <v>46205</v>
      </c>
      <c r="D952" t="inlineStr">
        <is>
          <t>VÄSTERBOTTENS LÄN</t>
        </is>
      </c>
      <c r="E952" t="inlineStr">
        <is>
          <t>SKELLEFTEÅ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55145-2025</t>
        </is>
      </c>
      <c r="B953" s="1" t="n">
        <v>45968</v>
      </c>
      <c r="C953" s="1" t="n">
        <v>46205</v>
      </c>
      <c r="D953" t="inlineStr">
        <is>
          <t>VÄSTERBOTTENS LÄN</t>
        </is>
      </c>
      <c r="E953" t="inlineStr">
        <is>
          <t>SKELLEFTEÅ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46480-2024</t>
        </is>
      </c>
      <c r="B954" s="1" t="n">
        <v>45582</v>
      </c>
      <c r="C954" s="1" t="n">
        <v>46205</v>
      </c>
      <c r="D954" t="inlineStr">
        <is>
          <t>VÄSTERBOTTENS LÄN</t>
        </is>
      </c>
      <c r="E954" t="inlineStr">
        <is>
          <t>SKELLEFTEÅ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55651-2025</t>
        </is>
      </c>
      <c r="B955" s="1" t="n">
        <v>45972</v>
      </c>
      <c r="C955" s="1" t="n">
        <v>46205</v>
      </c>
      <c r="D955" t="inlineStr">
        <is>
          <t>VÄSTERBOTTENS LÄN</t>
        </is>
      </c>
      <c r="E955" t="inlineStr">
        <is>
          <t>SKELLEFTEÅ</t>
        </is>
      </c>
      <c r="G955" t="n">
        <v>9.800000000000001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55392-2025</t>
        </is>
      </c>
      <c r="B956" s="1" t="n">
        <v>45971</v>
      </c>
      <c r="C956" s="1" t="n">
        <v>46205</v>
      </c>
      <c r="D956" t="inlineStr">
        <is>
          <t>VÄSTERBOTTENS LÄN</t>
        </is>
      </c>
      <c r="E956" t="inlineStr">
        <is>
          <t>SKELLEFTEÅ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55393-2025</t>
        </is>
      </c>
      <c r="B957" s="1" t="n">
        <v>45971</v>
      </c>
      <c r="C957" s="1" t="n">
        <v>46205</v>
      </c>
      <c r="D957" t="inlineStr">
        <is>
          <t>VÄSTERBOTTENS LÄN</t>
        </is>
      </c>
      <c r="E957" t="inlineStr">
        <is>
          <t>SKELLEFTEÅ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22618-2022</t>
        </is>
      </c>
      <c r="B958" s="1" t="n">
        <v>44714</v>
      </c>
      <c r="C958" s="1" t="n">
        <v>46205</v>
      </c>
      <c r="D958" t="inlineStr">
        <is>
          <t>VÄSTERBOTTENS LÄN</t>
        </is>
      </c>
      <c r="E958" t="inlineStr">
        <is>
          <t>SKELLEFTEÅ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56501-2024</t>
        </is>
      </c>
      <c r="B959" s="1" t="n">
        <v>45625</v>
      </c>
      <c r="C959" s="1" t="n">
        <v>46205</v>
      </c>
      <c r="D959" t="inlineStr">
        <is>
          <t>VÄSTERBOTTENS LÄN</t>
        </is>
      </c>
      <c r="E959" t="inlineStr">
        <is>
          <t>SKELLEFTEÅ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5787-2026</t>
        </is>
      </c>
      <c r="B960" s="1" t="n">
        <v>46051</v>
      </c>
      <c r="C960" s="1" t="n">
        <v>46205</v>
      </c>
      <c r="D960" t="inlineStr">
        <is>
          <t>VÄSTERBOTTENS LÄN</t>
        </is>
      </c>
      <c r="E960" t="inlineStr">
        <is>
          <t>SKELLEFTEÅ</t>
        </is>
      </c>
      <c r="G960" t="n">
        <v>14.6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55403-2025</t>
        </is>
      </c>
      <c r="B961" s="1" t="n">
        <v>45971</v>
      </c>
      <c r="C961" s="1" t="n">
        <v>46205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Holmen skog AB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8928-2024</t>
        </is>
      </c>
      <c r="B962" s="1" t="n">
        <v>45357</v>
      </c>
      <c r="C962" s="1" t="n">
        <v>46205</v>
      </c>
      <c r="D962" t="inlineStr">
        <is>
          <t>VÄSTERBOTTENS LÄN</t>
        </is>
      </c>
      <c r="E962" t="inlineStr">
        <is>
          <t>SKELLEFTEÅ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55717-2025</t>
        </is>
      </c>
      <c r="B963" s="1" t="n">
        <v>45972</v>
      </c>
      <c r="C963" s="1" t="n">
        <v>46205</v>
      </c>
      <c r="D963" t="inlineStr">
        <is>
          <t>VÄSTERBOTTENS LÄN</t>
        </is>
      </c>
      <c r="E963" t="inlineStr">
        <is>
          <t>SKELLEFTEÅ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55463-2025</t>
        </is>
      </c>
      <c r="B964" s="1" t="n">
        <v>45971</v>
      </c>
      <c r="C964" s="1" t="n">
        <v>46205</v>
      </c>
      <c r="D964" t="inlineStr">
        <is>
          <t>VÄSTERBOTTENS LÄN</t>
        </is>
      </c>
      <c r="E964" t="inlineStr">
        <is>
          <t>SKELLEFTEÅ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55727-2025</t>
        </is>
      </c>
      <c r="B965" s="1" t="n">
        <v>45972</v>
      </c>
      <c r="C965" s="1" t="n">
        <v>46205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55394-2025</t>
        </is>
      </c>
      <c r="B966" s="1" t="n">
        <v>45971</v>
      </c>
      <c r="C966" s="1" t="n">
        <v>46205</v>
      </c>
      <c r="D966" t="inlineStr">
        <is>
          <t>VÄSTERBOTTENS LÄN</t>
        </is>
      </c>
      <c r="E966" t="inlineStr">
        <is>
          <t>SKELLEFTEÅ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55552-2025</t>
        </is>
      </c>
      <c r="B967" s="1" t="n">
        <v>45971</v>
      </c>
      <c r="C967" s="1" t="n">
        <v>46205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55731-2025</t>
        </is>
      </c>
      <c r="B968" s="1" t="n">
        <v>45972</v>
      </c>
      <c r="C968" s="1" t="n">
        <v>46205</v>
      </c>
      <c r="D968" t="inlineStr">
        <is>
          <t>VÄSTERBOTTENS LÄN</t>
        </is>
      </c>
      <c r="E968" t="inlineStr">
        <is>
          <t>SKELLEFTEÅ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46565-2024</t>
        </is>
      </c>
      <c r="B969" s="1" t="n">
        <v>45582</v>
      </c>
      <c r="C969" s="1" t="n">
        <v>46205</v>
      </c>
      <c r="D969" t="inlineStr">
        <is>
          <t>VÄSTERBOTTENS LÄN</t>
        </is>
      </c>
      <c r="E969" t="inlineStr">
        <is>
          <t>SKELLEFTEÅ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5739-2026</t>
        </is>
      </c>
      <c r="B970" s="1" t="n">
        <v>46051</v>
      </c>
      <c r="C970" s="1" t="n">
        <v>46205</v>
      </c>
      <c r="D970" t="inlineStr">
        <is>
          <t>VÄSTERBOTTENS LÄN</t>
        </is>
      </c>
      <c r="E970" t="inlineStr">
        <is>
          <t>SKELLEFTEÅ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55346-2025</t>
        </is>
      </c>
      <c r="B971" s="1" t="n">
        <v>45971</v>
      </c>
      <c r="C971" s="1" t="n">
        <v>46205</v>
      </c>
      <c r="D971" t="inlineStr">
        <is>
          <t>VÄSTERBOTTENS LÄN</t>
        </is>
      </c>
      <c r="E971" t="inlineStr">
        <is>
          <t>SKELLEFTEÅ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5790-2026</t>
        </is>
      </c>
      <c r="B972" s="1" t="n">
        <v>46051</v>
      </c>
      <c r="C972" s="1" t="n">
        <v>46205</v>
      </c>
      <c r="D972" t="inlineStr">
        <is>
          <t>VÄSTERBOTTENS LÄN</t>
        </is>
      </c>
      <c r="E972" t="inlineStr">
        <is>
          <t>SKELLEFTEÅ</t>
        </is>
      </c>
      <c r="G972" t="n">
        <v>19.5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55841-2025</t>
        </is>
      </c>
      <c r="B973" s="1" t="n">
        <v>45973</v>
      </c>
      <c r="C973" s="1" t="n">
        <v>46205</v>
      </c>
      <c r="D973" t="inlineStr">
        <is>
          <t>VÄSTERBOTTENS LÄN</t>
        </is>
      </c>
      <c r="E973" t="inlineStr">
        <is>
          <t>SKELLEFTEÅ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5631-2026</t>
        </is>
      </c>
      <c r="B974" s="1" t="n">
        <v>46051</v>
      </c>
      <c r="C974" s="1" t="n">
        <v>46205</v>
      </c>
      <c r="D974" t="inlineStr">
        <is>
          <t>VÄSTERBOTTENS LÄN</t>
        </is>
      </c>
      <c r="E974" t="inlineStr">
        <is>
          <t>SKELLEFTEÅ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55915-2025</t>
        </is>
      </c>
      <c r="B975" s="1" t="n">
        <v>45973</v>
      </c>
      <c r="C975" s="1" t="n">
        <v>46205</v>
      </c>
      <c r="D975" t="inlineStr">
        <is>
          <t>VÄSTERBOTTENS LÄN</t>
        </is>
      </c>
      <c r="E975" t="inlineStr">
        <is>
          <t>SKELLEFTEÅ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55916-2025</t>
        </is>
      </c>
      <c r="B976" s="1" t="n">
        <v>45973</v>
      </c>
      <c r="C976" s="1" t="n">
        <v>46205</v>
      </c>
      <c r="D976" t="inlineStr">
        <is>
          <t>VÄSTERBOTTENS LÄN</t>
        </is>
      </c>
      <c r="E976" t="inlineStr">
        <is>
          <t>SKELLEFTEÅ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55791-2025</t>
        </is>
      </c>
      <c r="B977" s="1" t="n">
        <v>45972</v>
      </c>
      <c r="C977" s="1" t="n">
        <v>46205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Kommuner</t>
        </is>
      </c>
      <c r="G977" t="n">
        <v>8.4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15327-2023</t>
        </is>
      </c>
      <c r="B978" s="1" t="n">
        <v>45016</v>
      </c>
      <c r="C978" s="1" t="n">
        <v>46205</v>
      </c>
      <c r="D978" t="inlineStr">
        <is>
          <t>VÄSTERBOTTENS LÄN</t>
        </is>
      </c>
      <c r="E978" t="inlineStr">
        <is>
          <t>SKELLEFTEÅ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56079-2025</t>
        </is>
      </c>
      <c r="B979" s="1" t="n">
        <v>45973</v>
      </c>
      <c r="C979" s="1" t="n">
        <v>46205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Holmen skog AB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56104-2025</t>
        </is>
      </c>
      <c r="B980" s="1" t="n">
        <v>45973</v>
      </c>
      <c r="C980" s="1" t="n">
        <v>46205</v>
      </c>
      <c r="D980" t="inlineStr">
        <is>
          <t>VÄSTERBOTTENS LÄN</t>
        </is>
      </c>
      <c r="E980" t="inlineStr">
        <is>
          <t>SKELLEFTEÅ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55899-2025</t>
        </is>
      </c>
      <c r="B981" s="1" t="n">
        <v>45973</v>
      </c>
      <c r="C981" s="1" t="n">
        <v>46205</v>
      </c>
      <c r="D981" t="inlineStr">
        <is>
          <t>VÄSTERBOTTENS LÄN</t>
        </is>
      </c>
      <c r="E981" t="inlineStr">
        <is>
          <t>SKELLEFTEÅ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55864-2025</t>
        </is>
      </c>
      <c r="B982" s="1" t="n">
        <v>45973</v>
      </c>
      <c r="C982" s="1" t="n">
        <v>46205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Kommuner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57245-2024</t>
        </is>
      </c>
      <c r="B983" s="1" t="n">
        <v>45629</v>
      </c>
      <c r="C983" s="1" t="n">
        <v>46205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Sveaskog</t>
        </is>
      </c>
      <c r="G983" t="n">
        <v>15.6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55946-2025</t>
        </is>
      </c>
      <c r="B984" s="1" t="n">
        <v>45973</v>
      </c>
      <c r="C984" s="1" t="n">
        <v>46205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55979-2025</t>
        </is>
      </c>
      <c r="B985" s="1" t="n">
        <v>45973</v>
      </c>
      <c r="C985" s="1" t="n">
        <v>46205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Kommuner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31760-2023</t>
        </is>
      </c>
      <c r="B986" s="1" t="n">
        <v>45106</v>
      </c>
      <c r="C986" s="1" t="n">
        <v>46205</v>
      </c>
      <c r="D986" t="inlineStr">
        <is>
          <t>VÄSTERBOTTENS LÄN</t>
        </is>
      </c>
      <c r="E986" t="inlineStr">
        <is>
          <t>SKELLEFTEÅ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12256-2025</t>
        </is>
      </c>
      <c r="B987" s="1" t="n">
        <v>45729</v>
      </c>
      <c r="C987" s="1" t="n">
        <v>46205</v>
      </c>
      <c r="D987" t="inlineStr">
        <is>
          <t>VÄSTERBOTTENS LÄN</t>
        </is>
      </c>
      <c r="E987" t="inlineStr">
        <is>
          <t>SKELLEFTEÅ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11956-2025</t>
        </is>
      </c>
      <c r="B988" s="1" t="n">
        <v>45728</v>
      </c>
      <c r="C988" s="1" t="n">
        <v>46205</v>
      </c>
      <c r="D988" t="inlineStr">
        <is>
          <t>VÄSTERBOTTENS LÄN</t>
        </is>
      </c>
      <c r="E988" t="inlineStr">
        <is>
          <t>SKELLEFTEÅ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56993-2025</t>
        </is>
      </c>
      <c r="B989" s="1" t="n">
        <v>45977</v>
      </c>
      <c r="C989" s="1" t="n">
        <v>46205</v>
      </c>
      <c r="D989" t="inlineStr">
        <is>
          <t>VÄSTERBOTTENS LÄN</t>
        </is>
      </c>
      <c r="E989" t="inlineStr">
        <is>
          <t>SKELLEFTEÅ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14016-2025</t>
        </is>
      </c>
      <c r="B990" s="1" t="n">
        <v>45740</v>
      </c>
      <c r="C990" s="1" t="n">
        <v>46205</v>
      </c>
      <c r="D990" t="inlineStr">
        <is>
          <t>VÄSTERBOTTENS LÄN</t>
        </is>
      </c>
      <c r="E990" t="inlineStr">
        <is>
          <t>SKELLEFTEÅ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56713-2025</t>
        </is>
      </c>
      <c r="B991" s="1" t="n">
        <v>45977</v>
      </c>
      <c r="C991" s="1" t="n">
        <v>46205</v>
      </c>
      <c r="D991" t="inlineStr">
        <is>
          <t>VÄSTERBOTTENS LÄN</t>
        </is>
      </c>
      <c r="E991" t="inlineStr">
        <is>
          <t>SKELLEFTEÅ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32200-2022</t>
        </is>
      </c>
      <c r="B992" s="1" t="n">
        <v>44781</v>
      </c>
      <c r="C992" s="1" t="n">
        <v>46205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Kommuner</t>
        </is>
      </c>
      <c r="G992" t="n">
        <v>20.6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56988-2025</t>
        </is>
      </c>
      <c r="B993" s="1" t="n">
        <v>45977</v>
      </c>
      <c r="C993" s="1" t="n">
        <v>46205</v>
      </c>
      <c r="D993" t="inlineStr">
        <is>
          <t>VÄSTERBOTTENS LÄN</t>
        </is>
      </c>
      <c r="E993" t="inlineStr">
        <is>
          <t>SKELLEFTEÅ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56567-2025</t>
        </is>
      </c>
      <c r="B994" s="1" t="n">
        <v>45975</v>
      </c>
      <c r="C994" s="1" t="n">
        <v>46205</v>
      </c>
      <c r="D994" t="inlineStr">
        <is>
          <t>VÄSTERBOTTENS LÄN</t>
        </is>
      </c>
      <c r="E994" t="inlineStr">
        <is>
          <t>SKELLEFTEÅ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23823-2024</t>
        </is>
      </c>
      <c r="B995" s="1" t="n">
        <v>45455</v>
      </c>
      <c r="C995" s="1" t="n">
        <v>46205</v>
      </c>
      <c r="D995" t="inlineStr">
        <is>
          <t>VÄSTERBOTTENS LÄN</t>
        </is>
      </c>
      <c r="E995" t="inlineStr">
        <is>
          <t>SKELLEFTEÅ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37819-2022</t>
        </is>
      </c>
      <c r="B996" s="1" t="n">
        <v>44810</v>
      </c>
      <c r="C996" s="1" t="n">
        <v>46205</v>
      </c>
      <c r="D996" t="inlineStr">
        <is>
          <t>VÄSTERBOTTENS LÄN</t>
        </is>
      </c>
      <c r="E996" t="inlineStr">
        <is>
          <t>SKELLEFTEÅ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8887-2025</t>
        </is>
      </c>
      <c r="B997" s="1" t="n">
        <v>45713</v>
      </c>
      <c r="C997" s="1" t="n">
        <v>46205</v>
      </c>
      <c r="D997" t="inlineStr">
        <is>
          <t>VÄSTERBOTTENS LÄN</t>
        </is>
      </c>
      <c r="E997" t="inlineStr">
        <is>
          <t>SKELLEFTEÅ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56883-2025</t>
        </is>
      </c>
      <c r="B998" s="1" t="n">
        <v>45978</v>
      </c>
      <c r="C998" s="1" t="n">
        <v>46205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Holmen skog AB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56661-2025</t>
        </is>
      </c>
      <c r="B999" s="1" t="n">
        <v>45975</v>
      </c>
      <c r="C999" s="1" t="n">
        <v>46205</v>
      </c>
      <c r="D999" t="inlineStr">
        <is>
          <t>VÄSTERBOTTENS LÄN</t>
        </is>
      </c>
      <c r="E999" t="inlineStr">
        <is>
          <t>SKELLEFTEÅ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56712-2025</t>
        </is>
      </c>
      <c r="B1000" s="1" t="n">
        <v>45977</v>
      </c>
      <c r="C1000" s="1" t="n">
        <v>46205</v>
      </c>
      <c r="D1000" t="inlineStr">
        <is>
          <t>VÄSTERBOTTENS LÄN</t>
        </is>
      </c>
      <c r="E1000" t="inlineStr">
        <is>
          <t>SKELLEFTEÅ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57021-2025</t>
        </is>
      </c>
      <c r="B1001" s="1" t="n">
        <v>45978</v>
      </c>
      <c r="C1001" s="1" t="n">
        <v>46205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Sveaskog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6106-2026</t>
        </is>
      </c>
      <c r="B1002" s="1" t="n">
        <v>46052</v>
      </c>
      <c r="C1002" s="1" t="n">
        <v>46205</v>
      </c>
      <c r="D1002" t="inlineStr">
        <is>
          <t>VÄSTERBOTTENS LÄN</t>
        </is>
      </c>
      <c r="E1002" t="inlineStr">
        <is>
          <t>SKELLEFTEÅ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57249-2025</t>
        </is>
      </c>
      <c r="B1003" s="1" t="n">
        <v>45979</v>
      </c>
      <c r="C1003" s="1" t="n">
        <v>46205</v>
      </c>
      <c r="D1003" t="inlineStr">
        <is>
          <t>VÄSTERBOTTENS LÄN</t>
        </is>
      </c>
      <c r="E1003" t="inlineStr">
        <is>
          <t>SKELLEFTEÅ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57441-2025</t>
        </is>
      </c>
      <c r="B1004" s="1" t="n">
        <v>45979</v>
      </c>
      <c r="C1004" s="1" t="n">
        <v>46205</v>
      </c>
      <c r="D1004" t="inlineStr">
        <is>
          <t>VÄSTERBOTTENS LÄN</t>
        </is>
      </c>
      <c r="E1004" t="inlineStr">
        <is>
          <t>SKELLEFTEÅ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57141-2025</t>
        </is>
      </c>
      <c r="B1005" s="1" t="n">
        <v>45979</v>
      </c>
      <c r="C1005" s="1" t="n">
        <v>46205</v>
      </c>
      <c r="D1005" t="inlineStr">
        <is>
          <t>VÄSTERBOTTENS LÄN</t>
        </is>
      </c>
      <c r="E1005" t="inlineStr">
        <is>
          <t>SKELLEFTEÅ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9740-2023</t>
        </is>
      </c>
      <c r="B1006" s="1" t="n">
        <v>44978</v>
      </c>
      <c r="C1006" s="1" t="n">
        <v>46205</v>
      </c>
      <c r="D1006" t="inlineStr">
        <is>
          <t>VÄSTERBOTTENS LÄN</t>
        </is>
      </c>
      <c r="E1006" t="inlineStr">
        <is>
          <t>SKELLEFTEÅ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6105-2026</t>
        </is>
      </c>
      <c r="B1007" s="1" t="n">
        <v>46052</v>
      </c>
      <c r="C1007" s="1" t="n">
        <v>46205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27555-2022</t>
        </is>
      </c>
      <c r="B1008" s="1" t="n">
        <v>44742</v>
      </c>
      <c r="C1008" s="1" t="n">
        <v>46205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Kommuner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57328-2025</t>
        </is>
      </c>
      <c r="B1009" s="1" t="n">
        <v>45980</v>
      </c>
      <c r="C1009" s="1" t="n">
        <v>46205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Sveaskog</t>
        </is>
      </c>
      <c r="G1009" t="n">
        <v>14.2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57436-2025</t>
        </is>
      </c>
      <c r="B1010" s="1" t="n">
        <v>45979</v>
      </c>
      <c r="C1010" s="1" t="n">
        <v>46205</v>
      </c>
      <c r="D1010" t="inlineStr">
        <is>
          <t>VÄSTERBOTTENS LÄN</t>
        </is>
      </c>
      <c r="E1010" t="inlineStr">
        <is>
          <t>SKELLEFTEÅ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57449-2025</t>
        </is>
      </c>
      <c r="B1011" s="1" t="n">
        <v>45979</v>
      </c>
      <c r="C1011" s="1" t="n">
        <v>46205</v>
      </c>
      <c r="D1011" t="inlineStr">
        <is>
          <t>VÄSTERBOTTENS LÄN</t>
        </is>
      </c>
      <c r="E1011" t="inlineStr">
        <is>
          <t>SKELLEFTEÅ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57456-2025</t>
        </is>
      </c>
      <c r="B1012" s="1" t="n">
        <v>45980</v>
      </c>
      <c r="C1012" s="1" t="n">
        <v>46205</v>
      </c>
      <c r="D1012" t="inlineStr">
        <is>
          <t>VÄSTERBOTTENS LÄN</t>
        </is>
      </c>
      <c r="E1012" t="inlineStr">
        <is>
          <t>SKELLEFTEÅ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57126-2025</t>
        </is>
      </c>
      <c r="B1013" s="1" t="n">
        <v>45979</v>
      </c>
      <c r="C1013" s="1" t="n">
        <v>46205</v>
      </c>
      <c r="D1013" t="inlineStr">
        <is>
          <t>VÄSTERBOTTENS LÄN</t>
        </is>
      </c>
      <c r="E1013" t="inlineStr">
        <is>
          <t>SKELLEFTEÅ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43435-2023</t>
        </is>
      </c>
      <c r="B1014" s="1" t="n">
        <v>45184</v>
      </c>
      <c r="C1014" s="1" t="n">
        <v>46205</v>
      </c>
      <c r="D1014" t="inlineStr">
        <is>
          <t>VÄSTERBOTTENS LÄN</t>
        </is>
      </c>
      <c r="E1014" t="inlineStr">
        <is>
          <t>SKELLEFTEÅ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57180-2025</t>
        </is>
      </c>
      <c r="B1015" s="1" t="n">
        <v>45979</v>
      </c>
      <c r="C1015" s="1" t="n">
        <v>46205</v>
      </c>
      <c r="D1015" t="inlineStr">
        <is>
          <t>VÄSTERBOTTENS LÄN</t>
        </is>
      </c>
      <c r="E1015" t="inlineStr">
        <is>
          <t>SKELLEFTEÅ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57345-2025</t>
        </is>
      </c>
      <c r="B1016" s="1" t="n">
        <v>45980</v>
      </c>
      <c r="C1016" s="1" t="n">
        <v>46205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Sveaskog</t>
        </is>
      </c>
      <c r="G1016" t="n">
        <v>21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57350-2025</t>
        </is>
      </c>
      <c r="B1017" s="1" t="n">
        <v>45980</v>
      </c>
      <c r="C1017" s="1" t="n">
        <v>46205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Sveaskog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57376-2025</t>
        </is>
      </c>
      <c r="B1018" s="1" t="n">
        <v>45980</v>
      </c>
      <c r="C1018" s="1" t="n">
        <v>46205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Sveaskog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57382-2025</t>
        </is>
      </c>
      <c r="B1019" s="1" t="n">
        <v>45980</v>
      </c>
      <c r="C1019" s="1" t="n">
        <v>46205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Sveaskog</t>
        </is>
      </c>
      <c r="G1019" t="n">
        <v>16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57967-2025</t>
        </is>
      </c>
      <c r="B1020" s="1" t="n">
        <v>45982</v>
      </c>
      <c r="C1020" s="1" t="n">
        <v>46205</v>
      </c>
      <c r="D1020" t="inlineStr">
        <is>
          <t>VÄSTERBOTTENS LÄN</t>
        </is>
      </c>
      <c r="E1020" t="inlineStr">
        <is>
          <t>SKELLEFTEÅ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58070-2025</t>
        </is>
      </c>
      <c r="B1021" s="1" t="n">
        <v>45982</v>
      </c>
      <c r="C1021" s="1" t="n">
        <v>46205</v>
      </c>
      <c r="D1021" t="inlineStr">
        <is>
          <t>VÄSTERBOTTENS LÄN</t>
        </is>
      </c>
      <c r="E1021" t="inlineStr">
        <is>
          <t>SKELLEFTEÅ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52987-2025</t>
        </is>
      </c>
      <c r="B1022" s="1" t="n">
        <v>45957</v>
      </c>
      <c r="C1022" s="1" t="n">
        <v>46205</v>
      </c>
      <c r="D1022" t="inlineStr">
        <is>
          <t>VÄSTERBOTTENS LÄN</t>
        </is>
      </c>
      <c r="E1022" t="inlineStr">
        <is>
          <t>SKELLEFTEÅ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16494-2023</t>
        </is>
      </c>
      <c r="B1023" s="1" t="n">
        <v>45029</v>
      </c>
      <c r="C1023" s="1" t="n">
        <v>46205</v>
      </c>
      <c r="D1023" t="inlineStr">
        <is>
          <t>VÄSTERBOTTENS LÄN</t>
        </is>
      </c>
      <c r="E1023" t="inlineStr">
        <is>
          <t>SKELLEFTEÅ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6275-2026</t>
        </is>
      </c>
      <c r="B1024" s="1" t="n">
        <v>46055</v>
      </c>
      <c r="C1024" s="1" t="n">
        <v>46205</v>
      </c>
      <c r="D1024" t="inlineStr">
        <is>
          <t>VÄSTERBOTTENS LÄN</t>
        </is>
      </c>
      <c r="E1024" t="inlineStr">
        <is>
          <t>SKELLEFTEÅ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56529-2024</t>
        </is>
      </c>
      <c r="B1025" s="1" t="n">
        <v>45625</v>
      </c>
      <c r="C1025" s="1" t="n">
        <v>46205</v>
      </c>
      <c r="D1025" t="inlineStr">
        <is>
          <t>VÄSTERBOTTENS LÄN</t>
        </is>
      </c>
      <c r="E1025" t="inlineStr">
        <is>
          <t>SKELLEFTEÅ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56530-2024</t>
        </is>
      </c>
      <c r="B1026" s="1" t="n">
        <v>45625</v>
      </c>
      <c r="C1026" s="1" t="n">
        <v>46205</v>
      </c>
      <c r="D1026" t="inlineStr">
        <is>
          <t>VÄSTERBOTTENS LÄN</t>
        </is>
      </c>
      <c r="E1026" t="inlineStr">
        <is>
          <t>SKELLEFTEÅ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57624-2025</t>
        </is>
      </c>
      <c r="B1027" s="1" t="n">
        <v>45981</v>
      </c>
      <c r="C1027" s="1" t="n">
        <v>46205</v>
      </c>
      <c r="D1027" t="inlineStr">
        <is>
          <t>VÄSTERBOTTENS LÄN</t>
        </is>
      </c>
      <c r="E1027" t="inlineStr">
        <is>
          <t>SKELLEFTEÅ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58054-2025</t>
        </is>
      </c>
      <c r="B1028" s="1" t="n">
        <v>45982</v>
      </c>
      <c r="C1028" s="1" t="n">
        <v>46205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Sveaskog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54456-2022</t>
        </is>
      </c>
      <c r="B1029" s="1" t="n">
        <v>44880</v>
      </c>
      <c r="C1029" s="1" t="n">
        <v>46205</v>
      </c>
      <c r="D1029" t="inlineStr">
        <is>
          <t>VÄSTERBOTTENS LÄN</t>
        </is>
      </c>
      <c r="E1029" t="inlineStr">
        <is>
          <t>SKELLEFTEÅ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57702-2025</t>
        </is>
      </c>
      <c r="B1030" s="1" t="n">
        <v>45981</v>
      </c>
      <c r="C1030" s="1" t="n">
        <v>46205</v>
      </c>
      <c r="D1030" t="inlineStr">
        <is>
          <t>VÄSTERBOTTENS LÄN</t>
        </is>
      </c>
      <c r="E1030" t="inlineStr">
        <is>
          <t>SKELLEFTEÅ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42367-2021</t>
        </is>
      </c>
      <c r="B1031" s="1" t="n">
        <v>44427</v>
      </c>
      <c r="C1031" s="1" t="n">
        <v>46205</v>
      </c>
      <c r="D1031" t="inlineStr">
        <is>
          <t>VÄSTERBOTTENS LÄN</t>
        </is>
      </c>
      <c r="E1031" t="inlineStr">
        <is>
          <t>SKELLEFTEÅ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3611-2025</t>
        </is>
      </c>
      <c r="B1032" s="1" t="n">
        <v>45681</v>
      </c>
      <c r="C1032" s="1" t="n">
        <v>46205</v>
      </c>
      <c r="D1032" t="inlineStr">
        <is>
          <t>VÄSTERBOTTENS LÄN</t>
        </is>
      </c>
      <c r="E1032" t="inlineStr">
        <is>
          <t>SKELLEFTEÅ</t>
        </is>
      </c>
      <c r="G1032" t="n">
        <v>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58068-2025</t>
        </is>
      </c>
      <c r="B1033" s="1" t="n">
        <v>45982</v>
      </c>
      <c r="C1033" s="1" t="n">
        <v>46205</v>
      </c>
      <c r="D1033" t="inlineStr">
        <is>
          <t>VÄSTERBOTTENS LÄN</t>
        </is>
      </c>
      <c r="E1033" t="inlineStr">
        <is>
          <t>SKELLEFTEÅ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5374-2025</t>
        </is>
      </c>
      <c r="B1034" s="1" t="n">
        <v>45692</v>
      </c>
      <c r="C1034" s="1" t="n">
        <v>46205</v>
      </c>
      <c r="D1034" t="inlineStr">
        <is>
          <t>VÄSTERBOTTENS LÄN</t>
        </is>
      </c>
      <c r="E1034" t="inlineStr">
        <is>
          <t>SKELLEFTEÅ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58105-2025</t>
        </is>
      </c>
      <c r="B1035" s="1" t="n">
        <v>45982</v>
      </c>
      <c r="C1035" s="1" t="n">
        <v>46205</v>
      </c>
      <c r="D1035" t="inlineStr">
        <is>
          <t>VÄSTERBOTTENS LÄN</t>
        </is>
      </c>
      <c r="E1035" t="inlineStr">
        <is>
          <t>SKELLEFTEÅ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57683-2025</t>
        </is>
      </c>
      <c r="B1036" s="1" t="n">
        <v>45981</v>
      </c>
      <c r="C1036" s="1" t="n">
        <v>46205</v>
      </c>
      <c r="D1036" t="inlineStr">
        <is>
          <t>VÄSTERBOTTENS LÄN</t>
        </is>
      </c>
      <c r="E1036" t="inlineStr">
        <is>
          <t>SKELLEFTEÅ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58061-2025</t>
        </is>
      </c>
      <c r="B1037" s="1" t="n">
        <v>45982</v>
      </c>
      <c r="C1037" s="1" t="n">
        <v>46205</v>
      </c>
      <c r="D1037" t="inlineStr">
        <is>
          <t>VÄSTERBOTTENS LÄN</t>
        </is>
      </c>
      <c r="E1037" t="inlineStr">
        <is>
          <t>SKELLEFTEÅ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57989-2025</t>
        </is>
      </c>
      <c r="B1038" s="1" t="n">
        <v>45982</v>
      </c>
      <c r="C1038" s="1" t="n">
        <v>46205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Sveaskog</t>
        </is>
      </c>
      <c r="G1038" t="n">
        <v>20.8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52686-2023</t>
        </is>
      </c>
      <c r="B1039" s="1" t="n">
        <v>45225</v>
      </c>
      <c r="C1039" s="1" t="n">
        <v>46205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Sveaskog</t>
        </is>
      </c>
      <c r="G1039" t="n">
        <v>18.1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57888-2025</t>
        </is>
      </c>
      <c r="B1040" s="1" t="n">
        <v>45981</v>
      </c>
      <c r="C1040" s="1" t="n">
        <v>46205</v>
      </c>
      <c r="D1040" t="inlineStr">
        <is>
          <t>VÄSTERBOTTENS LÄN</t>
        </is>
      </c>
      <c r="E1040" t="inlineStr">
        <is>
          <t>SKELLEFTEÅ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7364-2023</t>
        </is>
      </c>
      <c r="B1041" s="1" t="n">
        <v>44971</v>
      </c>
      <c r="C1041" s="1" t="n">
        <v>46205</v>
      </c>
      <c r="D1041" t="inlineStr">
        <is>
          <t>VÄSTERBOTTENS LÄN</t>
        </is>
      </c>
      <c r="E1041" t="inlineStr">
        <is>
          <t>SKELLEFTEÅ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58960-2024</t>
        </is>
      </c>
      <c r="B1042" s="1" t="n">
        <v>45635</v>
      </c>
      <c r="C1042" s="1" t="n">
        <v>46205</v>
      </c>
      <c r="D1042" t="inlineStr">
        <is>
          <t>VÄSTERBOTTENS LÄN</t>
        </is>
      </c>
      <c r="E1042" t="inlineStr">
        <is>
          <t>SKELLEFTEÅ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58358-2025</t>
        </is>
      </c>
      <c r="B1043" s="1" t="n">
        <v>45985</v>
      </c>
      <c r="C1043" s="1" t="n">
        <v>46205</v>
      </c>
      <c r="D1043" t="inlineStr">
        <is>
          <t>VÄSTERBOTTENS LÄN</t>
        </is>
      </c>
      <c r="E1043" t="inlineStr">
        <is>
          <t>SKELLEFTEÅ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58213-2025</t>
        </is>
      </c>
      <c r="B1044" s="1" t="n">
        <v>45985</v>
      </c>
      <c r="C1044" s="1" t="n">
        <v>46205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Sveaskog</t>
        </is>
      </c>
      <c r="G1044" t="n">
        <v>22.1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7317-2026</t>
        </is>
      </c>
      <c r="B1045" s="1" t="n">
        <v>46058</v>
      </c>
      <c r="C1045" s="1" t="n">
        <v>46205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Sveaskog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58566-2025</t>
        </is>
      </c>
      <c r="B1046" s="1" t="n">
        <v>45986</v>
      </c>
      <c r="C1046" s="1" t="n">
        <v>46205</v>
      </c>
      <c r="D1046" t="inlineStr">
        <is>
          <t>VÄSTERBOTTENS LÄN</t>
        </is>
      </c>
      <c r="E1046" t="inlineStr">
        <is>
          <t>SKELLEFTEÅ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10570-2023</t>
        </is>
      </c>
      <c r="B1047" s="1" t="n">
        <v>44981</v>
      </c>
      <c r="C1047" s="1" t="n">
        <v>46205</v>
      </c>
      <c r="D1047" t="inlineStr">
        <is>
          <t>VÄSTERBOTTENS LÄN</t>
        </is>
      </c>
      <c r="E1047" t="inlineStr">
        <is>
          <t>SKELLEFTEÅ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61584-2024</t>
        </is>
      </c>
      <c r="B1048" s="1" t="n">
        <v>45646</v>
      </c>
      <c r="C1048" s="1" t="n">
        <v>46205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Sveaskog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7173-2026</t>
        </is>
      </c>
      <c r="B1049" s="1" t="n">
        <v>46058</v>
      </c>
      <c r="C1049" s="1" t="n">
        <v>46205</v>
      </c>
      <c r="D1049" t="inlineStr">
        <is>
          <t>VÄSTERBOTTENS LÄN</t>
        </is>
      </c>
      <c r="E1049" t="inlineStr">
        <is>
          <t>SKELLEFTEÅ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59044-2025</t>
        </is>
      </c>
      <c r="B1050" s="1" t="n">
        <v>45988</v>
      </c>
      <c r="C1050" s="1" t="n">
        <v>46205</v>
      </c>
      <c r="D1050" t="inlineStr">
        <is>
          <t>VÄSTERBOTTENS LÄN</t>
        </is>
      </c>
      <c r="E1050" t="inlineStr">
        <is>
          <t>SKELLEFTEÅ</t>
        </is>
      </c>
      <c r="G1050" t="n">
        <v>11.8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58880-2025</t>
        </is>
      </c>
      <c r="B1051" s="1" t="n">
        <v>45987</v>
      </c>
      <c r="C1051" s="1" t="n">
        <v>46205</v>
      </c>
      <c r="D1051" t="inlineStr">
        <is>
          <t>VÄSTERBOTTENS LÄN</t>
        </is>
      </c>
      <c r="E1051" t="inlineStr">
        <is>
          <t>SKELLEFTEÅ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7240-2026</t>
        </is>
      </c>
      <c r="B1052" s="1" t="n">
        <v>46058</v>
      </c>
      <c r="C1052" s="1" t="n">
        <v>46205</v>
      </c>
      <c r="D1052" t="inlineStr">
        <is>
          <t>VÄSTERBOTTENS LÄN</t>
        </is>
      </c>
      <c r="E1052" t="inlineStr">
        <is>
          <t>SKELLEFTEÅ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7258-2026</t>
        </is>
      </c>
      <c r="B1053" s="1" t="n">
        <v>46058</v>
      </c>
      <c r="C1053" s="1" t="n">
        <v>46205</v>
      </c>
      <c r="D1053" t="inlineStr">
        <is>
          <t>VÄSTERBOTTENS LÄN</t>
        </is>
      </c>
      <c r="E1053" t="inlineStr">
        <is>
          <t>SKELLEFTEÅ</t>
        </is>
      </c>
      <c r="G1053" t="n">
        <v>12.9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58829-2024</t>
        </is>
      </c>
      <c r="B1054" s="1" t="n">
        <v>45636</v>
      </c>
      <c r="C1054" s="1" t="n">
        <v>46205</v>
      </c>
      <c r="D1054" t="inlineStr">
        <is>
          <t>VÄSTERBOTTENS LÄN</t>
        </is>
      </c>
      <c r="E1054" t="inlineStr">
        <is>
          <t>SKELLEFTEÅ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59059-2025</t>
        </is>
      </c>
      <c r="B1055" s="1" t="n">
        <v>45988</v>
      </c>
      <c r="C1055" s="1" t="n">
        <v>46205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Sveaskog</t>
        </is>
      </c>
      <c r="G1055" t="n">
        <v>33.4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7315-2026</t>
        </is>
      </c>
      <c r="B1056" s="1" t="n">
        <v>46058</v>
      </c>
      <c r="C1056" s="1" t="n">
        <v>46205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68251-2021</t>
        </is>
      </c>
      <c r="B1057" s="1" t="n">
        <v>44525</v>
      </c>
      <c r="C1057" s="1" t="n">
        <v>46205</v>
      </c>
      <c r="D1057" t="inlineStr">
        <is>
          <t>VÄSTERBOTTENS LÄN</t>
        </is>
      </c>
      <c r="E1057" t="inlineStr">
        <is>
          <t>SKELLEFTEÅ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7366-2026</t>
        </is>
      </c>
      <c r="B1058" s="1" t="n">
        <v>46059</v>
      </c>
      <c r="C1058" s="1" t="n">
        <v>46205</v>
      </c>
      <c r="D1058" t="inlineStr">
        <is>
          <t>VÄSTERBOTTENS LÄN</t>
        </is>
      </c>
      <c r="E1058" t="inlineStr">
        <is>
          <t>SKELLEFTEÅ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7485-2026</t>
        </is>
      </c>
      <c r="B1059" s="1" t="n">
        <v>46059</v>
      </c>
      <c r="C1059" s="1" t="n">
        <v>46205</v>
      </c>
      <c r="D1059" t="inlineStr">
        <is>
          <t>VÄSTERBOTTENS LÄN</t>
        </is>
      </c>
      <c r="E1059" t="inlineStr">
        <is>
          <t>SKELLEFTEÅ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59254-2025</t>
        </is>
      </c>
      <c r="B1060" s="1" t="n">
        <v>45988</v>
      </c>
      <c r="C1060" s="1" t="n">
        <v>46205</v>
      </c>
      <c r="D1060" t="inlineStr">
        <is>
          <t>VÄSTERBOTTENS LÄN</t>
        </is>
      </c>
      <c r="E1060" t="inlineStr">
        <is>
          <t>SKELLEFTEÅ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59027-2025</t>
        </is>
      </c>
      <c r="B1061" s="1" t="n">
        <v>45988</v>
      </c>
      <c r="C1061" s="1" t="n">
        <v>46205</v>
      </c>
      <c r="D1061" t="inlineStr">
        <is>
          <t>VÄSTERBOTTENS LÄN</t>
        </is>
      </c>
      <c r="E1061" t="inlineStr">
        <is>
          <t>SKELLEFTEÅ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5220-2024</t>
        </is>
      </c>
      <c r="B1062" s="1" t="n">
        <v>45330</v>
      </c>
      <c r="C1062" s="1" t="n">
        <v>46205</v>
      </c>
      <c r="D1062" t="inlineStr">
        <is>
          <t>VÄSTERBOTTENS LÄN</t>
        </is>
      </c>
      <c r="E1062" t="inlineStr">
        <is>
          <t>SKELLEFTEÅ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59025-2025</t>
        </is>
      </c>
      <c r="B1063" s="1" t="n">
        <v>45988</v>
      </c>
      <c r="C1063" s="1" t="n">
        <v>46205</v>
      </c>
      <c r="D1063" t="inlineStr">
        <is>
          <t>VÄSTERBOTTENS LÄN</t>
        </is>
      </c>
      <c r="E1063" t="inlineStr">
        <is>
          <t>SKELLEFTEÅ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7630-2026</t>
        </is>
      </c>
      <c r="B1064" s="1" t="n">
        <v>46062</v>
      </c>
      <c r="C1064" s="1" t="n">
        <v>46205</v>
      </c>
      <c r="D1064" t="inlineStr">
        <is>
          <t>VÄSTERBOTTENS LÄN</t>
        </is>
      </c>
      <c r="E1064" t="inlineStr">
        <is>
          <t>SKELLEFTEÅ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7363-2026</t>
        </is>
      </c>
      <c r="B1065" s="1" t="n">
        <v>46059</v>
      </c>
      <c r="C1065" s="1" t="n">
        <v>46205</v>
      </c>
      <c r="D1065" t="inlineStr">
        <is>
          <t>VÄSTERBOTTENS LÄN</t>
        </is>
      </c>
      <c r="E1065" t="inlineStr">
        <is>
          <t>SKELLEFTEÅ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59201-2025</t>
        </is>
      </c>
      <c r="B1066" s="1" t="n">
        <v>45988</v>
      </c>
      <c r="C1066" s="1" t="n">
        <v>46205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Holmen skog AB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59208-2025</t>
        </is>
      </c>
      <c r="B1067" s="1" t="n">
        <v>45988</v>
      </c>
      <c r="C1067" s="1" t="n">
        <v>46205</v>
      </c>
      <c r="D1067" t="inlineStr">
        <is>
          <t>VÄSTERBOTTENS LÄN</t>
        </is>
      </c>
      <c r="E1067" t="inlineStr">
        <is>
          <t>SKELLEFTEÅ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59224-2025</t>
        </is>
      </c>
      <c r="B1068" s="1" t="n">
        <v>45988</v>
      </c>
      <c r="C1068" s="1" t="n">
        <v>46205</v>
      </c>
      <c r="D1068" t="inlineStr">
        <is>
          <t>VÄSTERBOTTENS LÄN</t>
        </is>
      </c>
      <c r="E1068" t="inlineStr">
        <is>
          <t>SKELLEFTEÅ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59226-2025</t>
        </is>
      </c>
      <c r="B1069" s="1" t="n">
        <v>45988</v>
      </c>
      <c r="C1069" s="1" t="n">
        <v>46205</v>
      </c>
      <c r="D1069" t="inlineStr">
        <is>
          <t>VÄSTERBOTTENS LÄN</t>
        </is>
      </c>
      <c r="E1069" t="inlineStr">
        <is>
          <t>SKELLEFTEÅ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25634-2023</t>
        </is>
      </c>
      <c r="B1070" s="1" t="n">
        <v>45084</v>
      </c>
      <c r="C1070" s="1" t="n">
        <v>46205</v>
      </c>
      <c r="D1070" t="inlineStr">
        <is>
          <t>VÄSTERBOTTENS LÄN</t>
        </is>
      </c>
      <c r="E1070" t="inlineStr">
        <is>
          <t>SKELLEFTEÅ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7677-2026</t>
        </is>
      </c>
      <c r="B1071" s="1" t="n">
        <v>46062</v>
      </c>
      <c r="C1071" s="1" t="n">
        <v>46205</v>
      </c>
      <c r="D1071" t="inlineStr">
        <is>
          <t>VÄSTERBOTTENS LÄN</t>
        </is>
      </c>
      <c r="E1071" t="inlineStr">
        <is>
          <t>SKELLEFTEÅ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706-2023</t>
        </is>
      </c>
      <c r="B1072" s="1" t="n">
        <v>44930</v>
      </c>
      <c r="C1072" s="1" t="n">
        <v>46205</v>
      </c>
      <c r="D1072" t="inlineStr">
        <is>
          <t>VÄSTERBOTTENS LÄN</t>
        </is>
      </c>
      <c r="E1072" t="inlineStr">
        <is>
          <t>SKELLEFTEÅ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59835-2025</t>
        </is>
      </c>
      <c r="B1073" s="1" t="n">
        <v>45992</v>
      </c>
      <c r="C1073" s="1" t="n">
        <v>46205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11994-2025</t>
        </is>
      </c>
      <c r="B1074" s="1" t="n">
        <v>45728</v>
      </c>
      <c r="C1074" s="1" t="n">
        <v>46205</v>
      </c>
      <c r="D1074" t="inlineStr">
        <is>
          <t>VÄSTERBOTTENS LÄN</t>
        </is>
      </c>
      <c r="E1074" t="inlineStr">
        <is>
          <t>SKELLEFTEÅ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7637-2026</t>
        </is>
      </c>
      <c r="B1075" s="1" t="n">
        <v>46062</v>
      </c>
      <c r="C1075" s="1" t="n">
        <v>46205</v>
      </c>
      <c r="D1075" t="inlineStr">
        <is>
          <t>VÄSTERBOTTENS LÄN</t>
        </is>
      </c>
      <c r="E1075" t="inlineStr">
        <is>
          <t>SKELLEFTEÅ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59343-2025</t>
        </is>
      </c>
      <c r="B1076" s="1" t="n">
        <v>45989</v>
      </c>
      <c r="C1076" s="1" t="n">
        <v>46205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59354-2025</t>
        </is>
      </c>
      <c r="B1077" s="1" t="n">
        <v>45989</v>
      </c>
      <c r="C1077" s="1" t="n">
        <v>46205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8.9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59677-2025</t>
        </is>
      </c>
      <c r="B1078" s="1" t="n">
        <v>45992</v>
      </c>
      <c r="C1078" s="1" t="n">
        <v>46205</v>
      </c>
      <c r="D1078" t="inlineStr">
        <is>
          <t>VÄSTERBOTTENS LÄN</t>
        </is>
      </c>
      <c r="E1078" t="inlineStr">
        <is>
          <t>SKELLEFTEÅ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713-2025</t>
        </is>
      </c>
      <c r="B1079" s="1" t="n">
        <v>45664</v>
      </c>
      <c r="C1079" s="1" t="n">
        <v>46205</v>
      </c>
      <c r="D1079" t="inlineStr">
        <is>
          <t>VÄSTERBOTTENS LÄN</t>
        </is>
      </c>
      <c r="E1079" t="inlineStr">
        <is>
          <t>SKELLEFTEÅ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59356-2025</t>
        </is>
      </c>
      <c r="B1080" s="1" t="n">
        <v>45989</v>
      </c>
      <c r="C1080" s="1" t="n">
        <v>46205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24.4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8352-2026</t>
        </is>
      </c>
      <c r="B1081" s="1" t="n">
        <v>46064</v>
      </c>
      <c r="C1081" s="1" t="n">
        <v>46205</v>
      </c>
      <c r="D1081" t="inlineStr">
        <is>
          <t>VÄSTERBOTTENS LÄN</t>
        </is>
      </c>
      <c r="E1081" t="inlineStr">
        <is>
          <t>SKELLEFTEÅ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59416-2025</t>
        </is>
      </c>
      <c r="B1082" s="1" t="n">
        <v>45989</v>
      </c>
      <c r="C1082" s="1" t="n">
        <v>46205</v>
      </c>
      <c r="D1082" t="inlineStr">
        <is>
          <t>VÄSTERBOTTENS LÄN</t>
        </is>
      </c>
      <c r="E1082" t="inlineStr">
        <is>
          <t>SKELLEFTEÅ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41409-2022</t>
        </is>
      </c>
      <c r="B1083" s="1" t="n">
        <v>44826</v>
      </c>
      <c r="C1083" s="1" t="n">
        <v>46205</v>
      </c>
      <c r="D1083" t="inlineStr">
        <is>
          <t>VÄSTERBOTTENS LÄN</t>
        </is>
      </c>
      <c r="E1083" t="inlineStr">
        <is>
          <t>SKELLEFTEÅ</t>
        </is>
      </c>
      <c r="G1083" t="n">
        <v>10.3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59346-2025</t>
        </is>
      </c>
      <c r="B1084" s="1" t="n">
        <v>45989</v>
      </c>
      <c r="C1084" s="1" t="n">
        <v>46205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59678-2025</t>
        </is>
      </c>
      <c r="B1085" s="1" t="n">
        <v>45992</v>
      </c>
      <c r="C1085" s="1" t="n">
        <v>46205</v>
      </c>
      <c r="D1085" t="inlineStr">
        <is>
          <t>VÄSTERBOTTENS LÄN</t>
        </is>
      </c>
      <c r="E1085" t="inlineStr">
        <is>
          <t>SKELLEFTEÅ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9841-2025</t>
        </is>
      </c>
      <c r="B1086" s="1" t="n">
        <v>45716</v>
      </c>
      <c r="C1086" s="1" t="n">
        <v>46205</v>
      </c>
      <c r="D1086" t="inlineStr">
        <is>
          <t>VÄSTERBOTTENS LÄN</t>
        </is>
      </c>
      <c r="E1086" t="inlineStr">
        <is>
          <t>SKELLEFTEÅ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59382-2025</t>
        </is>
      </c>
      <c r="B1087" s="1" t="n">
        <v>45989</v>
      </c>
      <c r="C1087" s="1" t="n">
        <v>46205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59419-2025</t>
        </is>
      </c>
      <c r="B1088" s="1" t="n">
        <v>45989</v>
      </c>
      <c r="C1088" s="1" t="n">
        <v>46205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5184-2026</t>
        </is>
      </c>
      <c r="B1089" s="1" t="n">
        <v>46049</v>
      </c>
      <c r="C1089" s="1" t="n">
        <v>46205</v>
      </c>
      <c r="D1089" t="inlineStr">
        <is>
          <t>VÄSTERBOTTENS LÄN</t>
        </is>
      </c>
      <c r="E1089" t="inlineStr">
        <is>
          <t>SKELLEFTEÅ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60242-2025</t>
        </is>
      </c>
      <c r="B1090" s="1" t="n">
        <v>45994</v>
      </c>
      <c r="C1090" s="1" t="n">
        <v>46205</v>
      </c>
      <c r="D1090" t="inlineStr">
        <is>
          <t>VÄSTERBOTTENS LÄN</t>
        </is>
      </c>
      <c r="E1090" t="inlineStr">
        <is>
          <t>SKELLEFTEÅ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59879-2025</t>
        </is>
      </c>
      <c r="B1091" s="1" t="n">
        <v>45993</v>
      </c>
      <c r="C1091" s="1" t="n">
        <v>46205</v>
      </c>
      <c r="D1091" t="inlineStr">
        <is>
          <t>VÄSTERBOTTENS LÄN</t>
        </is>
      </c>
      <c r="E1091" t="inlineStr">
        <is>
          <t>SKELLEFTEÅ</t>
        </is>
      </c>
      <c r="G1091" t="n">
        <v>9.199999999999999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60045-2025</t>
        </is>
      </c>
      <c r="B1092" s="1" t="n">
        <v>45993</v>
      </c>
      <c r="C1092" s="1" t="n">
        <v>46205</v>
      </c>
      <c r="D1092" t="inlineStr">
        <is>
          <t>VÄSTERBOTTENS LÄN</t>
        </is>
      </c>
      <c r="E1092" t="inlineStr">
        <is>
          <t>SKELLEFTEÅ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52548-2022</t>
        </is>
      </c>
      <c r="B1093" s="1" t="n">
        <v>44874</v>
      </c>
      <c r="C1093" s="1" t="n">
        <v>46205</v>
      </c>
      <c r="D1093" t="inlineStr">
        <is>
          <t>VÄSTERBOTTENS LÄN</t>
        </is>
      </c>
      <c r="E1093" t="inlineStr">
        <is>
          <t>SKELLEFTEÅ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60565-2025</t>
        </is>
      </c>
      <c r="B1094" s="1" t="n">
        <v>45994</v>
      </c>
      <c r="C1094" s="1" t="n">
        <v>46205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Kommuner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28169-2025</t>
        </is>
      </c>
      <c r="B1095" s="1" t="n">
        <v>45818</v>
      </c>
      <c r="C1095" s="1" t="n">
        <v>46205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60247-2025</t>
        </is>
      </c>
      <c r="B1096" s="1" t="n">
        <v>45994</v>
      </c>
      <c r="C1096" s="1" t="n">
        <v>46205</v>
      </c>
      <c r="D1096" t="inlineStr">
        <is>
          <t>VÄSTERBOTTENS LÄN</t>
        </is>
      </c>
      <c r="E1096" t="inlineStr">
        <is>
          <t>SKELLEFTEÅ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59889-2025</t>
        </is>
      </c>
      <c r="B1097" s="1" t="n">
        <v>45993</v>
      </c>
      <c r="C1097" s="1" t="n">
        <v>46205</v>
      </c>
      <c r="D1097" t="inlineStr">
        <is>
          <t>VÄSTERBOTTENS LÄN</t>
        </is>
      </c>
      <c r="E1097" t="inlineStr">
        <is>
          <t>SKELLEFTEÅ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39590-2021</t>
        </is>
      </c>
      <c r="B1098" s="1" t="n">
        <v>44413</v>
      </c>
      <c r="C1098" s="1" t="n">
        <v>46205</v>
      </c>
      <c r="D1098" t="inlineStr">
        <is>
          <t>VÄSTERBOTTENS LÄN</t>
        </is>
      </c>
      <c r="E1098" t="inlineStr">
        <is>
          <t>SKELLEFTEÅ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60249-2025</t>
        </is>
      </c>
      <c r="B1099" s="1" t="n">
        <v>45994</v>
      </c>
      <c r="C1099" s="1" t="n">
        <v>46205</v>
      </c>
      <c r="D1099" t="inlineStr">
        <is>
          <t>VÄSTERBOTTENS LÄN</t>
        </is>
      </c>
      <c r="E1099" t="inlineStr">
        <is>
          <t>SKELLEFTEÅ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1419-2023</t>
        </is>
      </c>
      <c r="B1100" s="1" t="n">
        <v>44936</v>
      </c>
      <c r="C1100" s="1" t="n">
        <v>46205</v>
      </c>
      <c r="D1100" t="inlineStr">
        <is>
          <t>VÄSTERBOTTENS LÄN</t>
        </is>
      </c>
      <c r="E1100" t="inlineStr">
        <is>
          <t>SKELLEFTEÅ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59180-2021</t>
        </is>
      </c>
      <c r="B1101" s="1" t="n">
        <v>44489</v>
      </c>
      <c r="C1101" s="1" t="n">
        <v>46205</v>
      </c>
      <c r="D1101" t="inlineStr">
        <is>
          <t>VÄSTERBOTTENS LÄN</t>
        </is>
      </c>
      <c r="E1101" t="inlineStr">
        <is>
          <t>SKELLEFTEÅ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18291-2025</t>
        </is>
      </c>
      <c r="B1102" s="1" t="n">
        <v>45762</v>
      </c>
      <c r="C1102" s="1" t="n">
        <v>46205</v>
      </c>
      <c r="D1102" t="inlineStr">
        <is>
          <t>VÄSTERBOTTENS LÄN</t>
        </is>
      </c>
      <c r="E1102" t="inlineStr">
        <is>
          <t>SKELLEFTEÅ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8717-2026</t>
        </is>
      </c>
      <c r="B1103" s="1" t="n">
        <v>46065</v>
      </c>
      <c r="C1103" s="1" t="n">
        <v>46205</v>
      </c>
      <c r="D1103" t="inlineStr">
        <is>
          <t>VÄSTERBOTTENS LÄN</t>
        </is>
      </c>
      <c r="E1103" t="inlineStr">
        <is>
          <t>SKELLEFTEÅ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60654-2025</t>
        </is>
      </c>
      <c r="B1104" s="1" t="n">
        <v>45996</v>
      </c>
      <c r="C1104" s="1" t="n">
        <v>46205</v>
      </c>
      <c r="D1104" t="inlineStr">
        <is>
          <t>VÄSTERBOTTENS LÄN</t>
        </is>
      </c>
      <c r="E1104" t="inlineStr">
        <is>
          <t>SKELLEFTEÅ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60420-2025</t>
        </is>
      </c>
      <c r="B1105" s="1" t="n">
        <v>45995</v>
      </c>
      <c r="C1105" s="1" t="n">
        <v>46205</v>
      </c>
      <c r="D1105" t="inlineStr">
        <is>
          <t>VÄSTERBOTTENS LÄN</t>
        </is>
      </c>
      <c r="E1105" t="inlineStr">
        <is>
          <t>SKELLEFTEÅ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60631-2025</t>
        </is>
      </c>
      <c r="B1106" s="1" t="n">
        <v>45996</v>
      </c>
      <c r="C1106" s="1" t="n">
        <v>46205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26645-2023</t>
        </is>
      </c>
      <c r="B1107" s="1" t="n">
        <v>45092</v>
      </c>
      <c r="C1107" s="1" t="n">
        <v>46205</v>
      </c>
      <c r="D1107" t="inlineStr">
        <is>
          <t>VÄSTERBOTTENS LÄN</t>
        </is>
      </c>
      <c r="E1107" t="inlineStr">
        <is>
          <t>SKELLEFTEÅ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59077-2025</t>
        </is>
      </c>
      <c r="B1108" s="1" t="n">
        <v>45988</v>
      </c>
      <c r="C1108" s="1" t="n">
        <v>46205</v>
      </c>
      <c r="D1108" t="inlineStr">
        <is>
          <t>VÄSTERBOTTENS LÄN</t>
        </is>
      </c>
      <c r="E1108" t="inlineStr">
        <is>
          <t>SKELLEFTEÅ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60440-2025</t>
        </is>
      </c>
      <c r="B1109" s="1" t="n">
        <v>45995</v>
      </c>
      <c r="C1109" s="1" t="n">
        <v>46205</v>
      </c>
      <c r="D1109" t="inlineStr">
        <is>
          <t>VÄSTERBOTTENS LÄN</t>
        </is>
      </c>
      <c r="E1109" t="inlineStr">
        <is>
          <t>SKELLEFTEÅ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60504-2025</t>
        </is>
      </c>
      <c r="B1110" s="1" t="n">
        <v>45995</v>
      </c>
      <c r="C1110" s="1" t="n">
        <v>46205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Kommuner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12851-2025</t>
        </is>
      </c>
      <c r="B1111" s="1" t="n">
        <v>45733</v>
      </c>
      <c r="C1111" s="1" t="n">
        <v>46205</v>
      </c>
      <c r="D1111" t="inlineStr">
        <is>
          <t>VÄSTERBOTTENS LÄN</t>
        </is>
      </c>
      <c r="E1111" t="inlineStr">
        <is>
          <t>SKELLEFTEÅ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6416-2026</t>
        </is>
      </c>
      <c r="B1112" s="1" t="n">
        <v>46055</v>
      </c>
      <c r="C1112" s="1" t="n">
        <v>46205</v>
      </c>
      <c r="D1112" t="inlineStr">
        <is>
          <t>VÄSTERBOTTENS LÄN</t>
        </is>
      </c>
      <c r="E1112" t="inlineStr">
        <is>
          <t>SKELLEFTEÅ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60405-2025</t>
        </is>
      </c>
      <c r="B1113" s="1" t="n">
        <v>45995</v>
      </c>
      <c r="C1113" s="1" t="n">
        <v>46205</v>
      </c>
      <c r="D1113" t="inlineStr">
        <is>
          <t>VÄSTERBOTTENS LÄN</t>
        </is>
      </c>
      <c r="E1113" t="inlineStr">
        <is>
          <t>SKELLEFTEÅ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46302-2023</t>
        </is>
      </c>
      <c r="B1114" s="1" t="n">
        <v>45191</v>
      </c>
      <c r="C1114" s="1" t="n">
        <v>46205</v>
      </c>
      <c r="D1114" t="inlineStr">
        <is>
          <t>VÄSTERBOTTENS LÄN</t>
        </is>
      </c>
      <c r="E1114" t="inlineStr">
        <is>
          <t>SKELLEFTEÅ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60719-2025</t>
        </is>
      </c>
      <c r="B1115" s="1" t="n">
        <v>45996</v>
      </c>
      <c r="C1115" s="1" t="n">
        <v>46205</v>
      </c>
      <c r="D1115" t="inlineStr">
        <is>
          <t>VÄSTERBOTTENS LÄN</t>
        </is>
      </c>
      <c r="E1115" t="inlineStr">
        <is>
          <t>SKELLEFTEÅ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60715-2025</t>
        </is>
      </c>
      <c r="B1116" s="1" t="n">
        <v>45996</v>
      </c>
      <c r="C1116" s="1" t="n">
        <v>46205</v>
      </c>
      <c r="D1116" t="inlineStr">
        <is>
          <t>VÄSTERBOTTENS LÄN</t>
        </is>
      </c>
      <c r="E1116" t="inlineStr">
        <is>
          <t>SKELLEFTEÅ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60712-2025</t>
        </is>
      </c>
      <c r="B1117" s="1" t="n">
        <v>45996</v>
      </c>
      <c r="C1117" s="1" t="n">
        <v>46205</v>
      </c>
      <c r="D1117" t="inlineStr">
        <is>
          <t>VÄSTERBOTTENS LÄN</t>
        </is>
      </c>
      <c r="E1117" t="inlineStr">
        <is>
          <t>SKELLEFTEÅ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60788-2025</t>
        </is>
      </c>
      <c r="B1118" s="1" t="n">
        <v>45999</v>
      </c>
      <c r="C1118" s="1" t="n">
        <v>46205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Sveaskog</t>
        </is>
      </c>
      <c r="G1118" t="n">
        <v>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9255-2026</t>
        </is>
      </c>
      <c r="B1119" s="1" t="n">
        <v>46070</v>
      </c>
      <c r="C1119" s="1" t="n">
        <v>46205</v>
      </c>
      <c r="D1119" t="inlineStr">
        <is>
          <t>VÄSTERBOTTENS LÄN</t>
        </is>
      </c>
      <c r="E1119" t="inlineStr">
        <is>
          <t>SKELLEFTEÅ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18240-2025</t>
        </is>
      </c>
      <c r="B1120" s="1" t="n">
        <v>45762</v>
      </c>
      <c r="C1120" s="1" t="n">
        <v>46205</v>
      </c>
      <c r="D1120" t="inlineStr">
        <is>
          <t>VÄSTERBOTTENS LÄN</t>
        </is>
      </c>
      <c r="E1120" t="inlineStr">
        <is>
          <t>SKELLEFTEÅ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19764-2025</t>
        </is>
      </c>
      <c r="B1121" s="1" t="n">
        <v>45771</v>
      </c>
      <c r="C1121" s="1" t="n">
        <v>46205</v>
      </c>
      <c r="D1121" t="inlineStr">
        <is>
          <t>VÄSTERBOTTENS LÄN</t>
        </is>
      </c>
      <c r="E1121" t="inlineStr">
        <is>
          <t>SKELLEFTEÅ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9256-2026</t>
        </is>
      </c>
      <c r="B1122" s="1" t="n">
        <v>46070</v>
      </c>
      <c r="C1122" s="1" t="n">
        <v>46205</v>
      </c>
      <c r="D1122" t="inlineStr">
        <is>
          <t>VÄSTERBOTTENS LÄN</t>
        </is>
      </c>
      <c r="E1122" t="inlineStr">
        <is>
          <t>SKELLEFTEÅ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60755-2025</t>
        </is>
      </c>
      <c r="B1123" s="1" t="n">
        <v>45999</v>
      </c>
      <c r="C1123" s="1" t="n">
        <v>46205</v>
      </c>
      <c r="D1123" t="inlineStr">
        <is>
          <t>VÄSTERBOTTENS LÄN</t>
        </is>
      </c>
      <c r="E1123" t="inlineStr">
        <is>
          <t>SKELLEFTEÅ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60891-2025</t>
        </is>
      </c>
      <c r="B1124" s="1" t="n">
        <v>45999</v>
      </c>
      <c r="C1124" s="1" t="n">
        <v>46205</v>
      </c>
      <c r="D1124" t="inlineStr">
        <is>
          <t>VÄSTERBOTTENS LÄN</t>
        </is>
      </c>
      <c r="E1124" t="inlineStr">
        <is>
          <t>SKELLEFTEÅ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60778-2025</t>
        </is>
      </c>
      <c r="B1125" s="1" t="n">
        <v>45999</v>
      </c>
      <c r="C1125" s="1" t="n">
        <v>46205</v>
      </c>
      <c r="D1125" t="inlineStr">
        <is>
          <t>VÄSTERBOTTENS LÄN</t>
        </is>
      </c>
      <c r="E1125" t="inlineStr">
        <is>
          <t>SKELLEFTEÅ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42557-2021</t>
        </is>
      </c>
      <c r="B1126" s="1" t="n">
        <v>44428</v>
      </c>
      <c r="C1126" s="1" t="n">
        <v>46205</v>
      </c>
      <c r="D1126" t="inlineStr">
        <is>
          <t>VÄSTERBOTTENS LÄN</t>
        </is>
      </c>
      <c r="E1126" t="inlineStr">
        <is>
          <t>SKELLEFTEÅ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15301-2025</t>
        </is>
      </c>
      <c r="B1127" s="1" t="n">
        <v>45746</v>
      </c>
      <c r="C1127" s="1" t="n">
        <v>46205</v>
      </c>
      <c r="D1127" t="inlineStr">
        <is>
          <t>VÄSTERBOTTENS LÄN</t>
        </is>
      </c>
      <c r="E1127" t="inlineStr">
        <is>
          <t>SKELLEFTEÅ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16251-2025</t>
        </is>
      </c>
      <c r="B1128" s="1" t="n">
        <v>45750</v>
      </c>
      <c r="C1128" s="1" t="n">
        <v>46205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Kommuner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61056-2025</t>
        </is>
      </c>
      <c r="B1129" s="1" t="n">
        <v>46000</v>
      </c>
      <c r="C1129" s="1" t="n">
        <v>46205</v>
      </c>
      <c r="D1129" t="inlineStr">
        <is>
          <t>VÄSTERBOTTENS LÄN</t>
        </is>
      </c>
      <c r="E1129" t="inlineStr">
        <is>
          <t>SKELLEFTEÅ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61063-2025</t>
        </is>
      </c>
      <c r="B1130" s="1" t="n">
        <v>46000</v>
      </c>
      <c r="C1130" s="1" t="n">
        <v>46205</v>
      </c>
      <c r="D1130" t="inlineStr">
        <is>
          <t>VÄSTERBOTTENS LÄN</t>
        </is>
      </c>
      <c r="E1130" t="inlineStr">
        <is>
          <t>SKELLEFTEÅ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37855-2023</t>
        </is>
      </c>
      <c r="B1131" s="1" t="n">
        <v>45160</v>
      </c>
      <c r="C1131" s="1" t="n">
        <v>46205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Holmen skog AB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9808-2026</t>
        </is>
      </c>
      <c r="B1132" s="1" t="n">
        <v>46072</v>
      </c>
      <c r="C1132" s="1" t="n">
        <v>46205</v>
      </c>
      <c r="D1132" t="inlineStr">
        <is>
          <t>VÄSTERBOTTENS LÄN</t>
        </is>
      </c>
      <c r="E1132" t="inlineStr">
        <is>
          <t>SKELLEFTEÅ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15906-2023</t>
        </is>
      </c>
      <c r="B1133" s="1" t="n">
        <v>45021</v>
      </c>
      <c r="C1133" s="1" t="n">
        <v>46205</v>
      </c>
      <c r="D1133" t="inlineStr">
        <is>
          <t>VÄSTERBOTTENS LÄN</t>
        </is>
      </c>
      <c r="E1133" t="inlineStr">
        <is>
          <t>SKELLEFTEÅ</t>
        </is>
      </c>
      <c r="G1133" t="n">
        <v>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58052-2025</t>
        </is>
      </c>
      <c r="B1134" s="1" t="n">
        <v>45982</v>
      </c>
      <c r="C1134" s="1" t="n">
        <v>46205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57543-2025</t>
        </is>
      </c>
      <c r="B1135" s="1" t="n">
        <v>45980</v>
      </c>
      <c r="C1135" s="1" t="n">
        <v>46205</v>
      </c>
      <c r="D1135" t="inlineStr">
        <is>
          <t>VÄSTERBOTTENS LÄN</t>
        </is>
      </c>
      <c r="E1135" t="inlineStr">
        <is>
          <t>SKELLEFTEÅ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70748-2021</t>
        </is>
      </c>
      <c r="B1136" s="1" t="n">
        <v>44537</v>
      </c>
      <c r="C1136" s="1" t="n">
        <v>46205</v>
      </c>
      <c r="D1136" t="inlineStr">
        <is>
          <t>VÄSTERBOTTENS LÄN</t>
        </is>
      </c>
      <c r="E1136" t="inlineStr">
        <is>
          <t>SKELLEFTEÅ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31871-2024</t>
        </is>
      </c>
      <c r="B1137" s="1" t="n">
        <v>45509</v>
      </c>
      <c r="C1137" s="1" t="n">
        <v>46205</v>
      </c>
      <c r="D1137" t="inlineStr">
        <is>
          <t>VÄSTERBOTTENS LÄN</t>
        </is>
      </c>
      <c r="E1137" t="inlineStr">
        <is>
          <t>SKELLEFTEÅ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16856-2025</t>
        </is>
      </c>
      <c r="B1138" s="1" t="n">
        <v>45754</v>
      </c>
      <c r="C1138" s="1" t="n">
        <v>46205</v>
      </c>
      <c r="D1138" t="inlineStr">
        <is>
          <t>VÄSTERBOTTENS LÄN</t>
        </is>
      </c>
      <c r="E1138" t="inlineStr">
        <is>
          <t>SKELLEFTEÅ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61767-2025</t>
        </is>
      </c>
      <c r="B1139" s="1" t="n">
        <v>46002</v>
      </c>
      <c r="C1139" s="1" t="n">
        <v>46205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Kommuner</t>
        </is>
      </c>
      <c r="G1139" t="n">
        <v>9.699999999999999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62325-2022</t>
        </is>
      </c>
      <c r="B1140" s="1" t="n">
        <v>44916</v>
      </c>
      <c r="C1140" s="1" t="n">
        <v>46205</v>
      </c>
      <c r="D1140" t="inlineStr">
        <is>
          <t>VÄSTERBOTTENS LÄN</t>
        </is>
      </c>
      <c r="E1140" t="inlineStr">
        <is>
          <t>SKELLEFTEÅ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61636-2025</t>
        </is>
      </c>
      <c r="B1141" s="1" t="n">
        <v>46002</v>
      </c>
      <c r="C1141" s="1" t="n">
        <v>46205</v>
      </c>
      <c r="D1141" t="inlineStr">
        <is>
          <t>VÄSTERBOTTENS LÄN</t>
        </is>
      </c>
      <c r="E1141" t="inlineStr">
        <is>
          <t>SKELLEFTEÅ</t>
        </is>
      </c>
      <c r="G1141" t="n">
        <v>11.3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16604-2025</t>
        </is>
      </c>
      <c r="B1142" s="1" t="n">
        <v>45753</v>
      </c>
      <c r="C1142" s="1" t="n">
        <v>46205</v>
      </c>
      <c r="D1142" t="inlineStr">
        <is>
          <t>VÄSTERBOTTENS LÄN</t>
        </is>
      </c>
      <c r="E1142" t="inlineStr">
        <is>
          <t>SKELLEFTEÅ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61637-2025</t>
        </is>
      </c>
      <c r="B1143" s="1" t="n">
        <v>46002</v>
      </c>
      <c r="C1143" s="1" t="n">
        <v>46205</v>
      </c>
      <c r="D1143" t="inlineStr">
        <is>
          <t>VÄSTERBOTTENS LÄN</t>
        </is>
      </c>
      <c r="E1143" t="inlineStr">
        <is>
          <t>SKELLEFTEÅ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61346-2025</t>
        </is>
      </c>
      <c r="B1144" s="1" t="n">
        <v>46001</v>
      </c>
      <c r="C1144" s="1" t="n">
        <v>46205</v>
      </c>
      <c r="D1144" t="inlineStr">
        <is>
          <t>VÄSTERBOTTENS LÄN</t>
        </is>
      </c>
      <c r="E1144" t="inlineStr">
        <is>
          <t>SKELLEFTEÅ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61354-2025</t>
        </is>
      </c>
      <c r="B1145" s="1" t="n">
        <v>46001</v>
      </c>
      <c r="C1145" s="1" t="n">
        <v>46205</v>
      </c>
      <c r="D1145" t="inlineStr">
        <is>
          <t>VÄSTERBOTTENS LÄN</t>
        </is>
      </c>
      <c r="E1145" t="inlineStr">
        <is>
          <t>SKELLEFTEÅ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61657-2025</t>
        </is>
      </c>
      <c r="B1146" s="1" t="n">
        <v>46002</v>
      </c>
      <c r="C1146" s="1" t="n">
        <v>46205</v>
      </c>
      <c r="D1146" t="inlineStr">
        <is>
          <t>VÄSTERBOTTENS LÄN</t>
        </is>
      </c>
      <c r="E1146" t="inlineStr">
        <is>
          <t>SKELLEFTEÅ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11843-2025</t>
        </is>
      </c>
      <c r="B1147" s="1" t="n">
        <v>45728</v>
      </c>
      <c r="C1147" s="1" t="n">
        <v>46205</v>
      </c>
      <c r="D1147" t="inlineStr">
        <is>
          <t>VÄSTERBOTTENS LÄN</t>
        </is>
      </c>
      <c r="E1147" t="inlineStr">
        <is>
          <t>SKELLEFTEÅ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61329-2025</t>
        </is>
      </c>
      <c r="B1148" s="1" t="n">
        <v>46001</v>
      </c>
      <c r="C1148" s="1" t="n">
        <v>46205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Kommuner</t>
        </is>
      </c>
      <c r="G1148" t="n">
        <v>11.3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10270-2026</t>
        </is>
      </c>
      <c r="B1149" s="1" t="n">
        <v>46076</v>
      </c>
      <c r="C1149" s="1" t="n">
        <v>46205</v>
      </c>
      <c r="D1149" t="inlineStr">
        <is>
          <t>VÄSTERBOTTENS LÄN</t>
        </is>
      </c>
      <c r="E1149" t="inlineStr">
        <is>
          <t>SKELLEFTEÅ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61614-2025</t>
        </is>
      </c>
      <c r="B1150" s="1" t="n">
        <v>46002</v>
      </c>
      <c r="C1150" s="1" t="n">
        <v>46205</v>
      </c>
      <c r="D1150" t="inlineStr">
        <is>
          <t>VÄSTERBOTTENS LÄN</t>
        </is>
      </c>
      <c r="E1150" t="inlineStr">
        <is>
          <t>SKELLEFTEÅ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61615-2025</t>
        </is>
      </c>
      <c r="B1151" s="1" t="n">
        <v>46002</v>
      </c>
      <c r="C1151" s="1" t="n">
        <v>46205</v>
      </c>
      <c r="D1151" t="inlineStr">
        <is>
          <t>VÄSTERBOTTENS LÄN</t>
        </is>
      </c>
      <c r="E1151" t="inlineStr">
        <is>
          <t>SKELLEFTEÅ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61834-2025</t>
        </is>
      </c>
      <c r="B1152" s="1" t="n">
        <v>46003</v>
      </c>
      <c r="C1152" s="1" t="n">
        <v>46205</v>
      </c>
      <c r="D1152" t="inlineStr">
        <is>
          <t>VÄSTERBOTTENS LÄN</t>
        </is>
      </c>
      <c r="E1152" t="inlineStr">
        <is>
          <t>SKELLEFTEÅ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62046-2025</t>
        </is>
      </c>
      <c r="B1153" s="1" t="n">
        <v>46006</v>
      </c>
      <c r="C1153" s="1" t="n">
        <v>46205</v>
      </c>
      <c r="D1153" t="inlineStr">
        <is>
          <t>VÄSTERBOTTENS LÄN</t>
        </is>
      </c>
      <c r="E1153" t="inlineStr">
        <is>
          <t>SKELLEFTEÅ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62128-2025</t>
        </is>
      </c>
      <c r="B1154" s="1" t="n">
        <v>46006</v>
      </c>
      <c r="C1154" s="1" t="n">
        <v>46205</v>
      </c>
      <c r="D1154" t="inlineStr">
        <is>
          <t>VÄSTERBOTTENS LÄN</t>
        </is>
      </c>
      <c r="E1154" t="inlineStr">
        <is>
          <t>SKELLEFTEÅ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62081-2025</t>
        </is>
      </c>
      <c r="B1155" s="1" t="n">
        <v>46006</v>
      </c>
      <c r="C1155" s="1" t="n">
        <v>46205</v>
      </c>
      <c r="D1155" t="inlineStr">
        <is>
          <t>VÄSTERBOTTENS LÄN</t>
        </is>
      </c>
      <c r="E1155" t="inlineStr">
        <is>
          <t>SKELLEFTEÅ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62148-2025</t>
        </is>
      </c>
      <c r="B1156" s="1" t="n">
        <v>46006</v>
      </c>
      <c r="C1156" s="1" t="n">
        <v>46205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Holmen skog AB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19795-2025</t>
        </is>
      </c>
      <c r="B1157" s="1" t="n">
        <v>45771</v>
      </c>
      <c r="C1157" s="1" t="n">
        <v>46205</v>
      </c>
      <c r="D1157" t="inlineStr">
        <is>
          <t>VÄSTERBOTTENS LÄN</t>
        </is>
      </c>
      <c r="E1157" t="inlineStr">
        <is>
          <t>SKELLEFTEÅ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7052-2022</t>
        </is>
      </c>
      <c r="B1158" s="1" t="n">
        <v>44603</v>
      </c>
      <c r="C1158" s="1" t="n">
        <v>46205</v>
      </c>
      <c r="D1158" t="inlineStr">
        <is>
          <t>VÄSTERBOTTENS LÄN</t>
        </is>
      </c>
      <c r="E1158" t="inlineStr">
        <is>
          <t>SKELLEFTEÅ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29125-2024</t>
        </is>
      </c>
      <c r="B1159" s="1" t="n">
        <v>45481</v>
      </c>
      <c r="C1159" s="1" t="n">
        <v>46205</v>
      </c>
      <c r="D1159" t="inlineStr">
        <is>
          <t>VÄSTERBOTTENS LÄN</t>
        </is>
      </c>
      <c r="E1159" t="inlineStr">
        <is>
          <t>SKELLEFTEÅ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62085-2025</t>
        </is>
      </c>
      <c r="B1160" s="1" t="n">
        <v>46006</v>
      </c>
      <c r="C1160" s="1" t="n">
        <v>46205</v>
      </c>
      <c r="D1160" t="inlineStr">
        <is>
          <t>VÄSTERBOTTENS LÄN</t>
        </is>
      </c>
      <c r="E1160" t="inlineStr">
        <is>
          <t>SKELLEFTEÅ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62127-2025</t>
        </is>
      </c>
      <c r="B1161" s="1" t="n">
        <v>46006</v>
      </c>
      <c r="C1161" s="1" t="n">
        <v>46205</v>
      </c>
      <c r="D1161" t="inlineStr">
        <is>
          <t>VÄSTERBOTTENS LÄN</t>
        </is>
      </c>
      <c r="E1161" t="inlineStr">
        <is>
          <t>SKELLEFTEÅ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62275-2025</t>
        </is>
      </c>
      <c r="B1162" s="1" t="n">
        <v>46006</v>
      </c>
      <c r="C1162" s="1" t="n">
        <v>46205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10144-2026</t>
        </is>
      </c>
      <c r="B1163" s="1" t="n">
        <v>46076</v>
      </c>
      <c r="C1163" s="1" t="n">
        <v>46205</v>
      </c>
      <c r="D1163" t="inlineStr">
        <is>
          <t>VÄSTERBOTTENS LÄN</t>
        </is>
      </c>
      <c r="E1163" t="inlineStr">
        <is>
          <t>SKELLEFTEÅ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57899-2022</t>
        </is>
      </c>
      <c r="B1164" s="1" t="n">
        <v>44900</v>
      </c>
      <c r="C1164" s="1" t="n">
        <v>46205</v>
      </c>
      <c r="D1164" t="inlineStr">
        <is>
          <t>VÄSTERBOTTENS LÄN</t>
        </is>
      </c>
      <c r="E1164" t="inlineStr">
        <is>
          <t>SKELLEFTEÅ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61894-2025</t>
        </is>
      </c>
      <c r="B1165" s="1" t="n">
        <v>46003</v>
      </c>
      <c r="C1165" s="1" t="n">
        <v>46205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Övriga Aktiebolag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16239-2023</t>
        </is>
      </c>
      <c r="B1166" s="1" t="n">
        <v>45028</v>
      </c>
      <c r="C1166" s="1" t="n">
        <v>46205</v>
      </c>
      <c r="D1166" t="inlineStr">
        <is>
          <t>VÄSTERBOTTENS LÄN</t>
        </is>
      </c>
      <c r="E1166" t="inlineStr">
        <is>
          <t>SKELLEFTEÅ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904-2023</t>
        </is>
      </c>
      <c r="B1167" s="1" t="n">
        <v>44931</v>
      </c>
      <c r="C1167" s="1" t="n">
        <v>46205</v>
      </c>
      <c r="D1167" t="inlineStr">
        <is>
          <t>VÄSTERBOTTENS LÄN</t>
        </is>
      </c>
      <c r="E1167" t="inlineStr">
        <is>
          <t>SKELLEFTEÅ</t>
        </is>
      </c>
      <c r="G1167" t="n">
        <v>22.2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62797-2025</t>
        </is>
      </c>
      <c r="B1168" s="1" t="n">
        <v>46008</v>
      </c>
      <c r="C1168" s="1" t="n">
        <v>46205</v>
      </c>
      <c r="D1168" t="inlineStr">
        <is>
          <t>VÄSTERBOTTENS LÄN</t>
        </is>
      </c>
      <c r="E1168" t="inlineStr">
        <is>
          <t>SKELLEFTEÅ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61569-2022</t>
        </is>
      </c>
      <c r="B1169" s="1" t="n">
        <v>44916</v>
      </c>
      <c r="C1169" s="1" t="n">
        <v>46205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14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62854-2025</t>
        </is>
      </c>
      <c r="B1170" s="1" t="n">
        <v>46008</v>
      </c>
      <c r="C1170" s="1" t="n">
        <v>46205</v>
      </c>
      <c r="D1170" t="inlineStr">
        <is>
          <t>VÄSTERBOTTENS LÄN</t>
        </is>
      </c>
      <c r="E1170" t="inlineStr">
        <is>
          <t>SKELLEFTEÅ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62485-2025</t>
        </is>
      </c>
      <c r="B1171" s="1" t="n">
        <v>46007</v>
      </c>
      <c r="C1171" s="1" t="n">
        <v>46205</v>
      </c>
      <c r="D1171" t="inlineStr">
        <is>
          <t>VÄSTERBOTTENS LÄN</t>
        </is>
      </c>
      <c r="E1171" t="inlineStr">
        <is>
          <t>SKELLEFTEÅ</t>
        </is>
      </c>
      <c r="F1171" t="inlineStr">
        <is>
          <t>Sveaskog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62739-2025</t>
        </is>
      </c>
      <c r="B1172" s="1" t="n">
        <v>46008</v>
      </c>
      <c r="C1172" s="1" t="n">
        <v>46205</v>
      </c>
      <c r="D1172" t="inlineStr">
        <is>
          <t>VÄSTERBOTTENS LÄN</t>
        </is>
      </c>
      <c r="E1172" t="inlineStr">
        <is>
          <t>SKELLEFTEÅ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62480-2025</t>
        </is>
      </c>
      <c r="B1173" s="1" t="n">
        <v>46007</v>
      </c>
      <c r="C1173" s="1" t="n">
        <v>46205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Kommuner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62618-2025</t>
        </is>
      </c>
      <c r="B1174" s="1" t="n">
        <v>46008</v>
      </c>
      <c r="C1174" s="1" t="n">
        <v>46205</v>
      </c>
      <c r="D1174" t="inlineStr">
        <is>
          <t>VÄSTERBOTTENS LÄN</t>
        </is>
      </c>
      <c r="E1174" t="inlineStr">
        <is>
          <t>SKELLEFTEÅ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10420-2026</t>
        </is>
      </c>
      <c r="B1175" s="1" t="n">
        <v>46077</v>
      </c>
      <c r="C1175" s="1" t="n">
        <v>46205</v>
      </c>
      <c r="D1175" t="inlineStr">
        <is>
          <t>VÄSTERBOTTENS LÄN</t>
        </is>
      </c>
      <c r="E1175" t="inlineStr">
        <is>
          <t>SKELLEFTEÅ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62617-2025</t>
        </is>
      </c>
      <c r="B1176" s="1" t="n">
        <v>46008</v>
      </c>
      <c r="C1176" s="1" t="n">
        <v>46205</v>
      </c>
      <c r="D1176" t="inlineStr">
        <is>
          <t>VÄSTERBOTTENS LÄN</t>
        </is>
      </c>
      <c r="E1176" t="inlineStr">
        <is>
          <t>SKELLEFTEÅ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9982-2026</t>
        </is>
      </c>
      <c r="B1177" s="1" t="n">
        <v>46073</v>
      </c>
      <c r="C1177" s="1" t="n">
        <v>46205</v>
      </c>
      <c r="D1177" t="inlineStr">
        <is>
          <t>VÄSTERBOTTENS LÄN</t>
        </is>
      </c>
      <c r="E1177" t="inlineStr">
        <is>
          <t>SKELLEFTEÅ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62605-2025</t>
        </is>
      </c>
      <c r="B1178" s="1" t="n">
        <v>46008</v>
      </c>
      <c r="C1178" s="1" t="n">
        <v>46205</v>
      </c>
      <c r="D1178" t="inlineStr">
        <is>
          <t>VÄSTERBOTTENS LÄN</t>
        </is>
      </c>
      <c r="E1178" t="inlineStr">
        <is>
          <t>SKELLEFTEÅ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62606-2025</t>
        </is>
      </c>
      <c r="B1179" s="1" t="n">
        <v>46008</v>
      </c>
      <c r="C1179" s="1" t="n">
        <v>46205</v>
      </c>
      <c r="D1179" t="inlineStr">
        <is>
          <t>VÄSTERBOTTENS LÄN</t>
        </is>
      </c>
      <c r="E1179" t="inlineStr">
        <is>
          <t>SKELLEFTEÅ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10563-2026</t>
        </is>
      </c>
      <c r="B1180" s="1" t="n">
        <v>46077</v>
      </c>
      <c r="C1180" s="1" t="n">
        <v>46205</v>
      </c>
      <c r="D1180" t="inlineStr">
        <is>
          <t>VÄSTERBOTTENS LÄN</t>
        </is>
      </c>
      <c r="E1180" t="inlineStr">
        <is>
          <t>SKELLEFTEÅ</t>
        </is>
      </c>
      <c r="G1180" t="n">
        <v>14.4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10955-2026</t>
        </is>
      </c>
      <c r="B1181" s="1" t="n">
        <v>46079</v>
      </c>
      <c r="C1181" s="1" t="n">
        <v>46205</v>
      </c>
      <c r="D1181" t="inlineStr">
        <is>
          <t>VÄSTERBOTTENS LÄN</t>
        </is>
      </c>
      <c r="E1181" t="inlineStr">
        <is>
          <t>SKELLEFTEÅ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62607-2025</t>
        </is>
      </c>
      <c r="B1182" s="1" t="n">
        <v>46008</v>
      </c>
      <c r="C1182" s="1" t="n">
        <v>46205</v>
      </c>
      <c r="D1182" t="inlineStr">
        <is>
          <t>VÄSTERBOTTENS LÄN</t>
        </is>
      </c>
      <c r="E1182" t="inlineStr">
        <is>
          <t>SKELLEFTEÅ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62631-2025</t>
        </is>
      </c>
      <c r="B1183" s="1" t="n">
        <v>46008</v>
      </c>
      <c r="C1183" s="1" t="n">
        <v>46205</v>
      </c>
      <c r="D1183" t="inlineStr">
        <is>
          <t>VÄSTERBOTTENS LÄN</t>
        </is>
      </c>
      <c r="E1183" t="inlineStr">
        <is>
          <t>SKELLEFTEÅ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62644-2025</t>
        </is>
      </c>
      <c r="B1184" s="1" t="n">
        <v>46008</v>
      </c>
      <c r="C1184" s="1" t="n">
        <v>46205</v>
      </c>
      <c r="D1184" t="inlineStr">
        <is>
          <t>VÄSTERBOTTENS LÄN</t>
        </is>
      </c>
      <c r="E1184" t="inlineStr">
        <is>
          <t>SKELLEFTEÅ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62487-2025</t>
        </is>
      </c>
      <c r="B1185" s="1" t="n">
        <v>46007</v>
      </c>
      <c r="C1185" s="1" t="n">
        <v>46205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62488-2025</t>
        </is>
      </c>
      <c r="B1186" s="1" t="n">
        <v>46007</v>
      </c>
      <c r="C1186" s="1" t="n">
        <v>46205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Kommuner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62489-2025</t>
        </is>
      </c>
      <c r="B1187" s="1" t="n">
        <v>46007</v>
      </c>
      <c r="C1187" s="1" t="n">
        <v>46205</v>
      </c>
      <c r="D1187" t="inlineStr">
        <is>
          <t>VÄSTERBOTTENS LÄN</t>
        </is>
      </c>
      <c r="E1187" t="inlineStr">
        <is>
          <t>SKELLEFTEÅ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32919-2024</t>
        </is>
      </c>
      <c r="B1188" s="1" t="n">
        <v>45516</v>
      </c>
      <c r="C1188" s="1" t="n">
        <v>46205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SCA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62396-2025</t>
        </is>
      </c>
      <c r="B1189" s="1" t="n">
        <v>46007</v>
      </c>
      <c r="C1189" s="1" t="n">
        <v>46205</v>
      </c>
      <c r="D1189" t="inlineStr">
        <is>
          <t>VÄSTERBOTTENS LÄN</t>
        </is>
      </c>
      <c r="E1189" t="inlineStr">
        <is>
          <t>SKELLEFTEÅ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62398-2025</t>
        </is>
      </c>
      <c r="B1190" s="1" t="n">
        <v>46007</v>
      </c>
      <c r="C1190" s="1" t="n">
        <v>46205</v>
      </c>
      <c r="D1190" t="inlineStr">
        <is>
          <t>VÄSTERBOTTENS LÄN</t>
        </is>
      </c>
      <c r="E1190" t="inlineStr">
        <is>
          <t>SKELLEFTEÅ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62497-2025</t>
        </is>
      </c>
      <c r="B1191" s="1" t="n">
        <v>46007</v>
      </c>
      <c r="C1191" s="1" t="n">
        <v>46205</v>
      </c>
      <c r="D1191" t="inlineStr">
        <is>
          <t>VÄSTERBOTTENS LÄN</t>
        </is>
      </c>
      <c r="E1191" t="inlineStr">
        <is>
          <t>SKELLEFTEÅ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10924-2026</t>
        </is>
      </c>
      <c r="B1192" s="1" t="n">
        <v>46079</v>
      </c>
      <c r="C1192" s="1" t="n">
        <v>46205</v>
      </c>
      <c r="D1192" t="inlineStr">
        <is>
          <t>VÄSTERBOTTENS LÄN</t>
        </is>
      </c>
      <c r="E1192" t="inlineStr">
        <is>
          <t>SKELLEFTEÅ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18023-2025</t>
        </is>
      </c>
      <c r="B1193" s="1" t="n">
        <v>45761</v>
      </c>
      <c r="C1193" s="1" t="n">
        <v>46205</v>
      </c>
      <c r="D1193" t="inlineStr">
        <is>
          <t>VÄSTERBOTTENS LÄN</t>
        </is>
      </c>
      <c r="E1193" t="inlineStr">
        <is>
          <t>SKELLEFTEÅ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62403-2025</t>
        </is>
      </c>
      <c r="B1194" s="1" t="n">
        <v>46007</v>
      </c>
      <c r="C1194" s="1" t="n">
        <v>46205</v>
      </c>
      <c r="D1194" t="inlineStr">
        <is>
          <t>VÄSTERBOTTENS LÄN</t>
        </is>
      </c>
      <c r="E1194" t="inlineStr">
        <is>
          <t>SKELLEFTEÅ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30369-2023</t>
        </is>
      </c>
      <c r="B1195" s="1" t="n">
        <v>45111</v>
      </c>
      <c r="C1195" s="1" t="n">
        <v>46205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Holmen skog AB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62498-2025</t>
        </is>
      </c>
      <c r="B1196" s="1" t="n">
        <v>46007</v>
      </c>
      <c r="C1196" s="1" t="n">
        <v>46205</v>
      </c>
      <c r="D1196" t="inlineStr">
        <is>
          <t>VÄSTERBOTTENS LÄN</t>
        </is>
      </c>
      <c r="E1196" t="inlineStr">
        <is>
          <t>SKELLEFTEÅ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22760-2022</t>
        </is>
      </c>
      <c r="B1197" s="1" t="n">
        <v>44714</v>
      </c>
      <c r="C1197" s="1" t="n">
        <v>46205</v>
      </c>
      <c r="D1197" t="inlineStr">
        <is>
          <t>VÄSTERBOTTENS LÄN</t>
        </is>
      </c>
      <c r="E1197" t="inlineStr">
        <is>
          <t>SKELLEFTEÅ</t>
        </is>
      </c>
      <c r="G1197" t="n">
        <v>12.2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49900-2023</t>
        </is>
      </c>
      <c r="B1198" s="1" t="n">
        <v>45213</v>
      </c>
      <c r="C1198" s="1" t="n">
        <v>46205</v>
      </c>
      <c r="D1198" t="inlineStr">
        <is>
          <t>VÄSTERBOTTENS LÄN</t>
        </is>
      </c>
      <c r="E1198" t="inlineStr">
        <is>
          <t>SKELLEFTEÅ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10941-2026</t>
        </is>
      </c>
      <c r="B1199" s="1" t="n">
        <v>46079</v>
      </c>
      <c r="C1199" s="1" t="n">
        <v>46205</v>
      </c>
      <c r="D1199" t="inlineStr">
        <is>
          <t>VÄSTERBOTTENS LÄN</t>
        </is>
      </c>
      <c r="E1199" t="inlineStr">
        <is>
          <t>SKELLEFTEÅ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63203-2025</t>
        </is>
      </c>
      <c r="B1200" s="1" t="n">
        <v>46010</v>
      </c>
      <c r="C1200" s="1" t="n">
        <v>46205</v>
      </c>
      <c r="D1200" t="inlineStr">
        <is>
          <t>VÄSTERBOTTENS LÄN</t>
        </is>
      </c>
      <c r="E1200" t="inlineStr">
        <is>
          <t>SKELLEFTEÅ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63250-2025</t>
        </is>
      </c>
      <c r="B1201" s="1" t="n">
        <v>46010</v>
      </c>
      <c r="C1201" s="1" t="n">
        <v>46205</v>
      </c>
      <c r="D1201" t="inlineStr">
        <is>
          <t>VÄSTERBOTTENS LÄN</t>
        </is>
      </c>
      <c r="E1201" t="inlineStr">
        <is>
          <t>SKELLEFTEÅ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6012-2023</t>
        </is>
      </c>
      <c r="B1202" s="1" t="n">
        <v>44959</v>
      </c>
      <c r="C1202" s="1" t="n">
        <v>46205</v>
      </c>
      <c r="D1202" t="inlineStr">
        <is>
          <t>VÄSTERBOTTENS LÄN</t>
        </is>
      </c>
      <c r="E1202" t="inlineStr">
        <is>
          <t>SKELLEFTEÅ</t>
        </is>
      </c>
      <c r="G1202" t="n">
        <v>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63207-2025</t>
        </is>
      </c>
      <c r="B1203" s="1" t="n">
        <v>46010</v>
      </c>
      <c r="C1203" s="1" t="n">
        <v>46205</v>
      </c>
      <c r="D1203" t="inlineStr">
        <is>
          <t>VÄSTERBOTTENS LÄN</t>
        </is>
      </c>
      <c r="E1203" t="inlineStr">
        <is>
          <t>SKELLEFTEÅ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63221-2025</t>
        </is>
      </c>
      <c r="B1204" s="1" t="n">
        <v>46010</v>
      </c>
      <c r="C1204" s="1" t="n">
        <v>46205</v>
      </c>
      <c r="D1204" t="inlineStr">
        <is>
          <t>VÄSTERBOTTENS LÄN</t>
        </is>
      </c>
      <c r="E1204" t="inlineStr">
        <is>
          <t>SKELLEFTEÅ</t>
        </is>
      </c>
      <c r="G1204" t="n">
        <v>7.5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56719-2025</t>
        </is>
      </c>
      <c r="B1205" s="1" t="n">
        <v>45975</v>
      </c>
      <c r="C1205" s="1" t="n">
        <v>46205</v>
      </c>
      <c r="D1205" t="inlineStr">
        <is>
          <t>VÄSTERBOTTENS LÄN</t>
        </is>
      </c>
      <c r="E1205" t="inlineStr">
        <is>
          <t>SKELLEFTEÅ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62949-2025</t>
        </is>
      </c>
      <c r="B1206" s="1" t="n">
        <v>46009</v>
      </c>
      <c r="C1206" s="1" t="n">
        <v>46205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56722-2025</t>
        </is>
      </c>
      <c r="B1207" s="1" t="n">
        <v>45975</v>
      </c>
      <c r="C1207" s="1" t="n">
        <v>46205</v>
      </c>
      <c r="D1207" t="inlineStr">
        <is>
          <t>VÄSTERBOTTENS LÄN</t>
        </is>
      </c>
      <c r="E1207" t="inlineStr">
        <is>
          <t>SKELLEFTEÅ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62908-2025</t>
        </is>
      </c>
      <c r="B1208" s="1" t="n">
        <v>46009</v>
      </c>
      <c r="C1208" s="1" t="n">
        <v>46205</v>
      </c>
      <c r="D1208" t="inlineStr">
        <is>
          <t>VÄSTERBOTTENS LÄN</t>
        </is>
      </c>
      <c r="E1208" t="inlineStr">
        <is>
          <t>SKELLEFTEÅ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62940-2025</t>
        </is>
      </c>
      <c r="B1209" s="1" t="n">
        <v>46009</v>
      </c>
      <c r="C1209" s="1" t="n">
        <v>46205</v>
      </c>
      <c r="D1209" t="inlineStr">
        <is>
          <t>VÄSTERBOTTENS LÄN</t>
        </is>
      </c>
      <c r="E1209" t="inlineStr">
        <is>
          <t>SKELLEFTEÅ</t>
        </is>
      </c>
      <c r="G1209" t="n">
        <v>14.4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10902-2026</t>
        </is>
      </c>
      <c r="B1210" s="1" t="n">
        <v>46078</v>
      </c>
      <c r="C1210" s="1" t="n">
        <v>46205</v>
      </c>
      <c r="D1210" t="inlineStr">
        <is>
          <t>VÄSTERBOTTENS LÄN</t>
        </is>
      </c>
      <c r="E1210" t="inlineStr">
        <is>
          <t>SKELLEFTEÅ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62921-2025</t>
        </is>
      </c>
      <c r="B1211" s="1" t="n">
        <v>46009</v>
      </c>
      <c r="C1211" s="1" t="n">
        <v>46205</v>
      </c>
      <c r="D1211" t="inlineStr">
        <is>
          <t>VÄSTERBOTTENS LÄN</t>
        </is>
      </c>
      <c r="E1211" t="inlineStr">
        <is>
          <t>SKELLEFTEÅ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49242-2025</t>
        </is>
      </c>
      <c r="B1212" s="1" t="n">
        <v>45937</v>
      </c>
      <c r="C1212" s="1" t="n">
        <v>46205</v>
      </c>
      <c r="D1212" t="inlineStr">
        <is>
          <t>VÄSTERBOTTENS LÄN</t>
        </is>
      </c>
      <c r="E1212" t="inlineStr">
        <is>
          <t>SKELLEFTEÅ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10925-2026</t>
        </is>
      </c>
      <c r="B1213" s="1" t="n">
        <v>46079</v>
      </c>
      <c r="C1213" s="1" t="n">
        <v>46205</v>
      </c>
      <c r="D1213" t="inlineStr">
        <is>
          <t>VÄSTERBOTTENS LÄN</t>
        </is>
      </c>
      <c r="E1213" t="inlineStr">
        <is>
          <t>SKELLEFTEÅ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54264-2024</t>
        </is>
      </c>
      <c r="B1214" s="1" t="n">
        <v>45616</v>
      </c>
      <c r="C1214" s="1" t="n">
        <v>46205</v>
      </c>
      <c r="D1214" t="inlineStr">
        <is>
          <t>VÄSTERBOTTENS LÄN</t>
        </is>
      </c>
      <c r="E1214" t="inlineStr">
        <is>
          <t>SKELLEFTEÅ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21495-2024</t>
        </is>
      </c>
      <c r="B1215" s="1" t="n">
        <v>45441</v>
      </c>
      <c r="C1215" s="1" t="n">
        <v>46205</v>
      </c>
      <c r="D1215" t="inlineStr">
        <is>
          <t>VÄSTERBOTTENS LÄN</t>
        </is>
      </c>
      <c r="E1215" t="inlineStr">
        <is>
          <t>SKELLEFTEÅ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62890-2025</t>
        </is>
      </c>
      <c r="B1216" s="1" t="n">
        <v>46009</v>
      </c>
      <c r="C1216" s="1" t="n">
        <v>46205</v>
      </c>
      <c r="D1216" t="inlineStr">
        <is>
          <t>VÄSTERBOTTENS LÄN</t>
        </is>
      </c>
      <c r="E1216" t="inlineStr">
        <is>
          <t>SKELLEFTEÅ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10915-2026</t>
        </is>
      </c>
      <c r="B1217" s="1" t="n">
        <v>46079</v>
      </c>
      <c r="C1217" s="1" t="n">
        <v>46205</v>
      </c>
      <c r="D1217" t="inlineStr">
        <is>
          <t>VÄSTERBOTTENS LÄN</t>
        </is>
      </c>
      <c r="E1217" t="inlineStr">
        <is>
          <t>SKELLEFTEÅ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63598-2025</t>
        </is>
      </c>
      <c r="B1218" s="1" t="n">
        <v>46014</v>
      </c>
      <c r="C1218" s="1" t="n">
        <v>46205</v>
      </c>
      <c r="D1218" t="inlineStr">
        <is>
          <t>VÄSTERBOTTENS LÄN</t>
        </is>
      </c>
      <c r="E1218" t="inlineStr">
        <is>
          <t>SKELLEFTEÅ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45389-2021</t>
        </is>
      </c>
      <c r="B1219" s="1" t="n">
        <v>44440</v>
      </c>
      <c r="C1219" s="1" t="n">
        <v>46205</v>
      </c>
      <c r="D1219" t="inlineStr">
        <is>
          <t>VÄSTERBOTTENS LÄN</t>
        </is>
      </c>
      <c r="E1219" t="inlineStr">
        <is>
          <t>SKELLEFTEÅ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36779-2024</t>
        </is>
      </c>
      <c r="B1220" s="1" t="n">
        <v>45538</v>
      </c>
      <c r="C1220" s="1" t="n">
        <v>46205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60896-2023</t>
        </is>
      </c>
      <c r="B1221" s="1" t="n">
        <v>45261</v>
      </c>
      <c r="C1221" s="1" t="n">
        <v>46205</v>
      </c>
      <c r="D1221" t="inlineStr">
        <is>
          <t>VÄSTERBOTTENS LÄN</t>
        </is>
      </c>
      <c r="E1221" t="inlineStr">
        <is>
          <t>SKELLEFTEÅ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60898-2023</t>
        </is>
      </c>
      <c r="B1222" s="1" t="n">
        <v>45261</v>
      </c>
      <c r="C1222" s="1" t="n">
        <v>46205</v>
      </c>
      <c r="D1222" t="inlineStr">
        <is>
          <t>VÄSTERBOTTENS LÄN</t>
        </is>
      </c>
      <c r="E1222" t="inlineStr">
        <is>
          <t>SKELLEFTEÅ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63495-2025</t>
        </is>
      </c>
      <c r="B1223" s="1" t="n">
        <v>46013</v>
      </c>
      <c r="C1223" s="1" t="n">
        <v>46205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Holmen skog AB</t>
        </is>
      </c>
      <c r="G1223" t="n">
        <v>14.6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63481-2025</t>
        </is>
      </c>
      <c r="B1224" s="1" t="n">
        <v>46013</v>
      </c>
      <c r="C1224" s="1" t="n">
        <v>46205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Holmen skog AB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56627-2021</t>
        </is>
      </c>
      <c r="B1225" s="1" t="n">
        <v>44480</v>
      </c>
      <c r="C1225" s="1" t="n">
        <v>46205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20.1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63612-2025</t>
        </is>
      </c>
      <c r="B1226" s="1" t="n">
        <v>46014</v>
      </c>
      <c r="C1226" s="1" t="n">
        <v>46205</v>
      </c>
      <c r="D1226" t="inlineStr">
        <is>
          <t>VÄSTERBOTTENS LÄN</t>
        </is>
      </c>
      <c r="E1226" t="inlineStr">
        <is>
          <t>SKELLEFTEÅ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63484-2025</t>
        </is>
      </c>
      <c r="B1227" s="1" t="n">
        <v>46013</v>
      </c>
      <c r="C1227" s="1" t="n">
        <v>46205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61188-2023</t>
        </is>
      </c>
      <c r="B1228" s="1" t="n">
        <v>45264</v>
      </c>
      <c r="C1228" s="1" t="n">
        <v>46205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Sveaskog</t>
        </is>
      </c>
      <c r="G1228" t="n">
        <v>7.3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18979-2024</t>
        </is>
      </c>
      <c r="B1229" s="1" t="n">
        <v>45427</v>
      </c>
      <c r="C1229" s="1" t="n">
        <v>46205</v>
      </c>
      <c r="D1229" t="inlineStr">
        <is>
          <t>VÄSTERBOTTENS LÄN</t>
        </is>
      </c>
      <c r="E1229" t="inlineStr">
        <is>
          <t>SKELLEFTEÅ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26920-2024</t>
        </is>
      </c>
      <c r="B1230" s="1" t="n">
        <v>45470</v>
      </c>
      <c r="C1230" s="1" t="n">
        <v>46205</v>
      </c>
      <c r="D1230" t="inlineStr">
        <is>
          <t>VÄSTERBOTTENS LÄN</t>
        </is>
      </c>
      <c r="E1230" t="inlineStr">
        <is>
          <t>SKELLEFTEÅ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28203-2023</t>
        </is>
      </c>
      <c r="B1231" s="1" t="n">
        <v>45096</v>
      </c>
      <c r="C1231" s="1" t="n">
        <v>46205</v>
      </c>
      <c r="D1231" t="inlineStr">
        <is>
          <t>VÄSTERBOTTENS LÄN</t>
        </is>
      </c>
      <c r="E1231" t="inlineStr">
        <is>
          <t>SKELLEFTEÅ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42764-2024</t>
        </is>
      </c>
      <c r="B1232" s="1" t="n">
        <v>45566</v>
      </c>
      <c r="C1232" s="1" t="n">
        <v>46205</v>
      </c>
      <c r="D1232" t="inlineStr">
        <is>
          <t>VÄSTERBOTTENS LÄN</t>
        </is>
      </c>
      <c r="E1232" t="inlineStr">
        <is>
          <t>SKELLEFTEÅ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11388-2026</t>
        </is>
      </c>
      <c r="B1233" s="1" t="n">
        <v>46083</v>
      </c>
      <c r="C1233" s="1" t="n">
        <v>46205</v>
      </c>
      <c r="D1233" t="inlineStr">
        <is>
          <t>VÄSTERBOTTENS LÄN</t>
        </is>
      </c>
      <c r="E1233" t="inlineStr">
        <is>
          <t>SKELLEFTEÅ</t>
        </is>
      </c>
      <c r="G1233" t="n">
        <v>7.6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53311-2023</t>
        </is>
      </c>
      <c r="B1234" s="1" t="n">
        <v>45229</v>
      </c>
      <c r="C1234" s="1" t="n">
        <v>46205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9.800000000000001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11945-2023</t>
        </is>
      </c>
      <c r="B1235" s="1" t="n">
        <v>44995</v>
      </c>
      <c r="C1235" s="1" t="n">
        <v>46205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51526-2023</t>
        </is>
      </c>
      <c r="B1236" s="1" t="n">
        <v>45222</v>
      </c>
      <c r="C1236" s="1" t="n">
        <v>46205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14.1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64017-2025</t>
        </is>
      </c>
      <c r="B1237" s="1" t="n">
        <v>46021</v>
      </c>
      <c r="C1237" s="1" t="n">
        <v>46205</v>
      </c>
      <c r="D1237" t="inlineStr">
        <is>
          <t>VÄSTERBOTTENS LÄN</t>
        </is>
      </c>
      <c r="E1237" t="inlineStr">
        <is>
          <t>SKELLEFTEÅ</t>
        </is>
      </c>
      <c r="G1237" t="n">
        <v>6.9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64020-2025</t>
        </is>
      </c>
      <c r="B1238" s="1" t="n">
        <v>46021</v>
      </c>
      <c r="C1238" s="1" t="n">
        <v>46205</v>
      </c>
      <c r="D1238" t="inlineStr">
        <is>
          <t>VÄSTERBOTTENS LÄN</t>
        </is>
      </c>
      <c r="E1238" t="inlineStr">
        <is>
          <t>SKELLEFTEÅ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64141-2025</t>
        </is>
      </c>
      <c r="B1239" s="1" t="n">
        <v>46022</v>
      </c>
      <c r="C1239" s="1" t="n">
        <v>46205</v>
      </c>
      <c r="D1239" t="inlineStr">
        <is>
          <t>VÄSTERBOTTENS LÄN</t>
        </is>
      </c>
      <c r="E1239" t="inlineStr">
        <is>
          <t>SKELLEFTEÅ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114-2026</t>
        </is>
      </c>
      <c r="B1240" s="1" t="n">
        <v>46024</v>
      </c>
      <c r="C1240" s="1" t="n">
        <v>46205</v>
      </c>
      <c r="D1240" t="inlineStr">
        <is>
          <t>VÄSTERBOTTENS LÄN</t>
        </is>
      </c>
      <c r="E1240" t="inlineStr">
        <is>
          <t>SKELLEFTEÅ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17842-2023</t>
        </is>
      </c>
      <c r="B1241" s="1" t="n">
        <v>45037</v>
      </c>
      <c r="C1241" s="1" t="n">
        <v>46205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56299-2022</t>
        </is>
      </c>
      <c r="B1242" s="1" t="n">
        <v>44887</v>
      </c>
      <c r="C1242" s="1" t="n">
        <v>46205</v>
      </c>
      <c r="D1242" t="inlineStr">
        <is>
          <t>VÄSTERBOTTENS LÄN</t>
        </is>
      </c>
      <c r="E1242" t="inlineStr">
        <is>
          <t>SKELLEFTEÅ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54037-2024</t>
        </is>
      </c>
      <c r="B1243" s="1" t="n">
        <v>45616</v>
      </c>
      <c r="C1243" s="1" t="n">
        <v>46205</v>
      </c>
      <c r="D1243" t="inlineStr">
        <is>
          <t>VÄSTERBOTTENS LÄN</t>
        </is>
      </c>
      <c r="E1243" t="inlineStr">
        <is>
          <t>SKELLEFTEÅ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11595-2026</t>
        </is>
      </c>
      <c r="B1244" s="1" t="n">
        <v>46084</v>
      </c>
      <c r="C1244" s="1" t="n">
        <v>46205</v>
      </c>
      <c r="D1244" t="inlineStr">
        <is>
          <t>VÄSTERBOTTENS LÄN</t>
        </is>
      </c>
      <c r="E1244" t="inlineStr">
        <is>
          <t>SKELLEFTEÅ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55063-2022</t>
        </is>
      </c>
      <c r="B1245" s="1" t="n">
        <v>44886</v>
      </c>
      <c r="C1245" s="1" t="n">
        <v>46205</v>
      </c>
      <c r="D1245" t="inlineStr">
        <is>
          <t>VÄSTERBOTTENS LÄN</t>
        </is>
      </c>
      <c r="E1245" t="inlineStr">
        <is>
          <t>SKELLEFTEÅ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25626-2023</t>
        </is>
      </c>
      <c r="B1246" s="1" t="n">
        <v>45084</v>
      </c>
      <c r="C1246" s="1" t="n">
        <v>46205</v>
      </c>
      <c r="D1246" t="inlineStr">
        <is>
          <t>VÄSTERBOTTENS LÄN</t>
        </is>
      </c>
      <c r="E1246" t="inlineStr">
        <is>
          <t>SKELLEFTEÅ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11981-2026</t>
        </is>
      </c>
      <c r="B1247" s="1" t="n">
        <v>46085</v>
      </c>
      <c r="C1247" s="1" t="n">
        <v>46205</v>
      </c>
      <c r="D1247" t="inlineStr">
        <is>
          <t>VÄSTERBOTTENS LÄN</t>
        </is>
      </c>
      <c r="E1247" t="inlineStr">
        <is>
          <t>SKELLEFTEÅ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16183-2023</t>
        </is>
      </c>
      <c r="B1248" s="1" t="n">
        <v>45027</v>
      </c>
      <c r="C1248" s="1" t="n">
        <v>46205</v>
      </c>
      <c r="D1248" t="inlineStr">
        <is>
          <t>VÄSTERBOTTENS LÄN</t>
        </is>
      </c>
      <c r="E1248" t="inlineStr">
        <is>
          <t>SKELLEFTEÅ</t>
        </is>
      </c>
      <c r="G1248" t="n">
        <v>24.8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11837-2026</t>
        </is>
      </c>
      <c r="B1249" s="1" t="n">
        <v>46085</v>
      </c>
      <c r="C1249" s="1" t="n">
        <v>46205</v>
      </c>
      <c r="D1249" t="inlineStr">
        <is>
          <t>VÄSTERBOTTENS LÄN</t>
        </is>
      </c>
      <c r="E1249" t="inlineStr">
        <is>
          <t>SKELLEFTEÅ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28158-2023</t>
        </is>
      </c>
      <c r="B1250" s="1" t="n">
        <v>45096</v>
      </c>
      <c r="C1250" s="1" t="n">
        <v>46205</v>
      </c>
      <c r="D1250" t="inlineStr">
        <is>
          <t>VÄSTERBOTTENS LÄN</t>
        </is>
      </c>
      <c r="E1250" t="inlineStr">
        <is>
          <t>SKELLEFTEÅ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28192-2023</t>
        </is>
      </c>
      <c r="B1251" s="1" t="n">
        <v>45096</v>
      </c>
      <c r="C1251" s="1" t="n">
        <v>46205</v>
      </c>
      <c r="D1251" t="inlineStr">
        <is>
          <t>VÄSTERBOTTENS LÄN</t>
        </is>
      </c>
      <c r="E1251" t="inlineStr">
        <is>
          <t>SKELLEFTEÅ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28160-2023</t>
        </is>
      </c>
      <c r="B1252" s="1" t="n">
        <v>45099</v>
      </c>
      <c r="C1252" s="1" t="n">
        <v>46205</v>
      </c>
      <c r="D1252" t="inlineStr">
        <is>
          <t>VÄSTERBOTTENS LÄN</t>
        </is>
      </c>
      <c r="E1252" t="inlineStr">
        <is>
          <t>SKELLEFTEÅ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28171-2023</t>
        </is>
      </c>
      <c r="B1253" s="1" t="n">
        <v>45096</v>
      </c>
      <c r="C1253" s="1" t="n">
        <v>46205</v>
      </c>
      <c r="D1253" t="inlineStr">
        <is>
          <t>VÄSTERBOTTENS LÄN</t>
        </is>
      </c>
      <c r="E1253" t="inlineStr">
        <is>
          <t>SKELLEFTEÅ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61697-2022</t>
        </is>
      </c>
      <c r="B1254" s="1" t="n">
        <v>44911</v>
      </c>
      <c r="C1254" s="1" t="n">
        <v>46205</v>
      </c>
      <c r="D1254" t="inlineStr">
        <is>
          <t>VÄSTERBOTTENS LÄN</t>
        </is>
      </c>
      <c r="E1254" t="inlineStr">
        <is>
          <t>SKELLEFTEÅ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12066-2026</t>
        </is>
      </c>
      <c r="B1255" s="1" t="n">
        <v>46086</v>
      </c>
      <c r="C1255" s="1" t="n">
        <v>46205</v>
      </c>
      <c r="D1255" t="inlineStr">
        <is>
          <t>VÄSTERBOTTENS LÄN</t>
        </is>
      </c>
      <c r="E1255" t="inlineStr">
        <is>
          <t>SKELLEFTEÅ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16539-2025</t>
        </is>
      </c>
      <c r="B1256" s="1" t="n">
        <v>45751</v>
      </c>
      <c r="C1256" s="1" t="n">
        <v>46205</v>
      </c>
      <c r="D1256" t="inlineStr">
        <is>
          <t>VÄSTERBOTTENS LÄN</t>
        </is>
      </c>
      <c r="E1256" t="inlineStr">
        <is>
          <t>SKELLEFTEÅ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2177-2023</t>
        </is>
      </c>
      <c r="B1257" s="1" t="n">
        <v>44942</v>
      </c>
      <c r="C1257" s="1" t="n">
        <v>46205</v>
      </c>
      <c r="D1257" t="inlineStr">
        <is>
          <t>VÄSTERBOTTENS LÄN</t>
        </is>
      </c>
      <c r="E1257" t="inlineStr">
        <is>
          <t>SKELLEFTEÅ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12377-2026</t>
        </is>
      </c>
      <c r="B1258" s="1" t="n">
        <v>46090</v>
      </c>
      <c r="C1258" s="1" t="n">
        <v>46205</v>
      </c>
      <c r="D1258" t="inlineStr">
        <is>
          <t>VÄSTERBOTTENS LÄN</t>
        </is>
      </c>
      <c r="E1258" t="inlineStr">
        <is>
          <t>SKELLEFTEÅ</t>
        </is>
      </c>
      <c r="G1258" t="n">
        <v>20.5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12688-2026</t>
        </is>
      </c>
      <c r="B1259" s="1" t="n">
        <v>46091</v>
      </c>
      <c r="C1259" s="1" t="n">
        <v>46205</v>
      </c>
      <c r="D1259" t="inlineStr">
        <is>
          <t>VÄSTERBOTTENS LÄN</t>
        </is>
      </c>
      <c r="E1259" t="inlineStr">
        <is>
          <t>SKELLEFTEÅ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52129-2022</t>
        </is>
      </c>
      <c r="B1260" s="1" t="n">
        <v>44868</v>
      </c>
      <c r="C1260" s="1" t="n">
        <v>46205</v>
      </c>
      <c r="D1260" t="inlineStr">
        <is>
          <t>VÄSTERBOTTENS LÄN</t>
        </is>
      </c>
      <c r="E1260" t="inlineStr">
        <is>
          <t>SKELLEFTEÅ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60601-2023</t>
        </is>
      </c>
      <c r="B1261" s="1" t="n">
        <v>45260</v>
      </c>
      <c r="C1261" s="1" t="n">
        <v>46205</v>
      </c>
      <c r="D1261" t="inlineStr">
        <is>
          <t>VÄSTERBOTTENS LÄN</t>
        </is>
      </c>
      <c r="E1261" t="inlineStr">
        <is>
          <t>SKELLEFTEÅ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12717-2026</t>
        </is>
      </c>
      <c r="B1262" s="1" t="n">
        <v>46091</v>
      </c>
      <c r="C1262" s="1" t="n">
        <v>46205</v>
      </c>
      <c r="D1262" t="inlineStr">
        <is>
          <t>VÄSTERBOTTENS LÄN</t>
        </is>
      </c>
      <c r="E1262" t="inlineStr">
        <is>
          <t>SKELLEFTEÅ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12629-2026</t>
        </is>
      </c>
      <c r="B1263" s="1" t="n">
        <v>46091</v>
      </c>
      <c r="C1263" s="1" t="n">
        <v>46205</v>
      </c>
      <c r="D1263" t="inlineStr">
        <is>
          <t>VÄSTERBOTTENS LÄN</t>
        </is>
      </c>
      <c r="E1263" t="inlineStr">
        <is>
          <t>SKELLEFTEÅ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12615-2026</t>
        </is>
      </c>
      <c r="B1264" s="1" t="n">
        <v>46091</v>
      </c>
      <c r="C1264" s="1" t="n">
        <v>46205</v>
      </c>
      <c r="D1264" t="inlineStr">
        <is>
          <t>VÄSTERBOTTENS LÄN</t>
        </is>
      </c>
      <c r="E1264" t="inlineStr">
        <is>
          <t>SKELLEFTEÅ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12701-2026</t>
        </is>
      </c>
      <c r="B1265" s="1" t="n">
        <v>46091</v>
      </c>
      <c r="C1265" s="1" t="n">
        <v>46205</v>
      </c>
      <c r="D1265" t="inlineStr">
        <is>
          <t>VÄSTERBOTTENS LÄN</t>
        </is>
      </c>
      <c r="E1265" t="inlineStr">
        <is>
          <t>SKELLEFTEÅ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42852-2024</t>
        </is>
      </c>
      <c r="B1266" s="1" t="n">
        <v>45566</v>
      </c>
      <c r="C1266" s="1" t="n">
        <v>46205</v>
      </c>
      <c r="D1266" t="inlineStr">
        <is>
          <t>VÄSTERBOTTENS LÄN</t>
        </is>
      </c>
      <c r="E1266" t="inlineStr">
        <is>
          <t>SKELLEFTEÅ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17961-2025</t>
        </is>
      </c>
      <c r="B1267" s="1" t="n">
        <v>45761</v>
      </c>
      <c r="C1267" s="1" t="n">
        <v>46205</v>
      </c>
      <c r="D1267" t="inlineStr">
        <is>
          <t>VÄSTERBOTTENS LÄN</t>
        </is>
      </c>
      <c r="E1267" t="inlineStr">
        <is>
          <t>SKELLEFTEÅ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16461-2025</t>
        </is>
      </c>
      <c r="B1268" s="1" t="n">
        <v>45750</v>
      </c>
      <c r="C1268" s="1" t="n">
        <v>46205</v>
      </c>
      <c r="D1268" t="inlineStr">
        <is>
          <t>VÄSTERBOTTENS LÄN</t>
        </is>
      </c>
      <c r="E1268" t="inlineStr">
        <is>
          <t>SKELLEFTEÅ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10978-2025</t>
        </is>
      </c>
      <c r="B1269" s="1" t="n">
        <v>45723</v>
      </c>
      <c r="C1269" s="1" t="n">
        <v>46205</v>
      </c>
      <c r="D1269" t="inlineStr">
        <is>
          <t>VÄSTERBOTTENS LÄN</t>
        </is>
      </c>
      <c r="E1269" t="inlineStr">
        <is>
          <t>SKELLEFTEÅ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10980-2025</t>
        </is>
      </c>
      <c r="B1270" s="1" t="n">
        <v>45723</v>
      </c>
      <c r="C1270" s="1" t="n">
        <v>46205</v>
      </c>
      <c r="D1270" t="inlineStr">
        <is>
          <t>VÄSTERBOTTENS LÄN</t>
        </is>
      </c>
      <c r="E1270" t="inlineStr">
        <is>
          <t>SKELLEFTEÅ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48204-2024</t>
        </is>
      </c>
      <c r="B1271" s="1" t="n">
        <v>45589</v>
      </c>
      <c r="C1271" s="1" t="n">
        <v>46205</v>
      </c>
      <c r="D1271" t="inlineStr">
        <is>
          <t>VÄSTERBOTTENS LÄN</t>
        </is>
      </c>
      <c r="E1271" t="inlineStr">
        <is>
          <t>SKELLEFTEÅ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34614-2024</t>
        </is>
      </c>
      <c r="B1272" s="1" t="n">
        <v>45526</v>
      </c>
      <c r="C1272" s="1" t="n">
        <v>46205</v>
      </c>
      <c r="D1272" t="inlineStr">
        <is>
          <t>VÄSTERBOTTENS LÄN</t>
        </is>
      </c>
      <c r="E1272" t="inlineStr">
        <is>
          <t>SKELLEFTEÅ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56500-2024</t>
        </is>
      </c>
      <c r="B1273" s="1" t="n">
        <v>45625</v>
      </c>
      <c r="C1273" s="1" t="n">
        <v>46205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70851-2021</t>
        </is>
      </c>
      <c r="B1274" s="1" t="n">
        <v>44536</v>
      </c>
      <c r="C1274" s="1" t="n">
        <v>46205</v>
      </c>
      <c r="D1274" t="inlineStr">
        <is>
          <t>VÄSTERBOTTENS LÄN</t>
        </is>
      </c>
      <c r="E1274" t="inlineStr">
        <is>
          <t>SKELLEFTEÅ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23704-2023</t>
        </is>
      </c>
      <c r="B1275" s="1" t="n">
        <v>45075</v>
      </c>
      <c r="C1275" s="1" t="n">
        <v>46205</v>
      </c>
      <c r="D1275" t="inlineStr">
        <is>
          <t>VÄSTERBOTTENS LÄN</t>
        </is>
      </c>
      <c r="E1275" t="inlineStr">
        <is>
          <t>SKELLEFTEÅ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23710-2023</t>
        </is>
      </c>
      <c r="B1276" s="1" t="n">
        <v>45075</v>
      </c>
      <c r="C1276" s="1" t="n">
        <v>46205</v>
      </c>
      <c r="D1276" t="inlineStr">
        <is>
          <t>VÄSTERBOTTENS LÄN</t>
        </is>
      </c>
      <c r="E1276" t="inlineStr">
        <is>
          <t>SKELLEFTEÅ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5373-2023</t>
        </is>
      </c>
      <c r="B1277" s="1" t="n">
        <v>44957</v>
      </c>
      <c r="C1277" s="1" t="n">
        <v>46205</v>
      </c>
      <c r="D1277" t="inlineStr">
        <is>
          <t>VÄSTERBOTTENS LÄN</t>
        </is>
      </c>
      <c r="E1277" t="inlineStr">
        <is>
          <t>SKELLEFTEÅ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59788-2023</t>
        </is>
      </c>
      <c r="B1278" s="1" t="n">
        <v>45257</v>
      </c>
      <c r="C1278" s="1" t="n">
        <v>46205</v>
      </c>
      <c r="D1278" t="inlineStr">
        <is>
          <t>VÄSTERBOTTENS LÄN</t>
        </is>
      </c>
      <c r="E1278" t="inlineStr">
        <is>
          <t>SKELLEFTEÅ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6596-2023</t>
        </is>
      </c>
      <c r="B1279" s="1" t="n">
        <v>44963</v>
      </c>
      <c r="C1279" s="1" t="n">
        <v>46205</v>
      </c>
      <c r="D1279" t="inlineStr">
        <is>
          <t>VÄSTERBOTTENS LÄN</t>
        </is>
      </c>
      <c r="E1279" t="inlineStr">
        <is>
          <t>SKELLEFTEÅ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22121-2023</t>
        </is>
      </c>
      <c r="B1280" s="1" t="n">
        <v>45069</v>
      </c>
      <c r="C1280" s="1" t="n">
        <v>46205</v>
      </c>
      <c r="D1280" t="inlineStr">
        <is>
          <t>VÄSTERBOTTENS LÄN</t>
        </is>
      </c>
      <c r="E1280" t="inlineStr">
        <is>
          <t>SKELLEFTEÅ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5239-2024</t>
        </is>
      </c>
      <c r="B1281" s="1" t="n">
        <v>45330</v>
      </c>
      <c r="C1281" s="1" t="n">
        <v>46205</v>
      </c>
      <c r="D1281" t="inlineStr">
        <is>
          <t>VÄSTERBOTTENS LÄN</t>
        </is>
      </c>
      <c r="E1281" t="inlineStr">
        <is>
          <t>SKELLEFTEÅ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13730-2026</t>
        </is>
      </c>
      <c r="B1282" s="1" t="n">
        <v>46097</v>
      </c>
      <c r="C1282" s="1" t="n">
        <v>46205</v>
      </c>
      <c r="D1282" t="inlineStr">
        <is>
          <t>VÄSTERBOTTENS LÄN</t>
        </is>
      </c>
      <c r="E1282" t="inlineStr">
        <is>
          <t>SKELLEFTEÅ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32746-2023</t>
        </is>
      </c>
      <c r="B1283" s="1" t="n">
        <v>45122</v>
      </c>
      <c r="C1283" s="1" t="n">
        <v>46205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Holmen skog AB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4900-2024</t>
        </is>
      </c>
      <c r="B1284" s="1" t="n">
        <v>45329</v>
      </c>
      <c r="C1284" s="1" t="n">
        <v>46205</v>
      </c>
      <c r="D1284" t="inlineStr">
        <is>
          <t>VÄSTERBOTTENS LÄN</t>
        </is>
      </c>
      <c r="E1284" t="inlineStr">
        <is>
          <t>SKELLEFTEÅ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11528-2024</t>
        </is>
      </c>
      <c r="B1285" s="1" t="n">
        <v>45372</v>
      </c>
      <c r="C1285" s="1" t="n">
        <v>46205</v>
      </c>
      <c r="D1285" t="inlineStr">
        <is>
          <t>VÄSTERBOTTENS LÄN</t>
        </is>
      </c>
      <c r="E1285" t="inlineStr">
        <is>
          <t>SKELLEFTEÅ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11875-2024</t>
        </is>
      </c>
      <c r="B1286" s="1" t="n">
        <v>45376</v>
      </c>
      <c r="C1286" s="1" t="n">
        <v>46205</v>
      </c>
      <c r="D1286" t="inlineStr">
        <is>
          <t>VÄSTERBOTTENS LÄN</t>
        </is>
      </c>
      <c r="E1286" t="inlineStr">
        <is>
          <t>SKELLEFTEÅ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10911-2024</t>
        </is>
      </c>
      <c r="B1287" s="1" t="n">
        <v>45370</v>
      </c>
      <c r="C1287" s="1" t="n">
        <v>46205</v>
      </c>
      <c r="D1287" t="inlineStr">
        <is>
          <t>VÄSTERBOTTENS LÄN</t>
        </is>
      </c>
      <c r="E1287" t="inlineStr">
        <is>
          <t>SKELLEFTEÅ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14254-2026</t>
        </is>
      </c>
      <c r="B1288" s="1" t="n">
        <v>46099</v>
      </c>
      <c r="C1288" s="1" t="n">
        <v>46205</v>
      </c>
      <c r="D1288" t="inlineStr">
        <is>
          <t>VÄSTERBOTTENS LÄN</t>
        </is>
      </c>
      <c r="E1288" t="inlineStr">
        <is>
          <t>SKELLEFTEÅ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14769-2026</t>
        </is>
      </c>
      <c r="B1289" s="1" t="n">
        <v>46101</v>
      </c>
      <c r="C1289" s="1" t="n">
        <v>46205</v>
      </c>
      <c r="D1289" t="inlineStr">
        <is>
          <t>VÄSTERBOTTENS LÄN</t>
        </is>
      </c>
      <c r="E1289" t="inlineStr">
        <is>
          <t>SKELLEFTEÅ</t>
        </is>
      </c>
      <c r="G1289" t="n">
        <v>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49992-2022</t>
        </is>
      </c>
      <c r="B1290" s="1" t="n">
        <v>44860</v>
      </c>
      <c r="C1290" s="1" t="n">
        <v>46205</v>
      </c>
      <c r="D1290" t="inlineStr">
        <is>
          <t>VÄSTERBOTTENS LÄN</t>
        </is>
      </c>
      <c r="E1290" t="inlineStr">
        <is>
          <t>SKELLEFTEÅ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14790-2026</t>
        </is>
      </c>
      <c r="B1291" s="1" t="n">
        <v>46101</v>
      </c>
      <c r="C1291" s="1" t="n">
        <v>46205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SCA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31672-2023</t>
        </is>
      </c>
      <c r="B1292" s="1" t="n">
        <v>45117</v>
      </c>
      <c r="C1292" s="1" t="n">
        <v>46205</v>
      </c>
      <c r="D1292" t="inlineStr">
        <is>
          <t>VÄSTERBOTTENS LÄN</t>
        </is>
      </c>
      <c r="E1292" t="inlineStr">
        <is>
          <t>SKELLEFTEÅ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60558-2022</t>
        </is>
      </c>
      <c r="B1293" s="1" t="n">
        <v>44904</v>
      </c>
      <c r="C1293" s="1" t="n">
        <v>46205</v>
      </c>
      <c r="D1293" t="inlineStr">
        <is>
          <t>VÄSTERBOTTENS LÄN</t>
        </is>
      </c>
      <c r="E1293" t="inlineStr">
        <is>
          <t>SKELLEFTEÅ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15222-2026</t>
        </is>
      </c>
      <c r="B1294" s="1" t="n">
        <v>46105</v>
      </c>
      <c r="C1294" s="1" t="n">
        <v>46205</v>
      </c>
      <c r="D1294" t="inlineStr">
        <is>
          <t>VÄSTERBOTTENS LÄN</t>
        </is>
      </c>
      <c r="E1294" t="inlineStr">
        <is>
          <t>SKELLEFTEÅ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27439-2024</t>
        </is>
      </c>
      <c r="B1295" s="1" t="n">
        <v>45474</v>
      </c>
      <c r="C1295" s="1" t="n">
        <v>46205</v>
      </c>
      <c r="D1295" t="inlineStr">
        <is>
          <t>VÄSTERBOTTENS LÄN</t>
        </is>
      </c>
      <c r="E1295" t="inlineStr">
        <is>
          <t>SKELLEFTEÅ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15082-2026</t>
        </is>
      </c>
      <c r="B1296" s="1" t="n">
        <v>46105</v>
      </c>
      <c r="C1296" s="1" t="n">
        <v>46205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15103-2026</t>
        </is>
      </c>
      <c r="B1297" s="1" t="n">
        <v>46105</v>
      </c>
      <c r="C1297" s="1" t="n">
        <v>46205</v>
      </c>
      <c r="D1297" t="inlineStr">
        <is>
          <t>VÄSTERBOTTENS LÄN</t>
        </is>
      </c>
      <c r="E1297" t="inlineStr">
        <is>
          <t>SKELLEFTEÅ</t>
        </is>
      </c>
      <c r="G1297" t="n">
        <v>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14898-2026</t>
        </is>
      </c>
      <c r="B1298" s="1" t="n">
        <v>46104</v>
      </c>
      <c r="C1298" s="1" t="n">
        <v>46205</v>
      </c>
      <c r="D1298" t="inlineStr">
        <is>
          <t>VÄSTERBOTTENS LÄN</t>
        </is>
      </c>
      <c r="E1298" t="inlineStr">
        <is>
          <t>SKELLEFTEÅ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62025-2022</t>
        </is>
      </c>
      <c r="B1299" s="1" t="n">
        <v>44914</v>
      </c>
      <c r="C1299" s="1" t="n">
        <v>46205</v>
      </c>
      <c r="D1299" t="inlineStr">
        <is>
          <t>VÄSTERBOTTENS LÄN</t>
        </is>
      </c>
      <c r="E1299" t="inlineStr">
        <is>
          <t>SKELLEFTEÅ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62028-2022</t>
        </is>
      </c>
      <c r="B1300" s="1" t="n">
        <v>44914</v>
      </c>
      <c r="C1300" s="1" t="n">
        <v>46205</v>
      </c>
      <c r="D1300" t="inlineStr">
        <is>
          <t>VÄSTERBOTTENS LÄN</t>
        </is>
      </c>
      <c r="E1300" t="inlineStr">
        <is>
          <t>SKELLEFTEÅ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15740-2026</t>
        </is>
      </c>
      <c r="B1301" s="1" t="n">
        <v>46107</v>
      </c>
      <c r="C1301" s="1" t="n">
        <v>46205</v>
      </c>
      <c r="D1301" t="inlineStr">
        <is>
          <t>VÄSTERBOTTENS LÄN</t>
        </is>
      </c>
      <c r="E1301" t="inlineStr">
        <is>
          <t>SKELLEFTEÅ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15745-2026</t>
        </is>
      </c>
      <c r="B1302" s="1" t="n">
        <v>46107</v>
      </c>
      <c r="C1302" s="1" t="n">
        <v>46205</v>
      </c>
      <c r="D1302" t="inlineStr">
        <is>
          <t>VÄSTERBOTTENS LÄN</t>
        </is>
      </c>
      <c r="E1302" t="inlineStr">
        <is>
          <t>SKELLEFTEÅ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57197-2021</t>
        </is>
      </c>
      <c r="B1303" s="1" t="n">
        <v>44482</v>
      </c>
      <c r="C1303" s="1" t="n">
        <v>46205</v>
      </c>
      <c r="D1303" t="inlineStr">
        <is>
          <t>VÄSTERBOTTENS LÄN</t>
        </is>
      </c>
      <c r="E1303" t="inlineStr">
        <is>
          <t>SKELLEFTEÅ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50862-2024</t>
        </is>
      </c>
      <c r="B1304" s="1" t="n">
        <v>45602</v>
      </c>
      <c r="C1304" s="1" t="n">
        <v>46205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Holmen skog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13641-2023</t>
        </is>
      </c>
      <c r="B1305" s="1" t="n">
        <v>45006</v>
      </c>
      <c r="C1305" s="1" t="n">
        <v>46205</v>
      </c>
      <c r="D1305" t="inlineStr">
        <is>
          <t>VÄSTERBOTTENS LÄN</t>
        </is>
      </c>
      <c r="E1305" t="inlineStr">
        <is>
          <t>SKELLEFTEÅ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19107-2025</t>
        </is>
      </c>
      <c r="B1306" s="1" t="n">
        <v>45768</v>
      </c>
      <c r="C1306" s="1" t="n">
        <v>46205</v>
      </c>
      <c r="D1306" t="inlineStr">
        <is>
          <t>VÄSTERBOTTENS LÄN</t>
        </is>
      </c>
      <c r="E1306" t="inlineStr">
        <is>
          <t>SKELLEFTEÅ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31392-2024</t>
        </is>
      </c>
      <c r="B1307" s="1" t="n">
        <v>45505</v>
      </c>
      <c r="C1307" s="1" t="n">
        <v>46205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15691-2026</t>
        </is>
      </c>
      <c r="B1308" s="1" t="n">
        <v>46107</v>
      </c>
      <c r="C1308" s="1" t="n">
        <v>46205</v>
      </c>
      <c r="D1308" t="inlineStr">
        <is>
          <t>VÄSTERBOTTENS LÄN</t>
        </is>
      </c>
      <c r="E1308" t="inlineStr">
        <is>
          <t>SKELLEFTEÅ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15439-2026</t>
        </is>
      </c>
      <c r="B1309" s="1" t="n">
        <v>46106</v>
      </c>
      <c r="C1309" s="1" t="n">
        <v>46205</v>
      </c>
      <c r="D1309" t="inlineStr">
        <is>
          <t>VÄSTERBOTTENS LÄN</t>
        </is>
      </c>
      <c r="E1309" t="inlineStr">
        <is>
          <t>SKELLEFTEÅ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15434-2026</t>
        </is>
      </c>
      <c r="B1310" s="1" t="n">
        <v>46106</v>
      </c>
      <c r="C1310" s="1" t="n">
        <v>46205</v>
      </c>
      <c r="D1310" t="inlineStr">
        <is>
          <t>VÄSTERBOTTENS LÄN</t>
        </is>
      </c>
      <c r="E1310" t="inlineStr">
        <is>
          <t>SKELLEFTEÅ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14653-2024</t>
        </is>
      </c>
      <c r="B1311" s="1" t="n">
        <v>45397</v>
      </c>
      <c r="C1311" s="1" t="n">
        <v>46205</v>
      </c>
      <c r="D1311" t="inlineStr">
        <is>
          <t>VÄSTERBOTTENS LÄN</t>
        </is>
      </c>
      <c r="E1311" t="inlineStr">
        <is>
          <t>SKELLEFTEÅ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53092-2022</t>
        </is>
      </c>
      <c r="B1312" s="1" t="n">
        <v>44876</v>
      </c>
      <c r="C1312" s="1" t="n">
        <v>46205</v>
      </c>
      <c r="D1312" t="inlineStr">
        <is>
          <t>VÄSTERBOTTENS LÄN</t>
        </is>
      </c>
      <c r="E1312" t="inlineStr">
        <is>
          <t>SKELLEFTEÅ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23925-2024</t>
        </is>
      </c>
      <c r="B1313" s="1" t="n">
        <v>45455</v>
      </c>
      <c r="C1313" s="1" t="n">
        <v>46205</v>
      </c>
      <c r="D1313" t="inlineStr">
        <is>
          <t>VÄSTERBOTTENS LÄN</t>
        </is>
      </c>
      <c r="E1313" t="inlineStr">
        <is>
          <t>SKELLEFTEÅ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52871-2022</t>
        </is>
      </c>
      <c r="B1314" s="1" t="n">
        <v>44872</v>
      </c>
      <c r="C1314" s="1" t="n">
        <v>46205</v>
      </c>
      <c r="D1314" t="inlineStr">
        <is>
          <t>VÄSTERBOTTENS LÄN</t>
        </is>
      </c>
      <c r="E1314" t="inlineStr">
        <is>
          <t>SKELLEFTEÅ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16380-2026</t>
        </is>
      </c>
      <c r="B1315" s="1" t="n">
        <v>46111</v>
      </c>
      <c r="C1315" s="1" t="n">
        <v>46205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16429-2026</t>
        </is>
      </c>
      <c r="B1316" s="1" t="n">
        <v>46111</v>
      </c>
      <c r="C1316" s="1" t="n">
        <v>46205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16273-2026</t>
        </is>
      </c>
      <c r="B1317" s="1" t="n">
        <v>46111</v>
      </c>
      <c r="C1317" s="1" t="n">
        <v>46205</v>
      </c>
      <c r="D1317" t="inlineStr">
        <is>
          <t>VÄSTERBOTTENS LÄN</t>
        </is>
      </c>
      <c r="E1317" t="inlineStr">
        <is>
          <t>SKELLEFTEÅ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7579-2022</t>
        </is>
      </c>
      <c r="B1318" s="1" t="n">
        <v>44607</v>
      </c>
      <c r="C1318" s="1" t="n">
        <v>46205</v>
      </c>
      <c r="D1318" t="inlineStr">
        <is>
          <t>VÄSTERBOTTENS LÄN</t>
        </is>
      </c>
      <c r="E1318" t="inlineStr">
        <is>
          <t>SKELLEFTEÅ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37298-2024</t>
        </is>
      </c>
      <c r="B1319" s="1" t="n">
        <v>45540</v>
      </c>
      <c r="C1319" s="1" t="n">
        <v>46205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16314-2026</t>
        </is>
      </c>
      <c r="B1320" s="1" t="n">
        <v>46111</v>
      </c>
      <c r="C1320" s="1" t="n">
        <v>46205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SCA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41072-2024</t>
        </is>
      </c>
      <c r="B1321" s="1" t="n">
        <v>45559</v>
      </c>
      <c r="C1321" s="1" t="n">
        <v>46205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37474-2023</t>
        </is>
      </c>
      <c r="B1322" s="1" t="n">
        <v>45156</v>
      </c>
      <c r="C1322" s="1" t="n">
        <v>46205</v>
      </c>
      <c r="D1322" t="inlineStr">
        <is>
          <t>VÄSTERBOTTENS LÄN</t>
        </is>
      </c>
      <c r="E1322" t="inlineStr">
        <is>
          <t>SKELLEFTEÅ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16807-2026</t>
        </is>
      </c>
      <c r="B1323" s="1" t="n">
        <v>46113</v>
      </c>
      <c r="C1323" s="1" t="n">
        <v>46205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SCA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16911-2026</t>
        </is>
      </c>
      <c r="B1324" s="1" t="n">
        <v>46113</v>
      </c>
      <c r="C1324" s="1" t="n">
        <v>46205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16886-2026</t>
        </is>
      </c>
      <c r="B1325" s="1" t="n">
        <v>46113</v>
      </c>
      <c r="C1325" s="1" t="n">
        <v>46205</v>
      </c>
      <c r="D1325" t="inlineStr">
        <is>
          <t>VÄSTERBOTTENS LÄN</t>
        </is>
      </c>
      <c r="E1325" t="inlineStr">
        <is>
          <t>SKELLEFTEÅ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23520-2024</t>
        </is>
      </c>
      <c r="B1326" s="1" t="n">
        <v>45453</v>
      </c>
      <c r="C1326" s="1" t="n">
        <v>46205</v>
      </c>
      <c r="D1326" t="inlineStr">
        <is>
          <t>VÄSTERBOTTENS LÄN</t>
        </is>
      </c>
      <c r="E1326" t="inlineStr">
        <is>
          <t>SKELLEFTEÅ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10852-2023</t>
        </is>
      </c>
      <c r="B1327" s="1" t="n">
        <v>44985</v>
      </c>
      <c r="C1327" s="1" t="n">
        <v>46205</v>
      </c>
      <c r="D1327" t="inlineStr">
        <is>
          <t>VÄSTERBOTTENS LÄN</t>
        </is>
      </c>
      <c r="E1327" t="inlineStr">
        <is>
          <t>SKELLEFTEÅ</t>
        </is>
      </c>
      <c r="G1327" t="n">
        <v>7.5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35035-2024</t>
        </is>
      </c>
      <c r="B1328" s="1" t="n">
        <v>45527</v>
      </c>
      <c r="C1328" s="1" t="n">
        <v>46205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16534-2026</t>
        </is>
      </c>
      <c r="B1329" s="1" t="n">
        <v>46112</v>
      </c>
      <c r="C1329" s="1" t="n">
        <v>46205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SCA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16865-2026</t>
        </is>
      </c>
      <c r="B1330" s="1" t="n">
        <v>46113</v>
      </c>
      <c r="C1330" s="1" t="n">
        <v>46205</v>
      </c>
      <c r="D1330" t="inlineStr">
        <is>
          <t>VÄSTERBOTTENS LÄN</t>
        </is>
      </c>
      <c r="E1330" t="inlineStr">
        <is>
          <t>SKELLEFTEÅ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16554-2026</t>
        </is>
      </c>
      <c r="B1331" s="1" t="n">
        <v>46112</v>
      </c>
      <c r="C1331" s="1" t="n">
        <v>46205</v>
      </c>
      <c r="D1331" t="inlineStr">
        <is>
          <t>VÄSTERBOTTENS LÄN</t>
        </is>
      </c>
      <c r="E1331" t="inlineStr">
        <is>
          <t>SKELLEFTEÅ</t>
        </is>
      </c>
      <c r="F1331" t="inlineStr">
        <is>
          <t>Sveaskog</t>
        </is>
      </c>
      <c r="G1331" t="n">
        <v>6.5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47686-2024</t>
        </is>
      </c>
      <c r="B1332" s="1" t="n">
        <v>45588</v>
      </c>
      <c r="C1332" s="1" t="n">
        <v>46205</v>
      </c>
      <c r="D1332" t="inlineStr">
        <is>
          <t>VÄSTERBOTTENS LÄN</t>
        </is>
      </c>
      <c r="E1332" t="inlineStr">
        <is>
          <t>SKELLEFTEÅ</t>
        </is>
      </c>
      <c r="F1332" t="inlineStr">
        <is>
          <t>Holmen skog AB</t>
        </is>
      </c>
      <c r="G1332" t="n">
        <v>12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17037-2026</t>
        </is>
      </c>
      <c r="B1333" s="1" t="n">
        <v>46114</v>
      </c>
      <c r="C1333" s="1" t="n">
        <v>46205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SCA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11907-2025</t>
        </is>
      </c>
      <c r="B1334" s="1" t="n">
        <v>45728</v>
      </c>
      <c r="C1334" s="1" t="n">
        <v>46205</v>
      </c>
      <c r="D1334" t="inlineStr">
        <is>
          <t>VÄSTERBOTTENS LÄN</t>
        </is>
      </c>
      <c r="E1334" t="inlineStr">
        <is>
          <t>SKELLEFTEÅ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17273-2026</t>
        </is>
      </c>
      <c r="B1335" s="1" t="n">
        <v>46119</v>
      </c>
      <c r="C1335" s="1" t="n">
        <v>46205</v>
      </c>
      <c r="D1335" t="inlineStr">
        <is>
          <t>VÄSTERBOTTENS LÄN</t>
        </is>
      </c>
      <c r="E1335" t="inlineStr">
        <is>
          <t>SKELLEFTEÅ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50872-2022</t>
        </is>
      </c>
      <c r="B1336" s="1" t="n">
        <v>44867</v>
      </c>
      <c r="C1336" s="1" t="n">
        <v>46205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17269-2026</t>
        </is>
      </c>
      <c r="B1337" s="1" t="n">
        <v>46119</v>
      </c>
      <c r="C1337" s="1" t="n">
        <v>46205</v>
      </c>
      <c r="D1337" t="inlineStr">
        <is>
          <t>VÄSTERBOTTENS LÄN</t>
        </is>
      </c>
      <c r="E1337" t="inlineStr">
        <is>
          <t>SKELLEFTEÅ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10340-2024</t>
        </is>
      </c>
      <c r="B1338" s="1" t="n">
        <v>45365</v>
      </c>
      <c r="C1338" s="1" t="n">
        <v>46205</v>
      </c>
      <c r="D1338" t="inlineStr">
        <is>
          <t>VÄSTERBOTTENS LÄN</t>
        </is>
      </c>
      <c r="E1338" t="inlineStr">
        <is>
          <t>SKELLEFTEÅ</t>
        </is>
      </c>
      <c r="G1338" t="n">
        <v>6.9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17572-2026</t>
        </is>
      </c>
      <c r="B1339" s="1" t="n">
        <v>46121</v>
      </c>
      <c r="C1339" s="1" t="n">
        <v>46205</v>
      </c>
      <c r="D1339" t="inlineStr">
        <is>
          <t>VÄSTERBOTTENS LÄN</t>
        </is>
      </c>
      <c r="E1339" t="inlineStr">
        <is>
          <t>SKELLEFTEÅ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36867-2024</t>
        </is>
      </c>
      <c r="B1340" s="1" t="n">
        <v>45538</v>
      </c>
      <c r="C1340" s="1" t="n">
        <v>46205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Holmen skog AB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62227-2021</t>
        </is>
      </c>
      <c r="B1341" s="1" t="n">
        <v>44501</v>
      </c>
      <c r="C1341" s="1" t="n">
        <v>46205</v>
      </c>
      <c r="D1341" t="inlineStr">
        <is>
          <t>VÄSTERBOTTENS LÄN</t>
        </is>
      </c>
      <c r="E1341" t="inlineStr">
        <is>
          <t>SKELLEFTEÅ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28153-2023</t>
        </is>
      </c>
      <c r="B1342" s="1" t="n">
        <v>45096</v>
      </c>
      <c r="C1342" s="1" t="n">
        <v>46205</v>
      </c>
      <c r="D1342" t="inlineStr">
        <is>
          <t>VÄSTERBOTTENS LÄN</t>
        </is>
      </c>
      <c r="E1342" t="inlineStr">
        <is>
          <t>SKELLEFTEÅ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62058-2024</t>
        </is>
      </c>
      <c r="B1343" s="1" t="n">
        <v>45656</v>
      </c>
      <c r="C1343" s="1" t="n">
        <v>46205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Sveaskog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39054-2024</t>
        </is>
      </c>
      <c r="B1344" s="1" t="n">
        <v>45548</v>
      </c>
      <c r="C1344" s="1" t="n">
        <v>46205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Sveaskog</t>
        </is>
      </c>
      <c r="G1344" t="n">
        <v>12.3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23464-2026</t>
        </is>
      </c>
      <c r="B1345" s="1" t="n">
        <v>46163</v>
      </c>
      <c r="C1345" s="1" t="n">
        <v>46205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23498-2026</t>
        </is>
      </c>
      <c r="B1346" s="1" t="n">
        <v>46163</v>
      </c>
      <c r="C1346" s="1" t="n">
        <v>46205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Holmen skog AB</t>
        </is>
      </c>
      <c r="G1346" t="n">
        <v>15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23365-2026</t>
        </is>
      </c>
      <c r="B1347" s="1" t="n">
        <v>46162</v>
      </c>
      <c r="C1347" s="1" t="n">
        <v>46205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Sveaskog</t>
        </is>
      </c>
      <c r="G1347" t="n">
        <v>10.8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17071-2023</t>
        </is>
      </c>
      <c r="B1348" s="1" t="n">
        <v>45030</v>
      </c>
      <c r="C1348" s="1" t="n">
        <v>46205</v>
      </c>
      <c r="D1348" t="inlineStr">
        <is>
          <t>VÄSTERBOTTENS LÄN</t>
        </is>
      </c>
      <c r="E1348" t="inlineStr">
        <is>
          <t>SKELLEFTEÅ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17698-2026</t>
        </is>
      </c>
      <c r="B1349" s="1" t="n">
        <v>46121</v>
      </c>
      <c r="C1349" s="1" t="n">
        <v>46205</v>
      </c>
      <c r="D1349" t="inlineStr">
        <is>
          <t>VÄSTERBOTTENS LÄN</t>
        </is>
      </c>
      <c r="E1349" t="inlineStr">
        <is>
          <t>SKELLEFTEÅ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17568-2024</t>
        </is>
      </c>
      <c r="B1350" s="1" t="n">
        <v>45415</v>
      </c>
      <c r="C1350" s="1" t="n">
        <v>46205</v>
      </c>
      <c r="D1350" t="inlineStr">
        <is>
          <t>VÄSTERBOTTENS LÄN</t>
        </is>
      </c>
      <c r="E1350" t="inlineStr">
        <is>
          <t>SKELLEFTEÅ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33710-2023</t>
        </is>
      </c>
      <c r="B1351" s="1" t="n">
        <v>45132</v>
      </c>
      <c r="C1351" s="1" t="n">
        <v>46205</v>
      </c>
      <c r="D1351" t="inlineStr">
        <is>
          <t>VÄSTERBOTTENS LÄN</t>
        </is>
      </c>
      <c r="E1351" t="inlineStr">
        <is>
          <t>SKELLEFTEÅ</t>
        </is>
      </c>
      <c r="G1351" t="n">
        <v>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23223-2026</t>
        </is>
      </c>
      <c r="B1352" s="1" t="n">
        <v>46162</v>
      </c>
      <c r="C1352" s="1" t="n">
        <v>46205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Sveaskog</t>
        </is>
      </c>
      <c r="G1352" t="n">
        <v>9.199999999999999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43748-2024</t>
        </is>
      </c>
      <c r="B1353" s="1" t="n">
        <v>45569</v>
      </c>
      <c r="C1353" s="1" t="n">
        <v>46205</v>
      </c>
      <c r="D1353" t="inlineStr">
        <is>
          <t>VÄSTERBOTTENS LÄN</t>
        </is>
      </c>
      <c r="E1353" t="inlineStr">
        <is>
          <t>SKELLEFTEÅ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17701-2026</t>
        </is>
      </c>
      <c r="B1354" s="1" t="n">
        <v>46121</v>
      </c>
      <c r="C1354" s="1" t="n">
        <v>46205</v>
      </c>
      <c r="D1354" t="inlineStr">
        <is>
          <t>VÄSTERBOTTENS LÄN</t>
        </is>
      </c>
      <c r="E1354" t="inlineStr">
        <is>
          <t>SKELLEFTEÅ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53420-2024</t>
        </is>
      </c>
      <c r="B1355" s="1" t="n">
        <v>45614</v>
      </c>
      <c r="C1355" s="1" t="n">
        <v>46205</v>
      </c>
      <c r="D1355" t="inlineStr">
        <is>
          <t>VÄSTERBOTTENS LÄN</t>
        </is>
      </c>
      <c r="E1355" t="inlineStr">
        <is>
          <t>SKELLEFTEÅ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23537-2026</t>
        </is>
      </c>
      <c r="B1356" s="1" t="n">
        <v>46163</v>
      </c>
      <c r="C1356" s="1" t="n">
        <v>46205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4617-2024</t>
        </is>
      </c>
      <c r="B1357" s="1" t="n">
        <v>45327</v>
      </c>
      <c r="C1357" s="1" t="n">
        <v>46205</v>
      </c>
      <c r="D1357" t="inlineStr">
        <is>
          <t>VÄSTERBOTTENS LÄN</t>
        </is>
      </c>
      <c r="E1357" t="inlineStr">
        <is>
          <t>SKELLEFTEÅ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17433-2026</t>
        </is>
      </c>
      <c r="B1358" s="1" t="n">
        <v>46120</v>
      </c>
      <c r="C1358" s="1" t="n">
        <v>46205</v>
      </c>
      <c r="D1358" t="inlineStr">
        <is>
          <t>VÄSTERBOTTENS LÄN</t>
        </is>
      </c>
      <c r="E1358" t="inlineStr">
        <is>
          <t>SKELLEFTEÅ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4656-2024</t>
        </is>
      </c>
      <c r="B1359" s="1" t="n">
        <v>45327</v>
      </c>
      <c r="C1359" s="1" t="n">
        <v>46205</v>
      </c>
      <c r="D1359" t="inlineStr">
        <is>
          <t>VÄSTERBOTTENS LÄN</t>
        </is>
      </c>
      <c r="E1359" t="inlineStr">
        <is>
          <t>SKELLEFTEÅ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23957-2026</t>
        </is>
      </c>
      <c r="B1360" s="1" t="n">
        <v>46167</v>
      </c>
      <c r="C1360" s="1" t="n">
        <v>46205</v>
      </c>
      <c r="D1360" t="inlineStr">
        <is>
          <t>VÄSTERBOTTENS LÄN</t>
        </is>
      </c>
      <c r="E1360" t="inlineStr">
        <is>
          <t>SKELLEFTEÅ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23704-2026</t>
        </is>
      </c>
      <c r="B1361" s="1" t="n">
        <v>46164</v>
      </c>
      <c r="C1361" s="1" t="n">
        <v>46205</v>
      </c>
      <c r="D1361" t="inlineStr">
        <is>
          <t>VÄSTERBOTTENS LÄN</t>
        </is>
      </c>
      <c r="E1361" t="inlineStr">
        <is>
          <t>SKELLEFTEÅ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23973-2026</t>
        </is>
      </c>
      <c r="B1362" s="1" t="n">
        <v>46167</v>
      </c>
      <c r="C1362" s="1" t="n">
        <v>46205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41109-2023</t>
        </is>
      </c>
      <c r="B1363" s="1" t="n">
        <v>45170</v>
      </c>
      <c r="C1363" s="1" t="n">
        <v>46205</v>
      </c>
      <c r="D1363" t="inlineStr">
        <is>
          <t>VÄSTERBOTTENS LÄN</t>
        </is>
      </c>
      <c r="E1363" t="inlineStr">
        <is>
          <t>SKELLEFTEÅ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31558-2023</t>
        </is>
      </c>
      <c r="B1364" s="1" t="n">
        <v>45104</v>
      </c>
      <c r="C1364" s="1" t="n">
        <v>46205</v>
      </c>
      <c r="D1364" t="inlineStr">
        <is>
          <t>VÄSTERBOTTENS LÄN</t>
        </is>
      </c>
      <c r="E1364" t="inlineStr">
        <is>
          <t>SKELLEFTEÅ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23775-2026</t>
        </is>
      </c>
      <c r="B1365" s="1" t="n">
        <v>46164</v>
      </c>
      <c r="C1365" s="1" t="n">
        <v>46205</v>
      </c>
      <c r="D1365" t="inlineStr">
        <is>
          <t>VÄSTERBOTTENS LÄN</t>
        </is>
      </c>
      <c r="E1365" t="inlineStr">
        <is>
          <t>SKELLEFTEÅ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23766-2026</t>
        </is>
      </c>
      <c r="B1366" s="1" t="n">
        <v>46164</v>
      </c>
      <c r="C1366" s="1" t="n">
        <v>46205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Holmen skog AB</t>
        </is>
      </c>
      <c r="G1366" t="n">
        <v>7.9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17754-2026</t>
        </is>
      </c>
      <c r="B1367" s="1" t="n">
        <v>46122</v>
      </c>
      <c r="C1367" s="1" t="n">
        <v>46205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SCA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23875-2026</t>
        </is>
      </c>
      <c r="B1368" s="1" t="n">
        <v>46167</v>
      </c>
      <c r="C1368" s="1" t="n">
        <v>46205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Holmen skog AB</t>
        </is>
      </c>
      <c r="G1368" t="n">
        <v>8.1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23877-2026</t>
        </is>
      </c>
      <c r="B1369" s="1" t="n">
        <v>46167</v>
      </c>
      <c r="C1369" s="1" t="n">
        <v>46205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23755-2026</t>
        </is>
      </c>
      <c r="B1370" s="1" t="n">
        <v>46164</v>
      </c>
      <c r="C1370" s="1" t="n">
        <v>46205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11989-2023</t>
        </is>
      </c>
      <c r="B1371" s="1" t="n">
        <v>44994</v>
      </c>
      <c r="C1371" s="1" t="n">
        <v>46205</v>
      </c>
      <c r="D1371" t="inlineStr">
        <is>
          <t>VÄSTERBOTTENS LÄN</t>
        </is>
      </c>
      <c r="E1371" t="inlineStr">
        <is>
          <t>SKELLEFTEÅ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23861-2026</t>
        </is>
      </c>
      <c r="B1372" s="1" t="n">
        <v>46167</v>
      </c>
      <c r="C1372" s="1" t="n">
        <v>46205</v>
      </c>
      <c r="D1372" t="inlineStr">
        <is>
          <t>VÄSTERBOTTENS LÄN</t>
        </is>
      </c>
      <c r="E1372" t="inlineStr">
        <is>
          <t>SKELLEFTEÅ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23769-2026</t>
        </is>
      </c>
      <c r="B1373" s="1" t="n">
        <v>46164</v>
      </c>
      <c r="C1373" s="1" t="n">
        <v>46205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Holmen skog AB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46657-2024</t>
        </is>
      </c>
      <c r="B1374" s="1" t="n">
        <v>45583</v>
      </c>
      <c r="C1374" s="1" t="n">
        <v>46205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Holmen skog AB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46731-2024</t>
        </is>
      </c>
      <c r="B1375" s="1" t="n">
        <v>45583</v>
      </c>
      <c r="C1375" s="1" t="n">
        <v>46205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Holmen skog AB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24015-2026</t>
        </is>
      </c>
      <c r="B1376" s="1" t="n">
        <v>46167</v>
      </c>
      <c r="C1376" s="1" t="n">
        <v>46205</v>
      </c>
      <c r="D1376" t="inlineStr">
        <is>
          <t>VÄSTERBOTTENS LÄN</t>
        </is>
      </c>
      <c r="E1376" t="inlineStr">
        <is>
          <t>SKELLEFTEÅ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31006-2023</t>
        </is>
      </c>
      <c r="B1377" s="1" t="n">
        <v>45103</v>
      </c>
      <c r="C1377" s="1" t="n">
        <v>46205</v>
      </c>
      <c r="D1377" t="inlineStr">
        <is>
          <t>VÄSTERBOTTENS LÄN</t>
        </is>
      </c>
      <c r="E1377" t="inlineStr">
        <is>
          <t>SKELLEFTEÅ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67893-2021</t>
        </is>
      </c>
      <c r="B1378" s="1" t="n">
        <v>44525</v>
      </c>
      <c r="C1378" s="1" t="n">
        <v>46205</v>
      </c>
      <c r="D1378" t="inlineStr">
        <is>
          <t>VÄSTERBOTTENS LÄN</t>
        </is>
      </c>
      <c r="E1378" t="inlineStr">
        <is>
          <t>SKELLEFTEÅ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24014-2026</t>
        </is>
      </c>
      <c r="B1379" s="1" t="n">
        <v>46167</v>
      </c>
      <c r="C1379" s="1" t="n">
        <v>46205</v>
      </c>
      <c r="D1379" t="inlineStr">
        <is>
          <t>VÄSTERBOTTENS LÄN</t>
        </is>
      </c>
      <c r="E1379" t="inlineStr">
        <is>
          <t>SKELLEFTEÅ</t>
        </is>
      </c>
      <c r="G1379" t="n">
        <v>19.7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36493-2023</t>
        </is>
      </c>
      <c r="B1380" s="1" t="n">
        <v>45152</v>
      </c>
      <c r="C1380" s="1" t="n">
        <v>46205</v>
      </c>
      <c r="D1380" t="inlineStr">
        <is>
          <t>VÄSTERBOTTENS LÄN</t>
        </is>
      </c>
      <c r="E1380" t="inlineStr">
        <is>
          <t>SKELLEFTEÅ</t>
        </is>
      </c>
      <c r="G1380" t="n">
        <v>11.1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36495-2023</t>
        </is>
      </c>
      <c r="B1381" s="1" t="n">
        <v>45152</v>
      </c>
      <c r="C1381" s="1" t="n">
        <v>46205</v>
      </c>
      <c r="D1381" t="inlineStr">
        <is>
          <t>VÄSTERBOTTENS LÄN</t>
        </is>
      </c>
      <c r="E1381" t="inlineStr">
        <is>
          <t>SKELLEFTEÅ</t>
        </is>
      </c>
      <c r="G1381" t="n">
        <v>11.6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24696-2024</t>
        </is>
      </c>
      <c r="B1382" s="1" t="n">
        <v>45460</v>
      </c>
      <c r="C1382" s="1" t="n">
        <v>46205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Holmen skog AB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23745-2026</t>
        </is>
      </c>
      <c r="B1383" s="1" t="n">
        <v>46164</v>
      </c>
      <c r="C1383" s="1" t="n">
        <v>46205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Sveaskog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18368-2024</t>
        </is>
      </c>
      <c r="B1384" s="1" t="n">
        <v>45422</v>
      </c>
      <c r="C1384" s="1" t="n">
        <v>46205</v>
      </c>
      <c r="D1384" t="inlineStr">
        <is>
          <t>VÄSTERBOTTENS LÄN</t>
        </is>
      </c>
      <c r="E1384" t="inlineStr">
        <is>
          <t>SKELLEFTEÅ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58542-2024</t>
        </is>
      </c>
      <c r="B1385" s="1" t="n">
        <v>45635</v>
      </c>
      <c r="C1385" s="1" t="n">
        <v>46205</v>
      </c>
      <c r="D1385" t="inlineStr">
        <is>
          <t>VÄSTERBOTTENS LÄN</t>
        </is>
      </c>
      <c r="E1385" t="inlineStr">
        <is>
          <t>SKELLEFTEÅ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23853-2026</t>
        </is>
      </c>
      <c r="B1386" s="1" t="n">
        <v>46167</v>
      </c>
      <c r="C1386" s="1" t="n">
        <v>46205</v>
      </c>
      <c r="D1386" t="inlineStr">
        <is>
          <t>VÄSTERBOTTENS LÄN</t>
        </is>
      </c>
      <c r="E1386" t="inlineStr">
        <is>
          <t>SKELLEFTEÅ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38717-2023</t>
        </is>
      </c>
      <c r="B1387" s="1" t="n">
        <v>45160</v>
      </c>
      <c r="C1387" s="1" t="n">
        <v>46205</v>
      </c>
      <c r="D1387" t="inlineStr">
        <is>
          <t>VÄSTERBOTTENS LÄN</t>
        </is>
      </c>
      <c r="E1387" t="inlineStr">
        <is>
          <t>SKELLEFTEÅ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25099-2024</t>
        </is>
      </c>
      <c r="B1388" s="1" t="n">
        <v>45462</v>
      </c>
      <c r="C1388" s="1" t="n">
        <v>46205</v>
      </c>
      <c r="D1388" t="inlineStr">
        <is>
          <t>VÄSTERBOTTENS LÄN</t>
        </is>
      </c>
      <c r="E1388" t="inlineStr">
        <is>
          <t>SKELLEFTEÅ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24069-2026</t>
        </is>
      </c>
      <c r="B1389" s="1" t="n">
        <v>46168</v>
      </c>
      <c r="C1389" s="1" t="n">
        <v>46205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24278-2026</t>
        </is>
      </c>
      <c r="B1390" s="1" t="n">
        <v>46169</v>
      </c>
      <c r="C1390" s="1" t="n">
        <v>46205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24280-2026</t>
        </is>
      </c>
      <c r="B1391" s="1" t="n">
        <v>46169</v>
      </c>
      <c r="C1391" s="1" t="n">
        <v>46205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9.300000000000001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46049-2024</t>
        </is>
      </c>
      <c r="B1392" s="1" t="n">
        <v>45580</v>
      </c>
      <c r="C1392" s="1" t="n">
        <v>46205</v>
      </c>
      <c r="D1392" t="inlineStr">
        <is>
          <t>VÄSTERBOTTENS LÄN</t>
        </is>
      </c>
      <c r="E1392" t="inlineStr">
        <is>
          <t>SKELLEFTEÅ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3265-2022</t>
        </is>
      </c>
      <c r="B1393" s="1" t="n">
        <v>44583</v>
      </c>
      <c r="C1393" s="1" t="n">
        <v>46205</v>
      </c>
      <c r="D1393" t="inlineStr">
        <is>
          <t>VÄSTERBOTTENS LÄN</t>
        </is>
      </c>
      <c r="E1393" t="inlineStr">
        <is>
          <t>SKELLEFTEÅ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18354-2026</t>
        </is>
      </c>
      <c r="B1394" s="1" t="n">
        <v>46126</v>
      </c>
      <c r="C1394" s="1" t="n">
        <v>46205</v>
      </c>
      <c r="D1394" t="inlineStr">
        <is>
          <t>VÄSTERBOTTENS LÄN</t>
        </is>
      </c>
      <c r="E1394" t="inlineStr">
        <is>
          <t>SKELLEFTEÅ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14697-2023</t>
        </is>
      </c>
      <c r="B1395" s="1" t="n">
        <v>45012</v>
      </c>
      <c r="C1395" s="1" t="n">
        <v>46205</v>
      </c>
      <c r="D1395" t="inlineStr">
        <is>
          <t>VÄSTERBOTTENS LÄN</t>
        </is>
      </c>
      <c r="E1395" t="inlineStr">
        <is>
          <t>SKELLEFTEÅ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18612-2026</t>
        </is>
      </c>
      <c r="B1396" s="1" t="n">
        <v>46127</v>
      </c>
      <c r="C1396" s="1" t="n">
        <v>46205</v>
      </c>
      <c r="D1396" t="inlineStr">
        <is>
          <t>VÄSTERBOTTENS LÄN</t>
        </is>
      </c>
      <c r="E1396" t="inlineStr">
        <is>
          <t>SKELLEFTEÅ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7668-2024</t>
        </is>
      </c>
      <c r="B1397" s="1" t="n">
        <v>45348</v>
      </c>
      <c r="C1397" s="1" t="n">
        <v>46205</v>
      </c>
      <c r="D1397" t="inlineStr">
        <is>
          <t>VÄSTERBOTTENS LÄN</t>
        </is>
      </c>
      <c r="E1397" t="inlineStr">
        <is>
          <t>SKELLEFTEÅ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18350-2026</t>
        </is>
      </c>
      <c r="B1398" s="1" t="n">
        <v>46126</v>
      </c>
      <c r="C1398" s="1" t="n">
        <v>46205</v>
      </c>
      <c r="D1398" t="inlineStr">
        <is>
          <t>VÄSTERBOTTENS LÄN</t>
        </is>
      </c>
      <c r="E1398" t="inlineStr">
        <is>
          <t>SKELLEFTEÅ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18432-2026</t>
        </is>
      </c>
      <c r="B1399" s="1" t="n">
        <v>46127</v>
      </c>
      <c r="C1399" s="1" t="n">
        <v>46205</v>
      </c>
      <c r="D1399" t="inlineStr">
        <is>
          <t>VÄSTERBOTTENS LÄN</t>
        </is>
      </c>
      <c r="E1399" t="inlineStr">
        <is>
          <t>SKELLEFTEÅ</t>
        </is>
      </c>
      <c r="G1399" t="n">
        <v>7.5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24047-2026</t>
        </is>
      </c>
      <c r="B1400" s="1" t="n">
        <v>46168</v>
      </c>
      <c r="C1400" s="1" t="n">
        <v>46205</v>
      </c>
      <c r="D1400" t="inlineStr">
        <is>
          <t>VÄSTERBOTTENS LÄN</t>
        </is>
      </c>
      <c r="E1400" t="inlineStr">
        <is>
          <t>SKELLEFTEÅ</t>
        </is>
      </c>
      <c r="G1400" t="n">
        <v>5.3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32820-2023</t>
        </is>
      </c>
      <c r="B1401" s="1" t="n">
        <v>45112</v>
      </c>
      <c r="C1401" s="1" t="n">
        <v>46205</v>
      </c>
      <c r="D1401" t="inlineStr">
        <is>
          <t>VÄSTERBOTTENS LÄN</t>
        </is>
      </c>
      <c r="E1401" t="inlineStr">
        <is>
          <t>SKELLEFTEÅ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5603-2024</t>
        </is>
      </c>
      <c r="B1402" s="1" t="n">
        <v>45334</v>
      </c>
      <c r="C1402" s="1" t="n">
        <v>46205</v>
      </c>
      <c r="D1402" t="inlineStr">
        <is>
          <t>VÄSTERBOTTENS LÄN</t>
        </is>
      </c>
      <c r="E1402" t="inlineStr">
        <is>
          <t>SKELLEFTEÅ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18347-2026</t>
        </is>
      </c>
      <c r="B1403" s="1" t="n">
        <v>46126</v>
      </c>
      <c r="C1403" s="1" t="n">
        <v>46205</v>
      </c>
      <c r="D1403" t="inlineStr">
        <is>
          <t>VÄSTERBOTTENS LÄN</t>
        </is>
      </c>
      <c r="E1403" t="inlineStr">
        <is>
          <t>SKELLEFTEÅ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24300-2026</t>
        </is>
      </c>
      <c r="B1404" s="1" t="n">
        <v>46168</v>
      </c>
      <c r="C1404" s="1" t="n">
        <v>46205</v>
      </c>
      <c r="D1404" t="inlineStr">
        <is>
          <t>VÄSTERBOTTENS LÄN</t>
        </is>
      </c>
      <c r="E1404" t="inlineStr">
        <is>
          <t>SKELLEFTEÅ</t>
        </is>
      </c>
      <c r="G1404" t="n">
        <v>6.6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24259-2026</t>
        </is>
      </c>
      <c r="B1405" s="1" t="n">
        <v>46169</v>
      </c>
      <c r="C1405" s="1" t="n">
        <v>46205</v>
      </c>
      <c r="D1405" t="inlineStr">
        <is>
          <t>VÄSTERBOTTENS LÄN</t>
        </is>
      </c>
      <c r="E1405" t="inlineStr">
        <is>
          <t>SKELLEFTEÅ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52062-2023</t>
        </is>
      </c>
      <c r="B1406" s="1" t="n">
        <v>45216</v>
      </c>
      <c r="C1406" s="1" t="n">
        <v>46205</v>
      </c>
      <c r="D1406" t="inlineStr">
        <is>
          <t>VÄSTERBOTTENS LÄN</t>
        </is>
      </c>
      <c r="E1406" t="inlineStr">
        <is>
          <t>SKELLEFTEÅ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25237-2023</t>
        </is>
      </c>
      <c r="B1407" s="1" t="n">
        <v>45079</v>
      </c>
      <c r="C1407" s="1" t="n">
        <v>46205</v>
      </c>
      <c r="D1407" t="inlineStr">
        <is>
          <t>VÄSTERBOTTENS LÄN</t>
        </is>
      </c>
      <c r="E1407" t="inlineStr">
        <is>
          <t>SKELLEFTEÅ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54251-2024</t>
        </is>
      </c>
      <c r="B1408" s="1" t="n">
        <v>45616</v>
      </c>
      <c r="C1408" s="1" t="n">
        <v>46205</v>
      </c>
      <c r="D1408" t="inlineStr">
        <is>
          <t>VÄSTERBOTTENS LÄN</t>
        </is>
      </c>
      <c r="E1408" t="inlineStr">
        <is>
          <t>SKELLEFTEÅ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18954-2026</t>
        </is>
      </c>
      <c r="B1409" s="1" t="n">
        <v>46127</v>
      </c>
      <c r="C1409" s="1" t="n">
        <v>46205</v>
      </c>
      <c r="D1409" t="inlineStr">
        <is>
          <t>VÄSTERBOTTENS LÄN</t>
        </is>
      </c>
      <c r="E1409" t="inlineStr">
        <is>
          <t>SKELLEFTEÅ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24049-2026</t>
        </is>
      </c>
      <c r="B1410" s="1" t="n">
        <v>46168</v>
      </c>
      <c r="C1410" s="1" t="n">
        <v>46205</v>
      </c>
      <c r="D1410" t="inlineStr">
        <is>
          <t>VÄSTERBOTTENS LÄN</t>
        </is>
      </c>
      <c r="E1410" t="inlineStr">
        <is>
          <t>SKELLEFTEÅ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24354-2026</t>
        </is>
      </c>
      <c r="B1411" s="1" t="n">
        <v>46169</v>
      </c>
      <c r="C1411" s="1" t="n">
        <v>46205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Holmen skog AB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1402-2025</t>
        </is>
      </c>
      <c r="B1412" s="1" t="n">
        <v>45667</v>
      </c>
      <c r="C1412" s="1" t="n">
        <v>46205</v>
      </c>
      <c r="D1412" t="inlineStr">
        <is>
          <t>VÄSTERBOTTENS LÄN</t>
        </is>
      </c>
      <c r="E1412" t="inlineStr">
        <is>
          <t>SKELLEFTEÅ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24351-2026</t>
        </is>
      </c>
      <c r="B1413" s="1" t="n">
        <v>46169</v>
      </c>
      <c r="C1413" s="1" t="n">
        <v>46205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25638-2023</t>
        </is>
      </c>
      <c r="B1414" s="1" t="n">
        <v>45084</v>
      </c>
      <c r="C1414" s="1" t="n">
        <v>46205</v>
      </c>
      <c r="D1414" t="inlineStr">
        <is>
          <t>VÄSTERBOTTENS LÄN</t>
        </is>
      </c>
      <c r="E1414" t="inlineStr">
        <is>
          <t>SKELLEFTEÅ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24337-2026</t>
        </is>
      </c>
      <c r="B1415" s="1" t="n">
        <v>46167</v>
      </c>
      <c r="C1415" s="1" t="n">
        <v>46205</v>
      </c>
      <c r="D1415" t="inlineStr">
        <is>
          <t>VÄSTERBOTTENS LÄN</t>
        </is>
      </c>
      <c r="E1415" t="inlineStr">
        <is>
          <t>SKELLEFTEÅ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18433-2026</t>
        </is>
      </c>
      <c r="B1416" s="1" t="n">
        <v>46127</v>
      </c>
      <c r="C1416" s="1" t="n">
        <v>46205</v>
      </c>
      <c r="D1416" t="inlineStr">
        <is>
          <t>VÄSTERBOTTENS LÄN</t>
        </is>
      </c>
      <c r="E1416" t="inlineStr">
        <is>
          <t>SKELLEFTEÅ</t>
        </is>
      </c>
      <c r="G1416" t="n">
        <v>7.6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18967-2026</t>
        </is>
      </c>
      <c r="B1417" s="1" t="n">
        <v>46127</v>
      </c>
      <c r="C1417" s="1" t="n">
        <v>46205</v>
      </c>
      <c r="D1417" t="inlineStr">
        <is>
          <t>VÄSTERBOTTENS LÄN</t>
        </is>
      </c>
      <c r="E1417" t="inlineStr">
        <is>
          <t>SKELLEFTEÅ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13131-2022</t>
        </is>
      </c>
      <c r="B1418" s="1" t="n">
        <v>44644</v>
      </c>
      <c r="C1418" s="1" t="n">
        <v>46205</v>
      </c>
      <c r="D1418" t="inlineStr">
        <is>
          <t>VÄSTERBOTTENS LÄN</t>
        </is>
      </c>
      <c r="E1418" t="inlineStr">
        <is>
          <t>SKELLEFTEÅ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18279-2026</t>
        </is>
      </c>
      <c r="B1419" s="1" t="n">
        <v>46126</v>
      </c>
      <c r="C1419" s="1" t="n">
        <v>46205</v>
      </c>
      <c r="D1419" t="inlineStr">
        <is>
          <t>VÄSTERBOTTENS LÄN</t>
        </is>
      </c>
      <c r="E1419" t="inlineStr">
        <is>
          <t>SKELLEFTEÅ</t>
        </is>
      </c>
      <c r="G1419" t="n">
        <v>13.1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18343-2026</t>
        </is>
      </c>
      <c r="B1420" s="1" t="n">
        <v>46126</v>
      </c>
      <c r="C1420" s="1" t="n">
        <v>46205</v>
      </c>
      <c r="D1420" t="inlineStr">
        <is>
          <t>VÄSTERBOTTENS LÄN</t>
        </is>
      </c>
      <c r="E1420" t="inlineStr">
        <is>
          <t>SKELLEFTEÅ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8644-2025</t>
        </is>
      </c>
      <c r="B1421" s="1" t="n">
        <v>45712</v>
      </c>
      <c r="C1421" s="1" t="n">
        <v>46205</v>
      </c>
      <c r="D1421" t="inlineStr">
        <is>
          <t>VÄSTERBOTTENS LÄN</t>
        </is>
      </c>
      <c r="E1421" t="inlineStr">
        <is>
          <t>SKELLEFTEÅ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48202-2024</t>
        </is>
      </c>
      <c r="B1422" s="1" t="n">
        <v>45589</v>
      </c>
      <c r="C1422" s="1" t="n">
        <v>46205</v>
      </c>
      <c r="D1422" t="inlineStr">
        <is>
          <t>VÄSTERBOTTENS LÄN</t>
        </is>
      </c>
      <c r="E1422" t="inlineStr">
        <is>
          <t>SKELLEFTEÅ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24045-2026</t>
        </is>
      </c>
      <c r="B1423" s="1" t="n">
        <v>46168</v>
      </c>
      <c r="C1423" s="1" t="n">
        <v>46205</v>
      </c>
      <c r="D1423" t="inlineStr">
        <is>
          <t>VÄSTERBOTTENS LÄN</t>
        </is>
      </c>
      <c r="E1423" t="inlineStr">
        <is>
          <t>SKELLEFTEÅ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44025-2023</t>
        </is>
      </c>
      <c r="B1424" s="1" t="n">
        <v>45182</v>
      </c>
      <c r="C1424" s="1" t="n">
        <v>46205</v>
      </c>
      <c r="D1424" t="inlineStr">
        <is>
          <t>VÄSTERBOTTENS LÄN</t>
        </is>
      </c>
      <c r="E1424" t="inlineStr">
        <is>
          <t>SKELLEFTEÅ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24071-2026</t>
        </is>
      </c>
      <c r="B1425" s="1" t="n">
        <v>46168</v>
      </c>
      <c r="C1425" s="1" t="n">
        <v>46205</v>
      </c>
      <c r="D1425" t="inlineStr">
        <is>
          <t>VÄSTERBOTTENS LÄN</t>
        </is>
      </c>
      <c r="E1425" t="inlineStr">
        <is>
          <t>SKELLEFTEÅ</t>
        </is>
      </c>
      <c r="G1425" t="n">
        <v>7.5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24072-2026</t>
        </is>
      </c>
      <c r="B1426" s="1" t="n">
        <v>46168</v>
      </c>
      <c r="C1426" s="1" t="n">
        <v>46205</v>
      </c>
      <c r="D1426" t="inlineStr">
        <is>
          <t>VÄSTERBOTTENS LÄN</t>
        </is>
      </c>
      <c r="E1426" t="inlineStr">
        <is>
          <t>SKELLEFTEÅ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24073-2026</t>
        </is>
      </c>
      <c r="B1427" s="1" t="n">
        <v>46168</v>
      </c>
      <c r="C1427" s="1" t="n">
        <v>46205</v>
      </c>
      <c r="D1427" t="inlineStr">
        <is>
          <t>VÄSTERBOTTENS LÄN</t>
        </is>
      </c>
      <c r="E1427" t="inlineStr">
        <is>
          <t>SKELLEFTEÅ</t>
        </is>
      </c>
      <c r="G1427" t="n">
        <v>11.5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24066-2026</t>
        </is>
      </c>
      <c r="B1428" s="1" t="n">
        <v>46168</v>
      </c>
      <c r="C1428" s="1" t="n">
        <v>46205</v>
      </c>
      <c r="D1428" t="inlineStr">
        <is>
          <t>VÄSTERBOTTENS LÄN</t>
        </is>
      </c>
      <c r="E1428" t="inlineStr">
        <is>
          <t>SKELLEFTEÅ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4138-2024</t>
        </is>
      </c>
      <c r="B1429" s="1" t="n">
        <v>45323</v>
      </c>
      <c r="C1429" s="1" t="n">
        <v>46205</v>
      </c>
      <c r="D1429" t="inlineStr">
        <is>
          <t>VÄSTERBOTTENS LÄN</t>
        </is>
      </c>
      <c r="E1429" t="inlineStr">
        <is>
          <t>SKELLEFTEÅ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24590-2026</t>
        </is>
      </c>
      <c r="B1430" s="1" t="n">
        <v>46170</v>
      </c>
      <c r="C1430" s="1" t="n">
        <v>46205</v>
      </c>
      <c r="D1430" t="inlineStr">
        <is>
          <t>VÄSTERBOTTENS LÄN</t>
        </is>
      </c>
      <c r="E1430" t="inlineStr">
        <is>
          <t>SKELLEFTEÅ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24583-2026</t>
        </is>
      </c>
      <c r="B1431" s="1" t="n">
        <v>46170</v>
      </c>
      <c r="C1431" s="1" t="n">
        <v>46205</v>
      </c>
      <c r="D1431" t="inlineStr">
        <is>
          <t>VÄSTERBOTTENS LÄN</t>
        </is>
      </c>
      <c r="E1431" t="inlineStr">
        <is>
          <t>SKELLEFTEÅ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24463-2026</t>
        </is>
      </c>
      <c r="B1432" s="1" t="n">
        <v>46170</v>
      </c>
      <c r="C1432" s="1" t="n">
        <v>46205</v>
      </c>
      <c r="D1432" t="inlineStr">
        <is>
          <t>VÄSTERBOTTENS LÄN</t>
        </is>
      </c>
      <c r="E1432" t="inlineStr">
        <is>
          <t>SKELLEFTEÅ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59443-2024</t>
        </is>
      </c>
      <c r="B1433" s="1" t="n">
        <v>45638</v>
      </c>
      <c r="C1433" s="1" t="n">
        <v>46205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Sveaskog</t>
        </is>
      </c>
      <c r="G1433" t="n">
        <v>11.7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3616-2022</t>
        </is>
      </c>
      <c r="B1434" s="1" t="n">
        <v>44586</v>
      </c>
      <c r="C1434" s="1" t="n">
        <v>46205</v>
      </c>
      <c r="D1434" t="inlineStr">
        <is>
          <t>VÄSTERBOTTENS LÄN</t>
        </is>
      </c>
      <c r="E1434" t="inlineStr">
        <is>
          <t>SKELLEFTEÅ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24465-2026</t>
        </is>
      </c>
      <c r="B1435" s="1" t="n">
        <v>46170</v>
      </c>
      <c r="C1435" s="1" t="n">
        <v>46205</v>
      </c>
      <c r="D1435" t="inlineStr">
        <is>
          <t>VÄSTERBOTTENS LÄN</t>
        </is>
      </c>
      <c r="E1435" t="inlineStr">
        <is>
          <t>SKELLEFTEÅ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5828-2022</t>
        </is>
      </c>
      <c r="B1436" s="1" t="n">
        <v>44596</v>
      </c>
      <c r="C1436" s="1" t="n">
        <v>46205</v>
      </c>
      <c r="D1436" t="inlineStr">
        <is>
          <t>VÄSTERBOTTENS LÄN</t>
        </is>
      </c>
      <c r="E1436" t="inlineStr">
        <is>
          <t>SKELLEFTEÅ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18081-2022</t>
        </is>
      </c>
      <c r="B1437" s="1" t="n">
        <v>44684</v>
      </c>
      <c r="C1437" s="1" t="n">
        <v>46205</v>
      </c>
      <c r="D1437" t="inlineStr">
        <is>
          <t>VÄSTERBOTTENS LÄN</t>
        </is>
      </c>
      <c r="E1437" t="inlineStr">
        <is>
          <t>SKELLEFTEÅ</t>
        </is>
      </c>
      <c r="G1437" t="n">
        <v>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73833-2021</t>
        </is>
      </c>
      <c r="B1438" s="1" t="n">
        <v>44552</v>
      </c>
      <c r="C1438" s="1" t="n">
        <v>46205</v>
      </c>
      <c r="D1438" t="inlineStr">
        <is>
          <t>VÄSTERBOTTENS LÄN</t>
        </is>
      </c>
      <c r="E1438" t="inlineStr">
        <is>
          <t>SKELLEFTEÅ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45788-2024</t>
        </is>
      </c>
      <c r="B1439" s="1" t="n">
        <v>45579</v>
      </c>
      <c r="C1439" s="1" t="n">
        <v>46205</v>
      </c>
      <c r="D1439" t="inlineStr">
        <is>
          <t>VÄSTERBOTTENS LÄN</t>
        </is>
      </c>
      <c r="E1439" t="inlineStr">
        <is>
          <t>SKELLEFTEÅ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19055-2026</t>
        </is>
      </c>
      <c r="B1440" s="1" t="n">
        <v>46132</v>
      </c>
      <c r="C1440" s="1" t="n">
        <v>46205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40347-2024</t>
        </is>
      </c>
      <c r="B1441" s="1" t="n">
        <v>45555</v>
      </c>
      <c r="C1441" s="1" t="n">
        <v>46205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Kommuner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24593-2026</t>
        </is>
      </c>
      <c r="B1442" s="1" t="n">
        <v>46170</v>
      </c>
      <c r="C1442" s="1" t="n">
        <v>46205</v>
      </c>
      <c r="D1442" t="inlineStr">
        <is>
          <t>VÄSTERBOTTENS LÄN</t>
        </is>
      </c>
      <c r="E1442" t="inlineStr">
        <is>
          <t>SKELLEFTEÅ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63525-2023</t>
        </is>
      </c>
      <c r="B1443" s="1" t="n">
        <v>45274</v>
      </c>
      <c r="C1443" s="1" t="n">
        <v>46205</v>
      </c>
      <c r="D1443" t="inlineStr">
        <is>
          <t>VÄSTERBOTTENS LÄN</t>
        </is>
      </c>
      <c r="E1443" t="inlineStr">
        <is>
          <t>SKELLEFTEÅ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24454-2026</t>
        </is>
      </c>
      <c r="B1444" s="1" t="n">
        <v>46170</v>
      </c>
      <c r="C1444" s="1" t="n">
        <v>46205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40274-2023</t>
        </is>
      </c>
      <c r="B1445" s="1" t="n">
        <v>45169</v>
      </c>
      <c r="C1445" s="1" t="n">
        <v>46205</v>
      </c>
      <c r="D1445" t="inlineStr">
        <is>
          <t>VÄSTERBOTTENS LÄN</t>
        </is>
      </c>
      <c r="E1445" t="inlineStr">
        <is>
          <t>SKELLEFTEÅ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47514-2024</t>
        </is>
      </c>
      <c r="B1446" s="1" t="n">
        <v>45587</v>
      </c>
      <c r="C1446" s="1" t="n">
        <v>46205</v>
      </c>
      <c r="D1446" t="inlineStr">
        <is>
          <t>VÄSTERBOTTENS LÄN</t>
        </is>
      </c>
      <c r="E1446" t="inlineStr">
        <is>
          <t>SKELLEFTEÅ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24674-2026</t>
        </is>
      </c>
      <c r="B1447" s="1" t="n">
        <v>46171</v>
      </c>
      <c r="C1447" s="1" t="n">
        <v>46205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73684-2021</t>
        </is>
      </c>
      <c r="B1448" s="1" t="n">
        <v>44551</v>
      </c>
      <c r="C1448" s="1" t="n">
        <v>46205</v>
      </c>
      <c r="D1448" t="inlineStr">
        <is>
          <t>VÄSTERBOTTENS LÄN</t>
        </is>
      </c>
      <c r="E1448" t="inlineStr">
        <is>
          <t>SKELLEFTEÅ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34713-2024</t>
        </is>
      </c>
      <c r="B1449" s="1" t="n">
        <v>45526</v>
      </c>
      <c r="C1449" s="1" t="n">
        <v>46205</v>
      </c>
      <c r="D1449" t="inlineStr">
        <is>
          <t>VÄSTERBOTTENS LÄN</t>
        </is>
      </c>
      <c r="E1449" t="inlineStr">
        <is>
          <t>SKELLEFTEÅ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2486-2022</t>
        </is>
      </c>
      <c r="B1450" s="1" t="n">
        <v>44579</v>
      </c>
      <c r="C1450" s="1" t="n">
        <v>46205</v>
      </c>
      <c r="D1450" t="inlineStr">
        <is>
          <t>VÄSTERBOTTENS LÄN</t>
        </is>
      </c>
      <c r="E1450" t="inlineStr">
        <is>
          <t>SKELLEFTEÅ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24490-2026</t>
        </is>
      </c>
      <c r="B1451" s="1" t="n">
        <v>46170</v>
      </c>
      <c r="C1451" s="1" t="n">
        <v>46205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18688-2026</t>
        </is>
      </c>
      <c r="B1452" s="1" t="n">
        <v>46128</v>
      </c>
      <c r="C1452" s="1" t="n">
        <v>46205</v>
      </c>
      <c r="D1452" t="inlineStr">
        <is>
          <t>VÄSTERBOTTENS LÄN</t>
        </is>
      </c>
      <c r="E1452" t="inlineStr">
        <is>
          <t>SKELLEFTEÅ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18689-2026</t>
        </is>
      </c>
      <c r="B1453" s="1" t="n">
        <v>46128</v>
      </c>
      <c r="C1453" s="1" t="n">
        <v>46205</v>
      </c>
      <c r="D1453" t="inlineStr">
        <is>
          <t>VÄSTERBOTTENS LÄN</t>
        </is>
      </c>
      <c r="E1453" t="inlineStr">
        <is>
          <t>SKELLEFTEÅ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18339-2026</t>
        </is>
      </c>
      <c r="B1454" s="1" t="n">
        <v>46126</v>
      </c>
      <c r="C1454" s="1" t="n">
        <v>46205</v>
      </c>
      <c r="D1454" t="inlineStr">
        <is>
          <t>VÄSTERBOTTENS LÄN</t>
        </is>
      </c>
      <c r="E1454" t="inlineStr">
        <is>
          <t>SKELLEFTEÅ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18934-2026</t>
        </is>
      </c>
      <c r="B1455" s="1" t="n">
        <v>46129</v>
      </c>
      <c r="C1455" s="1" t="n">
        <v>46205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24708-2026</t>
        </is>
      </c>
      <c r="B1456" s="1" t="n">
        <v>46171</v>
      </c>
      <c r="C1456" s="1" t="n">
        <v>46205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SCA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24583-2022</t>
        </is>
      </c>
      <c r="B1457" s="1" t="n">
        <v>44727</v>
      </c>
      <c r="C1457" s="1" t="n">
        <v>46205</v>
      </c>
      <c r="D1457" t="inlineStr">
        <is>
          <t>VÄSTERBOTTENS LÄN</t>
        </is>
      </c>
      <c r="E1457" t="inlineStr">
        <is>
          <t>SKELLEFTEÅ</t>
        </is>
      </c>
      <c r="G1457" t="n">
        <v>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19198-2026</t>
        </is>
      </c>
      <c r="B1458" s="1" t="n">
        <v>46132</v>
      </c>
      <c r="C1458" s="1" t="n">
        <v>46205</v>
      </c>
      <c r="D1458" t="inlineStr">
        <is>
          <t>VÄSTERBOTTENS LÄN</t>
        </is>
      </c>
      <c r="E1458" t="inlineStr">
        <is>
          <t>SKELLEFTEÅ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23458-2023</t>
        </is>
      </c>
      <c r="B1459" s="1" t="n">
        <v>45076</v>
      </c>
      <c r="C1459" s="1" t="n">
        <v>46205</v>
      </c>
      <c r="D1459" t="inlineStr">
        <is>
          <t>VÄSTERBOTTENS LÄN</t>
        </is>
      </c>
      <c r="E1459" t="inlineStr">
        <is>
          <t>SKELLEFTEÅ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48116-2024</t>
        </is>
      </c>
      <c r="B1460" s="1" t="n">
        <v>45589</v>
      </c>
      <c r="C1460" s="1" t="n">
        <v>46205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Kommuner</t>
        </is>
      </c>
      <c r="G1460" t="n">
        <v>9.1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24806-2026</t>
        </is>
      </c>
      <c r="B1461" s="1" t="n">
        <v>46172</v>
      </c>
      <c r="C1461" s="1" t="n">
        <v>46205</v>
      </c>
      <c r="D1461" t="inlineStr">
        <is>
          <t>VÄSTERBOTTENS LÄN</t>
        </is>
      </c>
      <c r="E1461" t="inlineStr">
        <is>
          <t>SKELLEFTEÅ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44240-2024</t>
        </is>
      </c>
      <c r="B1462" s="1" t="n">
        <v>45573</v>
      </c>
      <c r="C1462" s="1" t="n">
        <v>46205</v>
      </c>
      <c r="D1462" t="inlineStr">
        <is>
          <t>VÄSTERBOTTENS LÄN</t>
        </is>
      </c>
      <c r="E1462" t="inlineStr">
        <is>
          <t>SKELLEFTEÅ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42789-2023</t>
        </is>
      </c>
      <c r="B1463" s="1" t="n">
        <v>45181</v>
      </c>
      <c r="C1463" s="1" t="n">
        <v>46205</v>
      </c>
      <c r="D1463" t="inlineStr">
        <is>
          <t>VÄSTERBOTTENS LÄN</t>
        </is>
      </c>
      <c r="E1463" t="inlineStr">
        <is>
          <t>SKELLEFTEÅ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24504-2026</t>
        </is>
      </c>
      <c r="B1464" s="1" t="n">
        <v>46170</v>
      </c>
      <c r="C1464" s="1" t="n">
        <v>46205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16977-2024</t>
        </is>
      </c>
      <c r="B1465" s="1" t="n">
        <v>45412</v>
      </c>
      <c r="C1465" s="1" t="n">
        <v>46205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SCA</t>
        </is>
      </c>
      <c r="G1465" t="n">
        <v>16.8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18935-2026</t>
        </is>
      </c>
      <c r="B1466" s="1" t="n">
        <v>46129</v>
      </c>
      <c r="C1466" s="1" t="n">
        <v>46205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3045-2024</t>
        </is>
      </c>
      <c r="B1467" s="1" t="n">
        <v>45316</v>
      </c>
      <c r="C1467" s="1" t="n">
        <v>46205</v>
      </c>
      <c r="D1467" t="inlineStr">
        <is>
          <t>VÄSTERBOTTENS LÄN</t>
        </is>
      </c>
      <c r="E1467" t="inlineStr">
        <is>
          <t>SKELLEFTEÅ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19315-2026</t>
        </is>
      </c>
      <c r="B1468" s="1" t="n">
        <v>46133</v>
      </c>
      <c r="C1468" s="1" t="n">
        <v>46205</v>
      </c>
      <c r="D1468" t="inlineStr">
        <is>
          <t>VÄSTERBOTTENS LÄN</t>
        </is>
      </c>
      <c r="E1468" t="inlineStr">
        <is>
          <t>SKELLEFTEÅ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19319-2026</t>
        </is>
      </c>
      <c r="B1469" s="1" t="n">
        <v>46133</v>
      </c>
      <c r="C1469" s="1" t="n">
        <v>46205</v>
      </c>
      <c r="D1469" t="inlineStr">
        <is>
          <t>VÄSTERBOTTENS LÄN</t>
        </is>
      </c>
      <c r="E1469" t="inlineStr">
        <is>
          <t>SKELLEFTEÅ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23958-2026</t>
        </is>
      </c>
      <c r="B1470" s="1" t="n">
        <v>46167</v>
      </c>
      <c r="C1470" s="1" t="n">
        <v>46205</v>
      </c>
      <c r="D1470" t="inlineStr">
        <is>
          <t>VÄSTERBOTTENS LÄN</t>
        </is>
      </c>
      <c r="E1470" t="inlineStr">
        <is>
          <t>SKELLEFTEÅ</t>
        </is>
      </c>
      <c r="G1470" t="n">
        <v>8.300000000000001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25163-2026</t>
        </is>
      </c>
      <c r="B1471" s="1" t="n">
        <v>46175</v>
      </c>
      <c r="C1471" s="1" t="n">
        <v>46205</v>
      </c>
      <c r="D1471" t="inlineStr">
        <is>
          <t>VÄSTERBOTTENS LÄN</t>
        </is>
      </c>
      <c r="E1471" t="inlineStr">
        <is>
          <t>SKELLEFTEÅ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49811-2024</t>
        </is>
      </c>
      <c r="B1472" s="1" t="n">
        <v>45597</v>
      </c>
      <c r="C1472" s="1" t="n">
        <v>46205</v>
      </c>
      <c r="D1472" t="inlineStr">
        <is>
          <t>VÄSTERBOTTENS LÄN</t>
        </is>
      </c>
      <c r="E1472" t="inlineStr">
        <is>
          <t>SKELLEFTEÅ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2454-2025</t>
        </is>
      </c>
      <c r="B1473" s="1" t="n">
        <v>45673</v>
      </c>
      <c r="C1473" s="1" t="n">
        <v>46205</v>
      </c>
      <c r="D1473" t="inlineStr">
        <is>
          <t>VÄSTERBOTTENS LÄN</t>
        </is>
      </c>
      <c r="E1473" t="inlineStr">
        <is>
          <t>SKELLEFTEÅ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19522-2026</t>
        </is>
      </c>
      <c r="B1474" s="1" t="n">
        <v>46134</v>
      </c>
      <c r="C1474" s="1" t="n">
        <v>46205</v>
      </c>
      <c r="D1474" t="inlineStr">
        <is>
          <t>VÄSTERBOTTENS LÄN</t>
        </is>
      </c>
      <c r="E1474" t="inlineStr">
        <is>
          <t>SKELLEFTEÅ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39918-2022</t>
        </is>
      </c>
      <c r="B1475" s="1" t="n">
        <v>44819</v>
      </c>
      <c r="C1475" s="1" t="n">
        <v>46205</v>
      </c>
      <c r="D1475" t="inlineStr">
        <is>
          <t>VÄSTERBOTTENS LÄN</t>
        </is>
      </c>
      <c r="E1475" t="inlineStr">
        <is>
          <t>SKELLEFTEÅ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25368-2026</t>
        </is>
      </c>
      <c r="B1476" s="1" t="n">
        <v>46176</v>
      </c>
      <c r="C1476" s="1" t="n">
        <v>46205</v>
      </c>
      <c r="D1476" t="inlineStr">
        <is>
          <t>VÄSTERBOTTENS LÄN</t>
        </is>
      </c>
      <c r="E1476" t="inlineStr">
        <is>
          <t>SKELLEFTEÅ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59442-2024</t>
        </is>
      </c>
      <c r="B1477" s="1" t="n">
        <v>45638</v>
      </c>
      <c r="C1477" s="1" t="n">
        <v>46205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10604-2024</t>
        </is>
      </c>
      <c r="B1478" s="1" t="n">
        <v>45366</v>
      </c>
      <c r="C1478" s="1" t="n">
        <v>46205</v>
      </c>
      <c r="D1478" t="inlineStr">
        <is>
          <t>VÄSTERBOTTENS LÄN</t>
        </is>
      </c>
      <c r="E1478" t="inlineStr">
        <is>
          <t>SKELLEFTEÅ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1980-2025</t>
        </is>
      </c>
      <c r="B1479" s="1" t="n">
        <v>45671</v>
      </c>
      <c r="C1479" s="1" t="n">
        <v>46205</v>
      </c>
      <c r="D1479" t="inlineStr">
        <is>
          <t>VÄSTERBOTTENS LÄN</t>
        </is>
      </c>
      <c r="E1479" t="inlineStr">
        <is>
          <t>SKELLEFTEÅ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39156-2023</t>
        </is>
      </c>
      <c r="B1480" s="1" t="n">
        <v>45166</v>
      </c>
      <c r="C1480" s="1" t="n">
        <v>46205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Sveaskog</t>
        </is>
      </c>
      <c r="G1480" t="n">
        <v>43.7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25378-2026</t>
        </is>
      </c>
      <c r="B1481" s="1" t="n">
        <v>46176</v>
      </c>
      <c r="C1481" s="1" t="n">
        <v>46205</v>
      </c>
      <c r="D1481" t="inlineStr">
        <is>
          <t>VÄSTERBOTTENS LÄN</t>
        </is>
      </c>
      <c r="E1481" t="inlineStr">
        <is>
          <t>SKELLEFTEÅ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25129-2026</t>
        </is>
      </c>
      <c r="B1482" s="1" t="n">
        <v>46175</v>
      </c>
      <c r="C1482" s="1" t="n">
        <v>46205</v>
      </c>
      <c r="D1482" t="inlineStr">
        <is>
          <t>VÄSTERBOTTENS LÄN</t>
        </is>
      </c>
      <c r="E1482" t="inlineStr">
        <is>
          <t>SKELLEFTEÅ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25130-2026</t>
        </is>
      </c>
      <c r="B1483" s="1" t="n">
        <v>46175</v>
      </c>
      <c r="C1483" s="1" t="n">
        <v>46205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Holmen skog AB</t>
        </is>
      </c>
      <c r="G1483" t="n">
        <v>44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19316-2026</t>
        </is>
      </c>
      <c r="B1484" s="1" t="n">
        <v>46133</v>
      </c>
      <c r="C1484" s="1" t="n">
        <v>46205</v>
      </c>
      <c r="D1484" t="inlineStr">
        <is>
          <t>VÄSTERBOTTENS LÄN</t>
        </is>
      </c>
      <c r="E1484" t="inlineStr">
        <is>
          <t>SKELLEFTEÅ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3674-2025</t>
        </is>
      </c>
      <c r="B1485" s="1" t="n">
        <v>45681</v>
      </c>
      <c r="C1485" s="1" t="n">
        <v>46205</v>
      </c>
      <c r="D1485" t="inlineStr">
        <is>
          <t>VÄSTERBOTTENS LÄN</t>
        </is>
      </c>
      <c r="E1485" t="inlineStr">
        <is>
          <t>SKELLEFTEÅ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25365-2026</t>
        </is>
      </c>
      <c r="B1486" s="1" t="n">
        <v>46176</v>
      </c>
      <c r="C1486" s="1" t="n">
        <v>46205</v>
      </c>
      <c r="D1486" t="inlineStr">
        <is>
          <t>VÄSTERBOTTENS LÄN</t>
        </is>
      </c>
      <c r="E1486" t="inlineStr">
        <is>
          <t>SKELLEFTEÅ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53419-2024</t>
        </is>
      </c>
      <c r="B1487" s="1" t="n">
        <v>45614</v>
      </c>
      <c r="C1487" s="1" t="n">
        <v>46205</v>
      </c>
      <c r="D1487" t="inlineStr">
        <is>
          <t>VÄSTERBOTTENS LÄN</t>
        </is>
      </c>
      <c r="E1487" t="inlineStr">
        <is>
          <t>SKELLEFTEÅ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19430-2026</t>
        </is>
      </c>
      <c r="B1488" s="1" t="n">
        <v>46133</v>
      </c>
      <c r="C1488" s="1" t="n">
        <v>46205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8.9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30437-2023</t>
        </is>
      </c>
      <c r="B1489" s="1" t="n">
        <v>45099</v>
      </c>
      <c r="C1489" s="1" t="n">
        <v>46205</v>
      </c>
      <c r="D1489" t="inlineStr">
        <is>
          <t>VÄSTERBOTTENS LÄN</t>
        </is>
      </c>
      <c r="E1489" t="inlineStr">
        <is>
          <t>SKELLEFTEÅ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52441-2023</t>
        </is>
      </c>
      <c r="B1490" s="1" t="n">
        <v>45225</v>
      </c>
      <c r="C1490" s="1" t="n">
        <v>46205</v>
      </c>
      <c r="D1490" t="inlineStr">
        <is>
          <t>VÄSTERBOTTENS LÄN</t>
        </is>
      </c>
      <c r="E1490" t="inlineStr">
        <is>
          <t>SKELLEFTEÅ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51396-2023</t>
        </is>
      </c>
      <c r="B1491" s="1" t="n">
        <v>45219</v>
      </c>
      <c r="C1491" s="1" t="n">
        <v>46205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45552-2023</t>
        </is>
      </c>
      <c r="B1492" s="1" t="n">
        <v>45194</v>
      </c>
      <c r="C1492" s="1" t="n">
        <v>46205</v>
      </c>
      <c r="D1492" t="inlineStr">
        <is>
          <t>VÄSTERBOTTENS LÄN</t>
        </is>
      </c>
      <c r="E1492" t="inlineStr">
        <is>
          <t>SKELLEFTEÅ</t>
        </is>
      </c>
      <c r="G1492" t="n">
        <v>18.3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25539-2026</t>
        </is>
      </c>
      <c r="B1493" s="1" t="n">
        <v>46177</v>
      </c>
      <c r="C1493" s="1" t="n">
        <v>46205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Sveaskog</t>
        </is>
      </c>
      <c r="G1493" t="n">
        <v>13.1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25602-2026</t>
        </is>
      </c>
      <c r="B1494" s="1" t="n">
        <v>46177</v>
      </c>
      <c r="C1494" s="1" t="n">
        <v>46205</v>
      </c>
      <c r="D1494" t="inlineStr">
        <is>
          <t>VÄSTERBOTTENS LÄN</t>
        </is>
      </c>
      <c r="E1494" t="inlineStr">
        <is>
          <t>SKELLEFTEÅ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11685-2022</t>
        </is>
      </c>
      <c r="B1495" s="1" t="n">
        <v>44634</v>
      </c>
      <c r="C1495" s="1" t="n">
        <v>46205</v>
      </c>
      <c r="D1495" t="inlineStr">
        <is>
          <t>VÄSTERBOTTENS LÄN</t>
        </is>
      </c>
      <c r="E1495" t="inlineStr">
        <is>
          <t>SKELLEFTEÅ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11790-2022</t>
        </is>
      </c>
      <c r="B1496" s="1" t="n">
        <v>44634</v>
      </c>
      <c r="C1496" s="1" t="n">
        <v>46205</v>
      </c>
      <c r="D1496" t="inlineStr">
        <is>
          <t>VÄSTERBOTTENS LÄN</t>
        </is>
      </c>
      <c r="E1496" t="inlineStr">
        <is>
          <t>SKELLEFTEÅ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45576-2023</t>
        </is>
      </c>
      <c r="B1497" s="1" t="n">
        <v>45188</v>
      </c>
      <c r="C1497" s="1" t="n">
        <v>46205</v>
      </c>
      <c r="D1497" t="inlineStr">
        <is>
          <t>VÄSTERBOTTENS LÄN</t>
        </is>
      </c>
      <c r="E1497" t="inlineStr">
        <is>
          <t>SKELLEFTEÅ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56838-2024</t>
        </is>
      </c>
      <c r="B1498" s="1" t="n">
        <v>45628</v>
      </c>
      <c r="C1498" s="1" t="n">
        <v>46205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15728-2024</t>
        </is>
      </c>
      <c r="B1499" s="1" t="n">
        <v>45404</v>
      </c>
      <c r="C1499" s="1" t="n">
        <v>46205</v>
      </c>
      <c r="D1499" t="inlineStr">
        <is>
          <t>VÄSTERBOTTENS LÄN</t>
        </is>
      </c>
      <c r="E1499" t="inlineStr">
        <is>
          <t>SKELLEFTEÅ</t>
        </is>
      </c>
      <c r="G1499" t="n">
        <v>8.199999999999999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43954-2024</t>
        </is>
      </c>
      <c r="B1500" s="1" t="n">
        <v>45572</v>
      </c>
      <c r="C1500" s="1" t="n">
        <v>46205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Sveaskog</t>
        </is>
      </c>
      <c r="G1500" t="n">
        <v>24.1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5830-2025</t>
        </is>
      </c>
      <c r="B1501" s="1" t="n">
        <v>45694</v>
      </c>
      <c r="C1501" s="1" t="n">
        <v>46205</v>
      </c>
      <c r="D1501" t="inlineStr">
        <is>
          <t>VÄSTERBOTTENS LÄN</t>
        </is>
      </c>
      <c r="E1501" t="inlineStr">
        <is>
          <t>SKELLEFTEÅ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5831-2025</t>
        </is>
      </c>
      <c r="B1502" s="1" t="n">
        <v>45694</v>
      </c>
      <c r="C1502" s="1" t="n">
        <v>46205</v>
      </c>
      <c r="D1502" t="inlineStr">
        <is>
          <t>VÄSTERBOTTENS LÄN</t>
        </is>
      </c>
      <c r="E1502" t="inlineStr">
        <is>
          <t>SKELLEFTEÅ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19731-2025</t>
        </is>
      </c>
      <c r="B1503" s="1" t="n">
        <v>45771</v>
      </c>
      <c r="C1503" s="1" t="n">
        <v>46205</v>
      </c>
      <c r="D1503" t="inlineStr">
        <is>
          <t>VÄSTERBOTTENS LÄN</t>
        </is>
      </c>
      <c r="E1503" t="inlineStr">
        <is>
          <t>SKELLEFTEÅ</t>
        </is>
      </c>
      <c r="G1503" t="n">
        <v>6.1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54971-2024</t>
        </is>
      </c>
      <c r="B1504" s="1" t="n">
        <v>45620</v>
      </c>
      <c r="C1504" s="1" t="n">
        <v>46205</v>
      </c>
      <c r="D1504" t="inlineStr">
        <is>
          <t>VÄSTERBOTTENS LÄN</t>
        </is>
      </c>
      <c r="E1504" t="inlineStr">
        <is>
          <t>SKELLEFTEÅ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48501-2023</t>
        </is>
      </c>
      <c r="B1505" s="1" t="n">
        <v>45207</v>
      </c>
      <c r="C1505" s="1" t="n">
        <v>46205</v>
      </c>
      <c r="D1505" t="inlineStr">
        <is>
          <t>VÄSTERBOTTENS LÄN</t>
        </is>
      </c>
      <c r="E1505" t="inlineStr">
        <is>
          <t>SKELLEFTEÅ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55241-2024</t>
        </is>
      </c>
      <c r="B1506" s="1" t="n">
        <v>45621</v>
      </c>
      <c r="C1506" s="1" t="n">
        <v>46205</v>
      </c>
      <c r="D1506" t="inlineStr">
        <is>
          <t>VÄSTERBOTTENS LÄN</t>
        </is>
      </c>
      <c r="E1506" t="inlineStr">
        <is>
          <t>SKELLEFTEÅ</t>
        </is>
      </c>
      <c r="F1506" t="inlineStr">
        <is>
          <t>Holmen skog AB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55253-2024</t>
        </is>
      </c>
      <c r="B1507" s="1" t="n">
        <v>45620</v>
      </c>
      <c r="C1507" s="1" t="n">
        <v>46205</v>
      </c>
      <c r="D1507" t="inlineStr">
        <is>
          <t>VÄSTERBOTTENS LÄN</t>
        </is>
      </c>
      <c r="E1507" t="inlineStr">
        <is>
          <t>SKELLEFTEÅ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56203-2023</t>
        </is>
      </c>
      <c r="B1508" s="1" t="n">
        <v>45240</v>
      </c>
      <c r="C1508" s="1" t="n">
        <v>46205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29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19860-2026</t>
        </is>
      </c>
      <c r="B1509" s="1" t="n">
        <v>46135</v>
      </c>
      <c r="C1509" s="1" t="n">
        <v>46205</v>
      </c>
      <c r="D1509" t="inlineStr">
        <is>
          <t>VÄSTERBOTTENS LÄN</t>
        </is>
      </c>
      <c r="E1509" t="inlineStr">
        <is>
          <t>SKELLEFTEÅ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26031-2022</t>
        </is>
      </c>
      <c r="B1510" s="1" t="n">
        <v>44734</v>
      </c>
      <c r="C1510" s="1" t="n">
        <v>46205</v>
      </c>
      <c r="D1510" t="inlineStr">
        <is>
          <t>VÄSTERBOTTENS LÄN</t>
        </is>
      </c>
      <c r="E1510" t="inlineStr">
        <is>
          <t>SKELLEFTEÅ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45727-2023</t>
        </is>
      </c>
      <c r="B1511" s="1" t="n">
        <v>45189</v>
      </c>
      <c r="C1511" s="1" t="n">
        <v>46205</v>
      </c>
      <c r="D1511" t="inlineStr">
        <is>
          <t>VÄSTERBOTTENS LÄN</t>
        </is>
      </c>
      <c r="E1511" t="inlineStr">
        <is>
          <t>SKELLEFTEÅ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9470-2024</t>
        </is>
      </c>
      <c r="B1512" s="1" t="n">
        <v>45359</v>
      </c>
      <c r="C1512" s="1" t="n">
        <v>46205</v>
      </c>
      <c r="D1512" t="inlineStr">
        <is>
          <t>VÄSTERBOTTENS LÄN</t>
        </is>
      </c>
      <c r="E1512" t="inlineStr">
        <is>
          <t>SKELLEFTEÅ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38577-2023</t>
        </is>
      </c>
      <c r="B1513" s="1" t="n">
        <v>45161</v>
      </c>
      <c r="C1513" s="1" t="n">
        <v>46205</v>
      </c>
      <c r="D1513" t="inlineStr">
        <is>
          <t>VÄSTERBOTTENS LÄN</t>
        </is>
      </c>
      <c r="E1513" t="inlineStr">
        <is>
          <t>SKELLEFTEÅ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25476-2026</t>
        </is>
      </c>
      <c r="B1514" s="1" t="n">
        <v>46177</v>
      </c>
      <c r="C1514" s="1" t="n">
        <v>46205</v>
      </c>
      <c r="D1514" t="inlineStr">
        <is>
          <t>VÄSTERBOTTENS LÄN</t>
        </is>
      </c>
      <c r="E1514" t="inlineStr">
        <is>
          <t>SKELLEFTEÅ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7981-2025</t>
        </is>
      </c>
      <c r="B1515" s="1" t="n">
        <v>45707</v>
      </c>
      <c r="C1515" s="1" t="n">
        <v>46205</v>
      </c>
      <c r="D1515" t="inlineStr">
        <is>
          <t>VÄSTERBOTTENS LÄN</t>
        </is>
      </c>
      <c r="E1515" t="inlineStr">
        <is>
          <t>SKELLEFTEÅ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25596-2022</t>
        </is>
      </c>
      <c r="B1516" s="1" t="n">
        <v>44732</v>
      </c>
      <c r="C1516" s="1" t="n">
        <v>46205</v>
      </c>
      <c r="D1516" t="inlineStr">
        <is>
          <t>VÄSTERBOTTENS LÄN</t>
        </is>
      </c>
      <c r="E1516" t="inlineStr">
        <is>
          <t>SKELLEFTEÅ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1022-2025</t>
        </is>
      </c>
      <c r="B1517" s="1" t="n">
        <v>45665</v>
      </c>
      <c r="C1517" s="1" t="n">
        <v>46205</v>
      </c>
      <c r="D1517" t="inlineStr">
        <is>
          <t>VÄSTERBOTTENS LÄN</t>
        </is>
      </c>
      <c r="E1517" t="inlineStr">
        <is>
          <t>SKELLEFTEÅ</t>
        </is>
      </c>
      <c r="G1517" t="n">
        <v>5.5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16642-2025</t>
        </is>
      </c>
      <c r="B1518" s="1" t="n">
        <v>45754</v>
      </c>
      <c r="C1518" s="1" t="n">
        <v>46205</v>
      </c>
      <c r="D1518" t="inlineStr">
        <is>
          <t>VÄSTERBOTTENS LÄN</t>
        </is>
      </c>
      <c r="E1518" t="inlineStr">
        <is>
          <t>SKELLEFTEÅ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57234-2025</t>
        </is>
      </c>
      <c r="B1519" s="1" t="n">
        <v>45979</v>
      </c>
      <c r="C1519" s="1" t="n">
        <v>46205</v>
      </c>
      <c r="D1519" t="inlineStr">
        <is>
          <t>VÄSTERBOTTENS LÄN</t>
        </is>
      </c>
      <c r="E1519" t="inlineStr">
        <is>
          <t>SKELLEFTEÅ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17628-2025</t>
        </is>
      </c>
      <c r="B1520" s="1" t="n">
        <v>45757</v>
      </c>
      <c r="C1520" s="1" t="n">
        <v>46205</v>
      </c>
      <c r="D1520" t="inlineStr">
        <is>
          <t>VÄSTERBOTTENS LÄN</t>
        </is>
      </c>
      <c r="E1520" t="inlineStr">
        <is>
          <t>SKELLEFTEÅ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20378-2025</t>
        </is>
      </c>
      <c r="B1521" s="1" t="n">
        <v>45775</v>
      </c>
      <c r="C1521" s="1" t="n">
        <v>46205</v>
      </c>
      <c r="D1521" t="inlineStr">
        <is>
          <t>VÄSTERBOTTENS LÄN</t>
        </is>
      </c>
      <c r="E1521" t="inlineStr">
        <is>
          <t>SKELLEFTEÅ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52444-2023</t>
        </is>
      </c>
      <c r="B1522" s="1" t="n">
        <v>45225</v>
      </c>
      <c r="C1522" s="1" t="n">
        <v>46205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Sveaskog</t>
        </is>
      </c>
      <c r="G1522" t="n">
        <v>28.5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15542-2025</t>
        </is>
      </c>
      <c r="B1523" s="1" t="n">
        <v>45747</v>
      </c>
      <c r="C1523" s="1" t="n">
        <v>46205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Övriga Aktiebolag</t>
        </is>
      </c>
      <c r="G1523" t="n">
        <v>11.6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18098-2025</t>
        </is>
      </c>
      <c r="B1524" s="1" t="n">
        <v>45761</v>
      </c>
      <c r="C1524" s="1" t="n">
        <v>46205</v>
      </c>
      <c r="D1524" t="inlineStr">
        <is>
          <t>VÄSTERBOTTENS LÄN</t>
        </is>
      </c>
      <c r="E1524" t="inlineStr">
        <is>
          <t>SKELLEFTEÅ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18070-2022</t>
        </is>
      </c>
      <c r="B1525" s="1" t="n">
        <v>44684</v>
      </c>
      <c r="C1525" s="1" t="n">
        <v>46205</v>
      </c>
      <c r="D1525" t="inlineStr">
        <is>
          <t>VÄSTERBOTTENS LÄN</t>
        </is>
      </c>
      <c r="E1525" t="inlineStr">
        <is>
          <t>SKELLEFTEÅ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25281-2026</t>
        </is>
      </c>
      <c r="B1526" s="1" t="n">
        <v>46176</v>
      </c>
      <c r="C1526" s="1" t="n">
        <v>46205</v>
      </c>
      <c r="D1526" t="inlineStr">
        <is>
          <t>VÄSTERBOTTENS LÄN</t>
        </is>
      </c>
      <c r="E1526" t="inlineStr">
        <is>
          <t>SKELLEFTEÅ</t>
        </is>
      </c>
      <c r="G1526" t="n">
        <v>18.5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44872-2023</t>
        </is>
      </c>
      <c r="B1527" s="1" t="n">
        <v>45190</v>
      </c>
      <c r="C1527" s="1" t="n">
        <v>46205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55269-2024</t>
        </is>
      </c>
      <c r="B1528" s="1" t="n">
        <v>45621</v>
      </c>
      <c r="C1528" s="1" t="n">
        <v>46205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Sveaskog</t>
        </is>
      </c>
      <c r="G1528" t="n">
        <v>9.6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20084-2026</t>
        </is>
      </c>
      <c r="B1529" s="1" t="n">
        <v>46136</v>
      </c>
      <c r="C1529" s="1" t="n">
        <v>46205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SCA</t>
        </is>
      </c>
      <c r="G1529" t="n">
        <v>19.7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20067-2026</t>
        </is>
      </c>
      <c r="B1530" s="1" t="n">
        <v>46136</v>
      </c>
      <c r="C1530" s="1" t="n">
        <v>46205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SCA</t>
        </is>
      </c>
      <c r="G1530" t="n">
        <v>35.7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27817-2022</t>
        </is>
      </c>
      <c r="B1531" s="1" t="n">
        <v>44743</v>
      </c>
      <c r="C1531" s="1" t="n">
        <v>46205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60614-2023</t>
        </is>
      </c>
      <c r="B1532" s="1" t="n">
        <v>45260</v>
      </c>
      <c r="C1532" s="1" t="n">
        <v>46205</v>
      </c>
      <c r="D1532" t="inlineStr">
        <is>
          <t>VÄSTERBOTTENS LÄN</t>
        </is>
      </c>
      <c r="E1532" t="inlineStr">
        <is>
          <t>SKELLEFTEÅ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43474-2023</t>
        </is>
      </c>
      <c r="B1533" s="1" t="n">
        <v>45184</v>
      </c>
      <c r="C1533" s="1" t="n">
        <v>46205</v>
      </c>
      <c r="D1533" t="inlineStr">
        <is>
          <t>VÄSTERBOTTENS LÄN</t>
        </is>
      </c>
      <c r="E1533" t="inlineStr">
        <is>
          <t>SKELLEFTEÅ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21996-2022</t>
        </is>
      </c>
      <c r="B1534" s="1" t="n">
        <v>44711</v>
      </c>
      <c r="C1534" s="1" t="n">
        <v>46205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Holmen skog AB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1955-2025</t>
        </is>
      </c>
      <c r="B1535" s="1" t="n">
        <v>45671</v>
      </c>
      <c r="C1535" s="1" t="n">
        <v>46205</v>
      </c>
      <c r="D1535" t="inlineStr">
        <is>
          <t>VÄSTERBOTTENS LÄN</t>
        </is>
      </c>
      <c r="E1535" t="inlineStr">
        <is>
          <t>SKELLEFTEÅ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35951-2025</t>
        </is>
      </c>
      <c r="B1536" s="1" t="n">
        <v>45863</v>
      </c>
      <c r="C1536" s="1" t="n">
        <v>46205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49949-2023</t>
        </is>
      </c>
      <c r="B1537" s="1" t="n">
        <v>45215</v>
      </c>
      <c r="C1537" s="1" t="n">
        <v>46205</v>
      </c>
      <c r="D1537" t="inlineStr">
        <is>
          <t>VÄSTERBOTTENS LÄN</t>
        </is>
      </c>
      <c r="E1537" t="inlineStr">
        <is>
          <t>SKELLEFTEÅ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2776-2026</t>
        </is>
      </c>
      <c r="B1538" s="1" t="n">
        <v>46036</v>
      </c>
      <c r="C1538" s="1" t="n">
        <v>46205</v>
      </c>
      <c r="D1538" t="inlineStr">
        <is>
          <t>VÄSTERBOTTENS LÄN</t>
        </is>
      </c>
      <c r="E1538" t="inlineStr">
        <is>
          <t>SKELLEFTEÅ</t>
        </is>
      </c>
      <c r="G1538" t="n">
        <v>5.5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32329-2025</t>
        </is>
      </c>
      <c r="B1539" s="1" t="n">
        <v>45836</v>
      </c>
      <c r="C1539" s="1" t="n">
        <v>46205</v>
      </c>
      <c r="D1539" t="inlineStr">
        <is>
          <t>VÄSTERBOTTENS LÄN</t>
        </is>
      </c>
      <c r="E1539" t="inlineStr">
        <is>
          <t>SKELLEFTEÅ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16519-2024</t>
        </is>
      </c>
      <c r="B1540" s="1" t="n">
        <v>45408</v>
      </c>
      <c r="C1540" s="1" t="n">
        <v>46205</v>
      </c>
      <c r="D1540" t="inlineStr">
        <is>
          <t>VÄSTERBOTTENS LÄN</t>
        </is>
      </c>
      <c r="E1540" t="inlineStr">
        <is>
          <t>SKELLEFTEÅ</t>
        </is>
      </c>
      <c r="G1540" t="n">
        <v>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9053-2022</t>
        </is>
      </c>
      <c r="B1541" s="1" t="n">
        <v>44615</v>
      </c>
      <c r="C1541" s="1" t="n">
        <v>46205</v>
      </c>
      <c r="D1541" t="inlineStr">
        <is>
          <t>VÄSTERBOTTENS LÄN</t>
        </is>
      </c>
      <c r="E1541" t="inlineStr">
        <is>
          <t>SKELLEFTEÅ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25009-2022</t>
        </is>
      </c>
      <c r="B1542" s="1" t="n">
        <v>44728</v>
      </c>
      <c r="C1542" s="1" t="n">
        <v>46205</v>
      </c>
      <c r="D1542" t="inlineStr">
        <is>
          <t>VÄSTERBOTTENS LÄN</t>
        </is>
      </c>
      <c r="E1542" t="inlineStr">
        <is>
          <t>SKELLEFTEÅ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11963-2023</t>
        </is>
      </c>
      <c r="B1543" s="1" t="n">
        <v>44994</v>
      </c>
      <c r="C1543" s="1" t="n">
        <v>46205</v>
      </c>
      <c r="D1543" t="inlineStr">
        <is>
          <t>VÄSTERBOTTENS LÄN</t>
        </is>
      </c>
      <c r="E1543" t="inlineStr">
        <is>
          <t>SKELLEFTEÅ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55528-2023</t>
        </is>
      </c>
      <c r="B1544" s="1" t="n">
        <v>45238</v>
      </c>
      <c r="C1544" s="1" t="n">
        <v>46205</v>
      </c>
      <c r="D1544" t="inlineStr">
        <is>
          <t>VÄSTERBOTTENS LÄN</t>
        </is>
      </c>
      <c r="E1544" t="inlineStr">
        <is>
          <t>SKELLEFTEÅ</t>
        </is>
      </c>
      <c r="G1544" t="n">
        <v>9.6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48394-2023</t>
        </is>
      </c>
      <c r="B1545" s="1" t="n">
        <v>45201</v>
      </c>
      <c r="C1545" s="1" t="n">
        <v>46205</v>
      </c>
      <c r="D1545" t="inlineStr">
        <is>
          <t>VÄSTERBOTTENS LÄN</t>
        </is>
      </c>
      <c r="E1545" t="inlineStr">
        <is>
          <t>SKELLEFTEÅ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68334-2021</t>
        </is>
      </c>
      <c r="B1546" s="1" t="n">
        <v>44527</v>
      </c>
      <c r="C1546" s="1" t="n">
        <v>46205</v>
      </c>
      <c r="D1546" t="inlineStr">
        <is>
          <t>VÄSTERBOTTENS LÄN</t>
        </is>
      </c>
      <c r="E1546" t="inlineStr">
        <is>
          <t>SKELLEFTEÅ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64370-2023</t>
        </is>
      </c>
      <c r="B1547" s="1" t="n">
        <v>45280</v>
      </c>
      <c r="C1547" s="1" t="n">
        <v>46205</v>
      </c>
      <c r="D1547" t="inlineStr">
        <is>
          <t>VÄSTERBOTTENS LÄN</t>
        </is>
      </c>
      <c r="E1547" t="inlineStr">
        <is>
          <t>SKELLEFTEÅ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53255-2023</t>
        </is>
      </c>
      <c r="B1548" s="1" t="n">
        <v>45229</v>
      </c>
      <c r="C1548" s="1" t="n">
        <v>46205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61089-2023</t>
        </is>
      </c>
      <c r="B1549" s="1" t="n">
        <v>45260</v>
      </c>
      <c r="C1549" s="1" t="n">
        <v>46205</v>
      </c>
      <c r="D1549" t="inlineStr">
        <is>
          <t>VÄSTERBOTTENS LÄN</t>
        </is>
      </c>
      <c r="E1549" t="inlineStr">
        <is>
          <t>SKELLEFTEÅ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33268-2022</t>
        </is>
      </c>
      <c r="B1550" s="1" t="n">
        <v>44788</v>
      </c>
      <c r="C1550" s="1" t="n">
        <v>46205</v>
      </c>
      <c r="D1550" t="inlineStr">
        <is>
          <t>VÄSTERBOTTENS LÄN</t>
        </is>
      </c>
      <c r="E1550" t="inlineStr">
        <is>
          <t>SKELLEFTEÅ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24505-2022</t>
        </is>
      </c>
      <c r="B1551" s="1" t="n">
        <v>44726</v>
      </c>
      <c r="C1551" s="1" t="n">
        <v>46205</v>
      </c>
      <c r="D1551" t="inlineStr">
        <is>
          <t>VÄSTERBOTTENS LÄN</t>
        </is>
      </c>
      <c r="E1551" t="inlineStr">
        <is>
          <t>SKELLEFTEÅ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40851-2022</t>
        </is>
      </c>
      <c r="B1552" s="1" t="n">
        <v>44825</v>
      </c>
      <c r="C1552" s="1" t="n">
        <v>46205</v>
      </c>
      <c r="D1552" t="inlineStr">
        <is>
          <t>VÄSTERBOTTENS LÄN</t>
        </is>
      </c>
      <c r="E1552" t="inlineStr">
        <is>
          <t>SKELLEFTEÅ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37498-2021</t>
        </is>
      </c>
      <c r="B1553" s="1" t="n">
        <v>44399</v>
      </c>
      <c r="C1553" s="1" t="n">
        <v>46205</v>
      </c>
      <c r="D1553" t="inlineStr">
        <is>
          <t>VÄSTERBOTTENS LÄN</t>
        </is>
      </c>
      <c r="E1553" t="inlineStr">
        <is>
          <t>SKELLEFTEÅ</t>
        </is>
      </c>
      <c r="G1553" t="n">
        <v>12.8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25182-2022</t>
        </is>
      </c>
      <c r="B1554" s="1" t="n">
        <v>44729</v>
      </c>
      <c r="C1554" s="1" t="n">
        <v>46205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6.4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62809-2025</t>
        </is>
      </c>
      <c r="B1555" s="1" t="n">
        <v>46008</v>
      </c>
      <c r="C1555" s="1" t="n">
        <v>46205</v>
      </c>
      <c r="D1555" t="inlineStr">
        <is>
          <t>VÄSTERBOTTENS LÄN</t>
        </is>
      </c>
      <c r="E1555" t="inlineStr">
        <is>
          <t>SKELLEFTEÅ</t>
        </is>
      </c>
      <c r="G1555" t="n">
        <v>5.8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35032-2023</t>
        </is>
      </c>
      <c r="B1556" s="1" t="n">
        <v>45145</v>
      </c>
      <c r="C1556" s="1" t="n">
        <v>46205</v>
      </c>
      <c r="D1556" t="inlineStr">
        <is>
          <t>VÄSTERBOTTENS LÄN</t>
        </is>
      </c>
      <c r="E1556" t="inlineStr">
        <is>
          <t>SKELLEFTEÅ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64258-2023</t>
        </is>
      </c>
      <c r="B1557" s="1" t="n">
        <v>45279</v>
      </c>
      <c r="C1557" s="1" t="n">
        <v>46205</v>
      </c>
      <c r="D1557" t="inlineStr">
        <is>
          <t>VÄSTERBOTTENS LÄN</t>
        </is>
      </c>
      <c r="E1557" t="inlineStr">
        <is>
          <t>SKELLEFTEÅ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59242-2023</t>
        </is>
      </c>
      <c r="B1558" s="1" t="n">
        <v>45252</v>
      </c>
      <c r="C1558" s="1" t="n">
        <v>46205</v>
      </c>
      <c r="D1558" t="inlineStr">
        <is>
          <t>VÄSTERBOTTENS LÄN</t>
        </is>
      </c>
      <c r="E1558" t="inlineStr">
        <is>
          <t>SKELLEFTEÅ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9925-2022</t>
        </is>
      </c>
      <c r="B1559" s="1" t="n">
        <v>44620</v>
      </c>
      <c r="C1559" s="1" t="n">
        <v>46205</v>
      </c>
      <c r="D1559" t="inlineStr">
        <is>
          <t>VÄSTERBOTTENS LÄN</t>
        </is>
      </c>
      <c r="E1559" t="inlineStr">
        <is>
          <t>SKELLEFTEÅ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50070-2024</t>
        </is>
      </c>
      <c r="B1560" s="1" t="n">
        <v>45600</v>
      </c>
      <c r="C1560" s="1" t="n">
        <v>46205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Kommuner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21395-2022</t>
        </is>
      </c>
      <c r="B1561" s="1" t="n">
        <v>44705</v>
      </c>
      <c r="C1561" s="1" t="n">
        <v>46205</v>
      </c>
      <c r="D1561" t="inlineStr">
        <is>
          <t>VÄSTERBOTTENS LÄN</t>
        </is>
      </c>
      <c r="E1561" t="inlineStr">
        <is>
          <t>SKELLEFTEÅ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27265-2022</t>
        </is>
      </c>
      <c r="B1562" s="1" t="n">
        <v>44741</v>
      </c>
      <c r="C1562" s="1" t="n">
        <v>46205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49573-2023</t>
        </is>
      </c>
      <c r="B1563" s="1" t="n">
        <v>45205</v>
      </c>
      <c r="C1563" s="1" t="n">
        <v>46205</v>
      </c>
      <c r="D1563" t="inlineStr">
        <is>
          <t>VÄSTERBOTTENS LÄN</t>
        </is>
      </c>
      <c r="E1563" t="inlineStr">
        <is>
          <t>SKELLEFTEÅ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29152-2023</t>
        </is>
      </c>
      <c r="B1564" s="1" t="n">
        <v>45105</v>
      </c>
      <c r="C1564" s="1" t="n">
        <v>46205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Holmen skog AB</t>
        </is>
      </c>
      <c r="G1564" t="n">
        <v>18.5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702-2023</t>
        </is>
      </c>
      <c r="B1565" s="1" t="n">
        <v>44930</v>
      </c>
      <c r="C1565" s="1" t="n">
        <v>46205</v>
      </c>
      <c r="D1565" t="inlineStr">
        <is>
          <t>VÄSTERBOTTENS LÄN</t>
        </is>
      </c>
      <c r="E1565" t="inlineStr">
        <is>
          <t>SKELLEFTEÅ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14238-2025</t>
        </is>
      </c>
      <c r="B1566" s="1" t="n">
        <v>45740</v>
      </c>
      <c r="C1566" s="1" t="n">
        <v>46205</v>
      </c>
      <c r="D1566" t="inlineStr">
        <is>
          <t>VÄSTERBOTTENS LÄN</t>
        </is>
      </c>
      <c r="E1566" t="inlineStr">
        <is>
          <t>SKELLEFTEÅ</t>
        </is>
      </c>
      <c r="G1566" t="n">
        <v>10.1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26112-2026</t>
        </is>
      </c>
      <c r="B1567" s="1" t="n">
        <v>46181</v>
      </c>
      <c r="C1567" s="1" t="n">
        <v>46205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21336-2023</t>
        </is>
      </c>
      <c r="B1568" s="1" t="n">
        <v>45062</v>
      </c>
      <c r="C1568" s="1" t="n">
        <v>46205</v>
      </c>
      <c r="D1568" t="inlineStr">
        <is>
          <t>VÄSTERBOTTENS LÄN</t>
        </is>
      </c>
      <c r="E1568" t="inlineStr">
        <is>
          <t>SKELLEFTEÅ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55775-2023</t>
        </is>
      </c>
      <c r="B1569" s="1" t="n">
        <v>45232</v>
      </c>
      <c r="C1569" s="1" t="n">
        <v>46205</v>
      </c>
      <c r="D1569" t="inlineStr">
        <is>
          <t>VÄSTERBOTTENS LÄN</t>
        </is>
      </c>
      <c r="E1569" t="inlineStr">
        <is>
          <t>SKELLEFTEÅ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26234-2026</t>
        </is>
      </c>
      <c r="B1570" s="1" t="n">
        <v>46182</v>
      </c>
      <c r="C1570" s="1" t="n">
        <v>46205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Holmen skog AB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23168-2024</t>
        </is>
      </c>
      <c r="B1571" s="1" t="n">
        <v>45450</v>
      </c>
      <c r="C1571" s="1" t="n">
        <v>46205</v>
      </c>
      <c r="D1571" t="inlineStr">
        <is>
          <t>VÄSTERBOTTENS LÄN</t>
        </is>
      </c>
      <c r="E1571" t="inlineStr">
        <is>
          <t>SKELLEFTEÅ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29665-2025</t>
        </is>
      </c>
      <c r="B1572" s="1" t="n">
        <v>45825</v>
      </c>
      <c r="C1572" s="1" t="n">
        <v>46205</v>
      </c>
      <c r="D1572" t="inlineStr">
        <is>
          <t>VÄSTERBOTTENS LÄN</t>
        </is>
      </c>
      <c r="E1572" t="inlineStr">
        <is>
          <t>SKELLEFTEÅ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46613-2025</t>
        </is>
      </c>
      <c r="B1573" s="1" t="n">
        <v>45926</v>
      </c>
      <c r="C1573" s="1" t="n">
        <v>46205</v>
      </c>
      <c r="D1573" t="inlineStr">
        <is>
          <t>VÄSTERBOTTENS LÄN</t>
        </is>
      </c>
      <c r="E1573" t="inlineStr">
        <is>
          <t>SKELLEFTEÅ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25404-2022</t>
        </is>
      </c>
      <c r="B1574" s="1" t="n">
        <v>44732</v>
      </c>
      <c r="C1574" s="1" t="n">
        <v>46205</v>
      </c>
      <c r="D1574" t="inlineStr">
        <is>
          <t>VÄSTERBOTTENS LÄN</t>
        </is>
      </c>
      <c r="E1574" t="inlineStr">
        <is>
          <t>SKELLEFTEÅ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964-2025</t>
        </is>
      </c>
      <c r="B1575" s="1" t="n">
        <v>45666</v>
      </c>
      <c r="C1575" s="1" t="n">
        <v>46205</v>
      </c>
      <c r="D1575" t="inlineStr">
        <is>
          <t>VÄSTERBOTTENS LÄN</t>
        </is>
      </c>
      <c r="E1575" t="inlineStr">
        <is>
          <t>SKELLEFTEÅ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32677-2022</t>
        </is>
      </c>
      <c r="B1576" s="1" t="n">
        <v>44783</v>
      </c>
      <c r="C1576" s="1" t="n">
        <v>46205</v>
      </c>
      <c r="D1576" t="inlineStr">
        <is>
          <t>VÄSTERBOTTENS LÄN</t>
        </is>
      </c>
      <c r="E1576" t="inlineStr">
        <is>
          <t>SKELLEFTEÅ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12402-2026</t>
        </is>
      </c>
      <c r="B1577" s="1" t="n">
        <v>46090</v>
      </c>
      <c r="C1577" s="1" t="n">
        <v>46205</v>
      </c>
      <c r="D1577" t="inlineStr">
        <is>
          <t>VÄSTERBOTTENS LÄN</t>
        </is>
      </c>
      <c r="E1577" t="inlineStr">
        <is>
          <t>SKELLEFTEÅ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32047-2025</t>
        </is>
      </c>
      <c r="B1578" s="1" t="n">
        <v>45835</v>
      </c>
      <c r="C1578" s="1" t="n">
        <v>46205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20477-2026</t>
        </is>
      </c>
      <c r="B1579" s="1" t="n">
        <v>46140</v>
      </c>
      <c r="C1579" s="1" t="n">
        <v>46205</v>
      </c>
      <c r="D1579" t="inlineStr">
        <is>
          <t>VÄSTERBOTTENS LÄN</t>
        </is>
      </c>
      <c r="E1579" t="inlineStr">
        <is>
          <t>SKELLEFTEÅ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31167-2024</t>
        </is>
      </c>
      <c r="B1580" s="1" t="n">
        <v>45503</v>
      </c>
      <c r="C1580" s="1" t="n">
        <v>46205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9465-2024</t>
        </is>
      </c>
      <c r="B1581" s="1" t="n">
        <v>45359</v>
      </c>
      <c r="C1581" s="1" t="n">
        <v>46205</v>
      </c>
      <c r="D1581" t="inlineStr">
        <is>
          <t>VÄSTERBOTTENS LÄN</t>
        </is>
      </c>
      <c r="E1581" t="inlineStr">
        <is>
          <t>SKELLEFTEÅ</t>
        </is>
      </c>
      <c r="G1581" t="n">
        <v>4.7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39349-2025</t>
        </is>
      </c>
      <c r="B1582" s="1" t="n">
        <v>45889</v>
      </c>
      <c r="C1582" s="1" t="n">
        <v>46205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Kommuner</t>
        </is>
      </c>
      <c r="G1582" t="n">
        <v>5.2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26002-2026</t>
        </is>
      </c>
      <c r="B1583" s="1" t="n">
        <v>46181</v>
      </c>
      <c r="C1583" s="1" t="n">
        <v>46205</v>
      </c>
      <c r="D1583" t="inlineStr">
        <is>
          <t>VÄSTERBOTTENS LÄN</t>
        </is>
      </c>
      <c r="E1583" t="inlineStr">
        <is>
          <t>SKELLEFTEÅ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39447-2025</t>
        </is>
      </c>
      <c r="B1584" s="1" t="n">
        <v>45889</v>
      </c>
      <c r="C1584" s="1" t="n">
        <v>46205</v>
      </c>
      <c r="D1584" t="inlineStr">
        <is>
          <t>VÄSTERBOTTENS LÄN</t>
        </is>
      </c>
      <c r="E1584" t="inlineStr">
        <is>
          <t>SKELLEFTEÅ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26258-2026</t>
        </is>
      </c>
      <c r="B1585" s="1" t="n">
        <v>46182</v>
      </c>
      <c r="C1585" s="1" t="n">
        <v>46205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Holmen skog AB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30438-2025</t>
        </is>
      </c>
      <c r="B1586" s="1" t="n">
        <v>45827</v>
      </c>
      <c r="C1586" s="1" t="n">
        <v>46205</v>
      </c>
      <c r="D1586" t="inlineStr">
        <is>
          <t>VÄSTERBOTTENS LÄN</t>
        </is>
      </c>
      <c r="E1586" t="inlineStr">
        <is>
          <t>SKELLEFTEÅ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39254-2025</t>
        </is>
      </c>
      <c r="B1587" s="1" t="n">
        <v>45889</v>
      </c>
      <c r="C1587" s="1" t="n">
        <v>46205</v>
      </c>
      <c r="D1587" t="inlineStr">
        <is>
          <t>VÄSTERBOTTENS LÄN</t>
        </is>
      </c>
      <c r="E1587" t="inlineStr">
        <is>
          <t>SKELLEFTEÅ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25866-2026</t>
        </is>
      </c>
      <c r="B1588" s="1" t="n">
        <v>46178</v>
      </c>
      <c r="C1588" s="1" t="n">
        <v>46205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Sveaskog</t>
        </is>
      </c>
      <c r="G1588" t="n">
        <v>9.699999999999999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16971-2025</t>
        </is>
      </c>
      <c r="B1589" s="1" t="n">
        <v>45755</v>
      </c>
      <c r="C1589" s="1" t="n">
        <v>46205</v>
      </c>
      <c r="D1589" t="inlineStr">
        <is>
          <t>VÄSTERBOTTENS LÄN</t>
        </is>
      </c>
      <c r="E1589" t="inlineStr">
        <is>
          <t>SKELLEFTEÅ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26425-2025</t>
        </is>
      </c>
      <c r="B1590" s="1" t="n">
        <v>45807</v>
      </c>
      <c r="C1590" s="1" t="n">
        <v>46205</v>
      </c>
      <c r="D1590" t="inlineStr">
        <is>
          <t>VÄSTERBOTTENS LÄN</t>
        </is>
      </c>
      <c r="E1590" t="inlineStr">
        <is>
          <t>SKELLEFTEÅ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50506-2025</t>
        </is>
      </c>
      <c r="B1591" s="1" t="n">
        <v>45945</v>
      </c>
      <c r="C1591" s="1" t="n">
        <v>46205</v>
      </c>
      <c r="D1591" t="inlineStr">
        <is>
          <t>VÄSTERBOTTENS LÄN</t>
        </is>
      </c>
      <c r="E1591" t="inlineStr">
        <is>
          <t>SKELLEFTEÅ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29765-2025</t>
        </is>
      </c>
      <c r="B1592" s="1" t="n">
        <v>45825</v>
      </c>
      <c r="C1592" s="1" t="n">
        <v>46205</v>
      </c>
      <c r="D1592" t="inlineStr">
        <is>
          <t>VÄSTERBOTTENS LÄN</t>
        </is>
      </c>
      <c r="E1592" t="inlineStr">
        <is>
          <t>SKELLEFTEÅ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45384-2021</t>
        </is>
      </c>
      <c r="B1593" s="1" t="n">
        <v>44440</v>
      </c>
      <c r="C1593" s="1" t="n">
        <v>46205</v>
      </c>
      <c r="D1593" t="inlineStr">
        <is>
          <t>VÄSTERBOTTENS LÄN</t>
        </is>
      </c>
      <c r="E1593" t="inlineStr">
        <is>
          <t>SKELLEFTEÅ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29663-2025</t>
        </is>
      </c>
      <c r="B1594" s="1" t="n">
        <v>45825</v>
      </c>
      <c r="C1594" s="1" t="n">
        <v>46205</v>
      </c>
      <c r="D1594" t="inlineStr">
        <is>
          <t>VÄSTERBOTTENS LÄN</t>
        </is>
      </c>
      <c r="E1594" t="inlineStr">
        <is>
          <t>SKELLEFTEÅ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26110-2026</t>
        </is>
      </c>
      <c r="B1595" s="1" t="n">
        <v>46181</v>
      </c>
      <c r="C1595" s="1" t="n">
        <v>46205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Sveaskog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29085-2022</t>
        </is>
      </c>
      <c r="B1596" s="1" t="n">
        <v>44749</v>
      </c>
      <c r="C1596" s="1" t="n">
        <v>46205</v>
      </c>
      <c r="D1596" t="inlineStr">
        <is>
          <t>VÄSTERBOTTENS LÄN</t>
        </is>
      </c>
      <c r="E1596" t="inlineStr">
        <is>
          <t>SKELLEFTEÅ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59033-2025</t>
        </is>
      </c>
      <c r="B1597" s="1" t="n">
        <v>45988</v>
      </c>
      <c r="C1597" s="1" t="n">
        <v>46205</v>
      </c>
      <c r="D1597" t="inlineStr">
        <is>
          <t>VÄSTERBOTTENS LÄN</t>
        </is>
      </c>
      <c r="E1597" t="inlineStr">
        <is>
          <t>SKELLEFTEÅ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16602-2025</t>
        </is>
      </c>
      <c r="B1598" s="1" t="n">
        <v>45753</v>
      </c>
      <c r="C1598" s="1" t="n">
        <v>46205</v>
      </c>
      <c r="D1598" t="inlineStr">
        <is>
          <t>VÄSTERBOTTENS LÄN</t>
        </is>
      </c>
      <c r="E1598" t="inlineStr">
        <is>
          <t>SKELLEFTEÅ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57691-2025</t>
        </is>
      </c>
      <c r="B1599" s="1" t="n">
        <v>45981</v>
      </c>
      <c r="C1599" s="1" t="n">
        <v>46205</v>
      </c>
      <c r="D1599" t="inlineStr">
        <is>
          <t>VÄSTERBOTTENS LÄN</t>
        </is>
      </c>
      <c r="E1599" t="inlineStr">
        <is>
          <t>SKELLEFTEÅ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26185-2026</t>
        </is>
      </c>
      <c r="B1600" s="1" t="n">
        <v>46182</v>
      </c>
      <c r="C1600" s="1" t="n">
        <v>46205</v>
      </c>
      <c r="D1600" t="inlineStr">
        <is>
          <t>VÄSTERBOTTENS LÄN</t>
        </is>
      </c>
      <c r="E1600" t="inlineStr">
        <is>
          <t>SKELLEFTEÅ</t>
        </is>
      </c>
      <c r="G1600" t="n">
        <v>13.7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26172-2026</t>
        </is>
      </c>
      <c r="B1601" s="1" t="n">
        <v>46182</v>
      </c>
      <c r="C1601" s="1" t="n">
        <v>46205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Holmen skog AB</t>
        </is>
      </c>
      <c r="G1601" t="n">
        <v>9.199999999999999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54469-2023</t>
        </is>
      </c>
      <c r="B1602" s="1" t="n">
        <v>45226</v>
      </c>
      <c r="C1602" s="1" t="n">
        <v>46205</v>
      </c>
      <c r="D1602" t="inlineStr">
        <is>
          <t>VÄSTERBOTTENS LÄN</t>
        </is>
      </c>
      <c r="E1602" t="inlineStr">
        <is>
          <t>SKELLEFTEÅ</t>
        </is>
      </c>
      <c r="G1602" t="n">
        <v>5.3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43515-2022</t>
        </is>
      </c>
      <c r="B1603" s="1" t="n">
        <v>44837</v>
      </c>
      <c r="C1603" s="1" t="n">
        <v>46205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64920-2023</t>
        </is>
      </c>
      <c r="B1604" s="1" t="n">
        <v>45282</v>
      </c>
      <c r="C1604" s="1" t="n">
        <v>46205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Sveaskog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1667-2025</t>
        </is>
      </c>
      <c r="B1605" s="1" t="n">
        <v>45670</v>
      </c>
      <c r="C1605" s="1" t="n">
        <v>46205</v>
      </c>
      <c r="D1605" t="inlineStr">
        <is>
          <t>VÄSTERBOTTENS LÄN</t>
        </is>
      </c>
      <c r="E1605" t="inlineStr">
        <is>
          <t>SKELLEFTEÅ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35809-2022</t>
        </is>
      </c>
      <c r="B1606" s="1" t="n">
        <v>44802</v>
      </c>
      <c r="C1606" s="1" t="n">
        <v>46205</v>
      </c>
      <c r="D1606" t="inlineStr">
        <is>
          <t>VÄSTERBOTTENS LÄN</t>
        </is>
      </c>
      <c r="E1606" t="inlineStr">
        <is>
          <t>SKELLEFTEÅ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55873-2023</t>
        </is>
      </c>
      <c r="B1607" s="1" t="n">
        <v>45239</v>
      </c>
      <c r="C1607" s="1" t="n">
        <v>46205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Sveaskog</t>
        </is>
      </c>
      <c r="G1607" t="n">
        <v>7.8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39691-2024</t>
        </is>
      </c>
      <c r="B1608" s="1" t="n">
        <v>45552</v>
      </c>
      <c r="C1608" s="1" t="n">
        <v>46205</v>
      </c>
      <c r="D1608" t="inlineStr">
        <is>
          <t>VÄSTERBOTTENS LÄN</t>
        </is>
      </c>
      <c r="E1608" t="inlineStr">
        <is>
          <t>SKELLEFTEÅ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53183-2023</t>
        </is>
      </c>
      <c r="B1609" s="1" t="n">
        <v>45229</v>
      </c>
      <c r="C1609" s="1" t="n">
        <v>46205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Sveaskog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4620-2025</t>
        </is>
      </c>
      <c r="B1610" s="1" t="n">
        <v>45687</v>
      </c>
      <c r="C1610" s="1" t="n">
        <v>46205</v>
      </c>
      <c r="D1610" t="inlineStr">
        <is>
          <t>VÄSTERBOTTENS LÄN</t>
        </is>
      </c>
      <c r="E1610" t="inlineStr">
        <is>
          <t>SKELLEFTEÅ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62300-2023</t>
        </is>
      </c>
      <c r="B1611" s="1" t="n">
        <v>45266</v>
      </c>
      <c r="C1611" s="1" t="n">
        <v>46205</v>
      </c>
      <c r="D1611" t="inlineStr">
        <is>
          <t>VÄSTERBOTTENS LÄN</t>
        </is>
      </c>
      <c r="E1611" t="inlineStr">
        <is>
          <t>SKELLEFTEÅ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54401-2023</t>
        </is>
      </c>
      <c r="B1612" s="1" t="n">
        <v>45226</v>
      </c>
      <c r="C1612" s="1" t="n">
        <v>46205</v>
      </c>
      <c r="D1612" t="inlineStr">
        <is>
          <t>VÄSTERBOTTENS LÄN</t>
        </is>
      </c>
      <c r="E1612" t="inlineStr">
        <is>
          <t>SKELLEFTEÅ</t>
        </is>
      </c>
      <c r="G1612" t="n">
        <v>6.4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26174-2026</t>
        </is>
      </c>
      <c r="B1613" s="1" t="n">
        <v>46182</v>
      </c>
      <c r="C1613" s="1" t="n">
        <v>46205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Holmen skog AB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42248-2025</t>
        </is>
      </c>
      <c r="B1614" s="1" t="n">
        <v>45903</v>
      </c>
      <c r="C1614" s="1" t="n">
        <v>46205</v>
      </c>
      <c r="D1614" t="inlineStr">
        <is>
          <t>VÄSTERBOTTENS LÄN</t>
        </is>
      </c>
      <c r="E1614" t="inlineStr">
        <is>
          <t>SKELLEFTEÅ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42249-2024</t>
        </is>
      </c>
      <c r="B1615" s="1" t="n">
        <v>45562</v>
      </c>
      <c r="C1615" s="1" t="n">
        <v>46205</v>
      </c>
      <c r="D1615" t="inlineStr">
        <is>
          <t>VÄSTERBOTTENS LÄN</t>
        </is>
      </c>
      <c r="E1615" t="inlineStr">
        <is>
          <t>SKELLEFTEÅ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54813-2023</t>
        </is>
      </c>
      <c r="B1616" s="1" t="n">
        <v>45236</v>
      </c>
      <c r="C1616" s="1" t="n">
        <v>46205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Sveaskog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28377-2025</t>
        </is>
      </c>
      <c r="B1617" s="1" t="n">
        <v>45819</v>
      </c>
      <c r="C1617" s="1" t="n">
        <v>46205</v>
      </c>
      <c r="D1617" t="inlineStr">
        <is>
          <t>VÄSTERBOTTENS LÄN</t>
        </is>
      </c>
      <c r="E1617" t="inlineStr">
        <is>
          <t>SKELLEFTEÅ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35433-2025</t>
        </is>
      </c>
      <c r="B1618" s="1" t="n">
        <v>45855</v>
      </c>
      <c r="C1618" s="1" t="n">
        <v>46205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Holmen skog AB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59945-2023</t>
        </is>
      </c>
      <c r="B1619" s="1" t="n">
        <v>45254</v>
      </c>
      <c r="C1619" s="1" t="n">
        <v>46205</v>
      </c>
      <c r="D1619" t="inlineStr">
        <is>
          <t>VÄSTERBOTTENS LÄN</t>
        </is>
      </c>
      <c r="E1619" t="inlineStr">
        <is>
          <t>SKELLEFTEÅ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51348-2025</t>
        </is>
      </c>
      <c r="B1620" s="1" t="n">
        <v>45950</v>
      </c>
      <c r="C1620" s="1" t="n">
        <v>46205</v>
      </c>
      <c r="D1620" t="inlineStr">
        <is>
          <t>VÄSTERBOTTENS LÄN</t>
        </is>
      </c>
      <c r="E1620" t="inlineStr">
        <is>
          <t>SKELLEFTEÅ</t>
        </is>
      </c>
      <c r="G1620" t="n">
        <v>6.6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36962-2025</t>
        </is>
      </c>
      <c r="B1621" s="1" t="n">
        <v>45874</v>
      </c>
      <c r="C1621" s="1" t="n">
        <v>46205</v>
      </c>
      <c r="D1621" t="inlineStr">
        <is>
          <t>VÄSTERBOTTENS LÄN</t>
        </is>
      </c>
      <c r="E1621" t="inlineStr">
        <is>
          <t>SKELLEFTEÅ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28989-2025</t>
        </is>
      </c>
      <c r="B1622" s="1" t="n">
        <v>45821</v>
      </c>
      <c r="C1622" s="1" t="n">
        <v>46205</v>
      </c>
      <c r="D1622" t="inlineStr">
        <is>
          <t>VÄSTERBOTTENS LÄN</t>
        </is>
      </c>
      <c r="E1622" t="inlineStr">
        <is>
          <t>SKELLEFTEÅ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9840-2025</t>
        </is>
      </c>
      <c r="B1623" s="1" t="n">
        <v>45716</v>
      </c>
      <c r="C1623" s="1" t="n">
        <v>46205</v>
      </c>
      <c r="D1623" t="inlineStr">
        <is>
          <t>VÄSTERBOTTENS LÄN</t>
        </is>
      </c>
      <c r="E1623" t="inlineStr">
        <is>
          <t>SKELLEFTEÅ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3370-2025</t>
        </is>
      </c>
      <c r="B1624" s="1" t="n">
        <v>45679</v>
      </c>
      <c r="C1624" s="1" t="n">
        <v>46205</v>
      </c>
      <c r="D1624" t="inlineStr">
        <is>
          <t>VÄSTERBOTTENS LÄN</t>
        </is>
      </c>
      <c r="E1624" t="inlineStr">
        <is>
          <t>SKELLEFTEÅ</t>
        </is>
      </c>
      <c r="G1624" t="n">
        <v>15.7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2955-2024</t>
        </is>
      </c>
      <c r="B1625" s="1" t="n">
        <v>45315</v>
      </c>
      <c r="C1625" s="1" t="n">
        <v>46205</v>
      </c>
      <c r="D1625" t="inlineStr">
        <is>
          <t>VÄSTERBOTTENS LÄN</t>
        </is>
      </c>
      <c r="E1625" t="inlineStr">
        <is>
          <t>SKELLEFTEÅ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50507-2025</t>
        </is>
      </c>
      <c r="B1626" s="1" t="n">
        <v>45945</v>
      </c>
      <c r="C1626" s="1" t="n">
        <v>46205</v>
      </c>
      <c r="D1626" t="inlineStr">
        <is>
          <t>VÄSTERBOTTENS LÄN</t>
        </is>
      </c>
      <c r="E1626" t="inlineStr">
        <is>
          <t>SKELLEFTEÅ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15116-2025</t>
        </is>
      </c>
      <c r="B1627" s="1" t="n">
        <v>45744</v>
      </c>
      <c r="C1627" s="1" t="n">
        <v>46205</v>
      </c>
      <c r="D1627" t="inlineStr">
        <is>
          <t>VÄSTERBOTTENS LÄN</t>
        </is>
      </c>
      <c r="E1627" t="inlineStr">
        <is>
          <t>SKELLEFTEÅ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20581-2026</t>
        </is>
      </c>
      <c r="B1628" s="1" t="n">
        <v>46140</v>
      </c>
      <c r="C1628" s="1" t="n">
        <v>46205</v>
      </c>
      <c r="D1628" t="inlineStr">
        <is>
          <t>VÄSTERBOTTENS LÄN</t>
        </is>
      </c>
      <c r="E1628" t="inlineStr">
        <is>
          <t>SKELLEFTEÅ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59648-2023</t>
        </is>
      </c>
      <c r="B1629" s="1" t="n">
        <v>45253</v>
      </c>
      <c r="C1629" s="1" t="n">
        <v>46205</v>
      </c>
      <c r="D1629" t="inlineStr">
        <is>
          <t>VÄSTERBOTTENS LÄN</t>
        </is>
      </c>
      <c r="E1629" t="inlineStr">
        <is>
          <t>SKELLEFTEÅ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26626-2024</t>
        </is>
      </c>
      <c r="B1630" s="1" t="n">
        <v>45469</v>
      </c>
      <c r="C1630" s="1" t="n">
        <v>46205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Sveaskog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58012-2023</t>
        </is>
      </c>
      <c r="B1631" s="1" t="n">
        <v>45244</v>
      </c>
      <c r="C1631" s="1" t="n">
        <v>46205</v>
      </c>
      <c r="D1631" t="inlineStr">
        <is>
          <t>VÄSTERBOTTENS LÄN</t>
        </is>
      </c>
      <c r="E1631" t="inlineStr">
        <is>
          <t>SKELLEFTEÅ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5639-2024</t>
        </is>
      </c>
      <c r="B1632" s="1" t="n">
        <v>45334</v>
      </c>
      <c r="C1632" s="1" t="n">
        <v>46205</v>
      </c>
      <c r="D1632" t="inlineStr">
        <is>
          <t>VÄSTERBOTTENS LÄN</t>
        </is>
      </c>
      <c r="E1632" t="inlineStr">
        <is>
          <t>SKELLEFTEÅ</t>
        </is>
      </c>
      <c r="G1632" t="n">
        <v>9.4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35119-2022</t>
        </is>
      </c>
      <c r="B1633" s="1" t="n">
        <v>44797</v>
      </c>
      <c r="C1633" s="1" t="n">
        <v>46205</v>
      </c>
      <c r="D1633" t="inlineStr">
        <is>
          <t>VÄSTERBOTTENS LÄN</t>
        </is>
      </c>
      <c r="E1633" t="inlineStr">
        <is>
          <t>SKELLEFTEÅ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11314-2025</t>
        </is>
      </c>
      <c r="B1634" s="1" t="n">
        <v>45726</v>
      </c>
      <c r="C1634" s="1" t="n">
        <v>46205</v>
      </c>
      <c r="D1634" t="inlineStr">
        <is>
          <t>VÄSTERBOTTENS LÄN</t>
        </is>
      </c>
      <c r="E1634" t="inlineStr">
        <is>
          <t>SKELLEFTEÅ</t>
        </is>
      </c>
      <c r="G1634" t="n">
        <v>8.800000000000001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17173-2025</t>
        </is>
      </c>
      <c r="B1635" s="1" t="n">
        <v>45756</v>
      </c>
      <c r="C1635" s="1" t="n">
        <v>46205</v>
      </c>
      <c r="D1635" t="inlineStr">
        <is>
          <t>VÄSTERBOTTENS LÄN</t>
        </is>
      </c>
      <c r="E1635" t="inlineStr">
        <is>
          <t>SKELLEFTEÅ</t>
        </is>
      </c>
      <c r="G1635" t="n">
        <v>5.6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27144-2025</t>
        </is>
      </c>
      <c r="B1636" s="1" t="n">
        <v>45812</v>
      </c>
      <c r="C1636" s="1" t="n">
        <v>46205</v>
      </c>
      <c r="D1636" t="inlineStr">
        <is>
          <t>VÄSTERBOTTENS LÄN</t>
        </is>
      </c>
      <c r="E1636" t="inlineStr">
        <is>
          <t>SKELLEFTEÅ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26253-2026</t>
        </is>
      </c>
      <c r="B1637" s="1" t="n">
        <v>46182</v>
      </c>
      <c r="C1637" s="1" t="n">
        <v>46205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Holmen skog AB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17561-2025</t>
        </is>
      </c>
      <c r="B1638" s="1" t="n">
        <v>45757</v>
      </c>
      <c r="C1638" s="1" t="n">
        <v>46205</v>
      </c>
      <c r="D1638" t="inlineStr">
        <is>
          <t>VÄSTERBOTTENS LÄN</t>
        </is>
      </c>
      <c r="E1638" t="inlineStr">
        <is>
          <t>SKELLEFTEÅ</t>
        </is>
      </c>
      <c r="G1638" t="n">
        <v>8.6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21035-2022</t>
        </is>
      </c>
      <c r="B1639" s="1" t="n">
        <v>44704</v>
      </c>
      <c r="C1639" s="1" t="n">
        <v>46205</v>
      </c>
      <c r="D1639" t="inlineStr">
        <is>
          <t>VÄSTERBOTTENS LÄN</t>
        </is>
      </c>
      <c r="E1639" t="inlineStr">
        <is>
          <t>SKELLEFTEÅ</t>
        </is>
      </c>
      <c r="G1639" t="n">
        <v>26.9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52864-2025</t>
        </is>
      </c>
      <c r="B1640" s="1" t="n">
        <v>45954</v>
      </c>
      <c r="C1640" s="1" t="n">
        <v>46205</v>
      </c>
      <c r="D1640" t="inlineStr">
        <is>
          <t>VÄSTERBOTTENS LÄN</t>
        </is>
      </c>
      <c r="E1640" t="inlineStr">
        <is>
          <t>SKELLEFTEÅ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3465-2024</t>
        </is>
      </c>
      <c r="B1641" s="1" t="n">
        <v>45320</v>
      </c>
      <c r="C1641" s="1" t="n">
        <v>46205</v>
      </c>
      <c r="D1641" t="inlineStr">
        <is>
          <t>VÄSTERBOTTENS LÄN</t>
        </is>
      </c>
      <c r="E1641" t="inlineStr">
        <is>
          <t>SKELLEFTEÅ</t>
        </is>
      </c>
      <c r="G1641" t="n">
        <v>17.4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42234-2025</t>
        </is>
      </c>
      <c r="B1642" s="1" t="n">
        <v>45903</v>
      </c>
      <c r="C1642" s="1" t="n">
        <v>46205</v>
      </c>
      <c r="D1642" t="inlineStr">
        <is>
          <t>VÄSTERBOTTENS LÄN</t>
        </is>
      </c>
      <c r="E1642" t="inlineStr">
        <is>
          <t>SKELLEFTEÅ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42136-2025</t>
        </is>
      </c>
      <c r="B1643" s="1" t="n">
        <v>45904</v>
      </c>
      <c r="C1643" s="1" t="n">
        <v>46205</v>
      </c>
      <c r="D1643" t="inlineStr">
        <is>
          <t>VÄSTERBOTTENS LÄN</t>
        </is>
      </c>
      <c r="E1643" t="inlineStr">
        <is>
          <t>SKELLEFTEÅ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20100-2026</t>
        </is>
      </c>
      <c r="B1644" s="1" t="n">
        <v>46136</v>
      </c>
      <c r="C1644" s="1" t="n">
        <v>46205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SCA</t>
        </is>
      </c>
      <c r="G1644" t="n">
        <v>15.9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26082-2026</t>
        </is>
      </c>
      <c r="B1645" s="1" t="n">
        <v>46181</v>
      </c>
      <c r="C1645" s="1" t="n">
        <v>46205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983-2026</t>
        </is>
      </c>
      <c r="B1646" s="1" t="n">
        <v>46030</v>
      </c>
      <c r="C1646" s="1" t="n">
        <v>46205</v>
      </c>
      <c r="D1646" t="inlineStr">
        <is>
          <t>VÄSTERBOTTENS LÄN</t>
        </is>
      </c>
      <c r="E1646" t="inlineStr">
        <is>
          <t>SKELLEFTEÅ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56965-2024</t>
        </is>
      </c>
      <c r="B1647" s="1" t="n">
        <v>45628</v>
      </c>
      <c r="C1647" s="1" t="n">
        <v>46205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Holmen skog AB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39690-2024</t>
        </is>
      </c>
      <c r="B1648" s="1" t="n">
        <v>45552</v>
      </c>
      <c r="C1648" s="1" t="n">
        <v>46205</v>
      </c>
      <c r="D1648" t="inlineStr">
        <is>
          <t>VÄSTERBOTTENS LÄN</t>
        </is>
      </c>
      <c r="E1648" t="inlineStr">
        <is>
          <t>SKELLEFTEÅ</t>
        </is>
      </c>
      <c r="G1648" t="n">
        <v>6.1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16292-2026</t>
        </is>
      </c>
      <c r="B1649" s="1" t="n">
        <v>46111</v>
      </c>
      <c r="C1649" s="1" t="n">
        <v>46205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Kyrkan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40898-2021</t>
        </is>
      </c>
      <c r="B1650" s="1" t="n">
        <v>44421</v>
      </c>
      <c r="C1650" s="1" t="n">
        <v>46205</v>
      </c>
      <c r="D1650" t="inlineStr">
        <is>
          <t>VÄSTERBOTTENS LÄN</t>
        </is>
      </c>
      <c r="E1650" t="inlineStr">
        <is>
          <t>SKELLEFTEÅ</t>
        </is>
      </c>
      <c r="G1650" t="n">
        <v>5.3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29028-2022</t>
        </is>
      </c>
      <c r="B1651" s="1" t="n">
        <v>44749</v>
      </c>
      <c r="C1651" s="1" t="n">
        <v>46205</v>
      </c>
      <c r="D1651" t="inlineStr">
        <is>
          <t>VÄSTERBOTTENS LÄN</t>
        </is>
      </c>
      <c r="E1651" t="inlineStr">
        <is>
          <t>SKELLEFTEÅ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19119-2025</t>
        </is>
      </c>
      <c r="B1652" s="1" t="n">
        <v>45768</v>
      </c>
      <c r="C1652" s="1" t="n">
        <v>46205</v>
      </c>
      <c r="D1652" t="inlineStr">
        <is>
          <t>VÄSTERBOTTENS LÄN</t>
        </is>
      </c>
      <c r="E1652" t="inlineStr">
        <is>
          <t>SKELLEFTEÅ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18975-2023</t>
        </is>
      </c>
      <c r="B1653" s="1" t="n">
        <v>45044</v>
      </c>
      <c r="C1653" s="1" t="n">
        <v>46205</v>
      </c>
      <c r="D1653" t="inlineStr">
        <is>
          <t>VÄSTERBOTTENS LÄN</t>
        </is>
      </c>
      <c r="E1653" t="inlineStr">
        <is>
          <t>SKELLEFTEÅ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14384-2025</t>
        </is>
      </c>
      <c r="B1654" s="1" t="n">
        <v>45741</v>
      </c>
      <c r="C1654" s="1" t="n">
        <v>46205</v>
      </c>
      <c r="D1654" t="inlineStr">
        <is>
          <t>VÄSTERBOTTENS LÄN</t>
        </is>
      </c>
      <c r="E1654" t="inlineStr">
        <is>
          <t>SKELLEFTEÅ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14013-2025</t>
        </is>
      </c>
      <c r="B1655" s="1" t="n">
        <v>45740</v>
      </c>
      <c r="C1655" s="1" t="n">
        <v>46205</v>
      </c>
      <c r="D1655" t="inlineStr">
        <is>
          <t>VÄSTERBOTTENS LÄN</t>
        </is>
      </c>
      <c r="E1655" t="inlineStr">
        <is>
          <t>SKELLEFTEÅ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2170-2024</t>
        </is>
      </c>
      <c r="B1656" s="1" t="n">
        <v>45309</v>
      </c>
      <c r="C1656" s="1" t="n">
        <v>46205</v>
      </c>
      <c r="D1656" t="inlineStr">
        <is>
          <t>VÄSTERBOTTENS LÄN</t>
        </is>
      </c>
      <c r="E1656" t="inlineStr">
        <is>
          <t>SKELLEFTEÅ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42086-2025</t>
        </is>
      </c>
      <c r="B1657" s="1" t="n">
        <v>45903</v>
      </c>
      <c r="C1657" s="1" t="n">
        <v>46205</v>
      </c>
      <c r="D1657" t="inlineStr">
        <is>
          <t>VÄSTERBOTTENS LÄN</t>
        </is>
      </c>
      <c r="E1657" t="inlineStr">
        <is>
          <t>SKELLEFTEÅ</t>
        </is>
      </c>
      <c r="G1657" t="n">
        <v>5.5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57848-2022</t>
        </is>
      </c>
      <c r="B1658" s="1" t="n">
        <v>44898</v>
      </c>
      <c r="C1658" s="1" t="n">
        <v>46205</v>
      </c>
      <c r="D1658" t="inlineStr">
        <is>
          <t>VÄSTERBOTTENS LÄN</t>
        </is>
      </c>
      <c r="E1658" t="inlineStr">
        <is>
          <t>SKELLEFTEÅ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16202-2025</t>
        </is>
      </c>
      <c r="B1659" s="1" t="n">
        <v>45750</v>
      </c>
      <c r="C1659" s="1" t="n">
        <v>46205</v>
      </c>
      <c r="D1659" t="inlineStr">
        <is>
          <t>VÄSTERBOTTENS LÄN</t>
        </is>
      </c>
      <c r="E1659" t="inlineStr">
        <is>
          <t>SKELLEFTEÅ</t>
        </is>
      </c>
      <c r="G1659" t="n">
        <v>7.3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58250-2022</t>
        </is>
      </c>
      <c r="B1660" s="1" t="n">
        <v>44894</v>
      </c>
      <c r="C1660" s="1" t="n">
        <v>46205</v>
      </c>
      <c r="D1660" t="inlineStr">
        <is>
          <t>VÄSTERBOTTENS LÄN</t>
        </is>
      </c>
      <c r="E1660" t="inlineStr">
        <is>
          <t>SKELLEFTEÅ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4022-2024</t>
        </is>
      </c>
      <c r="B1661" s="1" t="n">
        <v>45323</v>
      </c>
      <c r="C1661" s="1" t="n">
        <v>46205</v>
      </c>
      <c r="D1661" t="inlineStr">
        <is>
          <t>VÄSTERBOTTENS LÄN</t>
        </is>
      </c>
      <c r="E1661" t="inlineStr">
        <is>
          <t>SKELLEFTEÅ</t>
        </is>
      </c>
      <c r="G1661" t="n">
        <v>4.7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26400-2026</t>
        </is>
      </c>
      <c r="B1662" s="1" t="n">
        <v>46183</v>
      </c>
      <c r="C1662" s="1" t="n">
        <v>46205</v>
      </c>
      <c r="D1662" t="inlineStr">
        <is>
          <t>VÄSTERBOTTENS LÄN</t>
        </is>
      </c>
      <c r="E1662" t="inlineStr">
        <is>
          <t>SKELLEFTEÅ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36208-2022</t>
        </is>
      </c>
      <c r="B1663" s="1" t="n">
        <v>44803</v>
      </c>
      <c r="C1663" s="1" t="n">
        <v>46205</v>
      </c>
      <c r="D1663" t="inlineStr">
        <is>
          <t>VÄSTERBOTTENS LÄN</t>
        </is>
      </c>
      <c r="E1663" t="inlineStr">
        <is>
          <t>SKELLEFTEÅ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19491-2023</t>
        </is>
      </c>
      <c r="B1664" s="1" t="n">
        <v>45049</v>
      </c>
      <c r="C1664" s="1" t="n">
        <v>46205</v>
      </c>
      <c r="D1664" t="inlineStr">
        <is>
          <t>VÄSTERBOTTENS LÄN</t>
        </is>
      </c>
      <c r="E1664" t="inlineStr">
        <is>
          <t>SKELLEFTEÅ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26401-2026</t>
        </is>
      </c>
      <c r="B1665" s="1" t="n">
        <v>46183</v>
      </c>
      <c r="C1665" s="1" t="n">
        <v>46205</v>
      </c>
      <c r="D1665" t="inlineStr">
        <is>
          <t>VÄSTERBOTTENS LÄN</t>
        </is>
      </c>
      <c r="E1665" t="inlineStr">
        <is>
          <t>SKELLEFTEÅ</t>
        </is>
      </c>
      <c r="G1665" t="n">
        <v>6.5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32780-2025</t>
        </is>
      </c>
      <c r="B1666" s="1" t="n">
        <v>45839</v>
      </c>
      <c r="C1666" s="1" t="n">
        <v>46205</v>
      </c>
      <c r="D1666" t="inlineStr">
        <is>
          <t>VÄSTERBOTTENS LÄN</t>
        </is>
      </c>
      <c r="E1666" t="inlineStr">
        <is>
          <t>SKELLEFTEÅ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42357-2022</t>
        </is>
      </c>
      <c r="B1667" s="1" t="n">
        <v>44827</v>
      </c>
      <c r="C1667" s="1" t="n">
        <v>46205</v>
      </c>
      <c r="D1667" t="inlineStr">
        <is>
          <t>VÄSTERBOTTENS LÄN</t>
        </is>
      </c>
      <c r="E1667" t="inlineStr">
        <is>
          <t>SKELLEFTEÅ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26433-2026</t>
        </is>
      </c>
      <c r="B1668" s="1" t="n">
        <v>46183</v>
      </c>
      <c r="C1668" s="1" t="n">
        <v>46205</v>
      </c>
      <c r="D1668" t="inlineStr">
        <is>
          <t>VÄSTERBOTTENS LÄN</t>
        </is>
      </c>
      <c r="E1668" t="inlineStr">
        <is>
          <t>SKELLEFTEÅ</t>
        </is>
      </c>
      <c r="G1668" t="n">
        <v>15.8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41917-2025</t>
        </is>
      </c>
      <c r="B1669" s="1" t="n">
        <v>45903</v>
      </c>
      <c r="C1669" s="1" t="n">
        <v>46205</v>
      </c>
      <c r="D1669" t="inlineStr">
        <is>
          <t>VÄSTERBOTTENS LÄN</t>
        </is>
      </c>
      <c r="E1669" t="inlineStr">
        <is>
          <t>SKELLEFTEÅ</t>
        </is>
      </c>
      <c r="G1669" t="n">
        <v>4.3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22859-2024</t>
        </is>
      </c>
      <c r="B1670" s="1" t="n">
        <v>45448</v>
      </c>
      <c r="C1670" s="1" t="n">
        <v>46205</v>
      </c>
      <c r="D1670" t="inlineStr">
        <is>
          <t>VÄSTERBOTTENS LÄN</t>
        </is>
      </c>
      <c r="E1670" t="inlineStr">
        <is>
          <t>SKELLEFTEÅ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2090-2024</t>
        </is>
      </c>
      <c r="B1671" s="1" t="n">
        <v>45309</v>
      </c>
      <c r="C1671" s="1" t="n">
        <v>46205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36149-2025</t>
        </is>
      </c>
      <c r="B1672" s="1" t="n">
        <v>45866</v>
      </c>
      <c r="C1672" s="1" t="n">
        <v>46205</v>
      </c>
      <c r="D1672" t="inlineStr">
        <is>
          <t>VÄSTERBOTTENS LÄN</t>
        </is>
      </c>
      <c r="E1672" t="inlineStr">
        <is>
          <t>SKELLEFTEÅ</t>
        </is>
      </c>
      <c r="G1672" t="n">
        <v>4.4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57440-2023</t>
        </is>
      </c>
      <c r="B1673" s="1" t="n">
        <v>45240</v>
      </c>
      <c r="C1673" s="1" t="n">
        <v>46205</v>
      </c>
      <c r="D1673" t="inlineStr">
        <is>
          <t>VÄSTERBOTTENS LÄN</t>
        </is>
      </c>
      <c r="E1673" t="inlineStr">
        <is>
          <t>SKELLEFTEÅ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46181-2022</t>
        </is>
      </c>
      <c r="B1674" s="1" t="n">
        <v>44845</v>
      </c>
      <c r="C1674" s="1" t="n">
        <v>46205</v>
      </c>
      <c r="D1674" t="inlineStr">
        <is>
          <t>VÄSTERBOTTENS LÄN</t>
        </is>
      </c>
      <c r="E1674" t="inlineStr">
        <is>
          <t>SKELLEFTEÅ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26459-2026</t>
        </is>
      </c>
      <c r="B1675" s="1" t="n">
        <v>46183</v>
      </c>
      <c r="C1675" s="1" t="n">
        <v>46205</v>
      </c>
      <c r="D1675" t="inlineStr">
        <is>
          <t>VÄSTERBOTTENS LÄN</t>
        </is>
      </c>
      <c r="E1675" t="inlineStr">
        <is>
          <t>SKELLEFTEÅ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52141-2022</t>
        </is>
      </c>
      <c r="B1676" s="1" t="n">
        <v>44868</v>
      </c>
      <c r="C1676" s="1" t="n">
        <v>46205</v>
      </c>
      <c r="D1676" t="inlineStr">
        <is>
          <t>VÄSTERBOTTENS LÄN</t>
        </is>
      </c>
      <c r="E1676" t="inlineStr">
        <is>
          <t>SKELLEFTEÅ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26424-2026</t>
        </is>
      </c>
      <c r="B1677" s="1" t="n">
        <v>46183</v>
      </c>
      <c r="C1677" s="1" t="n">
        <v>46205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Sveaskog</t>
        </is>
      </c>
      <c r="G1677" t="n">
        <v>17.3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1859-2023</t>
        </is>
      </c>
      <c r="B1678" s="1" t="n">
        <v>44938</v>
      </c>
      <c r="C1678" s="1" t="n">
        <v>46205</v>
      </c>
      <c r="D1678" t="inlineStr">
        <is>
          <t>VÄSTERBOTTENS LÄN</t>
        </is>
      </c>
      <c r="E1678" t="inlineStr">
        <is>
          <t>SKELLEFTEÅ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36800-2024</t>
        </is>
      </c>
      <c r="B1679" s="1" t="n">
        <v>45538</v>
      </c>
      <c r="C1679" s="1" t="n">
        <v>46205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Sveaskog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11971-2025</t>
        </is>
      </c>
      <c r="B1680" s="1" t="n">
        <v>45728</v>
      </c>
      <c r="C1680" s="1" t="n">
        <v>46205</v>
      </c>
      <c r="D1680" t="inlineStr">
        <is>
          <t>VÄSTERBOTTENS LÄN</t>
        </is>
      </c>
      <c r="E1680" t="inlineStr">
        <is>
          <t>SKELLEFTEÅ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51418-2023</t>
        </is>
      </c>
      <c r="B1681" s="1" t="n">
        <v>45219</v>
      </c>
      <c r="C1681" s="1" t="n">
        <v>46205</v>
      </c>
      <c r="D1681" t="inlineStr">
        <is>
          <t>VÄSTERBOTTENS LÄN</t>
        </is>
      </c>
      <c r="E1681" t="inlineStr">
        <is>
          <t>SKELLEFTEÅ</t>
        </is>
      </c>
      <c r="G1681" t="n">
        <v>0.1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20740-2026</t>
        </is>
      </c>
      <c r="B1682" s="1" t="n">
        <v>46141</v>
      </c>
      <c r="C1682" s="1" t="n">
        <v>46205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Holmen skog AB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22548-2023</t>
        </is>
      </c>
      <c r="B1683" s="1" t="n">
        <v>45069</v>
      </c>
      <c r="C1683" s="1" t="n">
        <v>46205</v>
      </c>
      <c r="D1683" t="inlineStr">
        <is>
          <t>VÄSTERBOTTENS LÄN</t>
        </is>
      </c>
      <c r="E1683" t="inlineStr">
        <is>
          <t>SKELLEFTEÅ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20923-2026</t>
        </is>
      </c>
      <c r="B1684" s="1" t="n">
        <v>46142</v>
      </c>
      <c r="C1684" s="1" t="n">
        <v>46205</v>
      </c>
      <c r="D1684" t="inlineStr">
        <is>
          <t>VÄSTERBOTTENS LÄN</t>
        </is>
      </c>
      <c r="E1684" t="inlineStr">
        <is>
          <t>SKELLEFTEÅ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35732-2023</t>
        </is>
      </c>
      <c r="B1685" s="1" t="n">
        <v>45147</v>
      </c>
      <c r="C1685" s="1" t="n">
        <v>46205</v>
      </c>
      <c r="D1685" t="inlineStr">
        <is>
          <t>VÄSTERBOTTENS LÄN</t>
        </is>
      </c>
      <c r="E1685" t="inlineStr">
        <is>
          <t>SKELLEFTEÅ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52693-2024</t>
        </is>
      </c>
      <c r="B1686" s="1" t="n">
        <v>45610</v>
      </c>
      <c r="C1686" s="1" t="n">
        <v>46205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8.4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26432-2026</t>
        </is>
      </c>
      <c r="B1687" s="1" t="n">
        <v>46183</v>
      </c>
      <c r="C1687" s="1" t="n">
        <v>46205</v>
      </c>
      <c r="D1687" t="inlineStr">
        <is>
          <t>VÄSTERBOTTENS LÄN</t>
        </is>
      </c>
      <c r="E1687" t="inlineStr">
        <is>
          <t>SKELLEFTEÅ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26490-2026</t>
        </is>
      </c>
      <c r="B1688" s="1" t="n">
        <v>46183</v>
      </c>
      <c r="C1688" s="1" t="n">
        <v>46205</v>
      </c>
      <c r="D1688" t="inlineStr">
        <is>
          <t>VÄSTERBOTTENS LÄN</t>
        </is>
      </c>
      <c r="E1688" t="inlineStr">
        <is>
          <t>SKELLEFTEÅ</t>
        </is>
      </c>
      <c r="G1688" t="n">
        <v>7.2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54974-2024</t>
        </is>
      </c>
      <c r="B1689" s="1" t="n">
        <v>45620</v>
      </c>
      <c r="C1689" s="1" t="n">
        <v>46205</v>
      </c>
      <c r="D1689" t="inlineStr">
        <is>
          <t>VÄSTERBOTTENS LÄN</t>
        </is>
      </c>
      <c r="E1689" t="inlineStr">
        <is>
          <t>SKELLEFTEÅ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30743-2023</t>
        </is>
      </c>
      <c r="B1690" s="1" t="n">
        <v>45112</v>
      </c>
      <c r="C1690" s="1" t="n">
        <v>46205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Sveaskog</t>
        </is>
      </c>
      <c r="G1690" t="n">
        <v>5.7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20340-2025</t>
        </is>
      </c>
      <c r="B1691" s="1" t="n">
        <v>45775</v>
      </c>
      <c r="C1691" s="1" t="n">
        <v>46205</v>
      </c>
      <c r="D1691" t="inlineStr">
        <is>
          <t>VÄSTERBOTTENS LÄN</t>
        </is>
      </c>
      <c r="E1691" t="inlineStr">
        <is>
          <t>SKELLEFTEÅ</t>
        </is>
      </c>
      <c r="G1691" t="n">
        <v>12.5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1233-2025</t>
        </is>
      </c>
      <c r="B1692" s="1" t="n">
        <v>45667</v>
      </c>
      <c r="C1692" s="1" t="n">
        <v>46205</v>
      </c>
      <c r="D1692" t="inlineStr">
        <is>
          <t>VÄSTERBOTTENS LÄN</t>
        </is>
      </c>
      <c r="E1692" t="inlineStr">
        <is>
          <t>SKELLEFTEÅ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41554-2025</t>
        </is>
      </c>
      <c r="B1693" s="1" t="n">
        <v>45901</v>
      </c>
      <c r="C1693" s="1" t="n">
        <v>46205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36546-2024</t>
        </is>
      </c>
      <c r="B1694" s="1" t="n">
        <v>45537</v>
      </c>
      <c r="C1694" s="1" t="n">
        <v>46205</v>
      </c>
      <c r="D1694" t="inlineStr">
        <is>
          <t>VÄSTERBOTTENS LÄN</t>
        </is>
      </c>
      <c r="E1694" t="inlineStr">
        <is>
          <t>SKELLEFTEÅ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12004-2024</t>
        </is>
      </c>
      <c r="B1695" s="1" t="n">
        <v>45377</v>
      </c>
      <c r="C1695" s="1" t="n">
        <v>46205</v>
      </c>
      <c r="D1695" t="inlineStr">
        <is>
          <t>VÄSTERBOTTENS LÄN</t>
        </is>
      </c>
      <c r="E1695" t="inlineStr">
        <is>
          <t>SKELLEFTEÅ</t>
        </is>
      </c>
      <c r="G1695" t="n">
        <v>8.4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20922-2026</t>
        </is>
      </c>
      <c r="B1696" s="1" t="n">
        <v>46142</v>
      </c>
      <c r="C1696" s="1" t="n">
        <v>46205</v>
      </c>
      <c r="D1696" t="inlineStr">
        <is>
          <t>VÄSTERBOTTENS LÄN</t>
        </is>
      </c>
      <c r="E1696" t="inlineStr">
        <is>
          <t>SKELLEFTEÅ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26561-2026</t>
        </is>
      </c>
      <c r="B1697" s="1" t="n">
        <v>46183</v>
      </c>
      <c r="C1697" s="1" t="n">
        <v>46205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26647-2026</t>
        </is>
      </c>
      <c r="B1698" s="1" t="n">
        <v>46184</v>
      </c>
      <c r="C1698" s="1" t="n">
        <v>46205</v>
      </c>
      <c r="D1698" t="inlineStr">
        <is>
          <t>VÄSTERBOTTENS LÄN</t>
        </is>
      </c>
      <c r="E1698" t="inlineStr">
        <is>
          <t>SKELLEFTEÅ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20814-2026</t>
        </is>
      </c>
      <c r="B1699" s="1" t="n">
        <v>46141</v>
      </c>
      <c r="C1699" s="1" t="n">
        <v>46205</v>
      </c>
      <c r="D1699" t="inlineStr">
        <is>
          <t>VÄSTERBOTTENS LÄN</t>
        </is>
      </c>
      <c r="E1699" t="inlineStr">
        <is>
          <t>SKELLEFTEÅ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20648-2026</t>
        </is>
      </c>
      <c r="B1700" s="1" t="n">
        <v>46141</v>
      </c>
      <c r="C1700" s="1" t="n">
        <v>46205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54193-2021</t>
        </is>
      </c>
      <c r="B1701" s="1" t="n">
        <v>44470</v>
      </c>
      <c r="C1701" s="1" t="n">
        <v>46205</v>
      </c>
      <c r="D1701" t="inlineStr">
        <is>
          <t>VÄSTERBOTTENS LÄN</t>
        </is>
      </c>
      <c r="E1701" t="inlineStr">
        <is>
          <t>SKELLEFTEÅ</t>
        </is>
      </c>
      <c r="G1701" t="n">
        <v>26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573-2025</t>
        </is>
      </c>
      <c r="B1702" s="1" t="n">
        <v>45660</v>
      </c>
      <c r="C1702" s="1" t="n">
        <v>46205</v>
      </c>
      <c r="D1702" t="inlineStr">
        <is>
          <t>VÄSTERBOTTENS LÄN</t>
        </is>
      </c>
      <c r="E1702" t="inlineStr">
        <is>
          <t>SKELLEFTEÅ</t>
        </is>
      </c>
      <c r="G1702" t="n">
        <v>8.6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5959-2023</t>
        </is>
      </c>
      <c r="B1703" s="1" t="n">
        <v>44963</v>
      </c>
      <c r="C1703" s="1" t="n">
        <v>46205</v>
      </c>
      <c r="D1703" t="inlineStr">
        <is>
          <t>VÄSTERBOTTENS LÄN</t>
        </is>
      </c>
      <c r="E1703" t="inlineStr">
        <is>
          <t>SKELLEFTEÅ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20723-2026</t>
        </is>
      </c>
      <c r="B1704" s="1" t="n">
        <v>46141</v>
      </c>
      <c r="C1704" s="1" t="n">
        <v>46205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5.5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57926-2023</t>
        </is>
      </c>
      <c r="B1705" s="1" t="n">
        <v>45247</v>
      </c>
      <c r="C1705" s="1" t="n">
        <v>46205</v>
      </c>
      <c r="D1705" t="inlineStr">
        <is>
          <t>VÄSTERBOTTENS LÄN</t>
        </is>
      </c>
      <c r="E1705" t="inlineStr">
        <is>
          <t>SKELLEFTEÅ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9466-2024</t>
        </is>
      </c>
      <c r="B1706" s="1" t="n">
        <v>45359</v>
      </c>
      <c r="C1706" s="1" t="n">
        <v>46205</v>
      </c>
      <c r="D1706" t="inlineStr">
        <is>
          <t>VÄSTERBOTTENS LÄN</t>
        </is>
      </c>
      <c r="E1706" t="inlineStr">
        <is>
          <t>SKELLEFTEÅ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44353-2025</t>
        </is>
      </c>
      <c r="B1707" s="1" t="n">
        <v>45916</v>
      </c>
      <c r="C1707" s="1" t="n">
        <v>46205</v>
      </c>
      <c r="D1707" t="inlineStr">
        <is>
          <t>VÄSTERBOTTENS LÄN</t>
        </is>
      </c>
      <c r="E1707" t="inlineStr">
        <is>
          <t>SKELLEFTEÅ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26257-2024</t>
        </is>
      </c>
      <c r="B1708" s="1" t="n">
        <v>45468</v>
      </c>
      <c r="C1708" s="1" t="n">
        <v>46205</v>
      </c>
      <c r="D1708" t="inlineStr">
        <is>
          <t>VÄSTERBOTTENS LÄN</t>
        </is>
      </c>
      <c r="E1708" t="inlineStr">
        <is>
          <t>SKELLEFTEÅ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27351-2026</t>
        </is>
      </c>
      <c r="B1709" s="1" t="n">
        <v>46188</v>
      </c>
      <c r="C1709" s="1" t="n">
        <v>46205</v>
      </c>
      <c r="D1709" t="inlineStr">
        <is>
          <t>VÄSTERBOTTENS LÄN</t>
        </is>
      </c>
      <c r="E1709" t="inlineStr">
        <is>
          <t>SKELLEFTEÅ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21134-2026</t>
        </is>
      </c>
      <c r="B1710" s="1" t="n">
        <v>46146</v>
      </c>
      <c r="C1710" s="1" t="n">
        <v>46205</v>
      </c>
      <c r="D1710" t="inlineStr">
        <is>
          <t>VÄSTERBOTTENS LÄN</t>
        </is>
      </c>
      <c r="E1710" t="inlineStr">
        <is>
          <t>SKELLEFTEÅ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2811-2025</t>
        </is>
      </c>
      <c r="B1711" s="1" t="n">
        <v>45677</v>
      </c>
      <c r="C1711" s="1" t="n">
        <v>46205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51874-2022</t>
        </is>
      </c>
      <c r="B1712" s="1" t="n">
        <v>44872</v>
      </c>
      <c r="C1712" s="1" t="n">
        <v>46205</v>
      </c>
      <c r="D1712" t="inlineStr">
        <is>
          <t>VÄSTERBOTTENS LÄN</t>
        </is>
      </c>
      <c r="E1712" t="inlineStr">
        <is>
          <t>SKELLEFTEÅ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26897-2026</t>
        </is>
      </c>
      <c r="B1713" s="1" t="n">
        <v>46185</v>
      </c>
      <c r="C1713" s="1" t="n">
        <v>46205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Sveaskog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26913-2026</t>
        </is>
      </c>
      <c r="B1714" s="1" t="n">
        <v>46185</v>
      </c>
      <c r="C1714" s="1" t="n">
        <v>46205</v>
      </c>
      <c r="D1714" t="inlineStr">
        <is>
          <t>VÄSTERBOTTENS LÄN</t>
        </is>
      </c>
      <c r="E1714" t="inlineStr">
        <is>
          <t>SKELLEFTEÅ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26918-2026</t>
        </is>
      </c>
      <c r="B1715" s="1" t="n">
        <v>46185</v>
      </c>
      <c r="C1715" s="1" t="n">
        <v>46205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Sveaskog</t>
        </is>
      </c>
      <c r="G1715" t="n">
        <v>15.6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26933-2026</t>
        </is>
      </c>
      <c r="B1716" s="1" t="n">
        <v>46185</v>
      </c>
      <c r="C1716" s="1" t="n">
        <v>46205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Sveaskog</t>
        </is>
      </c>
      <c r="G1716" t="n">
        <v>12.4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65178-2023</t>
        </is>
      </c>
      <c r="B1717" s="1" t="n">
        <v>45288</v>
      </c>
      <c r="C1717" s="1" t="n">
        <v>46205</v>
      </c>
      <c r="D1717" t="inlineStr">
        <is>
          <t>VÄSTERBOTTENS LÄN</t>
        </is>
      </c>
      <c r="E1717" t="inlineStr">
        <is>
          <t>SKELLEFTEÅ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53071-2022</t>
        </is>
      </c>
      <c r="B1718" s="1" t="n">
        <v>44873</v>
      </c>
      <c r="C1718" s="1" t="n">
        <v>46205</v>
      </c>
      <c r="D1718" t="inlineStr">
        <is>
          <t>VÄSTERBOTTENS LÄN</t>
        </is>
      </c>
      <c r="E1718" t="inlineStr">
        <is>
          <t>SKELLEFTEÅ</t>
        </is>
      </c>
      <c r="G1718" t="n">
        <v>10.6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2113-2026</t>
        </is>
      </c>
      <c r="B1719" s="1" t="n">
        <v>46036</v>
      </c>
      <c r="C1719" s="1" t="n">
        <v>46205</v>
      </c>
      <c r="D1719" t="inlineStr">
        <is>
          <t>VÄSTERBOTTENS LÄN</t>
        </is>
      </c>
      <c r="E1719" t="inlineStr">
        <is>
          <t>SKELLEFTEÅ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27238-2026</t>
        </is>
      </c>
      <c r="B1720" s="1" t="n">
        <v>46188</v>
      </c>
      <c r="C1720" s="1" t="n">
        <v>46205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Sveaskog</t>
        </is>
      </c>
      <c r="G1720" t="n">
        <v>20.9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36792-2024</t>
        </is>
      </c>
      <c r="B1721" s="1" t="n">
        <v>45538</v>
      </c>
      <c r="C1721" s="1" t="n">
        <v>46205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Sveaskog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36794-2024</t>
        </is>
      </c>
      <c r="B1722" s="1" t="n">
        <v>45538</v>
      </c>
      <c r="C1722" s="1" t="n">
        <v>46205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Sveaskog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63255-2025</t>
        </is>
      </c>
      <c r="B1723" s="1" t="n">
        <v>46010</v>
      </c>
      <c r="C1723" s="1" t="n">
        <v>46205</v>
      </c>
      <c r="D1723" t="inlineStr">
        <is>
          <t>VÄSTERBOTTENS LÄN</t>
        </is>
      </c>
      <c r="E1723" t="inlineStr">
        <is>
          <t>SKELLEFTEÅ</t>
        </is>
      </c>
      <c r="G1723" t="n">
        <v>20.7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10696-2023</t>
        </is>
      </c>
      <c r="B1724" s="1" t="n">
        <v>44984</v>
      </c>
      <c r="C1724" s="1" t="n">
        <v>46205</v>
      </c>
      <c r="D1724" t="inlineStr">
        <is>
          <t>VÄSTERBOTTENS LÄN</t>
        </is>
      </c>
      <c r="E1724" t="inlineStr">
        <is>
          <t>SKELLEFTEÅ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31872-2024</t>
        </is>
      </c>
      <c r="B1725" s="1" t="n">
        <v>45509</v>
      </c>
      <c r="C1725" s="1" t="n">
        <v>46205</v>
      </c>
      <c r="D1725" t="inlineStr">
        <is>
          <t>VÄSTERBOTTENS LÄN</t>
        </is>
      </c>
      <c r="E1725" t="inlineStr">
        <is>
          <t>SKELLEFTEÅ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23521-2024</t>
        </is>
      </c>
      <c r="B1726" s="1" t="n">
        <v>45453</v>
      </c>
      <c r="C1726" s="1" t="n">
        <v>46205</v>
      </c>
      <c r="D1726" t="inlineStr">
        <is>
          <t>VÄSTERBOTTENS LÄN</t>
        </is>
      </c>
      <c r="E1726" t="inlineStr">
        <is>
          <t>SKELLEFTEÅ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54662-2024</t>
        </is>
      </c>
      <c r="B1727" s="1" t="n">
        <v>45618</v>
      </c>
      <c r="C1727" s="1" t="n">
        <v>46205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Sveaskog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8839-2025</t>
        </is>
      </c>
      <c r="B1728" s="1" t="n">
        <v>45713</v>
      </c>
      <c r="C1728" s="1" t="n">
        <v>46205</v>
      </c>
      <c r="D1728" t="inlineStr">
        <is>
          <t>VÄSTERBOTTENS LÄN</t>
        </is>
      </c>
      <c r="E1728" t="inlineStr">
        <is>
          <t>SKELLEFTEÅ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8840-2025</t>
        </is>
      </c>
      <c r="B1729" s="1" t="n">
        <v>45713</v>
      </c>
      <c r="C1729" s="1" t="n">
        <v>46205</v>
      </c>
      <c r="D1729" t="inlineStr">
        <is>
          <t>VÄSTERBOTTENS LÄN</t>
        </is>
      </c>
      <c r="E1729" t="inlineStr">
        <is>
          <t>SKELLEFTEÅ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21068-2026</t>
        </is>
      </c>
      <c r="B1730" s="1" t="n">
        <v>46146</v>
      </c>
      <c r="C1730" s="1" t="n">
        <v>46205</v>
      </c>
      <c r="D1730" t="inlineStr">
        <is>
          <t>VÄSTERBOTTENS LÄN</t>
        </is>
      </c>
      <c r="E1730" t="inlineStr">
        <is>
          <t>SKELLEFTEÅ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57908-2022</t>
        </is>
      </c>
      <c r="B1731" s="1" t="n">
        <v>44900</v>
      </c>
      <c r="C1731" s="1" t="n">
        <v>46205</v>
      </c>
      <c r="D1731" t="inlineStr">
        <is>
          <t>VÄSTERBOTTENS LÄN</t>
        </is>
      </c>
      <c r="E1731" t="inlineStr">
        <is>
          <t>SKELLEFTEÅ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26925-2026</t>
        </is>
      </c>
      <c r="B1732" s="1" t="n">
        <v>46185</v>
      </c>
      <c r="C1732" s="1" t="n">
        <v>46205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Sveaskog</t>
        </is>
      </c>
      <c r="G1732" t="n">
        <v>8.300000000000001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15709-2023</t>
        </is>
      </c>
      <c r="B1733" s="1" t="n">
        <v>45020</v>
      </c>
      <c r="C1733" s="1" t="n">
        <v>46205</v>
      </c>
      <c r="D1733" t="inlineStr">
        <is>
          <t>VÄSTERBOTTENS LÄN</t>
        </is>
      </c>
      <c r="E1733" t="inlineStr">
        <is>
          <t>SKELLEFTEÅ</t>
        </is>
      </c>
      <c r="G1733" t="n">
        <v>4.4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26894-2026</t>
        </is>
      </c>
      <c r="B1734" s="1" t="n">
        <v>46185</v>
      </c>
      <c r="C1734" s="1" t="n">
        <v>46205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Sveaskog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4959-2025</t>
        </is>
      </c>
      <c r="B1735" s="1" t="n">
        <v>45689</v>
      </c>
      <c r="C1735" s="1" t="n">
        <v>46205</v>
      </c>
      <c r="D1735" t="inlineStr">
        <is>
          <t>VÄSTERBOTTENS LÄN</t>
        </is>
      </c>
      <c r="E1735" t="inlineStr">
        <is>
          <t>SKELLEFTEÅ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28283-2024</t>
        </is>
      </c>
      <c r="B1736" s="1" t="n">
        <v>45477</v>
      </c>
      <c r="C1736" s="1" t="n">
        <v>46205</v>
      </c>
      <c r="D1736" t="inlineStr">
        <is>
          <t>VÄSTERBOTTENS LÄN</t>
        </is>
      </c>
      <c r="E1736" t="inlineStr">
        <is>
          <t>SKELLEFTEÅ</t>
        </is>
      </c>
      <c r="G1736" t="n">
        <v>6.2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59744-2022</t>
        </is>
      </c>
      <c r="B1737" s="1" t="n">
        <v>44908</v>
      </c>
      <c r="C1737" s="1" t="n">
        <v>46205</v>
      </c>
      <c r="D1737" t="inlineStr">
        <is>
          <t>VÄSTERBOTTENS LÄN</t>
        </is>
      </c>
      <c r="E1737" t="inlineStr">
        <is>
          <t>SKELLEFTEÅ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9080-2023</t>
        </is>
      </c>
      <c r="B1738" s="1" t="n">
        <v>44979</v>
      </c>
      <c r="C1738" s="1" t="n">
        <v>46205</v>
      </c>
      <c r="D1738" t="inlineStr">
        <is>
          <t>VÄSTERBOTTENS LÄN</t>
        </is>
      </c>
      <c r="E1738" t="inlineStr">
        <is>
          <t>SKELLEFTEÅ</t>
        </is>
      </c>
      <c r="G1738" t="n">
        <v>6.6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58926-2022</t>
        </is>
      </c>
      <c r="B1739" s="1" t="n">
        <v>44896</v>
      </c>
      <c r="C1739" s="1" t="n">
        <v>46205</v>
      </c>
      <c r="D1739" t="inlineStr">
        <is>
          <t>VÄSTERBOTTENS LÄN</t>
        </is>
      </c>
      <c r="E1739" t="inlineStr">
        <is>
          <t>SKELLEFTEÅ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34455-2023</t>
        </is>
      </c>
      <c r="B1740" s="1" t="n">
        <v>45139</v>
      </c>
      <c r="C1740" s="1" t="n">
        <v>46205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Holmen skog AB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27286-2026</t>
        </is>
      </c>
      <c r="B1741" s="1" t="n">
        <v>46188</v>
      </c>
      <c r="C1741" s="1" t="n">
        <v>46205</v>
      </c>
      <c r="D1741" t="inlineStr">
        <is>
          <t>VÄSTERBOTTENS LÄN</t>
        </is>
      </c>
      <c r="E1741" t="inlineStr">
        <is>
          <t>SKELLEFTEÅ</t>
        </is>
      </c>
      <c r="G1741" t="n">
        <v>5.6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27288-2026</t>
        </is>
      </c>
      <c r="B1742" s="1" t="n">
        <v>46188</v>
      </c>
      <c r="C1742" s="1" t="n">
        <v>46205</v>
      </c>
      <c r="D1742" t="inlineStr">
        <is>
          <t>VÄSTERBOTTENS LÄN</t>
        </is>
      </c>
      <c r="E1742" t="inlineStr">
        <is>
          <t>SKELLEFTEÅ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21190-2026</t>
        </is>
      </c>
      <c r="B1743" s="1" t="n">
        <v>46146</v>
      </c>
      <c r="C1743" s="1" t="n">
        <v>46205</v>
      </c>
      <c r="D1743" t="inlineStr">
        <is>
          <t>VÄSTERBOTTENS LÄN</t>
        </is>
      </c>
      <c r="E1743" t="inlineStr">
        <is>
          <t>SKELLEFTEÅ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3268-2022</t>
        </is>
      </c>
      <c r="B1744" s="1" t="n">
        <v>44583</v>
      </c>
      <c r="C1744" s="1" t="n">
        <v>46205</v>
      </c>
      <c r="D1744" t="inlineStr">
        <is>
          <t>VÄSTERBOTTENS LÄN</t>
        </is>
      </c>
      <c r="E1744" t="inlineStr">
        <is>
          <t>SKELLEFTEÅ</t>
        </is>
      </c>
      <c r="G1744" t="n">
        <v>3.5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33776-2024</t>
        </is>
      </c>
      <c r="B1745" s="1" t="n">
        <v>45520</v>
      </c>
      <c r="C1745" s="1" t="n">
        <v>46205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Sveaskog</t>
        </is>
      </c>
      <c r="G1745" t="n">
        <v>16.4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16653-2022</t>
        </is>
      </c>
      <c r="B1746" s="1" t="n">
        <v>44672</v>
      </c>
      <c r="C1746" s="1" t="n">
        <v>46205</v>
      </c>
      <c r="D1746" t="inlineStr">
        <is>
          <t>VÄSTERBOTTENS LÄN</t>
        </is>
      </c>
      <c r="E1746" t="inlineStr">
        <is>
          <t>SKELLEFTEÅ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38957-2024</t>
        </is>
      </c>
      <c r="B1747" s="1" t="n">
        <v>45548</v>
      </c>
      <c r="C1747" s="1" t="n">
        <v>46205</v>
      </c>
      <c r="D1747" t="inlineStr">
        <is>
          <t>VÄSTERBOTTENS LÄN</t>
        </is>
      </c>
      <c r="E1747" t="inlineStr">
        <is>
          <t>SKELLEFTEÅ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71798-2021</t>
        </is>
      </c>
      <c r="B1748" s="1" t="n">
        <v>44543</v>
      </c>
      <c r="C1748" s="1" t="n">
        <v>46205</v>
      </c>
      <c r="D1748" t="inlineStr">
        <is>
          <t>VÄSTERBOTTENS LÄN</t>
        </is>
      </c>
      <c r="E1748" t="inlineStr">
        <is>
          <t>SKELLEFTEÅ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27237-2026</t>
        </is>
      </c>
      <c r="B1749" s="1" t="n">
        <v>46188</v>
      </c>
      <c r="C1749" s="1" t="n">
        <v>46205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Sveaskog</t>
        </is>
      </c>
      <c r="G1749" t="n">
        <v>15.6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11260-2022</t>
        </is>
      </c>
      <c r="B1750" s="1" t="n">
        <v>44629</v>
      </c>
      <c r="C1750" s="1" t="n">
        <v>46205</v>
      </c>
      <c r="D1750" t="inlineStr">
        <is>
          <t>VÄSTERBOTTENS LÄN</t>
        </is>
      </c>
      <c r="E1750" t="inlineStr">
        <is>
          <t>SKELLEFTEÅ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57714-2021</t>
        </is>
      </c>
      <c r="B1751" s="1" t="n">
        <v>44484</v>
      </c>
      <c r="C1751" s="1" t="n">
        <v>46205</v>
      </c>
      <c r="D1751" t="inlineStr">
        <is>
          <t>VÄSTERBOTTENS LÄN</t>
        </is>
      </c>
      <c r="E1751" t="inlineStr">
        <is>
          <t>SKELLEFTEÅ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27192-2026</t>
        </is>
      </c>
      <c r="B1752" s="1" t="n">
        <v>46188</v>
      </c>
      <c r="C1752" s="1" t="n">
        <v>46205</v>
      </c>
      <c r="D1752" t="inlineStr">
        <is>
          <t>VÄSTERBOTTENS LÄN</t>
        </is>
      </c>
      <c r="E1752" t="inlineStr">
        <is>
          <t>SKELLEFTEÅ</t>
        </is>
      </c>
      <c r="G1752" t="n">
        <v>9.9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803-2022</t>
        </is>
      </c>
      <c r="B1753" s="1" t="n">
        <v>44568</v>
      </c>
      <c r="C1753" s="1" t="n">
        <v>46205</v>
      </c>
      <c r="D1753" t="inlineStr">
        <is>
          <t>VÄSTERBOTTENS LÄN</t>
        </is>
      </c>
      <c r="E1753" t="inlineStr">
        <is>
          <t>SKELLEFTEÅ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26875-2026</t>
        </is>
      </c>
      <c r="B1754" s="1" t="n">
        <v>46185</v>
      </c>
      <c r="C1754" s="1" t="n">
        <v>46205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14088-2022</t>
        </is>
      </c>
      <c r="B1755" s="1" t="n">
        <v>44650</v>
      </c>
      <c r="C1755" s="1" t="n">
        <v>46205</v>
      </c>
      <c r="D1755" t="inlineStr">
        <is>
          <t>VÄSTERBOTTENS LÄN</t>
        </is>
      </c>
      <c r="E1755" t="inlineStr">
        <is>
          <t>SKELLEFTEÅ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46304-2024</t>
        </is>
      </c>
      <c r="B1756" s="1" t="n">
        <v>45581</v>
      </c>
      <c r="C1756" s="1" t="n">
        <v>46205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Holmen skog AB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27654-2026</t>
        </is>
      </c>
      <c r="B1757" s="1" t="n">
        <v>46190</v>
      </c>
      <c r="C1757" s="1" t="n">
        <v>46205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Holmen skog AB</t>
        </is>
      </c>
      <c r="G1757" t="n">
        <v>12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14846-2025</t>
        </is>
      </c>
      <c r="B1758" s="1" t="n">
        <v>45743</v>
      </c>
      <c r="C1758" s="1" t="n">
        <v>46205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Sveaskog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21400-2026</t>
        </is>
      </c>
      <c r="B1759" s="1" t="n">
        <v>46148</v>
      </c>
      <c r="C1759" s="1" t="n">
        <v>46205</v>
      </c>
      <c r="D1759" t="inlineStr">
        <is>
          <t>VÄSTERBOTTENS LÄN</t>
        </is>
      </c>
      <c r="E1759" t="inlineStr">
        <is>
          <t>SKELLEFTEÅ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38505-2021</t>
        </is>
      </c>
      <c r="B1760" s="1" t="n">
        <v>44407</v>
      </c>
      <c r="C1760" s="1" t="n">
        <v>46205</v>
      </c>
      <c r="D1760" t="inlineStr">
        <is>
          <t>VÄSTERBOTTENS LÄN</t>
        </is>
      </c>
      <c r="E1760" t="inlineStr">
        <is>
          <t>SKELLEFTEÅ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37792-2021</t>
        </is>
      </c>
      <c r="B1761" s="1" t="n">
        <v>44401</v>
      </c>
      <c r="C1761" s="1" t="n">
        <v>46205</v>
      </c>
      <c r="D1761" t="inlineStr">
        <is>
          <t>VÄSTERBOTTENS LÄN</t>
        </is>
      </c>
      <c r="E1761" t="inlineStr">
        <is>
          <t>SKELLEFTEÅ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27640-2026</t>
        </is>
      </c>
      <c r="B1762" s="1" t="n">
        <v>46190</v>
      </c>
      <c r="C1762" s="1" t="n">
        <v>46205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27572-2026</t>
        </is>
      </c>
      <c r="B1763" s="1" t="n">
        <v>46190</v>
      </c>
      <c r="C1763" s="1" t="n">
        <v>46205</v>
      </c>
      <c r="D1763" t="inlineStr">
        <is>
          <t>VÄSTERBOTTENS LÄN</t>
        </is>
      </c>
      <c r="E1763" t="inlineStr">
        <is>
          <t>SKELLEFTEÅ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8203-2022</t>
        </is>
      </c>
      <c r="B1764" s="1" t="n">
        <v>44609</v>
      </c>
      <c r="C1764" s="1" t="n">
        <v>46205</v>
      </c>
      <c r="D1764" t="inlineStr">
        <is>
          <t>VÄSTERBOTTENS LÄN</t>
        </is>
      </c>
      <c r="E1764" t="inlineStr">
        <is>
          <t>SKELLEFTEÅ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27660-2026</t>
        </is>
      </c>
      <c r="B1765" s="1" t="n">
        <v>46190</v>
      </c>
      <c r="C1765" s="1" t="n">
        <v>46205</v>
      </c>
      <c r="D1765" t="inlineStr">
        <is>
          <t>VÄSTERBOTTENS LÄN</t>
        </is>
      </c>
      <c r="E1765" t="inlineStr">
        <is>
          <t>SKELLEFTEÅ</t>
        </is>
      </c>
      <c r="G1765" t="n">
        <v>5.5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27570-2026</t>
        </is>
      </c>
      <c r="B1766" s="1" t="n">
        <v>46190</v>
      </c>
      <c r="C1766" s="1" t="n">
        <v>46205</v>
      </c>
      <c r="D1766" t="inlineStr">
        <is>
          <t>VÄSTERBOTTENS LÄN</t>
        </is>
      </c>
      <c r="E1766" t="inlineStr">
        <is>
          <t>SKELLEFTEÅ</t>
        </is>
      </c>
      <c r="G1766" t="n">
        <v>7.2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45374-2024</t>
        </is>
      </c>
      <c r="B1767" s="1" t="n">
        <v>45576</v>
      </c>
      <c r="C1767" s="1" t="n">
        <v>46205</v>
      </c>
      <c r="D1767" t="inlineStr">
        <is>
          <t>VÄSTERBOTTENS LÄN</t>
        </is>
      </c>
      <c r="E1767" t="inlineStr">
        <is>
          <t>SKELLEFTEÅ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7462-2022</t>
        </is>
      </c>
      <c r="B1768" s="1" t="n">
        <v>44606</v>
      </c>
      <c r="C1768" s="1" t="n">
        <v>46205</v>
      </c>
      <c r="D1768" t="inlineStr">
        <is>
          <t>VÄSTERBOTTENS LÄN</t>
        </is>
      </c>
      <c r="E1768" t="inlineStr">
        <is>
          <t>SKELLEFTEÅ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27449-2026</t>
        </is>
      </c>
      <c r="B1769" s="1" t="n">
        <v>46189</v>
      </c>
      <c r="C1769" s="1" t="n">
        <v>46205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45421-2024</t>
        </is>
      </c>
      <c r="B1770" s="1" t="n">
        <v>45576</v>
      </c>
      <c r="C1770" s="1" t="n">
        <v>46205</v>
      </c>
      <c r="D1770" t="inlineStr">
        <is>
          <t>VÄSTERBOTTENS LÄN</t>
        </is>
      </c>
      <c r="E1770" t="inlineStr">
        <is>
          <t>SKELLEFTEÅ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27674-2026</t>
        </is>
      </c>
      <c r="B1771" s="1" t="n">
        <v>46190</v>
      </c>
      <c r="C1771" s="1" t="n">
        <v>46205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42877-2024</t>
        </is>
      </c>
      <c r="B1772" s="1" t="n">
        <v>45566</v>
      </c>
      <c r="C1772" s="1" t="n">
        <v>46205</v>
      </c>
      <c r="D1772" t="inlineStr">
        <is>
          <t>VÄSTERBOTTENS LÄN</t>
        </is>
      </c>
      <c r="E1772" t="inlineStr">
        <is>
          <t>SKELLEFTEÅ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21486-2026</t>
        </is>
      </c>
      <c r="B1773" s="1" t="n">
        <v>46148</v>
      </c>
      <c r="C1773" s="1" t="n">
        <v>46205</v>
      </c>
      <c r="D1773" t="inlineStr">
        <is>
          <t>VÄSTERBOTTENS LÄN</t>
        </is>
      </c>
      <c r="E1773" t="inlineStr">
        <is>
          <t>SKELLEFTEÅ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3852-2023</t>
        </is>
      </c>
      <c r="B1774" s="1" t="n">
        <v>44950</v>
      </c>
      <c r="C1774" s="1" t="n">
        <v>46205</v>
      </c>
      <c r="D1774" t="inlineStr">
        <is>
          <t>VÄSTERBOTTENS LÄN</t>
        </is>
      </c>
      <c r="E1774" t="inlineStr">
        <is>
          <t>SKELLEFTEÅ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20592-2024</t>
        </is>
      </c>
      <c r="B1775" s="1" t="n">
        <v>45436</v>
      </c>
      <c r="C1775" s="1" t="n">
        <v>46205</v>
      </c>
      <c r="D1775" t="inlineStr">
        <is>
          <t>VÄSTERBOTTENS LÄN</t>
        </is>
      </c>
      <c r="E1775" t="inlineStr">
        <is>
          <t>SKELLEFTEÅ</t>
        </is>
      </c>
      <c r="G1775" t="n">
        <v>6.1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27667-2026</t>
        </is>
      </c>
      <c r="B1776" s="1" t="n">
        <v>46190</v>
      </c>
      <c r="C1776" s="1" t="n">
        <v>46205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27679-2026</t>
        </is>
      </c>
      <c r="B1777" s="1" t="n">
        <v>46190</v>
      </c>
      <c r="C1777" s="1" t="n">
        <v>46205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6.2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21308-2026</t>
        </is>
      </c>
      <c r="B1778" s="1" t="n">
        <v>46147</v>
      </c>
      <c r="C1778" s="1" t="n">
        <v>46205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21842-2022</t>
        </is>
      </c>
      <c r="B1779" s="1" t="n">
        <v>44711</v>
      </c>
      <c r="C1779" s="1" t="n">
        <v>46205</v>
      </c>
      <c r="D1779" t="inlineStr">
        <is>
          <t>VÄSTERBOTTENS LÄN</t>
        </is>
      </c>
      <c r="E1779" t="inlineStr">
        <is>
          <t>SKELLEFTEÅ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27670-2026</t>
        </is>
      </c>
      <c r="B1780" s="1" t="n">
        <v>46190</v>
      </c>
      <c r="C1780" s="1" t="n">
        <v>46205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12715-2022</t>
        </is>
      </c>
      <c r="B1781" s="1" t="n">
        <v>44641</v>
      </c>
      <c r="C1781" s="1" t="n">
        <v>46205</v>
      </c>
      <c r="D1781" t="inlineStr">
        <is>
          <t>VÄSTERBOTTENS LÄN</t>
        </is>
      </c>
      <c r="E1781" t="inlineStr">
        <is>
          <t>SKELLEFTEÅ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21392-2026</t>
        </is>
      </c>
      <c r="B1782" s="1" t="n">
        <v>46147</v>
      </c>
      <c r="C1782" s="1" t="n">
        <v>46205</v>
      </c>
      <c r="D1782" t="inlineStr">
        <is>
          <t>VÄSTERBOTTENS LÄN</t>
        </is>
      </c>
      <c r="E1782" t="inlineStr">
        <is>
          <t>SKELLEFTEÅ</t>
        </is>
      </c>
      <c r="G1782" t="n">
        <v>9.4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52500-2022</t>
        </is>
      </c>
      <c r="B1783" s="1" t="n">
        <v>44869</v>
      </c>
      <c r="C1783" s="1" t="n">
        <v>46205</v>
      </c>
      <c r="D1783" t="inlineStr">
        <is>
          <t>VÄSTERBOTTENS LÄN</t>
        </is>
      </c>
      <c r="E1783" t="inlineStr">
        <is>
          <t>SKELLEFTEÅ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27440-2026</t>
        </is>
      </c>
      <c r="B1784" s="1" t="n">
        <v>46189</v>
      </c>
      <c r="C1784" s="1" t="n">
        <v>46205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1933-2023</t>
        </is>
      </c>
      <c r="B1785" s="1" t="n">
        <v>44938</v>
      </c>
      <c r="C1785" s="1" t="n">
        <v>46205</v>
      </c>
      <c r="D1785" t="inlineStr">
        <is>
          <t>VÄSTERBOTTENS LÄN</t>
        </is>
      </c>
      <c r="E1785" t="inlineStr">
        <is>
          <t>SKELLEFTEÅ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21484-2026</t>
        </is>
      </c>
      <c r="B1786" s="1" t="n">
        <v>46148</v>
      </c>
      <c r="C1786" s="1" t="n">
        <v>46205</v>
      </c>
      <c r="D1786" t="inlineStr">
        <is>
          <t>VÄSTERBOTTENS LÄN</t>
        </is>
      </c>
      <c r="E1786" t="inlineStr">
        <is>
          <t>SKELLEFTEÅ</t>
        </is>
      </c>
      <c r="G1786" t="n">
        <v>13.1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44100-2024</t>
        </is>
      </c>
      <c r="B1787" s="1" t="n">
        <v>45572</v>
      </c>
      <c r="C1787" s="1" t="n">
        <v>46205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Holmen skog AB</t>
        </is>
      </c>
      <c r="G1787" t="n">
        <v>6.7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4791-2022</t>
        </is>
      </c>
      <c r="B1788" s="1" t="n">
        <v>44592</v>
      </c>
      <c r="C1788" s="1" t="n">
        <v>46205</v>
      </c>
      <c r="D1788" t="inlineStr">
        <is>
          <t>VÄSTERBOTTENS LÄN</t>
        </is>
      </c>
      <c r="E1788" t="inlineStr">
        <is>
          <t>SKELLEFTEÅ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4005-2022</t>
        </is>
      </c>
      <c r="B1789" s="1" t="n">
        <v>44587</v>
      </c>
      <c r="C1789" s="1" t="n">
        <v>46205</v>
      </c>
      <c r="D1789" t="inlineStr">
        <is>
          <t>VÄSTERBOTTENS LÄN</t>
        </is>
      </c>
      <c r="E1789" t="inlineStr">
        <is>
          <t>SKELLEFTEÅ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21777-2026</t>
        </is>
      </c>
      <c r="B1790" s="1" t="n">
        <v>46150</v>
      </c>
      <c r="C1790" s="1" t="n">
        <v>46205</v>
      </c>
      <c r="D1790" t="inlineStr">
        <is>
          <t>VÄSTERBOTTENS LÄN</t>
        </is>
      </c>
      <c r="E1790" t="inlineStr">
        <is>
          <t>SKELLEFTEÅ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35731-2023</t>
        </is>
      </c>
      <c r="B1791" s="1" t="n">
        <v>45147</v>
      </c>
      <c r="C1791" s="1" t="n">
        <v>46205</v>
      </c>
      <c r="D1791" t="inlineStr">
        <is>
          <t>VÄSTERBOTTENS LÄN</t>
        </is>
      </c>
      <c r="E1791" t="inlineStr">
        <is>
          <t>SKELLEFTEÅ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21735-2026</t>
        </is>
      </c>
      <c r="B1792" s="1" t="n">
        <v>46149</v>
      </c>
      <c r="C1792" s="1" t="n">
        <v>46205</v>
      </c>
      <c r="D1792" t="inlineStr">
        <is>
          <t>VÄSTERBOTTENS LÄN</t>
        </is>
      </c>
      <c r="E1792" t="inlineStr">
        <is>
          <t>SKELLEFTEÅ</t>
        </is>
      </c>
      <c r="G1792" t="n">
        <v>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54081-2022</t>
        </is>
      </c>
      <c r="B1793" s="1" t="n">
        <v>44881</v>
      </c>
      <c r="C1793" s="1" t="n">
        <v>46205</v>
      </c>
      <c r="D1793" t="inlineStr">
        <is>
          <t>VÄSTERBOTTENS LÄN</t>
        </is>
      </c>
      <c r="E1793" t="inlineStr">
        <is>
          <t>SKELLEFTEÅ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33184-2023</t>
        </is>
      </c>
      <c r="B1794" s="1" t="n">
        <v>45114</v>
      </c>
      <c r="C1794" s="1" t="n">
        <v>46205</v>
      </c>
      <c r="D1794" t="inlineStr">
        <is>
          <t>VÄSTERBOTTENS LÄN</t>
        </is>
      </c>
      <c r="E1794" t="inlineStr">
        <is>
          <t>SKELLEFTEÅ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45757-2024</t>
        </is>
      </c>
      <c r="B1795" s="1" t="n">
        <v>45579</v>
      </c>
      <c r="C1795" s="1" t="n">
        <v>46205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56960-2022</t>
        </is>
      </c>
      <c r="B1796" s="1" t="n">
        <v>44894</v>
      </c>
      <c r="C1796" s="1" t="n">
        <v>46205</v>
      </c>
      <c r="D1796" t="inlineStr">
        <is>
          <t>VÄSTERBOTTENS LÄN</t>
        </is>
      </c>
      <c r="E1796" t="inlineStr">
        <is>
          <t>SKELLEFTEÅ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21638-2026</t>
        </is>
      </c>
      <c r="B1797" s="1" t="n">
        <v>46149</v>
      </c>
      <c r="C1797" s="1" t="n">
        <v>46205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46968-2024</t>
        </is>
      </c>
      <c r="B1798" s="1" t="n">
        <v>45586</v>
      </c>
      <c r="C1798" s="1" t="n">
        <v>46205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Sveaskog</t>
        </is>
      </c>
      <c r="G1798" t="n">
        <v>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27920-2026</t>
        </is>
      </c>
      <c r="B1799" s="1" t="n">
        <v>46191</v>
      </c>
      <c r="C1799" s="1" t="n">
        <v>46205</v>
      </c>
      <c r="D1799" t="inlineStr">
        <is>
          <t>VÄSTERBOTTENS LÄN</t>
        </is>
      </c>
      <c r="E1799" t="inlineStr">
        <is>
          <t>SKELLEFTEÅ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45036-2021</t>
        </is>
      </c>
      <c r="B1800" s="1" t="n">
        <v>44438</v>
      </c>
      <c r="C1800" s="1" t="n">
        <v>46205</v>
      </c>
      <c r="D1800" t="inlineStr">
        <is>
          <t>VÄSTERBOTTENS LÄN</t>
        </is>
      </c>
      <c r="E1800" t="inlineStr">
        <is>
          <t>SKELLEFTEÅ</t>
        </is>
      </c>
      <c r="G1800" t="n">
        <v>5.1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51476-2021</t>
        </is>
      </c>
      <c r="B1801" s="1" t="n">
        <v>44462</v>
      </c>
      <c r="C1801" s="1" t="n">
        <v>46205</v>
      </c>
      <c r="D1801" t="inlineStr">
        <is>
          <t>VÄSTERBOTTENS LÄN</t>
        </is>
      </c>
      <c r="E1801" t="inlineStr">
        <is>
          <t>SKELLEFTEÅ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27813-2026</t>
        </is>
      </c>
      <c r="B1802" s="1" t="n">
        <v>46191</v>
      </c>
      <c r="C1802" s="1" t="n">
        <v>46205</v>
      </c>
      <c r="D1802" t="inlineStr">
        <is>
          <t>VÄSTERBOTTENS LÄN</t>
        </is>
      </c>
      <c r="E1802" t="inlineStr">
        <is>
          <t>SKELLEFTEÅ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34669-2023</t>
        </is>
      </c>
      <c r="B1803" s="1" t="n">
        <v>45140</v>
      </c>
      <c r="C1803" s="1" t="n">
        <v>46205</v>
      </c>
      <c r="D1803" t="inlineStr">
        <is>
          <t>VÄSTERBOTTENS LÄN</t>
        </is>
      </c>
      <c r="E1803" t="inlineStr">
        <is>
          <t>SKELLEFTEÅ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27804-2026</t>
        </is>
      </c>
      <c r="B1804" s="1" t="n">
        <v>46191</v>
      </c>
      <c r="C1804" s="1" t="n">
        <v>46205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Holmen skog AB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21641-2026</t>
        </is>
      </c>
      <c r="B1805" s="1" t="n">
        <v>46149</v>
      </c>
      <c r="C1805" s="1" t="n">
        <v>46205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21645-2026</t>
        </is>
      </c>
      <c r="B1806" s="1" t="n">
        <v>46149</v>
      </c>
      <c r="C1806" s="1" t="n">
        <v>46205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Holmen skog AB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3600-2023</t>
        </is>
      </c>
      <c r="B1807" s="1" t="n">
        <v>44946</v>
      </c>
      <c r="C1807" s="1" t="n">
        <v>46205</v>
      </c>
      <c r="D1807" t="inlineStr">
        <is>
          <t>VÄSTERBOTTENS LÄN</t>
        </is>
      </c>
      <c r="E1807" t="inlineStr">
        <is>
          <t>SKELLEFTEÅ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39544-2023</t>
        </is>
      </c>
      <c r="B1808" s="1" t="n">
        <v>45167</v>
      </c>
      <c r="C1808" s="1" t="n">
        <v>46205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Sveaskog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39553-2023</t>
        </is>
      </c>
      <c r="B1809" s="1" t="n">
        <v>45167</v>
      </c>
      <c r="C1809" s="1" t="n">
        <v>46205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Holmen skog AB</t>
        </is>
      </c>
      <c r="G1809" t="n">
        <v>6.9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27793-2026</t>
        </is>
      </c>
      <c r="B1810" s="1" t="n">
        <v>46191</v>
      </c>
      <c r="C1810" s="1" t="n">
        <v>46205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50276-2024</t>
        </is>
      </c>
      <c r="B1811" s="1" t="n">
        <v>45600</v>
      </c>
      <c r="C1811" s="1" t="n">
        <v>46205</v>
      </c>
      <c r="D1811" t="inlineStr">
        <is>
          <t>VÄSTERBOTTENS LÄN</t>
        </is>
      </c>
      <c r="E1811" t="inlineStr">
        <is>
          <t>SKELLEFTEÅ</t>
        </is>
      </c>
      <c r="G1811" t="n">
        <v>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46584-2023</t>
        </is>
      </c>
      <c r="B1812" s="1" t="n">
        <v>45198</v>
      </c>
      <c r="C1812" s="1" t="n">
        <v>46205</v>
      </c>
      <c r="D1812" t="inlineStr">
        <is>
          <t>VÄSTERBOTTENS LÄN</t>
        </is>
      </c>
      <c r="E1812" t="inlineStr">
        <is>
          <t>SKELLEFTEÅ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21748-2026</t>
        </is>
      </c>
      <c r="B1813" s="1" t="n">
        <v>46149</v>
      </c>
      <c r="C1813" s="1" t="n">
        <v>46205</v>
      </c>
      <c r="D1813" t="inlineStr">
        <is>
          <t>VÄSTERBOTTENS LÄN</t>
        </is>
      </c>
      <c r="E1813" t="inlineStr">
        <is>
          <t>SKELLEFTEÅ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51332-2024</t>
        </is>
      </c>
      <c r="B1814" s="1" t="n">
        <v>45604</v>
      </c>
      <c r="C1814" s="1" t="n">
        <v>46205</v>
      </c>
      <c r="D1814" t="inlineStr">
        <is>
          <t>VÄSTERBOTTENS LÄN</t>
        </is>
      </c>
      <c r="E1814" t="inlineStr">
        <is>
          <t>SKELLEFTEÅ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26955-2023</t>
        </is>
      </c>
      <c r="B1815" s="1" t="n">
        <v>45091</v>
      </c>
      <c r="C1815" s="1" t="n">
        <v>46205</v>
      </c>
      <c r="D1815" t="inlineStr">
        <is>
          <t>VÄSTERBOTTENS LÄN</t>
        </is>
      </c>
      <c r="E1815" t="inlineStr">
        <is>
          <t>SKELLEFTEÅ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21783-2026</t>
        </is>
      </c>
      <c r="B1816" s="1" t="n">
        <v>46150</v>
      </c>
      <c r="C1816" s="1" t="n">
        <v>46205</v>
      </c>
      <c r="D1816" t="inlineStr">
        <is>
          <t>VÄSTERBOTTENS LÄN</t>
        </is>
      </c>
      <c r="E1816" t="inlineStr">
        <is>
          <t>SKELLEFTEÅ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21785-2026</t>
        </is>
      </c>
      <c r="B1817" s="1" t="n">
        <v>46150</v>
      </c>
      <c r="C1817" s="1" t="n">
        <v>46205</v>
      </c>
      <c r="D1817" t="inlineStr">
        <is>
          <t>VÄSTERBOTTENS LÄN</t>
        </is>
      </c>
      <c r="E1817" t="inlineStr">
        <is>
          <t>SKELLEFTEÅ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60000-2022</t>
        </is>
      </c>
      <c r="B1818" s="1" t="n">
        <v>44909</v>
      </c>
      <c r="C1818" s="1" t="n">
        <v>46205</v>
      </c>
      <c r="D1818" t="inlineStr">
        <is>
          <t>VÄSTERBOTTENS LÄN</t>
        </is>
      </c>
      <c r="E1818" t="inlineStr">
        <is>
          <t>SKELLEFTEÅ</t>
        </is>
      </c>
      <c r="G1818" t="n">
        <v>5.7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20193-2025</t>
        </is>
      </c>
      <c r="B1819" s="1" t="n">
        <v>45772</v>
      </c>
      <c r="C1819" s="1" t="n">
        <v>46205</v>
      </c>
      <c r="D1819" t="inlineStr">
        <is>
          <t>VÄSTERBOTTENS LÄN</t>
        </is>
      </c>
      <c r="E1819" t="inlineStr">
        <is>
          <t>SKELLEFTEÅ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22007-2026</t>
        </is>
      </c>
      <c r="B1820" s="1" t="n">
        <v>46153</v>
      </c>
      <c r="C1820" s="1" t="n">
        <v>46205</v>
      </c>
      <c r="D1820" t="inlineStr">
        <is>
          <t>VÄSTERBOTTENS LÄN</t>
        </is>
      </c>
      <c r="E1820" t="inlineStr">
        <is>
          <t>SKELLEFTEÅ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22029-2026</t>
        </is>
      </c>
      <c r="B1821" s="1" t="n">
        <v>46153</v>
      </c>
      <c r="C1821" s="1" t="n">
        <v>46205</v>
      </c>
      <c r="D1821" t="inlineStr">
        <is>
          <t>VÄSTERBOTTENS LÄN</t>
        </is>
      </c>
      <c r="E1821" t="inlineStr">
        <is>
          <t>SKELLEFTEÅ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22155-2026</t>
        </is>
      </c>
      <c r="B1822" s="1" t="n">
        <v>46153</v>
      </c>
      <c r="C1822" s="1" t="n">
        <v>46205</v>
      </c>
      <c r="D1822" t="inlineStr">
        <is>
          <t>VÄSTERBOTTENS LÄN</t>
        </is>
      </c>
      <c r="E1822" t="inlineStr">
        <is>
          <t>SKELLEFTEÅ</t>
        </is>
      </c>
      <c r="G1822" t="n">
        <v>10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14756-2022</t>
        </is>
      </c>
      <c r="B1823" s="1" t="n">
        <v>44656</v>
      </c>
      <c r="C1823" s="1" t="n">
        <v>46205</v>
      </c>
      <c r="D1823" t="inlineStr">
        <is>
          <t>VÄSTERBOTTENS LÄN</t>
        </is>
      </c>
      <c r="E1823" t="inlineStr">
        <is>
          <t>SKELLEFTEÅ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2573-2026</t>
        </is>
      </c>
      <c r="B1824" s="1" t="n">
        <v>46037</v>
      </c>
      <c r="C1824" s="1" t="n">
        <v>46205</v>
      </c>
      <c r="D1824" t="inlineStr">
        <is>
          <t>VÄSTERBOTTENS LÄN</t>
        </is>
      </c>
      <c r="E1824" t="inlineStr">
        <is>
          <t>SKELLEFTEÅ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27974-2026</t>
        </is>
      </c>
      <c r="B1825" s="1" t="n">
        <v>46195</v>
      </c>
      <c r="C1825" s="1" t="n">
        <v>46205</v>
      </c>
      <c r="D1825" t="inlineStr">
        <is>
          <t>VÄSTERBOTTENS LÄN</t>
        </is>
      </c>
      <c r="E1825" t="inlineStr">
        <is>
          <t>SKELLEFTEÅ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22009-2026</t>
        </is>
      </c>
      <c r="B1826" s="1" t="n">
        <v>46153</v>
      </c>
      <c r="C1826" s="1" t="n">
        <v>46205</v>
      </c>
      <c r="D1826" t="inlineStr">
        <is>
          <t>VÄSTERBOTTENS LÄN</t>
        </is>
      </c>
      <c r="E1826" t="inlineStr">
        <is>
          <t>SKELLEFTEÅ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19498-2023</t>
        </is>
      </c>
      <c r="B1827" s="1" t="n">
        <v>45049</v>
      </c>
      <c r="C1827" s="1" t="n">
        <v>46205</v>
      </c>
      <c r="D1827" t="inlineStr">
        <is>
          <t>VÄSTERBOTTENS LÄN</t>
        </is>
      </c>
      <c r="E1827" t="inlineStr">
        <is>
          <t>SKELLEFTEÅ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28003-2026</t>
        </is>
      </c>
      <c r="B1828" s="1" t="n">
        <v>46195</v>
      </c>
      <c r="C1828" s="1" t="n">
        <v>46205</v>
      </c>
      <c r="D1828" t="inlineStr">
        <is>
          <t>VÄSTERBOTTENS LÄN</t>
        </is>
      </c>
      <c r="E1828" t="inlineStr">
        <is>
          <t>SKELLEFTEÅ</t>
        </is>
      </c>
      <c r="G1828" t="n">
        <v>13.1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22184-2026</t>
        </is>
      </c>
      <c r="B1829" s="1" t="n">
        <v>46153</v>
      </c>
      <c r="C1829" s="1" t="n">
        <v>46205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Sveaskog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22224-2026</t>
        </is>
      </c>
      <c r="B1830" s="1" t="n">
        <v>46153</v>
      </c>
      <c r="C1830" s="1" t="n">
        <v>46205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22180-2026</t>
        </is>
      </c>
      <c r="B1831" s="1" t="n">
        <v>46153</v>
      </c>
      <c r="C1831" s="1" t="n">
        <v>46205</v>
      </c>
      <c r="D1831" t="inlineStr">
        <is>
          <t>VÄSTERBOTTENS LÄN</t>
        </is>
      </c>
      <c r="E1831" t="inlineStr">
        <is>
          <t>SKELLEFTEÅ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21978-2026</t>
        </is>
      </c>
      <c r="B1832" s="1" t="n">
        <v>46153</v>
      </c>
      <c r="C1832" s="1" t="n">
        <v>46205</v>
      </c>
      <c r="D1832" t="inlineStr">
        <is>
          <t>VÄSTERBOTTENS LÄN</t>
        </is>
      </c>
      <c r="E1832" t="inlineStr">
        <is>
          <t>SKELLEFTEÅ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21989-2026</t>
        </is>
      </c>
      <c r="B1833" s="1" t="n">
        <v>46153</v>
      </c>
      <c r="C1833" s="1" t="n">
        <v>46205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Holmen skog AB</t>
        </is>
      </c>
      <c r="G1833" t="n">
        <v>14.6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22182-2026</t>
        </is>
      </c>
      <c r="B1834" s="1" t="n">
        <v>46153</v>
      </c>
      <c r="C1834" s="1" t="n">
        <v>46205</v>
      </c>
      <c r="D1834" t="inlineStr">
        <is>
          <t>VÄSTERBOTTENS LÄN</t>
        </is>
      </c>
      <c r="E1834" t="inlineStr">
        <is>
          <t>SKELLEFTEÅ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38503-2024</t>
        </is>
      </c>
      <c r="B1835" s="1" t="n">
        <v>45546</v>
      </c>
      <c r="C1835" s="1" t="n">
        <v>46205</v>
      </c>
      <c r="D1835" t="inlineStr">
        <is>
          <t>VÄSTERBOTTENS LÄN</t>
        </is>
      </c>
      <c r="E1835" t="inlineStr">
        <is>
          <t>SKELLEFTEÅ</t>
        </is>
      </c>
      <c r="G1835" t="n">
        <v>8.9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51592-2024</t>
        </is>
      </c>
      <c r="B1836" s="1" t="n">
        <v>45604</v>
      </c>
      <c r="C1836" s="1" t="n">
        <v>46205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Sveaskog</t>
        </is>
      </c>
      <c r="G1836" t="n">
        <v>15.1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528-2022</t>
        </is>
      </c>
      <c r="B1837" s="1" t="n">
        <v>44566</v>
      </c>
      <c r="C1837" s="1" t="n">
        <v>46205</v>
      </c>
      <c r="D1837" t="inlineStr">
        <is>
          <t>VÄSTERBOTTENS LÄN</t>
        </is>
      </c>
      <c r="E1837" t="inlineStr">
        <is>
          <t>SKELLEFTEÅ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28037-2026</t>
        </is>
      </c>
      <c r="B1838" s="1" t="n">
        <v>46195</v>
      </c>
      <c r="C1838" s="1" t="n">
        <v>46205</v>
      </c>
      <c r="D1838" t="inlineStr">
        <is>
          <t>VÄSTERBOTTENS LÄN</t>
        </is>
      </c>
      <c r="E1838" t="inlineStr">
        <is>
          <t>SKELLEFTEÅ</t>
        </is>
      </c>
      <c r="G1838" t="n">
        <v>5.7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18584-2022</t>
        </is>
      </c>
      <c r="B1839" s="1" t="n">
        <v>44687</v>
      </c>
      <c r="C1839" s="1" t="n">
        <v>46205</v>
      </c>
      <c r="D1839" t="inlineStr">
        <is>
          <t>VÄSTERBOTTENS LÄN</t>
        </is>
      </c>
      <c r="E1839" t="inlineStr">
        <is>
          <t>SKELLEFTEÅ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22395-2026</t>
        </is>
      </c>
      <c r="B1840" s="1" t="n">
        <v>46154</v>
      </c>
      <c r="C1840" s="1" t="n">
        <v>46205</v>
      </c>
      <c r="D1840" t="inlineStr">
        <is>
          <t>VÄSTERBOTTENS LÄN</t>
        </is>
      </c>
      <c r="E1840" t="inlineStr">
        <is>
          <t>SKELLEFTEÅ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28041-2026</t>
        </is>
      </c>
      <c r="B1841" s="1" t="n">
        <v>46195</v>
      </c>
      <c r="C1841" s="1" t="n">
        <v>46205</v>
      </c>
      <c r="D1841" t="inlineStr">
        <is>
          <t>VÄSTERBOTTENS LÄN</t>
        </is>
      </c>
      <c r="E1841" t="inlineStr">
        <is>
          <t>SKELLEFTEÅ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22003-2026</t>
        </is>
      </c>
      <c r="B1842" s="1" t="n">
        <v>46153</v>
      </c>
      <c r="C1842" s="1" t="n">
        <v>46205</v>
      </c>
      <c r="D1842" t="inlineStr">
        <is>
          <t>VÄSTERBOTTENS LÄN</t>
        </is>
      </c>
      <c r="E1842" t="inlineStr">
        <is>
          <t>SKELLEFTEÅ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34587-2024</t>
        </is>
      </c>
      <c r="B1843" s="1" t="n">
        <v>45526</v>
      </c>
      <c r="C1843" s="1" t="n">
        <v>46205</v>
      </c>
      <c r="D1843" t="inlineStr">
        <is>
          <t>VÄSTERBOTTENS LÄN</t>
        </is>
      </c>
      <c r="E1843" t="inlineStr">
        <is>
          <t>SKELLEFTEÅ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27967-2026</t>
        </is>
      </c>
      <c r="B1844" s="1" t="n">
        <v>46195</v>
      </c>
      <c r="C1844" s="1" t="n">
        <v>46205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24577-2022</t>
        </is>
      </c>
      <c r="B1845" s="1" t="n">
        <v>44727</v>
      </c>
      <c r="C1845" s="1" t="n">
        <v>46205</v>
      </c>
      <c r="D1845" t="inlineStr">
        <is>
          <t>VÄSTERBOTTENS LÄN</t>
        </is>
      </c>
      <c r="E1845" t="inlineStr">
        <is>
          <t>SKELLEFTEÅ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17444-2023</t>
        </is>
      </c>
      <c r="B1846" s="1" t="n">
        <v>45035</v>
      </c>
      <c r="C1846" s="1" t="n">
        <v>46205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SCA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52453-2021</t>
        </is>
      </c>
      <c r="B1847" s="1" t="n">
        <v>44463</v>
      </c>
      <c r="C1847" s="1" t="n">
        <v>46205</v>
      </c>
      <c r="D1847" t="inlineStr">
        <is>
          <t>VÄSTERBOTTENS LÄN</t>
        </is>
      </c>
      <c r="E1847" t="inlineStr">
        <is>
          <t>SKELLEFTEÅ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27963-2026</t>
        </is>
      </c>
      <c r="B1848" s="1" t="n">
        <v>46195</v>
      </c>
      <c r="C1848" s="1" t="n">
        <v>46205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2439-2023</t>
        </is>
      </c>
      <c r="B1849" s="1" t="n">
        <v>44942</v>
      </c>
      <c r="C1849" s="1" t="n">
        <v>46205</v>
      </c>
      <c r="D1849" t="inlineStr">
        <is>
          <t>VÄSTERBOTTENS LÄN</t>
        </is>
      </c>
      <c r="E1849" t="inlineStr">
        <is>
          <t>SKELLEFTEÅ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10841-2025</t>
        </is>
      </c>
      <c r="B1850" s="1" t="n">
        <v>45722</v>
      </c>
      <c r="C1850" s="1" t="n">
        <v>46205</v>
      </c>
      <c r="D1850" t="inlineStr">
        <is>
          <t>VÄSTERBOTTENS LÄN</t>
        </is>
      </c>
      <c r="E1850" t="inlineStr">
        <is>
          <t>SKELLEFTEÅ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33792-2024</t>
        </is>
      </c>
      <c r="B1851" s="1" t="n">
        <v>45520</v>
      </c>
      <c r="C1851" s="1" t="n">
        <v>46205</v>
      </c>
      <c r="D1851" t="inlineStr">
        <is>
          <t>VÄSTERBOTTENS LÄN</t>
        </is>
      </c>
      <c r="E1851" t="inlineStr">
        <is>
          <t>SKELLEFTEÅ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16189-2026</t>
        </is>
      </c>
      <c r="B1852" s="1" t="n">
        <v>46111</v>
      </c>
      <c r="C1852" s="1" t="n">
        <v>46205</v>
      </c>
      <c r="D1852" t="inlineStr">
        <is>
          <t>VÄSTERBOTTENS LÄN</t>
        </is>
      </c>
      <c r="E1852" t="inlineStr">
        <is>
          <t>SKELLEFTEÅ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72692-2021</t>
        </is>
      </c>
      <c r="B1853" s="1" t="n">
        <v>44545</v>
      </c>
      <c r="C1853" s="1" t="n">
        <v>46205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51478-2023</t>
        </is>
      </c>
      <c r="B1854" s="1" t="n">
        <v>45221</v>
      </c>
      <c r="C1854" s="1" t="n">
        <v>46205</v>
      </c>
      <c r="D1854" t="inlineStr">
        <is>
          <t>VÄSTERBOTTENS LÄN</t>
        </is>
      </c>
      <c r="E1854" t="inlineStr">
        <is>
          <t>SKELLEFTEÅ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53505-2024</t>
        </is>
      </c>
      <c r="B1855" s="1" t="n">
        <v>45614</v>
      </c>
      <c r="C1855" s="1" t="n">
        <v>46205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19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5470-2023</t>
        </is>
      </c>
      <c r="B1856" s="1" t="n">
        <v>44960</v>
      </c>
      <c r="C1856" s="1" t="n">
        <v>46205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21982-2026</t>
        </is>
      </c>
      <c r="B1857" s="1" t="n">
        <v>46153</v>
      </c>
      <c r="C1857" s="1" t="n">
        <v>46205</v>
      </c>
      <c r="D1857" t="inlineStr">
        <is>
          <t>VÄSTERBOTTENS LÄN</t>
        </is>
      </c>
      <c r="E1857" t="inlineStr">
        <is>
          <t>SKELLEFTEÅ</t>
        </is>
      </c>
      <c r="G1857" t="n">
        <v>0.2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15745-2025</t>
        </is>
      </c>
      <c r="B1858" s="1" t="n">
        <v>45748</v>
      </c>
      <c r="C1858" s="1" t="n">
        <v>46205</v>
      </c>
      <c r="D1858" t="inlineStr">
        <is>
          <t>VÄSTERBOTTENS LÄN</t>
        </is>
      </c>
      <c r="E1858" t="inlineStr">
        <is>
          <t>SKELLEFTEÅ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38935-2024</t>
        </is>
      </c>
      <c r="B1859" s="1" t="n">
        <v>45548</v>
      </c>
      <c r="C1859" s="1" t="n">
        <v>46205</v>
      </c>
      <c r="D1859" t="inlineStr">
        <is>
          <t>VÄSTERBOTTENS LÄN</t>
        </is>
      </c>
      <c r="E1859" t="inlineStr">
        <is>
          <t>SKELLEFTEÅ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61348-2022</t>
        </is>
      </c>
      <c r="B1860" s="1" t="n">
        <v>44915</v>
      </c>
      <c r="C1860" s="1" t="n">
        <v>46205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7.9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22424-2026</t>
        </is>
      </c>
      <c r="B1861" s="1" t="n">
        <v>46153</v>
      </c>
      <c r="C1861" s="1" t="n">
        <v>46205</v>
      </c>
      <c r="D1861" t="inlineStr">
        <is>
          <t>VÄSTERBOTTENS LÄN</t>
        </is>
      </c>
      <c r="E1861" t="inlineStr">
        <is>
          <t>SKELLEFTEÅ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28039-2026</t>
        </is>
      </c>
      <c r="B1862" s="1" t="n">
        <v>46195</v>
      </c>
      <c r="C1862" s="1" t="n">
        <v>46205</v>
      </c>
      <c r="D1862" t="inlineStr">
        <is>
          <t>VÄSTERBOTTENS LÄN</t>
        </is>
      </c>
      <c r="E1862" t="inlineStr">
        <is>
          <t>SKELLEFTEÅ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2354-2025</t>
        </is>
      </c>
      <c r="B1863" s="1" t="n">
        <v>45673</v>
      </c>
      <c r="C1863" s="1" t="n">
        <v>46205</v>
      </c>
      <c r="D1863" t="inlineStr">
        <is>
          <t>VÄSTERBOTTENS LÄN</t>
        </is>
      </c>
      <c r="E1863" t="inlineStr">
        <is>
          <t>SKELLEFTEÅ</t>
        </is>
      </c>
      <c r="G1863" t="n">
        <v>6.7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28099-2026</t>
        </is>
      </c>
      <c r="B1864" s="1" t="n">
        <v>46195</v>
      </c>
      <c r="C1864" s="1" t="n">
        <v>46205</v>
      </c>
      <c r="D1864" t="inlineStr">
        <is>
          <t>VÄSTERBOTTENS LÄN</t>
        </is>
      </c>
      <c r="E1864" t="inlineStr">
        <is>
          <t>SKELLEFTEÅ</t>
        </is>
      </c>
      <c r="G1864" t="n">
        <v>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28809-2026</t>
        </is>
      </c>
      <c r="B1865" s="1" t="n">
        <v>46198</v>
      </c>
      <c r="C1865" s="1" t="n">
        <v>46205</v>
      </c>
      <c r="D1865" t="inlineStr">
        <is>
          <t>VÄSTERBOTTENS LÄN</t>
        </is>
      </c>
      <c r="E1865" t="inlineStr">
        <is>
          <t>SKELLEFTEÅ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8821-2025</t>
        </is>
      </c>
      <c r="B1866" s="1" t="n">
        <v>45712</v>
      </c>
      <c r="C1866" s="1" t="n">
        <v>46205</v>
      </c>
      <c r="D1866" t="inlineStr">
        <is>
          <t>VÄSTERBOTTENS LÄN</t>
        </is>
      </c>
      <c r="E1866" t="inlineStr">
        <is>
          <t>SKELLEFTEÅ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35189-2022</t>
        </is>
      </c>
      <c r="B1867" s="1" t="n">
        <v>44797</v>
      </c>
      <c r="C1867" s="1" t="n">
        <v>46205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Holmen skog AB</t>
        </is>
      </c>
      <c r="G1867" t="n">
        <v>3.5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61132-2022</t>
        </is>
      </c>
      <c r="B1868" s="1" t="n">
        <v>44915</v>
      </c>
      <c r="C1868" s="1" t="n">
        <v>46205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62319-2022</t>
        </is>
      </c>
      <c r="B1869" s="1" t="n">
        <v>44923</v>
      </c>
      <c r="C1869" s="1" t="n">
        <v>46205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28431-2026</t>
        </is>
      </c>
      <c r="B1870" s="1" t="n">
        <v>46197</v>
      </c>
      <c r="C1870" s="1" t="n">
        <v>46205</v>
      </c>
      <c r="D1870" t="inlineStr">
        <is>
          <t>VÄSTERBOTTENS LÄN</t>
        </is>
      </c>
      <c r="E1870" t="inlineStr">
        <is>
          <t>SKELLEFTEÅ</t>
        </is>
      </c>
      <c r="G1870" t="n">
        <v>6.1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28596-2026</t>
        </is>
      </c>
      <c r="B1871" s="1" t="n">
        <v>46197</v>
      </c>
      <c r="C1871" s="1" t="n">
        <v>46205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Holmen skog AB</t>
        </is>
      </c>
      <c r="G1871" t="n">
        <v>4.9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28603-2026</t>
        </is>
      </c>
      <c r="B1872" s="1" t="n">
        <v>46197</v>
      </c>
      <c r="C1872" s="1" t="n">
        <v>46205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Holmen skog AB</t>
        </is>
      </c>
      <c r="G1872" t="n">
        <v>8.199999999999999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28416-2026</t>
        </is>
      </c>
      <c r="B1873" s="1" t="n">
        <v>46197</v>
      </c>
      <c r="C1873" s="1" t="n">
        <v>46205</v>
      </c>
      <c r="D1873" t="inlineStr">
        <is>
          <t>VÄSTERBOTTENS LÄN</t>
        </is>
      </c>
      <c r="E1873" t="inlineStr">
        <is>
          <t>SKELLEFTEÅ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28687-2026</t>
        </is>
      </c>
      <c r="B1874" s="1" t="n">
        <v>46198</v>
      </c>
      <c r="C1874" s="1" t="n">
        <v>46205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Sveaskog</t>
        </is>
      </c>
      <c r="G1874" t="n">
        <v>24.5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5783-2025</t>
        </is>
      </c>
      <c r="B1875" s="1" t="n">
        <v>45694</v>
      </c>
      <c r="C1875" s="1" t="n">
        <v>46205</v>
      </c>
      <c r="D1875" t="inlineStr">
        <is>
          <t>VÄSTERBOTTENS LÄN</t>
        </is>
      </c>
      <c r="E1875" t="inlineStr">
        <is>
          <t>SKELLEFTEÅ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28588-2026</t>
        </is>
      </c>
      <c r="B1876" s="1" t="n">
        <v>46197</v>
      </c>
      <c r="C1876" s="1" t="n">
        <v>46205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Holmen skog AB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28590-2026</t>
        </is>
      </c>
      <c r="B1877" s="1" t="n">
        <v>46197</v>
      </c>
      <c r="C1877" s="1" t="n">
        <v>46205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15.4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28630-2026</t>
        </is>
      </c>
      <c r="B1878" s="1" t="n">
        <v>46198</v>
      </c>
      <c r="C1878" s="1" t="n">
        <v>46205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28454-2026</t>
        </is>
      </c>
      <c r="B1879" s="1" t="n">
        <v>46197</v>
      </c>
      <c r="C1879" s="1" t="n">
        <v>46205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Holmen skog AB</t>
        </is>
      </c>
      <c r="G1879" t="n">
        <v>10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49171-2024</t>
        </is>
      </c>
      <c r="B1880" s="1" t="n">
        <v>45595</v>
      </c>
      <c r="C1880" s="1" t="n">
        <v>46205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Sveaskog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54874-2024</t>
        </is>
      </c>
      <c r="B1881" s="1" t="n">
        <v>45618</v>
      </c>
      <c r="C1881" s="1" t="n">
        <v>46205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Sveaskog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28601-2026</t>
        </is>
      </c>
      <c r="B1882" s="1" t="n">
        <v>46197</v>
      </c>
      <c r="C1882" s="1" t="n">
        <v>46205</v>
      </c>
      <c r="D1882" t="inlineStr">
        <is>
          <t>VÄSTERBOTTENS LÄN</t>
        </is>
      </c>
      <c r="E1882" t="inlineStr">
        <is>
          <t>SKELLEFTEÅ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32420-2022</t>
        </is>
      </c>
      <c r="B1883" s="1" t="n">
        <v>44782</v>
      </c>
      <c r="C1883" s="1" t="n">
        <v>46205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Kommuner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32427-2022</t>
        </is>
      </c>
      <c r="B1884" s="1" t="n">
        <v>44782</v>
      </c>
      <c r="C1884" s="1" t="n">
        <v>46205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Kommuner</t>
        </is>
      </c>
      <c r="G1884" t="n">
        <v>7.9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15806-2023</t>
        </is>
      </c>
      <c r="B1885" s="1" t="n">
        <v>45021</v>
      </c>
      <c r="C1885" s="1" t="n">
        <v>46205</v>
      </c>
      <c r="D1885" t="inlineStr">
        <is>
          <t>VÄSTERBOTTENS LÄN</t>
        </is>
      </c>
      <c r="E1885" t="inlineStr">
        <is>
          <t>SKELLEFTEÅ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22488-2026</t>
        </is>
      </c>
      <c r="B1886" s="1" t="n">
        <v>46155</v>
      </c>
      <c r="C1886" s="1" t="n">
        <v>46205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Holmen skog AB</t>
        </is>
      </c>
      <c r="G1886" t="n">
        <v>4.4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8539-2022</t>
        </is>
      </c>
      <c r="B1887" s="1" t="n">
        <v>44613</v>
      </c>
      <c r="C1887" s="1" t="n">
        <v>46205</v>
      </c>
      <c r="D1887" t="inlineStr">
        <is>
          <t>VÄSTERBOTTENS LÄN</t>
        </is>
      </c>
      <c r="E1887" t="inlineStr">
        <is>
          <t>SKELLEFTEÅ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35437-2023</t>
        </is>
      </c>
      <c r="B1888" s="1" t="n">
        <v>45146</v>
      </c>
      <c r="C1888" s="1" t="n">
        <v>46205</v>
      </c>
      <c r="D1888" t="inlineStr">
        <is>
          <t>VÄSTERBOTTENS LÄN</t>
        </is>
      </c>
      <c r="E1888" t="inlineStr">
        <is>
          <t>SKELLEFTEÅ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52869-2022</t>
        </is>
      </c>
      <c r="B1889" s="1" t="n">
        <v>44875</v>
      </c>
      <c r="C1889" s="1" t="n">
        <v>46205</v>
      </c>
      <c r="D1889" t="inlineStr">
        <is>
          <t>VÄSTERBOTTENS LÄN</t>
        </is>
      </c>
      <c r="E1889" t="inlineStr">
        <is>
          <t>SKELLEFTEÅ</t>
        </is>
      </c>
      <c r="G1889" t="n">
        <v>4.6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56471-2023</t>
        </is>
      </c>
      <c r="B1890" s="1" t="n">
        <v>45243</v>
      </c>
      <c r="C1890" s="1" t="n">
        <v>46205</v>
      </c>
      <c r="D1890" t="inlineStr">
        <is>
          <t>VÄSTERBOTTENS LÄN</t>
        </is>
      </c>
      <c r="E1890" t="inlineStr">
        <is>
          <t>SKELLEFTEÅ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28425-2026</t>
        </is>
      </c>
      <c r="B1891" s="1" t="n">
        <v>46197</v>
      </c>
      <c r="C1891" s="1" t="n">
        <v>46205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Holmen skog AB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28455-2026</t>
        </is>
      </c>
      <c r="B1892" s="1" t="n">
        <v>46197</v>
      </c>
      <c r="C1892" s="1" t="n">
        <v>46205</v>
      </c>
      <c r="D1892" t="inlineStr">
        <is>
          <t>VÄSTERBOTTENS LÄN</t>
        </is>
      </c>
      <c r="E1892" t="inlineStr">
        <is>
          <t>SKELLEFTEÅ</t>
        </is>
      </c>
      <c r="G1892" t="n">
        <v>7.1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66500-2021</t>
        </is>
      </c>
      <c r="B1893" s="1" t="n">
        <v>44519</v>
      </c>
      <c r="C1893" s="1" t="n">
        <v>46205</v>
      </c>
      <c r="D1893" t="inlineStr">
        <is>
          <t>VÄSTERBOTTENS LÄN</t>
        </is>
      </c>
      <c r="E1893" t="inlineStr">
        <is>
          <t>SKELLEFTEÅ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14096-2022</t>
        </is>
      </c>
      <c r="B1894" s="1" t="n">
        <v>44651</v>
      </c>
      <c r="C1894" s="1" t="n">
        <v>46205</v>
      </c>
      <c r="D1894" t="inlineStr">
        <is>
          <t>VÄSTERBOTTENS LÄN</t>
        </is>
      </c>
      <c r="E1894" t="inlineStr">
        <is>
          <t>SKELLEFTEÅ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34986-2023</t>
        </is>
      </c>
      <c r="B1895" s="1" t="n">
        <v>45142</v>
      </c>
      <c r="C1895" s="1" t="n">
        <v>46205</v>
      </c>
      <c r="D1895" t="inlineStr">
        <is>
          <t>VÄSTERBOTTENS LÄN</t>
        </is>
      </c>
      <c r="E1895" t="inlineStr">
        <is>
          <t>SKELLEFTEÅ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38809-2023</t>
        </is>
      </c>
      <c r="B1896" s="1" t="n">
        <v>45161</v>
      </c>
      <c r="C1896" s="1" t="n">
        <v>46205</v>
      </c>
      <c r="D1896" t="inlineStr">
        <is>
          <t>VÄSTERBOTTENS LÄN</t>
        </is>
      </c>
      <c r="E1896" t="inlineStr">
        <is>
          <t>SKELLEFTEÅ</t>
        </is>
      </c>
      <c r="G1896" t="n">
        <v>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28427-2026</t>
        </is>
      </c>
      <c r="B1897" s="1" t="n">
        <v>46197</v>
      </c>
      <c r="C1897" s="1" t="n">
        <v>46205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28433-2026</t>
        </is>
      </c>
      <c r="B1898" s="1" t="n">
        <v>46197</v>
      </c>
      <c r="C1898" s="1" t="n">
        <v>46205</v>
      </c>
      <c r="D1898" t="inlineStr">
        <is>
          <t>VÄSTERBOTTENS LÄN</t>
        </is>
      </c>
      <c r="E1898" t="inlineStr">
        <is>
          <t>SKELLEFTEÅ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5490-2023</t>
        </is>
      </c>
      <c r="B1899" s="1" t="n">
        <v>44957</v>
      </c>
      <c r="C1899" s="1" t="n">
        <v>46205</v>
      </c>
      <c r="D1899" t="inlineStr">
        <is>
          <t>VÄSTERBOTTENS LÄN</t>
        </is>
      </c>
      <c r="E1899" t="inlineStr">
        <is>
          <t>SKELLEFTEÅ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54384-2021</t>
        </is>
      </c>
      <c r="B1900" s="1" t="n">
        <v>44473</v>
      </c>
      <c r="C1900" s="1" t="n">
        <v>46205</v>
      </c>
      <c r="D1900" t="inlineStr">
        <is>
          <t>VÄSTERBOTTENS LÄN</t>
        </is>
      </c>
      <c r="E1900" t="inlineStr">
        <is>
          <t>SKELLEFTEÅ</t>
        </is>
      </c>
      <c r="G1900" t="n">
        <v>3.5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28642-2026</t>
        </is>
      </c>
      <c r="B1901" s="1" t="n">
        <v>46191</v>
      </c>
      <c r="C1901" s="1" t="n">
        <v>46205</v>
      </c>
      <c r="D1901" t="inlineStr">
        <is>
          <t>VÄSTERBOTTENS LÄN</t>
        </is>
      </c>
      <c r="E1901" t="inlineStr">
        <is>
          <t>SKELLEFTEÅ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28648-2026</t>
        </is>
      </c>
      <c r="B1902" s="1" t="n">
        <v>46198</v>
      </c>
      <c r="C1902" s="1" t="n">
        <v>46205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9.9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28617-2026</t>
        </is>
      </c>
      <c r="B1903" s="1" t="n">
        <v>46197</v>
      </c>
      <c r="C1903" s="1" t="n">
        <v>46205</v>
      </c>
      <c r="D1903" t="inlineStr">
        <is>
          <t>VÄSTERBOTTENS LÄN</t>
        </is>
      </c>
      <c r="E1903" t="inlineStr">
        <is>
          <t>SKELLEFTEÅ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28853-2026</t>
        </is>
      </c>
      <c r="B1904" s="1" t="n">
        <v>46198</v>
      </c>
      <c r="C1904" s="1" t="n">
        <v>46205</v>
      </c>
      <c r="D1904" t="inlineStr">
        <is>
          <t>VÄSTERBOTTENS LÄN</t>
        </is>
      </c>
      <c r="E1904" t="inlineStr">
        <is>
          <t>SKELLEFTEÅ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28469-2026</t>
        </is>
      </c>
      <c r="B1905" s="1" t="n">
        <v>46197</v>
      </c>
      <c r="C1905" s="1" t="n">
        <v>46205</v>
      </c>
      <c r="D1905" t="inlineStr">
        <is>
          <t>VÄSTERBOTTENS LÄN</t>
        </is>
      </c>
      <c r="E1905" t="inlineStr">
        <is>
          <t>SKELLEFTEÅ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65011-2023</t>
        </is>
      </c>
      <c r="B1906" s="1" t="n">
        <v>45287</v>
      </c>
      <c r="C1906" s="1" t="n">
        <v>46205</v>
      </c>
      <c r="D1906" t="inlineStr">
        <is>
          <t>VÄSTERBOTTENS LÄN</t>
        </is>
      </c>
      <c r="E1906" t="inlineStr">
        <is>
          <t>SKELLEFTEÅ</t>
        </is>
      </c>
      <c r="G1906" t="n">
        <v>4.7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22639-2026</t>
        </is>
      </c>
      <c r="B1907" s="1" t="n">
        <v>46155</v>
      </c>
      <c r="C1907" s="1" t="n">
        <v>46205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Holmen skog AB</t>
        </is>
      </c>
      <c r="G1907" t="n">
        <v>6.3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22227-2026</t>
        </is>
      </c>
      <c r="B1908" s="1" t="n">
        <v>46150</v>
      </c>
      <c r="C1908" s="1" t="n">
        <v>46205</v>
      </c>
      <c r="D1908" t="inlineStr">
        <is>
          <t>VÄSTERBOTTENS LÄN</t>
        </is>
      </c>
      <c r="E1908" t="inlineStr">
        <is>
          <t>SKELLEFTEÅ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13487-2025</t>
        </is>
      </c>
      <c r="B1909" s="1" t="n">
        <v>45736</v>
      </c>
      <c r="C1909" s="1" t="n">
        <v>46205</v>
      </c>
      <c r="D1909" t="inlineStr">
        <is>
          <t>VÄSTERBOTTENS LÄN</t>
        </is>
      </c>
      <c r="E1909" t="inlineStr">
        <is>
          <t>SKELLEFTEÅ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29331-2026</t>
        </is>
      </c>
      <c r="B1910" s="1" t="n">
        <v>46202</v>
      </c>
      <c r="C1910" s="1" t="n">
        <v>46205</v>
      </c>
      <c r="D1910" t="inlineStr">
        <is>
          <t>VÄSTERBOTTENS LÄN</t>
        </is>
      </c>
      <c r="E1910" t="inlineStr">
        <is>
          <t>SKELLEFTEÅ</t>
        </is>
      </c>
      <c r="G1910" t="n">
        <v>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58053-2022</t>
        </is>
      </c>
      <c r="B1911" s="1" t="n">
        <v>44900</v>
      </c>
      <c r="C1911" s="1" t="n">
        <v>46205</v>
      </c>
      <c r="D1911" t="inlineStr">
        <is>
          <t>VÄSTERBOTTENS LÄN</t>
        </is>
      </c>
      <c r="E1911" t="inlineStr">
        <is>
          <t>SKELLEFTEÅ</t>
        </is>
      </c>
      <c r="G1911" t="n">
        <v>5.3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26546-2024</t>
        </is>
      </c>
      <c r="B1912" s="1" t="n">
        <v>45469</v>
      </c>
      <c r="C1912" s="1" t="n">
        <v>46205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Sveaskog</t>
        </is>
      </c>
      <c r="G1912" t="n">
        <v>6.6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8919-2024</t>
        </is>
      </c>
      <c r="B1913" s="1" t="n">
        <v>45357</v>
      </c>
      <c r="C1913" s="1" t="n">
        <v>46205</v>
      </c>
      <c r="D1913" t="inlineStr">
        <is>
          <t>VÄSTERBOTTENS LÄN</t>
        </is>
      </c>
      <c r="E1913" t="inlineStr">
        <is>
          <t>SKELLEFTEÅ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29157-2026</t>
        </is>
      </c>
      <c r="B1914" s="1" t="n">
        <v>46202</v>
      </c>
      <c r="C1914" s="1" t="n">
        <v>46205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29109-2026</t>
        </is>
      </c>
      <c r="B1915" s="1" t="n">
        <v>46201</v>
      </c>
      <c r="C1915" s="1" t="n">
        <v>46205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Holmen skog AB</t>
        </is>
      </c>
      <c r="G1915" t="n">
        <v>11.1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29125-2026</t>
        </is>
      </c>
      <c r="B1916" s="1" t="n">
        <v>46202</v>
      </c>
      <c r="C1916" s="1" t="n">
        <v>46205</v>
      </c>
      <c r="D1916" t="inlineStr">
        <is>
          <t>VÄSTERBOTTENS LÄN</t>
        </is>
      </c>
      <c r="E1916" t="inlineStr">
        <is>
          <t>SKELLEFTEÅ</t>
        </is>
      </c>
      <c r="F1916" t="inlineStr">
        <is>
          <t>Holmen skog AB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2720-2023</t>
        </is>
      </c>
      <c r="B1917" s="1" t="n">
        <v>44944</v>
      </c>
      <c r="C1917" s="1" t="n">
        <v>46205</v>
      </c>
      <c r="D1917" t="inlineStr">
        <is>
          <t>VÄSTERBOTTENS LÄN</t>
        </is>
      </c>
      <c r="E1917" t="inlineStr">
        <is>
          <t>SKELLEFTEÅ</t>
        </is>
      </c>
      <c r="G1917" t="n">
        <v>31.7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23760-2023</t>
        </is>
      </c>
      <c r="B1918" s="1" t="n">
        <v>45077</v>
      </c>
      <c r="C1918" s="1" t="n">
        <v>46205</v>
      </c>
      <c r="D1918" t="inlineStr">
        <is>
          <t>VÄSTERBOTTENS LÄN</t>
        </is>
      </c>
      <c r="E1918" t="inlineStr">
        <is>
          <t>SKELLEFTEÅ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23761-2023</t>
        </is>
      </c>
      <c r="B1919" s="1" t="n">
        <v>45077</v>
      </c>
      <c r="C1919" s="1" t="n">
        <v>46205</v>
      </c>
      <c r="D1919" t="inlineStr">
        <is>
          <t>VÄSTERBOTTENS LÄN</t>
        </is>
      </c>
      <c r="E1919" t="inlineStr">
        <is>
          <t>SKELLEFTEÅ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21752-2026</t>
        </is>
      </c>
      <c r="B1920" s="1" t="n">
        <v>46149</v>
      </c>
      <c r="C1920" s="1" t="n">
        <v>46205</v>
      </c>
      <c r="D1920" t="inlineStr">
        <is>
          <t>VÄSTERBOTTENS LÄN</t>
        </is>
      </c>
      <c r="E1920" t="inlineStr">
        <is>
          <t>SKELLEFTEÅ</t>
        </is>
      </c>
      <c r="G1920" t="n">
        <v>9.699999999999999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17751-2024</t>
        </is>
      </c>
      <c r="B1921" s="1" t="n">
        <v>45418</v>
      </c>
      <c r="C1921" s="1" t="n">
        <v>46205</v>
      </c>
      <c r="D1921" t="inlineStr">
        <is>
          <t>VÄSTERBOTTENS LÄN</t>
        </is>
      </c>
      <c r="E1921" t="inlineStr">
        <is>
          <t>SKELLEFTEÅ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64323-2023</t>
        </is>
      </c>
      <c r="B1922" s="1" t="n">
        <v>45280</v>
      </c>
      <c r="C1922" s="1" t="n">
        <v>46205</v>
      </c>
      <c r="D1922" t="inlineStr">
        <is>
          <t>VÄSTERBOTTENS LÄN</t>
        </is>
      </c>
      <c r="E1922" t="inlineStr">
        <is>
          <t>SKELLEFTEÅ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18498-2025</t>
        </is>
      </c>
      <c r="B1923" s="1" t="n">
        <v>45763</v>
      </c>
      <c r="C1923" s="1" t="n">
        <v>46205</v>
      </c>
      <c r="D1923" t="inlineStr">
        <is>
          <t>VÄSTERBOTTENS LÄN</t>
        </is>
      </c>
      <c r="E1923" t="inlineStr">
        <is>
          <t>SKELLEFTEÅ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29164-2026</t>
        </is>
      </c>
      <c r="B1924" s="1" t="n">
        <v>46202</v>
      </c>
      <c r="C1924" s="1" t="n">
        <v>46205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Holmen skog AB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29158-2026</t>
        </is>
      </c>
      <c r="B1925" s="1" t="n">
        <v>46202</v>
      </c>
      <c r="C1925" s="1" t="n">
        <v>46205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Holmen skog AB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42808-2022</t>
        </is>
      </c>
      <c r="B1926" s="1" t="n">
        <v>44832</v>
      </c>
      <c r="C1926" s="1" t="n">
        <v>46205</v>
      </c>
      <c r="D1926" t="inlineStr">
        <is>
          <t>VÄSTERBOTTENS LÄN</t>
        </is>
      </c>
      <c r="E1926" t="inlineStr">
        <is>
          <t>SKELLEFTEÅ</t>
        </is>
      </c>
      <c r="G1926" t="n">
        <v>4.8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30395-2024</t>
        </is>
      </c>
      <c r="B1927" s="1" t="n">
        <v>45491</v>
      </c>
      <c r="C1927" s="1" t="n">
        <v>46205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15.8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19658-2025</t>
        </is>
      </c>
      <c r="B1928" s="1" t="n">
        <v>45770</v>
      </c>
      <c r="C1928" s="1" t="n">
        <v>46205</v>
      </c>
      <c r="D1928" t="inlineStr">
        <is>
          <t>VÄSTERBOTTENS LÄN</t>
        </is>
      </c>
      <c r="E1928" t="inlineStr">
        <is>
          <t>SKELLEFTEÅ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59736-2021</t>
        </is>
      </c>
      <c r="B1929" s="1" t="n">
        <v>44494</v>
      </c>
      <c r="C1929" s="1" t="n">
        <v>46205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Sveaskog</t>
        </is>
      </c>
      <c r="G1929" t="n">
        <v>13.1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37669-2022</t>
        </is>
      </c>
      <c r="B1930" s="1" t="n">
        <v>44810</v>
      </c>
      <c r="C1930" s="1" t="n">
        <v>46205</v>
      </c>
      <c r="D1930" t="inlineStr">
        <is>
          <t>VÄSTERBOTTENS LÄN</t>
        </is>
      </c>
      <c r="E1930" t="inlineStr">
        <is>
          <t>SKELLEFTEÅ</t>
        </is>
      </c>
      <c r="G1930" t="n">
        <v>10.9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62249-2022</t>
        </is>
      </c>
      <c r="B1931" s="1" t="n">
        <v>44922</v>
      </c>
      <c r="C1931" s="1" t="n">
        <v>46205</v>
      </c>
      <c r="D1931" t="inlineStr">
        <is>
          <t>VÄSTERBOTTENS LÄN</t>
        </is>
      </c>
      <c r="E1931" t="inlineStr">
        <is>
          <t>SKELLEFTEÅ</t>
        </is>
      </c>
      <c r="G1931" t="n">
        <v>18.2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29211-2026</t>
        </is>
      </c>
      <c r="B1932" s="1" t="n">
        <v>46202</v>
      </c>
      <c r="C1932" s="1" t="n">
        <v>46205</v>
      </c>
      <c r="D1932" t="inlineStr">
        <is>
          <t>VÄSTERBOTTENS LÄN</t>
        </is>
      </c>
      <c r="E1932" t="inlineStr">
        <is>
          <t>SKELLEFTEÅ</t>
        </is>
      </c>
      <c r="F1932" t="inlineStr">
        <is>
          <t>Holmen skog AB</t>
        </is>
      </c>
      <c r="G1932" t="n">
        <v>8.9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56539-2024</t>
        </is>
      </c>
      <c r="B1933" s="1" t="n">
        <v>45625</v>
      </c>
      <c r="C1933" s="1" t="n">
        <v>46205</v>
      </c>
      <c r="D1933" t="inlineStr">
        <is>
          <t>VÄSTERBOTTENS LÄN</t>
        </is>
      </c>
      <c r="E1933" t="inlineStr">
        <is>
          <t>SKELLEFTEÅ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12045-2024</t>
        </is>
      </c>
      <c r="B1934" s="1" t="n">
        <v>45377</v>
      </c>
      <c r="C1934" s="1" t="n">
        <v>46205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28616-2026</t>
        </is>
      </c>
      <c r="B1935" s="1" t="n">
        <v>46197</v>
      </c>
      <c r="C1935" s="1" t="n">
        <v>46205</v>
      </c>
      <c r="D1935" t="inlineStr">
        <is>
          <t>VÄSTERBOTTENS LÄN</t>
        </is>
      </c>
      <c r="E1935" t="inlineStr">
        <is>
          <t>SKELLEFTEÅ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28618-2026</t>
        </is>
      </c>
      <c r="B1936" s="1" t="n">
        <v>46197</v>
      </c>
      <c r="C1936" s="1" t="n">
        <v>46205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22205-2024</t>
        </is>
      </c>
      <c r="B1937" s="1" t="n">
        <v>45446</v>
      </c>
      <c r="C1937" s="1" t="n">
        <v>46205</v>
      </c>
      <c r="D1937" t="inlineStr">
        <is>
          <t>VÄSTERBOTTENS LÄN</t>
        </is>
      </c>
      <c r="E1937" t="inlineStr">
        <is>
          <t>SKELLEFTEÅ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4008-2024</t>
        </is>
      </c>
      <c r="B1938" s="1" t="n">
        <v>45323</v>
      </c>
      <c r="C1938" s="1" t="n">
        <v>46205</v>
      </c>
      <c r="D1938" t="inlineStr">
        <is>
          <t>VÄSTERBOTTENS LÄN</t>
        </is>
      </c>
      <c r="E1938" t="inlineStr">
        <is>
          <t>SKELLEFTEÅ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29258-2026</t>
        </is>
      </c>
      <c r="B1939" s="1" t="n">
        <v>46202</v>
      </c>
      <c r="C1939" s="1" t="n">
        <v>46205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Holmen skog AB</t>
        </is>
      </c>
      <c r="G1939" t="n">
        <v>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29264-2026</t>
        </is>
      </c>
      <c r="B1940" s="1" t="n">
        <v>46202</v>
      </c>
      <c r="C1940" s="1" t="n">
        <v>46205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Övriga Aktiebolag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29197-2026</t>
        </is>
      </c>
      <c r="B1941" s="1" t="n">
        <v>46202</v>
      </c>
      <c r="C1941" s="1" t="n">
        <v>46205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Övriga Aktiebolag</t>
        </is>
      </c>
      <c r="G1941" t="n">
        <v>8.300000000000001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57577-2022</t>
        </is>
      </c>
      <c r="B1942" s="1" t="n">
        <v>44896</v>
      </c>
      <c r="C1942" s="1" t="n">
        <v>46205</v>
      </c>
      <c r="D1942" t="inlineStr">
        <is>
          <t>VÄSTERBOTTENS LÄN</t>
        </is>
      </c>
      <c r="E1942" t="inlineStr">
        <is>
          <t>SKELLEFTEÅ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6837-2022</t>
        </is>
      </c>
      <c r="B1943" s="1" t="n">
        <v>44602</v>
      </c>
      <c r="C1943" s="1" t="n">
        <v>46205</v>
      </c>
      <c r="D1943" t="inlineStr">
        <is>
          <t>VÄSTERBOTTENS LÄN</t>
        </is>
      </c>
      <c r="E1943" t="inlineStr">
        <is>
          <t>SKELLEFTEÅ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28900-2026</t>
        </is>
      </c>
      <c r="B1944" s="1" t="n">
        <v>46199</v>
      </c>
      <c r="C1944" s="1" t="n">
        <v>46205</v>
      </c>
      <c r="D1944" t="inlineStr">
        <is>
          <t>VÄSTERBOTTENS LÄN</t>
        </is>
      </c>
      <c r="E1944" t="inlineStr">
        <is>
          <t>SKELLEFTEÅ</t>
        </is>
      </c>
      <c r="G1944" t="n">
        <v>5.7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60209-2024</t>
        </is>
      </c>
      <c r="B1945" s="1" t="n">
        <v>45642</v>
      </c>
      <c r="C1945" s="1" t="n">
        <v>46205</v>
      </c>
      <c r="D1945" t="inlineStr">
        <is>
          <t>VÄSTERBOTTENS LÄN</t>
        </is>
      </c>
      <c r="E1945" t="inlineStr">
        <is>
          <t>SKELLEFTEÅ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42787-2023</t>
        </is>
      </c>
      <c r="B1946" s="1" t="n">
        <v>45181</v>
      </c>
      <c r="C1946" s="1" t="n">
        <v>46205</v>
      </c>
      <c r="D1946" t="inlineStr">
        <is>
          <t>VÄSTERBOTTENS LÄN</t>
        </is>
      </c>
      <c r="E1946" t="inlineStr">
        <is>
          <t>SKELLEFTEÅ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29253-2026</t>
        </is>
      </c>
      <c r="B1947" s="1" t="n">
        <v>46202</v>
      </c>
      <c r="C1947" s="1" t="n">
        <v>46205</v>
      </c>
      <c r="D1947" t="inlineStr">
        <is>
          <t>VÄSTERBOTTENS LÄN</t>
        </is>
      </c>
      <c r="E1947" t="inlineStr">
        <is>
          <t>SKELLEFTEÅ</t>
        </is>
      </c>
      <c r="F1947" t="inlineStr">
        <is>
          <t>Övriga Aktiebolag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7745-2024</t>
        </is>
      </c>
      <c r="B1948" s="1" t="n">
        <v>45348</v>
      </c>
      <c r="C1948" s="1" t="n">
        <v>46205</v>
      </c>
      <c r="D1948" t="inlineStr">
        <is>
          <t>VÄSTERBOTTENS LÄN</t>
        </is>
      </c>
      <c r="E1948" t="inlineStr">
        <is>
          <t>SKELLEFTEÅ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64716-2023</t>
        </is>
      </c>
      <c r="B1949" s="1" t="n">
        <v>45281</v>
      </c>
      <c r="C1949" s="1" t="n">
        <v>46205</v>
      </c>
      <c r="D1949" t="inlineStr">
        <is>
          <t>VÄSTERBOTTENS LÄN</t>
        </is>
      </c>
      <c r="E1949" t="inlineStr">
        <is>
          <t>SKELLEFTEÅ</t>
        </is>
      </c>
      <c r="G1949" t="n">
        <v>3.3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29234-2026</t>
        </is>
      </c>
      <c r="B1950" s="1" t="n">
        <v>46202</v>
      </c>
      <c r="C1950" s="1" t="n">
        <v>46205</v>
      </c>
      <c r="D1950" t="inlineStr">
        <is>
          <t>VÄSTERBOTTENS LÄN</t>
        </is>
      </c>
      <c r="E1950" t="inlineStr">
        <is>
          <t>SKELLEFTEÅ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44398-2022</t>
        </is>
      </c>
      <c r="B1951" s="1" t="n">
        <v>44839</v>
      </c>
      <c r="C1951" s="1" t="n">
        <v>46205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Sveaskog</t>
        </is>
      </c>
      <c r="G1951" t="n">
        <v>22.3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52493-2023</t>
        </is>
      </c>
      <c r="B1952" s="1" t="n">
        <v>45225</v>
      </c>
      <c r="C1952" s="1" t="n">
        <v>46205</v>
      </c>
      <c r="D1952" t="inlineStr">
        <is>
          <t>VÄSTERBOTTENS LÄN</t>
        </is>
      </c>
      <c r="E1952" t="inlineStr">
        <is>
          <t>SKELLEFTEÅ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28599-2026</t>
        </is>
      </c>
      <c r="B1953" s="1" t="n">
        <v>46197</v>
      </c>
      <c r="C1953" s="1" t="n">
        <v>46205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4.8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29313-2026</t>
        </is>
      </c>
      <c r="B1954" s="1" t="n">
        <v>46197</v>
      </c>
      <c r="C1954" s="1" t="n">
        <v>46205</v>
      </c>
      <c r="D1954" t="inlineStr">
        <is>
          <t>VÄSTERBOTTENS LÄN</t>
        </is>
      </c>
      <c r="E1954" t="inlineStr">
        <is>
          <t>SKELLEFTEÅ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29315-2026</t>
        </is>
      </c>
      <c r="B1955" s="1" t="n">
        <v>46197</v>
      </c>
      <c r="C1955" s="1" t="n">
        <v>46205</v>
      </c>
      <c r="D1955" t="inlineStr">
        <is>
          <t>VÄSTERBOTTENS LÄN</t>
        </is>
      </c>
      <c r="E1955" t="inlineStr">
        <is>
          <t>SKELLEFTEÅ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34508-2023</t>
        </is>
      </c>
      <c r="B1956" s="1" t="n">
        <v>45133</v>
      </c>
      <c r="C1956" s="1" t="n">
        <v>46205</v>
      </c>
      <c r="D1956" t="inlineStr">
        <is>
          <t>VÄSTERBOTTENS LÄN</t>
        </is>
      </c>
      <c r="E1956" t="inlineStr">
        <is>
          <t>SKELLEFTEÅ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52497-2022</t>
        </is>
      </c>
      <c r="B1957" s="1" t="n">
        <v>44869</v>
      </c>
      <c r="C1957" s="1" t="n">
        <v>46205</v>
      </c>
      <c r="D1957" t="inlineStr">
        <is>
          <t>VÄSTERBOTTENS LÄN</t>
        </is>
      </c>
      <c r="E1957" t="inlineStr">
        <is>
          <t>SKELLEFTEÅ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14663-2024</t>
        </is>
      </c>
      <c r="B1958" s="1" t="n">
        <v>45397</v>
      </c>
      <c r="C1958" s="1" t="n">
        <v>46205</v>
      </c>
      <c r="D1958" t="inlineStr">
        <is>
          <t>VÄSTERBOTTENS LÄN</t>
        </is>
      </c>
      <c r="E1958" t="inlineStr">
        <is>
          <t>SKELLEFTEÅ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29310-2026</t>
        </is>
      </c>
      <c r="B1959" s="1" t="n">
        <v>46202</v>
      </c>
      <c r="C1959" s="1" t="n">
        <v>46205</v>
      </c>
      <c r="D1959" t="inlineStr">
        <is>
          <t>VÄSTERBOTTENS LÄN</t>
        </is>
      </c>
      <c r="E1959" t="inlineStr">
        <is>
          <t>SKELLEFTEÅ</t>
        </is>
      </c>
      <c r="G1959" t="n">
        <v>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41006-2023</t>
        </is>
      </c>
      <c r="B1960" s="1" t="n">
        <v>45173</v>
      </c>
      <c r="C1960" s="1" t="n">
        <v>46205</v>
      </c>
      <c r="D1960" t="inlineStr">
        <is>
          <t>VÄSTERBOTTENS LÄN</t>
        </is>
      </c>
      <c r="E1960" t="inlineStr">
        <is>
          <t>SKELLEFTEÅ</t>
        </is>
      </c>
      <c r="G1960" t="n">
        <v>7.7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21152-2024</t>
        </is>
      </c>
      <c r="B1961" s="1" t="n">
        <v>45440</v>
      </c>
      <c r="C1961" s="1" t="n">
        <v>46205</v>
      </c>
      <c r="D1961" t="inlineStr">
        <is>
          <t>VÄSTERBOTTENS LÄN</t>
        </is>
      </c>
      <c r="E1961" t="inlineStr">
        <is>
          <t>SKELLEFTEÅ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28148-2023</t>
        </is>
      </c>
      <c r="B1962" s="1" t="n">
        <v>45099</v>
      </c>
      <c r="C1962" s="1" t="n">
        <v>46205</v>
      </c>
      <c r="D1962" t="inlineStr">
        <is>
          <t>VÄSTERBOTTENS LÄN</t>
        </is>
      </c>
      <c r="E1962" t="inlineStr">
        <is>
          <t>SKELLEFTEÅ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4104-2023</t>
        </is>
      </c>
      <c r="B1963" s="1" t="n">
        <v>44952</v>
      </c>
      <c r="C1963" s="1" t="n">
        <v>46205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17506-2024</t>
        </is>
      </c>
      <c r="B1964" s="1" t="n">
        <v>45415</v>
      </c>
      <c r="C1964" s="1" t="n">
        <v>46205</v>
      </c>
      <c r="D1964" t="inlineStr">
        <is>
          <t>VÄSTERBOTTENS LÄN</t>
        </is>
      </c>
      <c r="E1964" t="inlineStr">
        <is>
          <t>SKELLEFTEÅ</t>
        </is>
      </c>
      <c r="G1964" t="n">
        <v>8.199999999999999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27385-2026</t>
        </is>
      </c>
      <c r="B1965" s="1" t="n">
        <v>46185</v>
      </c>
      <c r="C1965" s="1" t="n">
        <v>46205</v>
      </c>
      <c r="D1965" t="inlineStr">
        <is>
          <t>VÄSTERBOTTENS LÄN</t>
        </is>
      </c>
      <c r="E1965" t="inlineStr">
        <is>
          <t>SKELLEFTEÅ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29429-2026</t>
        </is>
      </c>
      <c r="B1966" s="1" t="n">
        <v>46203</v>
      </c>
      <c r="C1966" s="1" t="n">
        <v>46205</v>
      </c>
      <c r="D1966" t="inlineStr">
        <is>
          <t>VÄSTERBOTTENS LÄN</t>
        </is>
      </c>
      <c r="E1966" t="inlineStr">
        <is>
          <t>SKELLEFTEÅ</t>
        </is>
      </c>
      <c r="F1966" t="inlineStr">
        <is>
          <t>Holmen skog AB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6723-2024</t>
        </is>
      </c>
      <c r="B1967" s="1" t="n">
        <v>45342</v>
      </c>
      <c r="C1967" s="1" t="n">
        <v>46205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Sveaskog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23319-2026</t>
        </is>
      </c>
      <c r="B1968" s="1" t="n">
        <v>46162</v>
      </c>
      <c r="C1968" s="1" t="n">
        <v>46205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Sveaskog</t>
        </is>
      </c>
      <c r="G1968" t="n">
        <v>14.3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29464-2026</t>
        </is>
      </c>
      <c r="B1969" s="1" t="n">
        <v>46203</v>
      </c>
      <c r="C1969" s="1" t="n">
        <v>46205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Holmen skog AB</t>
        </is>
      </c>
      <c r="G1969" t="n">
        <v>3.6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29756-2026</t>
        </is>
      </c>
      <c r="B1970" s="1" t="n">
        <v>46204</v>
      </c>
      <c r="C1970" s="1" t="n">
        <v>46205</v>
      </c>
      <c r="D1970" t="inlineStr">
        <is>
          <t>VÄSTERBOTTENS LÄN</t>
        </is>
      </c>
      <c r="E1970" t="inlineStr">
        <is>
          <t>SKELLEFTEÅ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49356-2024</t>
        </is>
      </c>
      <c r="B1971" s="1" t="n">
        <v>45595</v>
      </c>
      <c r="C1971" s="1" t="n">
        <v>46205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Sveaskog</t>
        </is>
      </c>
      <c r="G1971" t="n">
        <v>12.8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63010-2023</t>
        </is>
      </c>
      <c r="B1972" s="1" t="n">
        <v>45272</v>
      </c>
      <c r="C1972" s="1" t="n">
        <v>46205</v>
      </c>
      <c r="D1972" t="inlineStr">
        <is>
          <t>VÄSTERBOTTENS LÄN</t>
        </is>
      </c>
      <c r="E1972" t="inlineStr">
        <is>
          <t>SKELLEFTEÅ</t>
        </is>
      </c>
      <c r="G1972" t="n">
        <v>16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29362-2026</t>
        </is>
      </c>
      <c r="B1973" s="1" t="n">
        <v>46203</v>
      </c>
      <c r="C1973" s="1" t="n">
        <v>46205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6.8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27322-2023</t>
        </is>
      </c>
      <c r="B1974" s="1" t="n">
        <v>45096</v>
      </c>
      <c r="C1974" s="1" t="n">
        <v>46205</v>
      </c>
      <c r="D1974" t="inlineStr">
        <is>
          <t>VÄSTERBOTTENS LÄN</t>
        </is>
      </c>
      <c r="E1974" t="inlineStr">
        <is>
          <t>SKELLEFTEÅ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2087-2025</t>
        </is>
      </c>
      <c r="B1975" s="1" t="n">
        <v>45672</v>
      </c>
      <c r="C1975" s="1" t="n">
        <v>46205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12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29556-2026</t>
        </is>
      </c>
      <c r="B1976" s="1" t="n">
        <v>46204</v>
      </c>
      <c r="C1976" s="1" t="n">
        <v>46205</v>
      </c>
      <c r="D1976" t="inlineStr">
        <is>
          <t>VÄSTERBOTTENS LÄN</t>
        </is>
      </c>
      <c r="E1976" t="inlineStr">
        <is>
          <t>SKELLEFTEÅ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12112-2024</t>
        </is>
      </c>
      <c r="B1977" s="1" t="n">
        <v>45376</v>
      </c>
      <c r="C1977" s="1" t="n">
        <v>46205</v>
      </c>
      <c r="D1977" t="inlineStr">
        <is>
          <t>VÄSTERBOTTENS LÄN</t>
        </is>
      </c>
      <c r="E1977" t="inlineStr">
        <is>
          <t>SKELLEFTEÅ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60356-2022</t>
        </is>
      </c>
      <c r="B1978" s="1" t="n">
        <v>44904</v>
      </c>
      <c r="C1978" s="1" t="n">
        <v>46205</v>
      </c>
      <c r="D1978" t="inlineStr">
        <is>
          <t>VÄSTERBOTTENS LÄN</t>
        </is>
      </c>
      <c r="E1978" t="inlineStr">
        <is>
          <t>SKELLEFTEÅ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60785-2022</t>
        </is>
      </c>
      <c r="B1979" s="1" t="n">
        <v>44907</v>
      </c>
      <c r="C1979" s="1" t="n">
        <v>46205</v>
      </c>
      <c r="D1979" t="inlineStr">
        <is>
          <t>VÄSTERBOTTENS LÄN</t>
        </is>
      </c>
      <c r="E1979" t="inlineStr">
        <is>
          <t>SKELLEFTEÅ</t>
        </is>
      </c>
      <c r="G1979" t="n">
        <v>4.9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58993-2024</t>
        </is>
      </c>
      <c r="B1980" s="1" t="n">
        <v>45636</v>
      </c>
      <c r="C1980" s="1" t="n">
        <v>46205</v>
      </c>
      <c r="D1980" t="inlineStr">
        <is>
          <t>VÄSTERBOTTENS LÄN</t>
        </is>
      </c>
      <c r="E1980" t="inlineStr">
        <is>
          <t>SKELLEFTEÅ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1206-2023</t>
        </is>
      </c>
      <c r="B1981" s="1" t="n">
        <v>44930</v>
      </c>
      <c r="C1981" s="1" t="n">
        <v>46205</v>
      </c>
      <c r="D1981" t="inlineStr">
        <is>
          <t>VÄSTERBOTTENS LÄN</t>
        </is>
      </c>
      <c r="E1981" t="inlineStr">
        <is>
          <t>SKELLEFTEÅ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27442-2026</t>
        </is>
      </c>
      <c r="B1982" s="1" t="n">
        <v>46185</v>
      </c>
      <c r="C1982" s="1" t="n">
        <v>46205</v>
      </c>
      <c r="D1982" t="inlineStr">
        <is>
          <t>VÄSTERBOTTENS LÄN</t>
        </is>
      </c>
      <c r="E1982" t="inlineStr">
        <is>
          <t>SKELLEFTEÅ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23342-2026</t>
        </is>
      </c>
      <c r="B1983" s="1" t="n">
        <v>46162</v>
      </c>
      <c r="C1983" s="1" t="n">
        <v>46205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23171-2026</t>
        </is>
      </c>
      <c r="B1984" s="1" t="n">
        <v>46161</v>
      </c>
      <c r="C1984" s="1" t="n">
        <v>46205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Sveaskog</t>
        </is>
      </c>
      <c r="G1984" t="n">
        <v>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35558-2022</t>
        </is>
      </c>
      <c r="B1985" s="1" t="n">
        <v>44799</v>
      </c>
      <c r="C1985" s="1" t="n">
        <v>46205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21.8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23344-2026</t>
        </is>
      </c>
      <c r="B1986" s="1" t="n">
        <v>46162</v>
      </c>
      <c r="C1986" s="1" t="n">
        <v>46205</v>
      </c>
      <c r="D1986" t="inlineStr">
        <is>
          <t>VÄSTERBOTTENS LÄN</t>
        </is>
      </c>
      <c r="E1986" t="inlineStr">
        <is>
          <t>SKELLEFTEÅ</t>
        </is>
      </c>
      <c r="G1986" t="n">
        <v>5.9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27464-2026</t>
        </is>
      </c>
      <c r="B1987" s="1" t="n">
        <v>46185</v>
      </c>
      <c r="C1987" s="1" t="n">
        <v>46205</v>
      </c>
      <c r="D1987" t="inlineStr">
        <is>
          <t>VÄSTERBOTTENS LÄN</t>
        </is>
      </c>
      <c r="E1987" t="inlineStr">
        <is>
          <t>SKELLEFTEÅ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29359-2026</t>
        </is>
      </c>
      <c r="B1988" s="1" t="n">
        <v>46203</v>
      </c>
      <c r="C1988" s="1" t="n">
        <v>46205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Holmen skog AB</t>
        </is>
      </c>
      <c r="G1988" t="n">
        <v>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29421-2026</t>
        </is>
      </c>
      <c r="B1989" s="1" t="n">
        <v>46203</v>
      </c>
      <c r="C1989" s="1" t="n">
        <v>46205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Holmen skog AB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16959-2024</t>
        </is>
      </c>
      <c r="B1990" s="1" t="n">
        <v>45411</v>
      </c>
      <c r="C1990" s="1" t="n">
        <v>46205</v>
      </c>
      <c r="D1990" t="inlineStr">
        <is>
          <t>VÄSTERBOTTENS LÄN</t>
        </is>
      </c>
      <c r="E1990" t="inlineStr">
        <is>
          <t>SKELLEFTEÅ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29435-2026</t>
        </is>
      </c>
      <c r="B1991" s="1" t="n">
        <v>46203</v>
      </c>
      <c r="C1991" s="1" t="n">
        <v>46205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Holmen skog AB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38301-2023</t>
        </is>
      </c>
      <c r="B1992" s="1" t="n">
        <v>45160</v>
      </c>
      <c r="C1992" s="1" t="n">
        <v>46205</v>
      </c>
      <c r="D1992" t="inlineStr">
        <is>
          <t>VÄSTERBOTTENS LÄN</t>
        </is>
      </c>
      <c r="E1992" t="inlineStr">
        <is>
          <t>SKELLEFTEÅ</t>
        </is>
      </c>
      <c r="G1992" t="n">
        <v>12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23106-2026</t>
        </is>
      </c>
      <c r="B1993" s="1" t="n">
        <v>46161</v>
      </c>
      <c r="C1993" s="1" t="n">
        <v>46205</v>
      </c>
      <c r="D1993" t="inlineStr">
        <is>
          <t>VÄSTERBOTTENS LÄN</t>
        </is>
      </c>
      <c r="E1993" t="inlineStr">
        <is>
          <t>SKELLEFTEÅ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53641-2022</t>
        </is>
      </c>
      <c r="B1994" s="1" t="n">
        <v>44879</v>
      </c>
      <c r="C1994" s="1" t="n">
        <v>46205</v>
      </c>
      <c r="D1994" t="inlineStr">
        <is>
          <t>VÄSTERBOTTENS LÄN</t>
        </is>
      </c>
      <c r="E1994" t="inlineStr">
        <is>
          <t>SKELLEFTEÅ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46440-2023</t>
        </is>
      </c>
      <c r="B1995" s="1" t="n">
        <v>45197</v>
      </c>
      <c r="C1995" s="1" t="n">
        <v>46205</v>
      </c>
      <c r="D1995" t="inlineStr">
        <is>
          <t>VÄSTERBOTTENS LÄN</t>
        </is>
      </c>
      <c r="E1995" t="inlineStr">
        <is>
          <t>SKELLEFTEÅ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16410-2025</t>
        </is>
      </c>
      <c r="B1996" s="1" t="n">
        <v>45751</v>
      </c>
      <c r="C1996" s="1" t="n">
        <v>46205</v>
      </c>
      <c r="D1996" t="inlineStr">
        <is>
          <t>VÄSTERBOTTENS LÄN</t>
        </is>
      </c>
      <c r="E1996" t="inlineStr">
        <is>
          <t>SKELLEFTEÅ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  <c r="U1996">
        <f>HYPERLINK("https://klasma.github.io/Logging_2482/knärot/A 16410-2025 karta knärot.png", "A 16410-2025")</f>
        <v/>
      </c>
      <c r="V1996">
        <f>HYPERLINK("https://klasma.github.io/Logging_2482/klagomål/A 16410-2025 FSC-klagomål.docx", "A 16410-2025")</f>
        <v/>
      </c>
      <c r="W1996">
        <f>HYPERLINK("https://klasma.github.io/Logging_2482/klagomålsmail/A 16410-2025 FSC-klagomål mail.docx", "A 16410-2025")</f>
        <v/>
      </c>
      <c r="X1996">
        <f>HYPERLINK("https://klasma.github.io/Logging_2482/tillsyn/A 16410-2025 tillsynsbegäran.docx", "A 16410-2025")</f>
        <v/>
      </c>
      <c r="Y1996">
        <f>HYPERLINK("https://klasma.github.io/Logging_2482/tillsynsmail/A 16410-2025 tillsynsbegäran mail.docx", "A 16410-2025")</f>
        <v/>
      </c>
    </row>
    <row r="1997" ht="15" customHeight="1">
      <c r="A1997" t="inlineStr">
        <is>
          <t>A 55839-2025</t>
        </is>
      </c>
      <c r="B1997" s="1" t="n">
        <v>45972</v>
      </c>
      <c r="C1997" s="1" t="n">
        <v>46205</v>
      </c>
      <c r="D1997" t="inlineStr">
        <is>
          <t>VÄSTERBOTTENS LÄN</t>
        </is>
      </c>
      <c r="E1997" t="inlineStr">
        <is>
          <t>SKELLEFTEÅ</t>
        </is>
      </c>
      <c r="G1997" t="n">
        <v>8.1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18578-2024</t>
        </is>
      </c>
      <c r="B1998" s="1" t="n">
        <v>45425</v>
      </c>
      <c r="C1998" s="1" t="n">
        <v>46205</v>
      </c>
      <c r="D1998" t="inlineStr">
        <is>
          <t>VÄSTERBOTTENS LÄN</t>
        </is>
      </c>
      <c r="E1998" t="inlineStr">
        <is>
          <t>SKELLEFTEÅ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54653-2024</t>
        </is>
      </c>
      <c r="B1999" s="1" t="n">
        <v>45618</v>
      </c>
      <c r="C1999" s="1" t="n">
        <v>46205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Sveaskog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54660-2024</t>
        </is>
      </c>
      <c r="B2000" s="1" t="n">
        <v>45618</v>
      </c>
      <c r="C2000" s="1" t="n">
        <v>46205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Sveaskog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9183-2025</t>
        </is>
      </c>
      <c r="B2001" s="1" t="n">
        <v>45714</v>
      </c>
      <c r="C2001" s="1" t="n">
        <v>46205</v>
      </c>
      <c r="D2001" t="inlineStr">
        <is>
          <t>VÄSTERBOTTENS LÄN</t>
        </is>
      </c>
      <c r="E2001" t="inlineStr">
        <is>
          <t>SKELLEFTEÅ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48361-2023</t>
        </is>
      </c>
      <c r="B2002" s="1" t="n">
        <v>45205</v>
      </c>
      <c r="C2002" s="1" t="n">
        <v>46205</v>
      </c>
      <c r="D2002" t="inlineStr">
        <is>
          <t>VÄSTERBOTTENS LÄN</t>
        </is>
      </c>
      <c r="E2002" t="inlineStr">
        <is>
          <t>SKELLEFTEÅ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56923-2024</t>
        </is>
      </c>
      <c r="B2003" s="1" t="n">
        <v>45628</v>
      </c>
      <c r="C2003" s="1" t="n">
        <v>46205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38450-2023</t>
        </is>
      </c>
      <c r="B2004" s="1" t="n">
        <v>45162</v>
      </c>
      <c r="C2004" s="1" t="n">
        <v>46205</v>
      </c>
      <c r="D2004" t="inlineStr">
        <is>
          <t>VÄSTERBOTTENS LÄN</t>
        </is>
      </c>
      <c r="E2004" t="inlineStr">
        <is>
          <t>SKELLEFTEÅ</t>
        </is>
      </c>
      <c r="G2004" t="n">
        <v>5.2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2279-2025</t>
        </is>
      </c>
      <c r="B2005" s="1" t="n">
        <v>45673</v>
      </c>
      <c r="C2005" s="1" t="n">
        <v>46205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17483-2023</t>
        </is>
      </c>
      <c r="B2006" s="1" t="n">
        <v>45034</v>
      </c>
      <c r="C2006" s="1" t="n">
        <v>46205</v>
      </c>
      <c r="D2006" t="inlineStr">
        <is>
          <t>VÄSTERBOTTENS LÄN</t>
        </is>
      </c>
      <c r="E2006" t="inlineStr">
        <is>
          <t>SKELLEFTEÅ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23136-2026</t>
        </is>
      </c>
      <c r="B2007" s="1" t="n">
        <v>46161</v>
      </c>
      <c r="C2007" s="1" t="n">
        <v>46205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SCA</t>
        </is>
      </c>
      <c r="G2007" t="n">
        <v>17.2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11644-2025</t>
        </is>
      </c>
      <c r="B2008" s="1" t="n">
        <v>45727</v>
      </c>
      <c r="C2008" s="1" t="n">
        <v>46205</v>
      </c>
      <c r="D2008" t="inlineStr">
        <is>
          <t>VÄSTERBOTTENS LÄN</t>
        </is>
      </c>
      <c r="E2008" t="inlineStr">
        <is>
          <t>SKELLEFTEÅ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60506-2022</t>
        </is>
      </c>
      <c r="B2009" s="1" t="n">
        <v>44911</v>
      </c>
      <c r="C2009" s="1" t="n">
        <v>46205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Sveaskog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47312-2023</t>
        </is>
      </c>
      <c r="B2010" s="1" t="n">
        <v>45202</v>
      </c>
      <c r="C2010" s="1" t="n">
        <v>46205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12137-2023</t>
        </is>
      </c>
      <c r="B2011" s="1" t="n">
        <v>44995</v>
      </c>
      <c r="C2011" s="1" t="n">
        <v>46205</v>
      </c>
      <c r="D2011" t="inlineStr">
        <is>
          <t>VÄSTERBOTTENS LÄN</t>
        </is>
      </c>
      <c r="E2011" t="inlineStr">
        <is>
          <t>SKELLEFTEÅ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36895-2024</t>
        </is>
      </c>
      <c r="B2012" s="1" t="n">
        <v>45538</v>
      </c>
      <c r="C2012" s="1" t="n">
        <v>46205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Holmen skog AB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43723-2024</t>
        </is>
      </c>
      <c r="B2013" s="1" t="n">
        <v>45569</v>
      </c>
      <c r="C2013" s="1" t="n">
        <v>46205</v>
      </c>
      <c r="D2013" t="inlineStr">
        <is>
          <t>VÄSTERBOTTENS LÄN</t>
        </is>
      </c>
      <c r="E2013" t="inlineStr">
        <is>
          <t>SKELLEFTEÅ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18357-2023</t>
        </is>
      </c>
      <c r="B2014" s="1" t="n">
        <v>45041</v>
      </c>
      <c r="C2014" s="1" t="n">
        <v>46205</v>
      </c>
      <c r="D2014" t="inlineStr">
        <is>
          <t>VÄSTERBOTTENS LÄN</t>
        </is>
      </c>
      <c r="E2014" t="inlineStr">
        <is>
          <t>SKELLEFTEÅ</t>
        </is>
      </c>
      <c r="G2014" t="n">
        <v>11.2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66463-2021</t>
        </is>
      </c>
      <c r="B2015" s="1" t="n">
        <v>44518</v>
      </c>
      <c r="C2015" s="1" t="n">
        <v>46205</v>
      </c>
      <c r="D2015" t="inlineStr">
        <is>
          <t>VÄSTERBOTTENS LÄN</t>
        </is>
      </c>
      <c r="E2015" t="inlineStr">
        <is>
          <t>SKELLEFTEÅ</t>
        </is>
      </c>
      <c r="G2015" t="n">
        <v>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29164-2022</t>
        </is>
      </c>
      <c r="B2016" s="1" t="n">
        <v>44750</v>
      </c>
      <c r="C2016" s="1" t="n">
        <v>46205</v>
      </c>
      <c r="D2016" t="inlineStr">
        <is>
          <t>VÄSTERBOTTENS LÄN</t>
        </is>
      </c>
      <c r="E2016" t="inlineStr">
        <is>
          <t>SKELLEFTEÅ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24832-2022</t>
        </is>
      </c>
      <c r="B2017" s="1" t="n">
        <v>44728</v>
      </c>
      <c r="C2017" s="1" t="n">
        <v>46205</v>
      </c>
      <c r="D2017" t="inlineStr">
        <is>
          <t>VÄSTERBOTTENS LÄN</t>
        </is>
      </c>
      <c r="E2017" t="inlineStr">
        <is>
          <t>SKELLEFTEÅ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54476-2023</t>
        </is>
      </c>
      <c r="B2018" s="1" t="n">
        <v>45233</v>
      </c>
      <c r="C2018" s="1" t="n">
        <v>46205</v>
      </c>
      <c r="D2018" t="inlineStr">
        <is>
          <t>VÄSTERBOTTENS LÄN</t>
        </is>
      </c>
      <c r="E2018" t="inlineStr">
        <is>
          <t>SKELLEFTEÅ</t>
        </is>
      </c>
      <c r="G2018" t="n">
        <v>11.3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4403-2025</t>
        </is>
      </c>
      <c r="B2019" s="1" t="n">
        <v>45686</v>
      </c>
      <c r="C2019" s="1" t="n">
        <v>46205</v>
      </c>
      <c r="D2019" t="inlineStr">
        <is>
          <t>VÄSTERBOTTENS LÄN</t>
        </is>
      </c>
      <c r="E2019" t="inlineStr">
        <is>
          <t>SKELLEFTEÅ</t>
        </is>
      </c>
      <c r="G2019" t="n">
        <v>5.8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4509-2025</t>
        </is>
      </c>
      <c r="B2020" s="1" t="n">
        <v>45686</v>
      </c>
      <c r="C2020" s="1" t="n">
        <v>46205</v>
      </c>
      <c r="D2020" t="inlineStr">
        <is>
          <t>VÄSTERBOTTENS LÄN</t>
        </is>
      </c>
      <c r="E2020" t="inlineStr">
        <is>
          <t>SKELLEFTEÅ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41112-2024</t>
        </is>
      </c>
      <c r="B2021" s="1" t="n">
        <v>45559</v>
      </c>
      <c r="C2021" s="1" t="n">
        <v>46205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Holmen skog AB</t>
        </is>
      </c>
      <c r="G2021" t="n">
        <v>5.3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2579-2024</t>
        </is>
      </c>
      <c r="B2022" s="1" t="n">
        <v>45313</v>
      </c>
      <c r="C2022" s="1" t="n">
        <v>46205</v>
      </c>
      <c r="D2022" t="inlineStr">
        <is>
          <t>VÄSTERBOTTENS LÄN</t>
        </is>
      </c>
      <c r="E2022" t="inlineStr">
        <is>
          <t>SKELLEFTEÅ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7943-2024</t>
        </is>
      </c>
      <c r="B2023" s="1" t="n">
        <v>45350</v>
      </c>
      <c r="C2023" s="1" t="n">
        <v>46205</v>
      </c>
      <c r="D2023" t="inlineStr">
        <is>
          <t>VÄSTERBOTTENS LÄN</t>
        </is>
      </c>
      <c r="E2023" t="inlineStr">
        <is>
          <t>SKELLEFTEÅ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44959-2022</t>
        </is>
      </c>
      <c r="B2024" s="1" t="n">
        <v>44839</v>
      </c>
      <c r="C2024" s="1" t="n">
        <v>46205</v>
      </c>
      <c r="D2024" t="inlineStr">
        <is>
          <t>VÄSTERBOTTENS LÄN</t>
        </is>
      </c>
      <c r="E2024" t="inlineStr">
        <is>
          <t>SKELLEFTEÅ</t>
        </is>
      </c>
      <c r="G2024" t="n">
        <v>17.3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16355-2025</t>
        </is>
      </c>
      <c r="B2025" s="1" t="n">
        <v>45751</v>
      </c>
      <c r="C2025" s="1" t="n">
        <v>46205</v>
      </c>
      <c r="D2025" t="inlineStr">
        <is>
          <t>VÄSTERBOTTENS LÄN</t>
        </is>
      </c>
      <c r="E2025" t="inlineStr">
        <is>
          <t>SKELLEFTEÅ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32279-2022</t>
        </is>
      </c>
      <c r="B2026" s="1" t="n">
        <v>44781</v>
      </c>
      <c r="C2026" s="1" t="n">
        <v>46205</v>
      </c>
      <c r="D2026" t="inlineStr">
        <is>
          <t>VÄSTERBOTTENS LÄN</t>
        </is>
      </c>
      <c r="E2026" t="inlineStr">
        <is>
          <t>SKELLEFTEÅ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1321-2025</t>
        </is>
      </c>
      <c r="B2027" s="1" t="n">
        <v>45667</v>
      </c>
      <c r="C2027" s="1" t="n">
        <v>46205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Holmen skog AB</t>
        </is>
      </c>
      <c r="G2027" t="n">
        <v>6.2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35952-2023</t>
        </is>
      </c>
      <c r="B2028" s="1" t="n">
        <v>45148</v>
      </c>
      <c r="C2028" s="1" t="n">
        <v>46205</v>
      </c>
      <c r="D2028" t="inlineStr">
        <is>
          <t>VÄSTERBOTTENS LÄN</t>
        </is>
      </c>
      <c r="E2028" t="inlineStr">
        <is>
          <t>SKELLEFTEÅ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15332-2023</t>
        </is>
      </c>
      <c r="B2029" s="1" t="n">
        <v>45016</v>
      </c>
      <c r="C2029" s="1" t="n">
        <v>46205</v>
      </c>
      <c r="D2029" t="inlineStr">
        <is>
          <t>VÄSTERBOTTENS LÄN</t>
        </is>
      </c>
      <c r="E2029" t="inlineStr">
        <is>
          <t>SKELLEFTEÅ</t>
        </is>
      </c>
      <c r="G2029" t="n">
        <v>0.3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12645-2025</t>
        </is>
      </c>
      <c r="B2030" s="1" t="n">
        <v>45733</v>
      </c>
      <c r="C2030" s="1" t="n">
        <v>46205</v>
      </c>
      <c r="D2030" t="inlineStr">
        <is>
          <t>VÄSTERBOTTENS LÄN</t>
        </is>
      </c>
      <c r="E2030" t="inlineStr">
        <is>
          <t>SKELLEFTEÅ</t>
        </is>
      </c>
      <c r="G2030" t="n">
        <v>5.9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50338-2023</t>
        </is>
      </c>
      <c r="B2031" s="1" t="n">
        <v>45216</v>
      </c>
      <c r="C2031" s="1" t="n">
        <v>46205</v>
      </c>
      <c r="D2031" t="inlineStr">
        <is>
          <t>VÄSTERBOTTENS LÄN</t>
        </is>
      </c>
      <c r="E2031" t="inlineStr">
        <is>
          <t>SKELLEFTEÅ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27631-2022</t>
        </is>
      </c>
      <c r="B2032" s="1" t="n">
        <v>44743</v>
      </c>
      <c r="C2032" s="1" t="n">
        <v>46205</v>
      </c>
      <c r="D2032" t="inlineStr">
        <is>
          <t>VÄSTERBOTTENS LÄN</t>
        </is>
      </c>
      <c r="E2032" t="inlineStr">
        <is>
          <t>SKELLEFTEÅ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34242-2024</t>
        </is>
      </c>
      <c r="B2033" s="1" t="n">
        <v>45524</v>
      </c>
      <c r="C2033" s="1" t="n">
        <v>46205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Sveaskog</t>
        </is>
      </c>
      <c r="G2033" t="n">
        <v>19.8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55739-2023</t>
        </is>
      </c>
      <c r="B2034" s="1" t="n">
        <v>45239</v>
      </c>
      <c r="C2034" s="1" t="n">
        <v>46205</v>
      </c>
      <c r="D2034" t="inlineStr">
        <is>
          <t>VÄSTERBOTTENS LÄN</t>
        </is>
      </c>
      <c r="E2034" t="inlineStr">
        <is>
          <t>SKELLEFTEÅ</t>
        </is>
      </c>
      <c r="G2034" t="n">
        <v>8.800000000000001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55744-2023</t>
        </is>
      </c>
      <c r="B2035" s="1" t="n">
        <v>45239</v>
      </c>
      <c r="C2035" s="1" t="n">
        <v>46205</v>
      </c>
      <c r="D2035" t="inlineStr">
        <is>
          <t>VÄSTERBOTTENS LÄN</t>
        </is>
      </c>
      <c r="E2035" t="inlineStr">
        <is>
          <t>SKELLEFTEÅ</t>
        </is>
      </c>
      <c r="G2035" t="n">
        <v>12.4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55907-2023</t>
        </is>
      </c>
      <c r="B2036" s="1" t="n">
        <v>45239</v>
      </c>
      <c r="C2036" s="1" t="n">
        <v>46205</v>
      </c>
      <c r="D2036" t="inlineStr">
        <is>
          <t>VÄSTERBOTTENS LÄN</t>
        </is>
      </c>
      <c r="E2036" t="inlineStr">
        <is>
          <t>SKELLEFTEÅ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52462-2021</t>
        </is>
      </c>
      <c r="B2037" s="1" t="n">
        <v>44463</v>
      </c>
      <c r="C2037" s="1" t="n">
        <v>46205</v>
      </c>
      <c r="D2037" t="inlineStr">
        <is>
          <t>VÄSTERBOTTENS LÄN</t>
        </is>
      </c>
      <c r="E2037" t="inlineStr">
        <is>
          <t>SKELLEFTEÅ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56974-2024</t>
        </is>
      </c>
      <c r="B2038" s="1" t="n">
        <v>45628</v>
      </c>
      <c r="C2038" s="1" t="n">
        <v>46205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27508-2023</t>
        </is>
      </c>
      <c r="B2039" s="1" t="n">
        <v>45097</v>
      </c>
      <c r="C2039" s="1" t="n">
        <v>46205</v>
      </c>
      <c r="D2039" t="inlineStr">
        <is>
          <t>VÄSTERBOTTENS LÄN</t>
        </is>
      </c>
      <c r="E2039" t="inlineStr">
        <is>
          <t>SKELLEFTEÅ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18819-2023</t>
        </is>
      </c>
      <c r="B2040" s="1" t="n">
        <v>45044</v>
      </c>
      <c r="C2040" s="1" t="n">
        <v>46205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57849-2022</t>
        </is>
      </c>
      <c r="B2041" s="1" t="n">
        <v>44898</v>
      </c>
      <c r="C2041" s="1" t="n">
        <v>46205</v>
      </c>
      <c r="D2041" t="inlineStr">
        <is>
          <t>VÄSTERBOTTENS LÄN</t>
        </is>
      </c>
      <c r="E2041" t="inlineStr">
        <is>
          <t>SKELLEFTEÅ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14341-2023</t>
        </is>
      </c>
      <c r="B2042" s="1" t="n">
        <v>45009</v>
      </c>
      <c r="C2042" s="1" t="n">
        <v>46205</v>
      </c>
      <c r="D2042" t="inlineStr">
        <is>
          <t>VÄSTERBOTTENS LÄN</t>
        </is>
      </c>
      <c r="E2042" t="inlineStr">
        <is>
          <t>SKELLEFTEÅ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64598-2023</t>
        </is>
      </c>
      <c r="B2043" s="1" t="n">
        <v>45281</v>
      </c>
      <c r="C2043" s="1" t="n">
        <v>46205</v>
      </c>
      <c r="D2043" t="inlineStr">
        <is>
          <t>VÄSTERBOTTENS LÄN</t>
        </is>
      </c>
      <c r="E2043" t="inlineStr">
        <is>
          <t>SKELLEFTEÅ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42995-2024</t>
        </is>
      </c>
      <c r="B2044" s="1" t="n">
        <v>45567</v>
      </c>
      <c r="C2044" s="1" t="n">
        <v>46205</v>
      </c>
      <c r="D2044" t="inlineStr">
        <is>
          <t>VÄSTERBOTTENS LÄN</t>
        </is>
      </c>
      <c r="E2044" t="inlineStr">
        <is>
          <t>SKELLEFTEÅ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53639-2022</t>
        </is>
      </c>
      <c r="B2045" s="1" t="n">
        <v>44879</v>
      </c>
      <c r="C2045" s="1" t="n">
        <v>46205</v>
      </c>
      <c r="D2045" t="inlineStr">
        <is>
          <t>VÄSTERBOTTENS LÄN</t>
        </is>
      </c>
      <c r="E2045" t="inlineStr">
        <is>
          <t>SKELLEFTEÅ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15740-2022</t>
        </is>
      </c>
      <c r="B2046" s="1" t="n">
        <v>44663</v>
      </c>
      <c r="C2046" s="1" t="n">
        <v>46205</v>
      </c>
      <c r="D2046" t="inlineStr">
        <is>
          <t>VÄSTERBOTTENS LÄN</t>
        </is>
      </c>
      <c r="E2046" t="inlineStr">
        <is>
          <t>SKELLEFTEÅ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27542-2024</t>
        </is>
      </c>
      <c r="B2047" s="1" t="n">
        <v>45474</v>
      </c>
      <c r="C2047" s="1" t="n">
        <v>46205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Sveaskog</t>
        </is>
      </c>
      <c r="G2047" t="n">
        <v>17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10659-2024</t>
        </is>
      </c>
      <c r="B2048" s="1" t="n">
        <v>45369</v>
      </c>
      <c r="C2048" s="1" t="n">
        <v>46205</v>
      </c>
      <c r="D2048" t="inlineStr">
        <is>
          <t>VÄSTERBOTTENS LÄN</t>
        </is>
      </c>
      <c r="E2048" t="inlineStr">
        <is>
          <t>SKELLEFTEÅ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28273-2024</t>
        </is>
      </c>
      <c r="B2049" s="1" t="n">
        <v>45477</v>
      </c>
      <c r="C2049" s="1" t="n">
        <v>46205</v>
      </c>
      <c r="D2049" t="inlineStr">
        <is>
          <t>VÄSTERBOTTENS LÄN</t>
        </is>
      </c>
      <c r="E2049" t="inlineStr">
        <is>
          <t>SKELLEFTEÅ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37950-2022</t>
        </is>
      </c>
      <c r="B2050" s="1" t="n">
        <v>44811</v>
      </c>
      <c r="C2050" s="1" t="n">
        <v>46205</v>
      </c>
      <c r="D2050" t="inlineStr">
        <is>
          <t>VÄSTERBOTTENS LÄN</t>
        </is>
      </c>
      <c r="E2050" t="inlineStr">
        <is>
          <t>SKELLEFTEÅ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45407-2024</t>
        </is>
      </c>
      <c r="B2051" s="1" t="n">
        <v>45576</v>
      </c>
      <c r="C2051" s="1" t="n">
        <v>46205</v>
      </c>
      <c r="D2051" t="inlineStr">
        <is>
          <t>VÄSTERBOTTENS LÄN</t>
        </is>
      </c>
      <c r="E2051" t="inlineStr">
        <is>
          <t>SKELLEFTEÅ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52862-2024</t>
        </is>
      </c>
      <c r="B2052" s="1" t="n">
        <v>45610</v>
      </c>
      <c r="C2052" s="1" t="n">
        <v>46205</v>
      </c>
      <c r="D2052" t="inlineStr">
        <is>
          <t>VÄSTERBOTTENS LÄN</t>
        </is>
      </c>
      <c r="E2052" t="inlineStr">
        <is>
          <t>SKELLEFTEÅ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52864-2024</t>
        </is>
      </c>
      <c r="B2053" s="1" t="n">
        <v>45610</v>
      </c>
      <c r="C2053" s="1" t="n">
        <v>46205</v>
      </c>
      <c r="D2053" t="inlineStr">
        <is>
          <t>VÄSTERBOTTENS LÄN</t>
        </is>
      </c>
      <c r="E2053" t="inlineStr">
        <is>
          <t>SKELLEFTEÅ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54316-2022</t>
        </is>
      </c>
      <c r="B2054" s="1" t="n">
        <v>44879</v>
      </c>
      <c r="C2054" s="1" t="n">
        <v>46205</v>
      </c>
      <c r="D2054" t="inlineStr">
        <is>
          <t>VÄSTERBOTTENS LÄN</t>
        </is>
      </c>
      <c r="E2054" t="inlineStr">
        <is>
          <t>SKELLEFTEÅ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8669-2025</t>
        </is>
      </c>
      <c r="B2055" s="1" t="n">
        <v>45712</v>
      </c>
      <c r="C2055" s="1" t="n">
        <v>46205</v>
      </c>
      <c r="D2055" t="inlineStr">
        <is>
          <t>VÄSTERBOTTENS LÄN</t>
        </is>
      </c>
      <c r="E2055" t="inlineStr">
        <is>
          <t>SKELLEFTEÅ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22758-2022</t>
        </is>
      </c>
      <c r="B2056" s="1" t="n">
        <v>44714</v>
      </c>
      <c r="C2056" s="1" t="n">
        <v>46205</v>
      </c>
      <c r="D2056" t="inlineStr">
        <is>
          <t>VÄSTERBOTTENS LÄN</t>
        </is>
      </c>
      <c r="E2056" t="inlineStr">
        <is>
          <t>SKELLEFTEÅ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56072-2022</t>
        </is>
      </c>
      <c r="B2057" s="1" t="n">
        <v>44889</v>
      </c>
      <c r="C2057" s="1" t="n">
        <v>46205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35213-2024</t>
        </is>
      </c>
      <c r="B2058" s="1" t="n">
        <v>45530</v>
      </c>
      <c r="C2058" s="1" t="n">
        <v>46205</v>
      </c>
      <c r="D2058" t="inlineStr">
        <is>
          <t>VÄSTERBOTTENS LÄN</t>
        </is>
      </c>
      <c r="E2058" t="inlineStr">
        <is>
          <t>SKELLEFTEÅ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13126-2025</t>
        </is>
      </c>
      <c r="B2059" s="1" t="n">
        <v>45734</v>
      </c>
      <c r="C2059" s="1" t="n">
        <v>46205</v>
      </c>
      <c r="D2059" t="inlineStr">
        <is>
          <t>VÄSTERBOTTENS LÄN</t>
        </is>
      </c>
      <c r="E2059" t="inlineStr">
        <is>
          <t>SKELLEFTEÅ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10291-2023</t>
        </is>
      </c>
      <c r="B2060" s="1" t="n">
        <v>44986</v>
      </c>
      <c r="C2060" s="1" t="n">
        <v>46205</v>
      </c>
      <c r="D2060" t="inlineStr">
        <is>
          <t>VÄSTERBOTTENS LÄN</t>
        </is>
      </c>
      <c r="E2060" t="inlineStr">
        <is>
          <t>SKELLEFTEÅ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57191-2023</t>
        </is>
      </c>
      <c r="B2061" s="1" t="n">
        <v>45245</v>
      </c>
      <c r="C2061" s="1" t="n">
        <v>46205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Sveaskog</t>
        </is>
      </c>
      <c r="G2061" t="n">
        <v>11.3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60502-2022</t>
        </is>
      </c>
      <c r="B2062" s="1" t="n">
        <v>44911</v>
      </c>
      <c r="C2062" s="1" t="n">
        <v>46205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Sveaskog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531-2023</t>
        </is>
      </c>
      <c r="B2063" s="1" t="n">
        <v>44925</v>
      </c>
      <c r="C2063" s="1" t="n">
        <v>46205</v>
      </c>
      <c r="D2063" t="inlineStr">
        <is>
          <t>VÄSTERBOTTENS LÄN</t>
        </is>
      </c>
      <c r="E2063" t="inlineStr">
        <is>
          <t>SKELLEFTEÅ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56444-2024</t>
        </is>
      </c>
      <c r="B2064" s="1" t="n">
        <v>45625</v>
      </c>
      <c r="C2064" s="1" t="n">
        <v>46205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Holmen skog AB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10647-2023</t>
        </is>
      </c>
      <c r="B2065" s="1" t="n">
        <v>44984</v>
      </c>
      <c r="C2065" s="1" t="n">
        <v>46205</v>
      </c>
      <c r="D2065" t="inlineStr">
        <is>
          <t>VÄSTERBOTTENS LÄN</t>
        </is>
      </c>
      <c r="E2065" t="inlineStr">
        <is>
          <t>SKELLEFTEÅ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45643-2024</t>
        </is>
      </c>
      <c r="B2066" s="1" t="n">
        <v>45579</v>
      </c>
      <c r="C2066" s="1" t="n">
        <v>46205</v>
      </c>
      <c r="D2066" t="inlineStr">
        <is>
          <t>VÄSTERBOTTENS LÄN</t>
        </is>
      </c>
      <c r="E2066" t="inlineStr">
        <is>
          <t>SKELLEFTEÅ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61631-2022</t>
        </is>
      </c>
      <c r="B2067" s="1" t="n">
        <v>44916</v>
      </c>
      <c r="C2067" s="1" t="n">
        <v>46205</v>
      </c>
      <c r="D2067" t="inlineStr">
        <is>
          <t>VÄSTERBOTTENS LÄN</t>
        </is>
      </c>
      <c r="E2067" t="inlineStr">
        <is>
          <t>SKELLEFTEÅ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61635-2022</t>
        </is>
      </c>
      <c r="B2068" s="1" t="n">
        <v>44916</v>
      </c>
      <c r="C2068" s="1" t="n">
        <v>46205</v>
      </c>
      <c r="D2068" t="inlineStr">
        <is>
          <t>VÄSTERBOTTENS LÄN</t>
        </is>
      </c>
      <c r="E2068" t="inlineStr">
        <is>
          <t>SKELLEFTEÅ</t>
        </is>
      </c>
      <c r="G2068" t="n">
        <v>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2963-2025</t>
        </is>
      </c>
      <c r="B2069" s="1" t="n">
        <v>45678</v>
      </c>
      <c r="C2069" s="1" t="n">
        <v>46205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58775-2024</t>
        </is>
      </c>
      <c r="B2070" s="1" t="n">
        <v>45635</v>
      </c>
      <c r="C2070" s="1" t="n">
        <v>46205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Sveaskog</t>
        </is>
      </c>
      <c r="G2070" t="n">
        <v>3.9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59664-2022</t>
        </is>
      </c>
      <c r="B2071" s="1" t="n">
        <v>44908</v>
      </c>
      <c r="C2071" s="1" t="n">
        <v>46205</v>
      </c>
      <c r="D2071" t="inlineStr">
        <is>
          <t>VÄSTERBOTTENS LÄN</t>
        </is>
      </c>
      <c r="E2071" t="inlineStr">
        <is>
          <t>SKELLEFTEÅ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671-2024</t>
        </is>
      </c>
      <c r="B2072" s="1" t="n">
        <v>45299</v>
      </c>
      <c r="C2072" s="1" t="n">
        <v>46205</v>
      </c>
      <c r="D2072" t="inlineStr">
        <is>
          <t>VÄSTERBOTTENS LÄN</t>
        </is>
      </c>
      <c r="E2072" t="inlineStr">
        <is>
          <t>SKELLEFTEÅ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26690-2023</t>
        </is>
      </c>
      <c r="B2073" s="1" t="n">
        <v>45093</v>
      </c>
      <c r="C2073" s="1" t="n">
        <v>46205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Kyrkan</t>
        </is>
      </c>
      <c r="G2073" t="n">
        <v>7.5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8442-2025</t>
        </is>
      </c>
      <c r="B2074" s="1" t="n">
        <v>45709</v>
      </c>
      <c r="C2074" s="1" t="n">
        <v>46205</v>
      </c>
      <c r="D2074" t="inlineStr">
        <is>
          <t>VÄSTERBOTTENS LÄN</t>
        </is>
      </c>
      <c r="E2074" t="inlineStr">
        <is>
          <t>SKELLEFTEÅ</t>
        </is>
      </c>
      <c r="G2074" t="n">
        <v>4.7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45039-2023</t>
        </is>
      </c>
      <c r="B2075" s="1" t="n">
        <v>45191</v>
      </c>
      <c r="C2075" s="1" t="n">
        <v>46205</v>
      </c>
      <c r="D2075" t="inlineStr">
        <is>
          <t>VÄSTERBOTTENS LÄN</t>
        </is>
      </c>
      <c r="E2075" t="inlineStr">
        <is>
          <t>SKELLEFTEÅ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52203-2023</t>
        </is>
      </c>
      <c r="B2076" s="1" t="n">
        <v>45224</v>
      </c>
      <c r="C2076" s="1" t="n">
        <v>46205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Sveaskog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47544-2024</t>
        </is>
      </c>
      <c r="B2077" s="1" t="n">
        <v>45587</v>
      </c>
      <c r="C2077" s="1" t="n">
        <v>46205</v>
      </c>
      <c r="D2077" t="inlineStr">
        <is>
          <t>VÄSTERBOTTENS LÄN</t>
        </is>
      </c>
      <c r="E2077" t="inlineStr">
        <is>
          <t>SKELLEFTEÅ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4510-2025</t>
        </is>
      </c>
      <c r="B2078" s="1" t="n">
        <v>45686</v>
      </c>
      <c r="C2078" s="1" t="n">
        <v>46205</v>
      </c>
      <c r="D2078" t="inlineStr">
        <is>
          <t>VÄSTERBOTTENS LÄN</t>
        </is>
      </c>
      <c r="E2078" t="inlineStr">
        <is>
          <t>SKELLEFTEÅ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59404-2023</t>
        </is>
      </c>
      <c r="B2079" s="1" t="n">
        <v>45253</v>
      </c>
      <c r="C2079" s="1" t="n">
        <v>46205</v>
      </c>
      <c r="D2079" t="inlineStr">
        <is>
          <t>VÄSTERBOTTENS LÄN</t>
        </is>
      </c>
      <c r="E2079" t="inlineStr">
        <is>
          <t>SKELLEFTEÅ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59405-2023</t>
        </is>
      </c>
      <c r="B2080" s="1" t="n">
        <v>45253</v>
      </c>
      <c r="C2080" s="1" t="n">
        <v>46205</v>
      </c>
      <c r="D2080" t="inlineStr">
        <is>
          <t>VÄSTERBOTTENS LÄN</t>
        </is>
      </c>
      <c r="E2080" t="inlineStr">
        <is>
          <t>SKELLEFTEÅ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15593-2023</t>
        </is>
      </c>
      <c r="B2081" s="1" t="n">
        <v>45019</v>
      </c>
      <c r="C2081" s="1" t="n">
        <v>46205</v>
      </c>
      <c r="D2081" t="inlineStr">
        <is>
          <t>VÄSTERBOTTENS LÄN</t>
        </is>
      </c>
      <c r="E2081" t="inlineStr">
        <is>
          <t>SKELLEFTEÅ</t>
        </is>
      </c>
      <c r="G2081" t="n">
        <v>6.3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4034-2024</t>
        </is>
      </c>
      <c r="B2082" s="1" t="n">
        <v>45323</v>
      </c>
      <c r="C2082" s="1" t="n">
        <v>46205</v>
      </c>
      <c r="D2082" t="inlineStr">
        <is>
          <t>VÄSTERBOTTENS LÄN</t>
        </is>
      </c>
      <c r="E2082" t="inlineStr">
        <is>
          <t>SKELLEFTEÅ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19582-2024</t>
        </is>
      </c>
      <c r="B2083" s="1" t="n">
        <v>45429</v>
      </c>
      <c r="C2083" s="1" t="n">
        <v>46205</v>
      </c>
      <c r="D2083" t="inlineStr">
        <is>
          <t>VÄSTERBOTTENS LÄN</t>
        </is>
      </c>
      <c r="E2083" t="inlineStr">
        <is>
          <t>SKELLEFTEÅ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61378-2024</t>
        </is>
      </c>
      <c r="B2084" s="1" t="n">
        <v>45645</v>
      </c>
      <c r="C2084" s="1" t="n">
        <v>46205</v>
      </c>
      <c r="D2084" t="inlineStr">
        <is>
          <t>VÄSTERBOTTENS LÄN</t>
        </is>
      </c>
      <c r="E2084" t="inlineStr">
        <is>
          <t>SKELLEFTEÅ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7800-2024</t>
        </is>
      </c>
      <c r="B2085" s="1" t="n">
        <v>45348</v>
      </c>
      <c r="C2085" s="1" t="n">
        <v>46205</v>
      </c>
      <c r="D2085" t="inlineStr">
        <is>
          <t>VÄSTERBOTTENS LÄN</t>
        </is>
      </c>
      <c r="E2085" t="inlineStr">
        <is>
          <t>SKELLEFTEÅ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7832-2024</t>
        </is>
      </c>
      <c r="B2086" s="1" t="n">
        <v>45349</v>
      </c>
      <c r="C2086" s="1" t="n">
        <v>46205</v>
      </c>
      <c r="D2086" t="inlineStr">
        <is>
          <t>VÄSTERBOTTENS LÄN</t>
        </is>
      </c>
      <c r="E2086" t="inlineStr">
        <is>
          <t>SKELLEFTEÅ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12772-2024</t>
        </is>
      </c>
      <c r="B2087" s="1" t="n">
        <v>45384</v>
      </c>
      <c r="C2087" s="1" t="n">
        <v>46205</v>
      </c>
      <c r="D2087" t="inlineStr">
        <is>
          <t>VÄSTERBOTTENS LÄN</t>
        </is>
      </c>
      <c r="E2087" t="inlineStr">
        <is>
          <t>SKELLEFTEÅ</t>
        </is>
      </c>
      <c r="G2087" t="n">
        <v>0.2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58872-2021</t>
        </is>
      </c>
      <c r="B2088" s="1" t="n">
        <v>44489</v>
      </c>
      <c r="C2088" s="1" t="n">
        <v>46205</v>
      </c>
      <c r="D2088" t="inlineStr">
        <is>
          <t>VÄSTERBOTTENS LÄN</t>
        </is>
      </c>
      <c r="E2088" t="inlineStr">
        <is>
          <t>SKELLEFTEÅ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40072-2024</t>
        </is>
      </c>
      <c r="B2089" s="1" t="n">
        <v>45554</v>
      </c>
      <c r="C2089" s="1" t="n">
        <v>46205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3.7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39371-2024</t>
        </is>
      </c>
      <c r="B2090" s="1" t="n">
        <v>45551</v>
      </c>
      <c r="C2090" s="1" t="n">
        <v>46205</v>
      </c>
      <c r="D2090" t="inlineStr">
        <is>
          <t>VÄSTERBOTTENS LÄN</t>
        </is>
      </c>
      <c r="E2090" t="inlineStr">
        <is>
          <t>SKELLEFTEÅ</t>
        </is>
      </c>
      <c r="G2090" t="n">
        <v>9.6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19729-2025</t>
        </is>
      </c>
      <c r="B2091" s="1" t="n">
        <v>45771</v>
      </c>
      <c r="C2091" s="1" t="n">
        <v>46205</v>
      </c>
      <c r="D2091" t="inlineStr">
        <is>
          <t>VÄSTERBOTTENS LÄN</t>
        </is>
      </c>
      <c r="E2091" t="inlineStr">
        <is>
          <t>SKELLEFTEÅ</t>
        </is>
      </c>
      <c r="G2091" t="n">
        <v>8.5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19730-2025</t>
        </is>
      </c>
      <c r="B2092" s="1" t="n">
        <v>45771</v>
      </c>
      <c r="C2092" s="1" t="n">
        <v>46205</v>
      </c>
      <c r="D2092" t="inlineStr">
        <is>
          <t>VÄSTERBOTTENS LÄN</t>
        </is>
      </c>
      <c r="E2092" t="inlineStr">
        <is>
          <t>SKELLEFTEÅ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20865-2025</t>
        </is>
      </c>
      <c r="B2093" s="1" t="n">
        <v>45777</v>
      </c>
      <c r="C2093" s="1" t="n">
        <v>46205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SCA</t>
        </is>
      </c>
      <c r="G2093" t="n">
        <v>8.4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55409-2023</t>
        </is>
      </c>
      <c r="B2094" s="1" t="n">
        <v>45231</v>
      </c>
      <c r="C2094" s="1" t="n">
        <v>46205</v>
      </c>
      <c r="D2094" t="inlineStr">
        <is>
          <t>VÄSTERBOTTENS LÄN</t>
        </is>
      </c>
      <c r="E2094" t="inlineStr">
        <is>
          <t>SKELLEFTEÅ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21207-2025</t>
        </is>
      </c>
      <c r="B2095" s="1" t="n">
        <v>45779</v>
      </c>
      <c r="C2095" s="1" t="n">
        <v>46205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Holmen skog AB</t>
        </is>
      </c>
      <c r="G2095" t="n">
        <v>4.8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21350-2025</t>
        </is>
      </c>
      <c r="B2096" s="1" t="n">
        <v>45782</v>
      </c>
      <c r="C2096" s="1" t="n">
        <v>46205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21381-2025</t>
        </is>
      </c>
      <c r="B2097" s="1" t="n">
        <v>45782</v>
      </c>
      <c r="C2097" s="1" t="n">
        <v>46205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Holmen skog AB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21190-2025</t>
        </is>
      </c>
      <c r="B2098" s="1" t="n">
        <v>45779</v>
      </c>
      <c r="C2098" s="1" t="n">
        <v>46205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Holmen skog AB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21750-2025</t>
        </is>
      </c>
      <c r="B2099" s="1" t="n">
        <v>45783</v>
      </c>
      <c r="C2099" s="1" t="n">
        <v>46205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Kyrkan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5986-2025</t>
        </is>
      </c>
      <c r="B2100" s="1" t="n">
        <v>45695</v>
      </c>
      <c r="C2100" s="1" t="n">
        <v>46205</v>
      </c>
      <c r="D2100" t="inlineStr">
        <is>
          <t>VÄSTERBOTTENS LÄN</t>
        </is>
      </c>
      <c r="E2100" t="inlineStr">
        <is>
          <t>SKELLEFTEÅ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21587-2025</t>
        </is>
      </c>
      <c r="B2101" s="1" t="n">
        <v>45783</v>
      </c>
      <c r="C2101" s="1" t="n">
        <v>46205</v>
      </c>
      <c r="D2101" t="inlineStr">
        <is>
          <t>VÄSTERBOTTENS LÄN</t>
        </is>
      </c>
      <c r="E2101" t="inlineStr">
        <is>
          <t>SKELLEFTEÅ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21992-2025</t>
        </is>
      </c>
      <c r="B2102" s="1" t="n">
        <v>45784</v>
      </c>
      <c r="C2102" s="1" t="n">
        <v>46205</v>
      </c>
      <c r="D2102" t="inlineStr">
        <is>
          <t>VÄSTERBOTTENS LÄN</t>
        </is>
      </c>
      <c r="E2102" t="inlineStr">
        <is>
          <t>SKELLEFTEÅ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21585-2025</t>
        </is>
      </c>
      <c r="B2103" s="1" t="n">
        <v>45783</v>
      </c>
      <c r="C2103" s="1" t="n">
        <v>46205</v>
      </c>
      <c r="D2103" t="inlineStr">
        <is>
          <t>VÄSTERBOTTENS LÄN</t>
        </is>
      </c>
      <c r="E2103" t="inlineStr">
        <is>
          <t>SKELLEFTEÅ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21755-2025</t>
        </is>
      </c>
      <c r="B2104" s="1" t="n">
        <v>45783</v>
      </c>
      <c r="C2104" s="1" t="n">
        <v>46205</v>
      </c>
      <c r="D2104" t="inlineStr">
        <is>
          <t>VÄSTERBOTTENS LÄN</t>
        </is>
      </c>
      <c r="E2104" t="inlineStr">
        <is>
          <t>SKELLEFTEÅ</t>
        </is>
      </c>
      <c r="G2104" t="n">
        <v>13.6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21757-2025</t>
        </is>
      </c>
      <c r="B2105" s="1" t="n">
        <v>45783</v>
      </c>
      <c r="C2105" s="1" t="n">
        <v>46205</v>
      </c>
      <c r="D2105" t="inlineStr">
        <is>
          <t>VÄSTERBOTTENS LÄN</t>
        </is>
      </c>
      <c r="E2105" t="inlineStr">
        <is>
          <t>SKELLEFTEÅ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26293-2024</t>
        </is>
      </c>
      <c r="B2106" s="1" t="n">
        <v>45468</v>
      </c>
      <c r="C2106" s="1" t="n">
        <v>46205</v>
      </c>
      <c r="D2106" t="inlineStr">
        <is>
          <t>VÄSTERBOTTENS LÄN</t>
        </is>
      </c>
      <c r="E2106" t="inlineStr">
        <is>
          <t>SKELLEFTEÅ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22031-2025</t>
        </is>
      </c>
      <c r="B2107" s="1" t="n">
        <v>45785</v>
      </c>
      <c r="C2107" s="1" t="n">
        <v>46205</v>
      </c>
      <c r="D2107" t="inlineStr">
        <is>
          <t>VÄSTERBOTTENS LÄN</t>
        </is>
      </c>
      <c r="E2107" t="inlineStr">
        <is>
          <t>SKELLEFTEÅ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27504-2023</t>
        </is>
      </c>
      <c r="B2108" s="1" t="n">
        <v>45097</v>
      </c>
      <c r="C2108" s="1" t="n">
        <v>46205</v>
      </c>
      <c r="D2108" t="inlineStr">
        <is>
          <t>VÄSTERBOTTENS LÄN</t>
        </is>
      </c>
      <c r="E2108" t="inlineStr">
        <is>
          <t>SKELLEFTEÅ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1113-2025</t>
        </is>
      </c>
      <c r="B2109" s="1" t="n">
        <v>45666</v>
      </c>
      <c r="C2109" s="1" t="n">
        <v>46205</v>
      </c>
      <c r="D2109" t="inlineStr">
        <is>
          <t>VÄSTERBOTTENS LÄN</t>
        </is>
      </c>
      <c r="E2109" t="inlineStr">
        <is>
          <t>SKELLEFTEÅ</t>
        </is>
      </c>
      <c r="G2109" t="n">
        <v>7.4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44480-2024</t>
        </is>
      </c>
      <c r="B2110" s="1" t="n">
        <v>45574</v>
      </c>
      <c r="C2110" s="1" t="n">
        <v>46205</v>
      </c>
      <c r="D2110" t="inlineStr">
        <is>
          <t>VÄSTERBOTTENS LÄN</t>
        </is>
      </c>
      <c r="E2110" t="inlineStr">
        <is>
          <t>SKELLEFTEÅ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50549-2023</t>
        </is>
      </c>
      <c r="B2111" s="1" t="n">
        <v>45217</v>
      </c>
      <c r="C2111" s="1" t="n">
        <v>46205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28.5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21763-2025</t>
        </is>
      </c>
      <c r="B2112" s="1" t="n">
        <v>45783</v>
      </c>
      <c r="C2112" s="1" t="n">
        <v>46205</v>
      </c>
      <c r="D2112" t="inlineStr">
        <is>
          <t>VÄSTERBOTTENS LÄN</t>
        </is>
      </c>
      <c r="E2112" t="inlineStr">
        <is>
          <t>SKELLEFTEÅ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23208-2025</t>
        </is>
      </c>
      <c r="B2113" s="1" t="n">
        <v>45791</v>
      </c>
      <c r="C2113" s="1" t="n">
        <v>46205</v>
      </c>
      <c r="D2113" t="inlineStr">
        <is>
          <t>VÄSTERBOTTENS LÄN</t>
        </is>
      </c>
      <c r="E2113" t="inlineStr">
        <is>
          <t>SKELLEFTEÅ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64340-2023</t>
        </is>
      </c>
      <c r="B2114" s="1" t="n">
        <v>45280</v>
      </c>
      <c r="C2114" s="1" t="n">
        <v>46205</v>
      </c>
      <c r="D2114" t="inlineStr">
        <is>
          <t>VÄSTERBOTTENS LÄN</t>
        </is>
      </c>
      <c r="E2114" t="inlineStr">
        <is>
          <t>SKELLEFTEÅ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19349-2023</t>
        </is>
      </c>
      <c r="B2115" s="1" t="n">
        <v>45049</v>
      </c>
      <c r="C2115" s="1" t="n">
        <v>46205</v>
      </c>
      <c r="D2115" t="inlineStr">
        <is>
          <t>VÄSTERBOTTENS LÄN</t>
        </is>
      </c>
      <c r="E2115" t="inlineStr">
        <is>
          <t>SKELLEFTEÅ</t>
        </is>
      </c>
      <c r="G2115" t="n">
        <v>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37210-2021</t>
        </is>
      </c>
      <c r="B2116" s="1" t="n">
        <v>44396</v>
      </c>
      <c r="C2116" s="1" t="n">
        <v>46205</v>
      </c>
      <c r="D2116" t="inlineStr">
        <is>
          <t>VÄSTERBOTTENS LÄN</t>
        </is>
      </c>
      <c r="E2116" t="inlineStr">
        <is>
          <t>SKELLEFTEÅ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23678-2025</t>
        </is>
      </c>
      <c r="B2117" s="1" t="n">
        <v>45793</v>
      </c>
      <c r="C2117" s="1" t="n">
        <v>46205</v>
      </c>
      <c r="D2117" t="inlineStr">
        <is>
          <t>VÄSTERBOTTENS LÄN</t>
        </is>
      </c>
      <c r="E2117" t="inlineStr">
        <is>
          <t>SKELLEFTEÅ</t>
        </is>
      </c>
      <c r="G2117" t="n">
        <v>7.1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23696-2025</t>
        </is>
      </c>
      <c r="B2118" s="1" t="n">
        <v>45793</v>
      </c>
      <c r="C2118" s="1" t="n">
        <v>46205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Sveaskog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23881-2025</t>
        </is>
      </c>
      <c r="B2119" s="1" t="n">
        <v>45793</v>
      </c>
      <c r="C2119" s="1" t="n">
        <v>46205</v>
      </c>
      <c r="D2119" t="inlineStr">
        <is>
          <t>VÄSTERBOTTENS LÄN</t>
        </is>
      </c>
      <c r="E2119" t="inlineStr">
        <is>
          <t>SKELLEFTEÅ</t>
        </is>
      </c>
      <c r="F2119" t="inlineStr">
        <is>
          <t>Sveaskog</t>
        </is>
      </c>
      <c r="G2119" t="n">
        <v>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43714-2024</t>
        </is>
      </c>
      <c r="B2120" s="1" t="n">
        <v>45569</v>
      </c>
      <c r="C2120" s="1" t="n">
        <v>46205</v>
      </c>
      <c r="D2120" t="inlineStr">
        <is>
          <t>VÄSTERBOTTENS LÄN</t>
        </is>
      </c>
      <c r="E2120" t="inlineStr">
        <is>
          <t>SKELLEFTEÅ</t>
        </is>
      </c>
      <c r="G2120" t="n">
        <v>12.2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23676-2025</t>
        </is>
      </c>
      <c r="B2121" s="1" t="n">
        <v>45793</v>
      </c>
      <c r="C2121" s="1" t="n">
        <v>46205</v>
      </c>
      <c r="D2121" t="inlineStr">
        <is>
          <t>VÄSTERBOTTENS LÄN</t>
        </is>
      </c>
      <c r="E2121" t="inlineStr">
        <is>
          <t>SKELLEFTEÅ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24065-2025</t>
        </is>
      </c>
      <c r="B2122" s="1" t="n">
        <v>45796</v>
      </c>
      <c r="C2122" s="1" t="n">
        <v>46205</v>
      </c>
      <c r="D2122" t="inlineStr">
        <is>
          <t>VÄSTERBOTTENS LÄN</t>
        </is>
      </c>
      <c r="E2122" t="inlineStr">
        <is>
          <t>SKELLEFTEÅ</t>
        </is>
      </c>
      <c r="G2122" t="n">
        <v>7.5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24067-2025</t>
        </is>
      </c>
      <c r="B2123" s="1" t="n">
        <v>45796</v>
      </c>
      <c r="C2123" s="1" t="n">
        <v>46205</v>
      </c>
      <c r="D2123" t="inlineStr">
        <is>
          <t>VÄSTERBOTTENS LÄN</t>
        </is>
      </c>
      <c r="E2123" t="inlineStr">
        <is>
          <t>SKELLEFTEÅ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10693-2024</t>
        </is>
      </c>
      <c r="B2124" s="1" t="n">
        <v>45369</v>
      </c>
      <c r="C2124" s="1" t="n">
        <v>46205</v>
      </c>
      <c r="D2124" t="inlineStr">
        <is>
          <t>VÄSTERBOTTENS LÄN</t>
        </is>
      </c>
      <c r="E2124" t="inlineStr">
        <is>
          <t>SKELLEFTEÅ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58939-2024</t>
        </is>
      </c>
      <c r="B2125" s="1" t="n">
        <v>45636</v>
      </c>
      <c r="C2125" s="1" t="n">
        <v>46205</v>
      </c>
      <c r="D2125" t="inlineStr">
        <is>
          <t>VÄSTERBOTTENS LÄN</t>
        </is>
      </c>
      <c r="E2125" t="inlineStr">
        <is>
          <t>SKELLEFTEÅ</t>
        </is>
      </c>
      <c r="G2125" t="n">
        <v>13.4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24070-2025</t>
        </is>
      </c>
      <c r="B2126" s="1" t="n">
        <v>45796</v>
      </c>
      <c r="C2126" s="1" t="n">
        <v>46205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24061-2025</t>
        </is>
      </c>
      <c r="B2127" s="1" t="n">
        <v>45796</v>
      </c>
      <c r="C2127" s="1" t="n">
        <v>46205</v>
      </c>
      <c r="D2127" t="inlineStr">
        <is>
          <t>VÄSTERBOTTENS LÄN</t>
        </is>
      </c>
      <c r="E2127" t="inlineStr">
        <is>
          <t>SKELLEFTEÅ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>
      <c r="A2128" t="inlineStr">
        <is>
          <t>A 44968-2024</t>
        </is>
      </c>
      <c r="B2128" s="1" t="n">
        <v>45575</v>
      </c>
      <c r="C2128" s="1" t="n">
        <v>46205</v>
      </c>
      <c r="D2128" t="inlineStr">
        <is>
          <t>VÄSTERBOTTENS LÄN</t>
        </is>
      </c>
      <c r="E2128" t="inlineStr">
        <is>
          <t>SKELLEFTEÅ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2026-07-02T00:56:50Z</dcterms:created>
  <dcterms:modified xmlns:dcterms="http://purl.org/dc/terms/" xmlns:xsi="http://www.w3.org/2001/XMLSchema-instance" xsi:type="dcterms:W3CDTF">2026-07-02T00:56:52Z</dcterms:modified>
</cp:coreProperties>
</file>