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45931</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45931</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45931</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45931</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45931</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45931</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45931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45931</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45931</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45931</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48290-2024</t>
        </is>
      </c>
      <c r="B13" s="1" t="n">
        <v>45590.45456018519</v>
      </c>
      <c r="C13" s="1" t="n">
        <v>45931</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45931</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45931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45931</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45931</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45931</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45931</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62308-2022</t>
        </is>
      </c>
      <c r="B20" s="1" t="n">
        <v>44923.47131944444</v>
      </c>
      <c r="C20" s="1" t="n">
        <v>45931</v>
      </c>
      <c r="D20" t="inlineStr">
        <is>
          <t>VÄSTERBOTTENS LÄN</t>
        </is>
      </c>
      <c r="E20" t="inlineStr">
        <is>
          <t>SKELLEFTEÅ</t>
        </is>
      </c>
      <c r="F20" t="inlineStr">
        <is>
          <t>Sveaskog</t>
        </is>
      </c>
      <c r="G20" t="n">
        <v>5.9</v>
      </c>
      <c r="H20" t="n">
        <v>0</v>
      </c>
      <c r="I20" t="n">
        <v>3</v>
      </c>
      <c r="J20" t="n">
        <v>6</v>
      </c>
      <c r="K20" t="n">
        <v>1</v>
      </c>
      <c r="L20" t="n">
        <v>0</v>
      </c>
      <c r="M20" t="n">
        <v>0</v>
      </c>
      <c r="N20" t="n">
        <v>0</v>
      </c>
      <c r="O20" t="n">
        <v>7</v>
      </c>
      <c r="P20" t="n">
        <v>1</v>
      </c>
      <c r="Q20" t="n">
        <v>10</v>
      </c>
      <c r="R20" s="2" t="inlineStr">
        <is>
          <t>Smalfotad taggsvamp
Blågrå svartspik
Garnlav
Kolflarnlav
Mörk kolflarnlav
Nordtagging
Vedskivlav
Dropptaggsvamp
Gullgröppa
Vedticka</t>
        </is>
      </c>
      <c r="S20">
        <f>HYPERLINK("https://klasma.github.io/Logging_2482/artfynd/A 62308-2022 artfynd.xlsx", "A 62308-2022")</f>
        <v/>
      </c>
      <c r="T20">
        <f>HYPERLINK("https://klasma.github.io/Logging_2482/kartor/A 62308-2022 karta.png", "A 62308-2022")</f>
        <v/>
      </c>
      <c r="V20">
        <f>HYPERLINK("https://klasma.github.io/Logging_2482/klagomål/A 62308-2022 FSC-klagomål.docx", "A 62308-2022")</f>
        <v/>
      </c>
      <c r="W20">
        <f>HYPERLINK("https://klasma.github.io/Logging_2482/klagomålsmail/A 62308-2022 FSC-klagomål mail.docx", "A 62308-2022")</f>
        <v/>
      </c>
      <c r="X20">
        <f>HYPERLINK("https://klasma.github.io/Logging_2482/tillsyn/A 62308-2022 tillsynsbegäran.docx", "A 62308-2022")</f>
        <v/>
      </c>
      <c r="Y20">
        <f>HYPERLINK("https://klasma.github.io/Logging_2482/tillsynsmail/A 62308-2022 tillsynsbegäran mail.docx", "A 62308-2022")</f>
        <v/>
      </c>
    </row>
    <row r="21" ht="15" customHeight="1">
      <c r="A21" t="inlineStr">
        <is>
          <t>A 12019-2023</t>
        </is>
      </c>
      <c r="B21" s="1" t="n">
        <v>44995.64879629629</v>
      </c>
      <c r="C21" s="1" t="n">
        <v>45931</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31173-2021</t>
        </is>
      </c>
      <c r="B22" s="1" t="n">
        <v>44368</v>
      </c>
      <c r="C22" s="1" t="n">
        <v>45931</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50032-2024</t>
        </is>
      </c>
      <c r="B23" s="1" t="n">
        <v>45599</v>
      </c>
      <c r="C23" s="1" t="n">
        <v>45931</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32934-2025</t>
        </is>
      </c>
      <c r="B24" s="1" t="n">
        <v>45839.67444444444</v>
      </c>
      <c r="C24" s="1" t="n">
        <v>45931</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9093-2025</t>
        </is>
      </c>
      <c r="B25" s="1" t="n">
        <v>45713</v>
      </c>
      <c r="C25" s="1" t="n">
        <v>45931</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28986-2025</t>
        </is>
      </c>
      <c r="B26" s="1" t="n">
        <v>45821.36898148148</v>
      </c>
      <c r="C26" s="1" t="n">
        <v>45931</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16152-2021</t>
        </is>
      </c>
      <c r="B27" s="1" t="n">
        <v>44287</v>
      </c>
      <c r="C27" s="1" t="n">
        <v>45931</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45931</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22441-2025</t>
        </is>
      </c>
      <c r="B29" s="1" t="n">
        <v>45786</v>
      </c>
      <c r="C29" s="1" t="n">
        <v>45931</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1602-2023</t>
        </is>
      </c>
      <c r="B30" s="1" t="n">
        <v>44935</v>
      </c>
      <c r="C30" s="1" t="n">
        <v>45931</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39213-2021</t>
        </is>
      </c>
      <c r="B31" s="1" t="n">
        <v>44413</v>
      </c>
      <c r="C31" s="1" t="n">
        <v>45931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913-2023</t>
        </is>
      </c>
      <c r="B32" s="1" t="n">
        <v>44931</v>
      </c>
      <c r="C32" s="1" t="n">
        <v>45931</v>
      </c>
      <c r="D32" t="inlineStr">
        <is>
          <t>VÄSTERBOTTENS LÄN</t>
        </is>
      </c>
      <c r="E32" t="inlineStr">
        <is>
          <t>SKELLEFTEÅ</t>
        </is>
      </c>
      <c r="G32" t="n">
        <v>8</v>
      </c>
      <c r="H32" t="n">
        <v>1</v>
      </c>
      <c r="I32" t="n">
        <v>2</v>
      </c>
      <c r="J32" t="n">
        <v>4</v>
      </c>
      <c r="K32" t="n">
        <v>1</v>
      </c>
      <c r="L32" t="n">
        <v>0</v>
      </c>
      <c r="M32" t="n">
        <v>0</v>
      </c>
      <c r="N32" t="n">
        <v>0</v>
      </c>
      <c r="O32" t="n">
        <v>5</v>
      </c>
      <c r="P32" t="n">
        <v>1</v>
      </c>
      <c r="Q32" t="n">
        <v>8</v>
      </c>
      <c r="R32" s="2" t="inlineStr">
        <is>
          <t>Ulltickeporing
Garnlav
Lunglav
Ullticka
Violettgrå tagellav
Stuplav
Vedticka
Lavskrika</t>
        </is>
      </c>
      <c r="S32">
        <f>HYPERLINK("https://klasma.github.io/Logging_2482/artfynd/A 913-2023 artfynd.xlsx", "A 913-2023")</f>
        <v/>
      </c>
      <c r="T32">
        <f>HYPERLINK("https://klasma.github.io/Logging_2482/kartor/A 913-2023 karta.png", "A 913-2023")</f>
        <v/>
      </c>
      <c r="V32">
        <f>HYPERLINK("https://klasma.github.io/Logging_2482/klagomål/A 913-2023 FSC-klagomål.docx", "A 913-2023")</f>
        <v/>
      </c>
      <c r="W32">
        <f>HYPERLINK("https://klasma.github.io/Logging_2482/klagomålsmail/A 913-2023 FSC-klagomål mail.docx", "A 913-2023")</f>
        <v/>
      </c>
      <c r="X32">
        <f>HYPERLINK("https://klasma.github.io/Logging_2482/tillsyn/A 913-2023 tillsynsbegäran.docx", "A 913-2023")</f>
        <v/>
      </c>
      <c r="Y32">
        <f>HYPERLINK("https://klasma.github.io/Logging_2482/tillsynsmail/A 913-2023 tillsynsbegäran mail.docx", "A 913-2023")</f>
        <v/>
      </c>
      <c r="Z32">
        <f>HYPERLINK("https://klasma.github.io/Logging_2482/fåglar/A 913-2023 prioriterade fågelarter.docx", "A 913-2023")</f>
        <v/>
      </c>
    </row>
    <row r="33" ht="15" customHeight="1">
      <c r="A33" t="inlineStr">
        <is>
          <t>A 12017-2023</t>
        </is>
      </c>
      <c r="B33" s="1" t="n">
        <v>44995.64068287037</v>
      </c>
      <c r="C33" s="1" t="n">
        <v>45931</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26112-2025</t>
        </is>
      </c>
      <c r="B34" s="1" t="n">
        <v>45805.36883101852</v>
      </c>
      <c r="C34" s="1" t="n">
        <v>45931</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48272-2024</t>
        </is>
      </c>
      <c r="B35" s="1" t="n">
        <v>45590</v>
      </c>
      <c r="C35" s="1" t="n">
        <v>45931</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46526-2025</t>
        </is>
      </c>
      <c r="B36" s="1" t="n">
        <v>45926.33142361111</v>
      </c>
      <c r="C36" s="1" t="n">
        <v>45931</v>
      </c>
      <c r="D36" t="inlineStr">
        <is>
          <t>VÄSTERBOTTENS LÄN</t>
        </is>
      </c>
      <c r="E36" t="inlineStr">
        <is>
          <t>SKELLEFTEÅ</t>
        </is>
      </c>
      <c r="F36" t="inlineStr">
        <is>
          <t>Holmen skog AB</t>
        </is>
      </c>
      <c r="G36" t="n">
        <v>21.8</v>
      </c>
      <c r="H36" t="n">
        <v>2</v>
      </c>
      <c r="I36" t="n">
        <v>1</v>
      </c>
      <c r="J36" t="n">
        <v>5</v>
      </c>
      <c r="K36" t="n">
        <v>1</v>
      </c>
      <c r="L36" t="n">
        <v>0</v>
      </c>
      <c r="M36" t="n">
        <v>0</v>
      </c>
      <c r="N36" t="n">
        <v>0</v>
      </c>
      <c r="O36" t="n">
        <v>6</v>
      </c>
      <c r="P36" t="n">
        <v>1</v>
      </c>
      <c r="Q36" t="n">
        <v>7</v>
      </c>
      <c r="R36" s="2" t="inlineStr">
        <is>
          <t>Knärot
Garnlav
Granticka
Kilporing
Talltita
Ullticka
Vedticka</t>
        </is>
      </c>
      <c r="S36">
        <f>HYPERLINK("https://klasma.github.io/Logging_2482/artfynd/A 46526-2025 artfynd.xlsx", "A 46526-2025")</f>
        <v/>
      </c>
      <c r="T36">
        <f>HYPERLINK("https://klasma.github.io/Logging_2482/kartor/A 46526-2025 karta.png", "A 46526-2025")</f>
        <v/>
      </c>
      <c r="U36">
        <f>HYPERLINK("https://klasma.github.io/Logging_2482/knärot/A 46526-2025 karta knärot.png", "A 46526-2025")</f>
        <v/>
      </c>
      <c r="V36">
        <f>HYPERLINK("https://klasma.github.io/Logging_2482/klagomål/A 46526-2025 FSC-klagomål.docx", "A 46526-2025")</f>
        <v/>
      </c>
      <c r="W36">
        <f>HYPERLINK("https://klasma.github.io/Logging_2482/klagomålsmail/A 46526-2025 FSC-klagomål mail.docx", "A 46526-2025")</f>
        <v/>
      </c>
      <c r="X36">
        <f>HYPERLINK("https://klasma.github.io/Logging_2482/tillsyn/A 46526-2025 tillsynsbegäran.docx", "A 46526-2025")</f>
        <v/>
      </c>
      <c r="Y36">
        <f>HYPERLINK("https://klasma.github.io/Logging_2482/tillsynsmail/A 46526-2025 tillsynsbegäran mail.docx", "A 46526-2025")</f>
        <v/>
      </c>
      <c r="Z36">
        <f>HYPERLINK("https://klasma.github.io/Logging_2482/fåglar/A 46526-2025 prioriterade fågelarter.docx", "A 46526-2025")</f>
        <v/>
      </c>
    </row>
    <row r="37" ht="15" customHeight="1">
      <c r="A37" t="inlineStr">
        <is>
          <t>A 14493-2022</t>
        </is>
      </c>
      <c r="B37" s="1" t="n">
        <v>44655</v>
      </c>
      <c r="C37" s="1" t="n">
        <v>45931</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45931</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45931</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45931</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45931</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45931</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902-2023</t>
        </is>
      </c>
      <c r="B43" s="1" t="n">
        <v>44931.92561342593</v>
      </c>
      <c r="C43" s="1" t="n">
        <v>45931</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62316-2023</t>
        </is>
      </c>
      <c r="B44" s="1" t="n">
        <v>45267.73364583333</v>
      </c>
      <c r="C44" s="1" t="n">
        <v>45931</v>
      </c>
      <c r="D44" t="inlineStr">
        <is>
          <t>VÄSTERBOTTENS LÄN</t>
        </is>
      </c>
      <c r="E44" t="inlineStr">
        <is>
          <t>SKELLEFTEÅ</t>
        </is>
      </c>
      <c r="F44" t="inlineStr">
        <is>
          <t>Sveaskog</t>
        </is>
      </c>
      <c r="G44" t="n">
        <v>12.8</v>
      </c>
      <c r="H44" t="n">
        <v>2</v>
      </c>
      <c r="I44" t="n">
        <v>4</v>
      </c>
      <c r="J44" t="n">
        <v>1</v>
      </c>
      <c r="K44" t="n">
        <v>0</v>
      </c>
      <c r="L44" t="n">
        <v>0</v>
      </c>
      <c r="M44" t="n">
        <v>0</v>
      </c>
      <c r="N44" t="n">
        <v>0</v>
      </c>
      <c r="O44" t="n">
        <v>1</v>
      </c>
      <c r="P44" t="n">
        <v>0</v>
      </c>
      <c r="Q44" t="n">
        <v>6</v>
      </c>
      <c r="R44" s="2" t="inlineStr">
        <is>
          <t>Tretåig hackspett
Bronshjon
Myskbock
Stuplav
Vågbandad barkbock
Fläcknycklar</t>
        </is>
      </c>
      <c r="S44">
        <f>HYPERLINK("https://klasma.github.io/Logging_2482/artfynd/A 62316-2023 artfynd.xlsx", "A 62316-2023")</f>
        <v/>
      </c>
      <c r="T44">
        <f>HYPERLINK("https://klasma.github.io/Logging_2482/kartor/A 62316-2023 karta.png", "A 62316-2023")</f>
        <v/>
      </c>
      <c r="V44">
        <f>HYPERLINK("https://klasma.github.io/Logging_2482/klagomål/A 62316-2023 FSC-klagomål.docx", "A 62316-2023")</f>
        <v/>
      </c>
      <c r="W44">
        <f>HYPERLINK("https://klasma.github.io/Logging_2482/klagomålsmail/A 62316-2023 FSC-klagomål mail.docx", "A 62316-2023")</f>
        <v/>
      </c>
      <c r="X44">
        <f>HYPERLINK("https://klasma.github.io/Logging_2482/tillsyn/A 62316-2023 tillsynsbegäran.docx", "A 62316-2023")</f>
        <v/>
      </c>
      <c r="Y44">
        <f>HYPERLINK("https://klasma.github.io/Logging_2482/tillsynsmail/A 62316-2023 tillsynsbegäran mail.docx", "A 62316-2023")</f>
        <v/>
      </c>
      <c r="Z44">
        <f>HYPERLINK("https://klasma.github.io/Logging_2482/fåglar/A 62316-2023 prioriterade fågelarter.docx", "A 62316-2023")</f>
        <v/>
      </c>
    </row>
    <row r="45" ht="15" customHeight="1">
      <c r="A45" t="inlineStr">
        <is>
          <t>A 62346-2023</t>
        </is>
      </c>
      <c r="B45" s="1" t="n">
        <v>45267</v>
      </c>
      <c r="C45" s="1" t="n">
        <v>45931</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60590-2022</t>
        </is>
      </c>
      <c r="B46" s="1" t="n">
        <v>44911.5894212963</v>
      </c>
      <c r="C46" s="1" t="n">
        <v>45931</v>
      </c>
      <c r="D46" t="inlineStr">
        <is>
          <t>VÄSTERBOTTENS LÄN</t>
        </is>
      </c>
      <c r="E46" t="inlineStr">
        <is>
          <t>SKELLEFTEÅ</t>
        </is>
      </c>
      <c r="F46" t="inlineStr">
        <is>
          <t>Sveaskog</t>
        </is>
      </c>
      <c r="G46" t="n">
        <v>1.8</v>
      </c>
      <c r="H46" t="n">
        <v>1</v>
      </c>
      <c r="I46" t="n">
        <v>2</v>
      </c>
      <c r="J46" t="n">
        <v>4</v>
      </c>
      <c r="K46" t="n">
        <v>0</v>
      </c>
      <c r="L46" t="n">
        <v>0</v>
      </c>
      <c r="M46" t="n">
        <v>0</v>
      </c>
      <c r="N46" t="n">
        <v>0</v>
      </c>
      <c r="O46" t="n">
        <v>4</v>
      </c>
      <c r="P46" t="n">
        <v>0</v>
      </c>
      <c r="Q46" t="n">
        <v>6</v>
      </c>
      <c r="R46" s="2" t="inlineStr">
        <is>
          <t>Garnlav
Kolflarnlav
Kådvaxskinn
Vedskivlav
Bårdlav
Plattlummer</t>
        </is>
      </c>
      <c r="S46">
        <f>HYPERLINK("https://klasma.github.io/Logging_2482/artfynd/A 60590-2022 artfynd.xlsx", "A 60590-2022")</f>
        <v/>
      </c>
      <c r="T46">
        <f>HYPERLINK("https://klasma.github.io/Logging_2482/kartor/A 60590-2022 karta.png", "A 60590-2022")</f>
        <v/>
      </c>
      <c r="V46">
        <f>HYPERLINK("https://klasma.github.io/Logging_2482/klagomål/A 60590-2022 FSC-klagomål.docx", "A 60590-2022")</f>
        <v/>
      </c>
      <c r="W46">
        <f>HYPERLINK("https://klasma.github.io/Logging_2482/klagomålsmail/A 60590-2022 FSC-klagomål mail.docx", "A 60590-2022")</f>
        <v/>
      </c>
      <c r="X46">
        <f>HYPERLINK("https://klasma.github.io/Logging_2482/tillsyn/A 60590-2022 tillsynsbegäran.docx", "A 60590-2022")</f>
        <v/>
      </c>
      <c r="Y46">
        <f>HYPERLINK("https://klasma.github.io/Logging_2482/tillsynsmail/A 60590-2022 tillsynsbegäran mail.docx", "A 60590-2022")</f>
        <v/>
      </c>
    </row>
    <row r="47" ht="15" customHeight="1">
      <c r="A47" t="inlineStr">
        <is>
          <t>A 2801-2024</t>
        </is>
      </c>
      <c r="B47" s="1" t="n">
        <v>45314</v>
      </c>
      <c r="C47" s="1" t="n">
        <v>45931</v>
      </c>
      <c r="D47" t="inlineStr">
        <is>
          <t>VÄSTERBOTTENS LÄN</t>
        </is>
      </c>
      <c r="E47" t="inlineStr">
        <is>
          <t>SKELLEFTEÅ</t>
        </is>
      </c>
      <c r="F47" t="inlineStr">
        <is>
          <t>Sveaskog</t>
        </is>
      </c>
      <c r="G47" t="n">
        <v>10.8</v>
      </c>
      <c r="H47" t="n">
        <v>0</v>
      </c>
      <c r="I47" t="n">
        <v>1</v>
      </c>
      <c r="J47" t="n">
        <v>5</v>
      </c>
      <c r="K47" t="n">
        <v>0</v>
      </c>
      <c r="L47" t="n">
        <v>0</v>
      </c>
      <c r="M47" t="n">
        <v>0</v>
      </c>
      <c r="N47" t="n">
        <v>0</v>
      </c>
      <c r="O47" t="n">
        <v>5</v>
      </c>
      <c r="P47" t="n">
        <v>0</v>
      </c>
      <c r="Q47" t="n">
        <v>6</v>
      </c>
      <c r="R47" s="2" t="inlineStr">
        <is>
          <t>Hapalopilus aurantiacus
Motaggsvamp
Mörk kolflarnlav
Vaddporing
Vitplätt
Dropptaggsvamp</t>
        </is>
      </c>
      <c r="S47">
        <f>HYPERLINK("https://klasma.github.io/Logging_2482/artfynd/A 2801-2024 artfynd.xlsx", "A 2801-2024")</f>
        <v/>
      </c>
      <c r="T47">
        <f>HYPERLINK("https://klasma.github.io/Logging_2482/kartor/A 2801-2024 karta.png", "A 2801-2024")</f>
        <v/>
      </c>
      <c r="V47">
        <f>HYPERLINK("https://klasma.github.io/Logging_2482/klagomål/A 2801-2024 FSC-klagomål.docx", "A 2801-2024")</f>
        <v/>
      </c>
      <c r="W47">
        <f>HYPERLINK("https://klasma.github.io/Logging_2482/klagomålsmail/A 2801-2024 FSC-klagomål mail.docx", "A 2801-2024")</f>
        <v/>
      </c>
      <c r="X47">
        <f>HYPERLINK("https://klasma.github.io/Logging_2482/tillsyn/A 2801-2024 tillsynsbegäran.docx", "A 2801-2024")</f>
        <v/>
      </c>
      <c r="Y47">
        <f>HYPERLINK("https://klasma.github.io/Logging_2482/tillsynsmail/A 2801-2024 tillsynsbegäran mail.docx", "A 2801-2024")</f>
        <v/>
      </c>
    </row>
    <row r="48" ht="15" customHeight="1">
      <c r="A48" t="inlineStr">
        <is>
          <t>A 11867-2022</t>
        </is>
      </c>
      <c r="B48" s="1" t="n">
        <v>44635</v>
      </c>
      <c r="C48" s="1" t="n">
        <v>45931</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49243-2023</t>
        </is>
      </c>
      <c r="B49" s="1" t="n">
        <v>45210.65243055556</v>
      </c>
      <c r="C49" s="1" t="n">
        <v>45931</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33941-2024</t>
        </is>
      </c>
      <c r="B50" s="1" t="n">
        <v>45523.44668981482</v>
      </c>
      <c r="C50" s="1" t="n">
        <v>45931</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26589-2025</t>
        </is>
      </c>
      <c r="B51" s="1" t="n">
        <v>45807.83921296296</v>
      </c>
      <c r="C51" s="1" t="n">
        <v>45931</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29693-2025</t>
        </is>
      </c>
      <c r="B52" s="1" t="n">
        <v>45825.54184027778</v>
      </c>
      <c r="C52" s="1" t="n">
        <v>45931</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51811-2022</t>
        </is>
      </c>
      <c r="B53" s="1" t="n">
        <v>44867</v>
      </c>
      <c r="C53" s="1" t="n">
        <v>45931</v>
      </c>
      <c r="D53" t="inlineStr">
        <is>
          <t>VÄSTERBOTTENS LÄN</t>
        </is>
      </c>
      <c r="E53" t="inlineStr">
        <is>
          <t>SKELLEFTEÅ</t>
        </is>
      </c>
      <c r="G53" t="n">
        <v>3.8</v>
      </c>
      <c r="H53" t="n">
        <v>2</v>
      </c>
      <c r="I53" t="n">
        <v>1</v>
      </c>
      <c r="J53" t="n">
        <v>4</v>
      </c>
      <c r="K53" t="n">
        <v>0</v>
      </c>
      <c r="L53" t="n">
        <v>0</v>
      </c>
      <c r="M53" t="n">
        <v>0</v>
      </c>
      <c r="N53" t="n">
        <v>0</v>
      </c>
      <c r="O53" t="n">
        <v>4</v>
      </c>
      <c r="P53" t="n">
        <v>0</v>
      </c>
      <c r="Q53" t="n">
        <v>5</v>
      </c>
      <c r="R53" s="2" t="inlineStr">
        <is>
          <t>Garnlav
Harticka
Spillkråka
Tretåig hackspett
Bronshjon</t>
        </is>
      </c>
      <c r="S53">
        <f>HYPERLINK("https://klasma.github.io/Logging_2482/artfynd/A 51811-2022 artfynd.xlsx", "A 51811-2022")</f>
        <v/>
      </c>
      <c r="T53">
        <f>HYPERLINK("https://klasma.github.io/Logging_2482/kartor/A 51811-2022 karta.png", "A 51811-2022")</f>
        <v/>
      </c>
      <c r="V53">
        <f>HYPERLINK("https://klasma.github.io/Logging_2482/klagomål/A 51811-2022 FSC-klagomål.docx", "A 51811-2022")</f>
        <v/>
      </c>
      <c r="W53">
        <f>HYPERLINK("https://klasma.github.io/Logging_2482/klagomålsmail/A 51811-2022 FSC-klagomål mail.docx", "A 51811-2022")</f>
        <v/>
      </c>
      <c r="X53">
        <f>HYPERLINK("https://klasma.github.io/Logging_2482/tillsyn/A 51811-2022 tillsynsbegäran.docx", "A 51811-2022")</f>
        <v/>
      </c>
      <c r="Y53">
        <f>HYPERLINK("https://klasma.github.io/Logging_2482/tillsynsmail/A 51811-2022 tillsynsbegäran mail.docx", "A 51811-2022")</f>
        <v/>
      </c>
      <c r="Z53">
        <f>HYPERLINK("https://klasma.github.io/Logging_2482/fåglar/A 51811-2022 prioriterade fågelarter.docx", "A 51811-2022")</f>
        <v/>
      </c>
    </row>
    <row r="54" ht="15" customHeight="1">
      <c r="A54" t="inlineStr">
        <is>
          <t>A 32739-2025</t>
        </is>
      </c>
      <c r="B54" s="1" t="n">
        <v>45839.42177083333</v>
      </c>
      <c r="C54" s="1" t="n">
        <v>45931</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45931</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59408-2020</t>
        </is>
      </c>
      <c r="B56" s="1" t="n">
        <v>44147</v>
      </c>
      <c r="C56" s="1" t="n">
        <v>45931</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45931</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45931</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45931</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45931</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18577-2024</t>
        </is>
      </c>
      <c r="B61" s="1" t="n">
        <v>45425</v>
      </c>
      <c r="C61" s="1" t="n">
        <v>45931</v>
      </c>
      <c r="D61" t="inlineStr">
        <is>
          <t>VÄSTERBOTTENS LÄN</t>
        </is>
      </c>
      <c r="E61" t="inlineStr">
        <is>
          <t>SKELLEFTEÅ</t>
        </is>
      </c>
      <c r="G61" t="n">
        <v>5.3</v>
      </c>
      <c r="H61" t="n">
        <v>1</v>
      </c>
      <c r="I61" t="n">
        <v>1</v>
      </c>
      <c r="J61" t="n">
        <v>2</v>
      </c>
      <c r="K61" t="n">
        <v>1</v>
      </c>
      <c r="L61" t="n">
        <v>0</v>
      </c>
      <c r="M61" t="n">
        <v>0</v>
      </c>
      <c r="N61" t="n">
        <v>0</v>
      </c>
      <c r="O61" t="n">
        <v>3</v>
      </c>
      <c r="P61" t="n">
        <v>1</v>
      </c>
      <c r="Q61" t="n">
        <v>4</v>
      </c>
      <c r="R61" s="2" t="inlineStr">
        <is>
          <t>Knärot
Gammelgransskål
Garnlav
Rävticka</t>
        </is>
      </c>
      <c r="S61">
        <f>HYPERLINK("https://klasma.github.io/Logging_2482/artfynd/A 18577-2024 artfynd.xlsx", "A 18577-2024")</f>
        <v/>
      </c>
      <c r="T61">
        <f>HYPERLINK("https://klasma.github.io/Logging_2482/kartor/A 18577-2024 karta.png", "A 18577-2024")</f>
        <v/>
      </c>
      <c r="U61">
        <f>HYPERLINK("https://klasma.github.io/Logging_2482/knärot/A 18577-2024 karta knärot.png", "A 18577-2024")</f>
        <v/>
      </c>
      <c r="V61">
        <f>HYPERLINK("https://klasma.github.io/Logging_2482/klagomål/A 18577-2024 FSC-klagomål.docx", "A 18577-2024")</f>
        <v/>
      </c>
      <c r="W61">
        <f>HYPERLINK("https://klasma.github.io/Logging_2482/klagomålsmail/A 18577-2024 FSC-klagomål mail.docx", "A 18577-2024")</f>
        <v/>
      </c>
      <c r="X61">
        <f>HYPERLINK("https://klasma.github.io/Logging_2482/tillsyn/A 18577-2024 tillsynsbegäran.docx", "A 18577-2024")</f>
        <v/>
      </c>
      <c r="Y61">
        <f>HYPERLINK("https://klasma.github.io/Logging_2482/tillsynsmail/A 18577-2024 tillsynsbegäran mail.docx", "A 18577-2024")</f>
        <v/>
      </c>
    </row>
    <row r="62" ht="15" customHeight="1">
      <c r="A62" t="inlineStr">
        <is>
          <t>A 62340-2021</t>
        </is>
      </c>
      <c r="B62" s="1" t="n">
        <v>44503</v>
      </c>
      <c r="C62" s="1" t="n">
        <v>45931</v>
      </c>
      <c r="D62" t="inlineStr">
        <is>
          <t>VÄSTERBOTTENS LÄN</t>
        </is>
      </c>
      <c r="E62" t="inlineStr">
        <is>
          <t>SKELLEFTEÅ</t>
        </is>
      </c>
      <c r="G62" t="n">
        <v>3.9</v>
      </c>
      <c r="H62" t="n">
        <v>0</v>
      </c>
      <c r="I62" t="n">
        <v>2</v>
      </c>
      <c r="J62" t="n">
        <v>2</v>
      </c>
      <c r="K62" t="n">
        <v>0</v>
      </c>
      <c r="L62" t="n">
        <v>0</v>
      </c>
      <c r="M62" t="n">
        <v>0</v>
      </c>
      <c r="N62" t="n">
        <v>0</v>
      </c>
      <c r="O62" t="n">
        <v>2</v>
      </c>
      <c r="P62" t="n">
        <v>0</v>
      </c>
      <c r="Q62" t="n">
        <v>4</v>
      </c>
      <c r="R62" s="2" t="inlineStr">
        <is>
          <t>Garnlav
Harticka
Dropptaggsvamp
Vedticka</t>
        </is>
      </c>
      <c r="S62">
        <f>HYPERLINK("https://klasma.github.io/Logging_2482/artfynd/A 62340-2021 artfynd.xlsx", "A 62340-2021")</f>
        <v/>
      </c>
      <c r="T62">
        <f>HYPERLINK("https://klasma.github.io/Logging_2482/kartor/A 62340-2021 karta.png", "A 62340-2021")</f>
        <v/>
      </c>
      <c r="U62">
        <f>HYPERLINK("https://klasma.github.io/Logging_2482/knärot/A 62340-2021 karta knärot.png", "A 62340-2021")</f>
        <v/>
      </c>
      <c r="V62">
        <f>HYPERLINK("https://klasma.github.io/Logging_2482/klagomål/A 62340-2021 FSC-klagomål.docx", "A 62340-2021")</f>
        <v/>
      </c>
      <c r="W62">
        <f>HYPERLINK("https://klasma.github.io/Logging_2482/klagomålsmail/A 62340-2021 FSC-klagomål mail.docx", "A 62340-2021")</f>
        <v/>
      </c>
      <c r="X62">
        <f>HYPERLINK("https://klasma.github.io/Logging_2482/tillsyn/A 62340-2021 tillsynsbegäran.docx", "A 62340-2021")</f>
        <v/>
      </c>
      <c r="Y62">
        <f>HYPERLINK("https://klasma.github.io/Logging_2482/tillsynsmail/A 62340-2021 tillsynsbegäran mail.docx", "A 62340-2021")</f>
        <v/>
      </c>
    </row>
    <row r="63" ht="15" customHeight="1">
      <c r="A63" t="inlineStr">
        <is>
          <t>A 38654-2025</t>
        </is>
      </c>
      <c r="B63" s="1" t="n">
        <v>45884.59638888889</v>
      </c>
      <c r="C63" s="1" t="n">
        <v>45931</v>
      </c>
      <c r="D63" t="inlineStr">
        <is>
          <t>VÄSTERBOTTENS LÄN</t>
        </is>
      </c>
      <c r="E63" t="inlineStr">
        <is>
          <t>SKELLEFTEÅ</t>
        </is>
      </c>
      <c r="F63" t="inlineStr">
        <is>
          <t>Holmen skog AB</t>
        </is>
      </c>
      <c r="G63" t="n">
        <v>5.6</v>
      </c>
      <c r="H63" t="n">
        <v>3</v>
      </c>
      <c r="I63" t="n">
        <v>0</v>
      </c>
      <c r="J63" t="n">
        <v>1</v>
      </c>
      <c r="K63" t="n">
        <v>0</v>
      </c>
      <c r="L63" t="n">
        <v>0</v>
      </c>
      <c r="M63" t="n">
        <v>0</v>
      </c>
      <c r="N63" t="n">
        <v>0</v>
      </c>
      <c r="O63" t="n">
        <v>1</v>
      </c>
      <c r="P63" t="n">
        <v>0</v>
      </c>
      <c r="Q63" t="n">
        <v>4</v>
      </c>
      <c r="R63" s="2" t="inlineStr">
        <is>
          <t>Gammelgransskål
Kopparödla
Brudsporre
Nattviol</t>
        </is>
      </c>
      <c r="S63">
        <f>HYPERLINK("https://klasma.github.io/Logging_2482/artfynd/A 38654-2025 artfynd.xlsx", "A 38654-2025")</f>
        <v/>
      </c>
      <c r="T63">
        <f>HYPERLINK("https://klasma.github.io/Logging_2482/kartor/A 38654-2025 karta.png", "A 38654-2025")</f>
        <v/>
      </c>
      <c r="V63">
        <f>HYPERLINK("https://klasma.github.io/Logging_2482/klagomål/A 38654-2025 FSC-klagomål.docx", "A 38654-2025")</f>
        <v/>
      </c>
      <c r="W63">
        <f>HYPERLINK("https://klasma.github.io/Logging_2482/klagomålsmail/A 38654-2025 FSC-klagomål mail.docx", "A 38654-2025")</f>
        <v/>
      </c>
      <c r="X63">
        <f>HYPERLINK("https://klasma.github.io/Logging_2482/tillsyn/A 38654-2025 tillsynsbegäran.docx", "A 38654-2025")</f>
        <v/>
      </c>
      <c r="Y63">
        <f>HYPERLINK("https://klasma.github.io/Logging_2482/tillsynsmail/A 38654-2025 tillsynsbegäran mail.docx", "A 38654-2025")</f>
        <v/>
      </c>
    </row>
    <row r="64" ht="15" customHeight="1">
      <c r="A64" t="inlineStr">
        <is>
          <t>A 57738-2021</t>
        </is>
      </c>
      <c r="B64" s="1" t="n">
        <v>44484</v>
      </c>
      <c r="C64" s="1" t="n">
        <v>45931</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58835-2021</t>
        </is>
      </c>
      <c r="B65" s="1" t="n">
        <v>44489</v>
      </c>
      <c r="C65" s="1" t="n">
        <v>45931</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53423-2024</t>
        </is>
      </c>
      <c r="B66" s="1" t="n">
        <v>45614.51168981481</v>
      </c>
      <c r="C66" s="1" t="n">
        <v>45931</v>
      </c>
      <c r="D66" t="inlineStr">
        <is>
          <t>VÄSTERBOTTENS LÄN</t>
        </is>
      </c>
      <c r="E66" t="inlineStr">
        <is>
          <t>SKELLEFTEÅ</t>
        </is>
      </c>
      <c r="G66" t="n">
        <v>3.5</v>
      </c>
      <c r="H66" t="n">
        <v>1</v>
      </c>
      <c r="I66" t="n">
        <v>0</v>
      </c>
      <c r="J66" t="n">
        <v>4</v>
      </c>
      <c r="K66" t="n">
        <v>0</v>
      </c>
      <c r="L66" t="n">
        <v>0</v>
      </c>
      <c r="M66" t="n">
        <v>0</v>
      </c>
      <c r="N66" t="n">
        <v>0</v>
      </c>
      <c r="O66" t="n">
        <v>4</v>
      </c>
      <c r="P66" t="n">
        <v>0</v>
      </c>
      <c r="Q66" t="n">
        <v>4</v>
      </c>
      <c r="R66" s="2" t="inlineStr">
        <is>
          <t>Blanksvart spiklav
Blå taggsvamp
Garnlav
Spillkråka</t>
        </is>
      </c>
      <c r="S66">
        <f>HYPERLINK("https://klasma.github.io/Logging_2482/artfynd/A 53423-2024 artfynd.xlsx", "A 53423-2024")</f>
        <v/>
      </c>
      <c r="T66">
        <f>HYPERLINK("https://klasma.github.io/Logging_2482/kartor/A 53423-2024 karta.png", "A 53423-2024")</f>
        <v/>
      </c>
      <c r="V66">
        <f>HYPERLINK("https://klasma.github.io/Logging_2482/klagomål/A 53423-2024 FSC-klagomål.docx", "A 53423-2024")</f>
        <v/>
      </c>
      <c r="W66">
        <f>HYPERLINK("https://klasma.github.io/Logging_2482/klagomålsmail/A 53423-2024 FSC-klagomål mail.docx", "A 53423-2024")</f>
        <v/>
      </c>
      <c r="X66">
        <f>HYPERLINK("https://klasma.github.io/Logging_2482/tillsyn/A 53423-2024 tillsynsbegäran.docx", "A 53423-2024")</f>
        <v/>
      </c>
      <c r="Y66">
        <f>HYPERLINK("https://klasma.github.io/Logging_2482/tillsynsmail/A 53423-2024 tillsynsbegäran mail.docx", "A 53423-2024")</f>
        <v/>
      </c>
      <c r="Z66">
        <f>HYPERLINK("https://klasma.github.io/Logging_2482/fåglar/A 53423-2024 prioriterade fågelarter.docx", "A 53423-2024")</f>
        <v/>
      </c>
    </row>
    <row r="67" ht="15" customHeight="1">
      <c r="A67" t="inlineStr">
        <is>
          <t>A 56462-2024</t>
        </is>
      </c>
      <c r="B67" s="1" t="n">
        <v>45625</v>
      </c>
      <c r="C67" s="1" t="n">
        <v>45931</v>
      </c>
      <c r="D67" t="inlineStr">
        <is>
          <t>VÄSTERBOTTENS LÄN</t>
        </is>
      </c>
      <c r="E67" t="inlineStr">
        <is>
          <t>SKELLEFTEÅ</t>
        </is>
      </c>
      <c r="F67" t="inlineStr">
        <is>
          <t>Holmen skog AB</t>
        </is>
      </c>
      <c r="G67" t="n">
        <v>44.8</v>
      </c>
      <c r="H67" t="n">
        <v>0</v>
      </c>
      <c r="I67" t="n">
        <v>0</v>
      </c>
      <c r="J67" t="n">
        <v>3</v>
      </c>
      <c r="K67" t="n">
        <v>0</v>
      </c>
      <c r="L67" t="n">
        <v>1</v>
      </c>
      <c r="M67" t="n">
        <v>0</v>
      </c>
      <c r="N67" t="n">
        <v>0</v>
      </c>
      <c r="O67" t="n">
        <v>4</v>
      </c>
      <c r="P67" t="n">
        <v>1</v>
      </c>
      <c r="Q67" t="n">
        <v>4</v>
      </c>
      <c r="R67" s="2" t="inlineStr">
        <is>
          <t>Större svartbagge
Korthornad ögonbagge
Rödhalsad vedsvampbagge
Svart ögonknäppare</t>
        </is>
      </c>
      <c r="S67">
        <f>HYPERLINK("https://klasma.github.io/Logging_2482/artfynd/A 56462-2024 artfynd.xlsx", "A 56462-2024")</f>
        <v/>
      </c>
      <c r="T67">
        <f>HYPERLINK("https://klasma.github.io/Logging_2482/kartor/A 56462-2024 karta.png", "A 56462-2024")</f>
        <v/>
      </c>
      <c r="V67">
        <f>HYPERLINK("https://klasma.github.io/Logging_2482/klagomål/A 56462-2024 FSC-klagomål.docx", "A 56462-2024")</f>
        <v/>
      </c>
      <c r="W67">
        <f>HYPERLINK("https://klasma.github.io/Logging_2482/klagomålsmail/A 56462-2024 FSC-klagomål mail.docx", "A 56462-2024")</f>
        <v/>
      </c>
      <c r="X67">
        <f>HYPERLINK("https://klasma.github.io/Logging_2482/tillsyn/A 56462-2024 tillsynsbegäran.docx", "A 56462-2024")</f>
        <v/>
      </c>
      <c r="Y67">
        <f>HYPERLINK("https://klasma.github.io/Logging_2482/tillsynsmail/A 56462-2024 tillsynsbegäran mail.docx", "A 56462-2024")</f>
        <v/>
      </c>
    </row>
    <row r="68" ht="15" customHeight="1">
      <c r="A68" t="inlineStr">
        <is>
          <t>A 57409-2021</t>
        </is>
      </c>
      <c r="B68" s="1" t="n">
        <v>44483</v>
      </c>
      <c r="C68" s="1" t="n">
        <v>45931</v>
      </c>
      <c r="D68" t="inlineStr">
        <is>
          <t>VÄSTERBOTTENS LÄN</t>
        </is>
      </c>
      <c r="E68" t="inlineStr">
        <is>
          <t>SKELLEFTEÅ</t>
        </is>
      </c>
      <c r="G68" t="n">
        <v>20.3</v>
      </c>
      <c r="H68" t="n">
        <v>0</v>
      </c>
      <c r="I68" t="n">
        <v>1</v>
      </c>
      <c r="J68" t="n">
        <v>3</v>
      </c>
      <c r="K68" t="n">
        <v>0</v>
      </c>
      <c r="L68" t="n">
        <v>0</v>
      </c>
      <c r="M68" t="n">
        <v>0</v>
      </c>
      <c r="N68" t="n">
        <v>0</v>
      </c>
      <c r="O68" t="n">
        <v>3</v>
      </c>
      <c r="P68" t="n">
        <v>0</v>
      </c>
      <c r="Q68" t="n">
        <v>4</v>
      </c>
      <c r="R68" s="2" t="inlineStr">
        <is>
          <t>Gammelgransskål
Garnlav
Ullticka
Vedticka</t>
        </is>
      </c>
      <c r="S68">
        <f>HYPERLINK("https://klasma.github.io/Logging_2482/artfynd/A 57409-2021 artfynd.xlsx", "A 57409-2021")</f>
        <v/>
      </c>
      <c r="T68">
        <f>HYPERLINK("https://klasma.github.io/Logging_2482/kartor/A 57409-2021 karta.png", "A 57409-2021")</f>
        <v/>
      </c>
      <c r="V68">
        <f>HYPERLINK("https://klasma.github.io/Logging_2482/klagomål/A 57409-2021 FSC-klagomål.docx", "A 57409-2021")</f>
        <v/>
      </c>
      <c r="W68">
        <f>HYPERLINK("https://klasma.github.io/Logging_2482/klagomålsmail/A 57409-2021 FSC-klagomål mail.docx", "A 57409-2021")</f>
        <v/>
      </c>
      <c r="X68">
        <f>HYPERLINK("https://klasma.github.io/Logging_2482/tillsyn/A 57409-2021 tillsynsbegäran.docx", "A 57409-2021")</f>
        <v/>
      </c>
      <c r="Y68">
        <f>HYPERLINK("https://klasma.github.io/Logging_2482/tillsynsmail/A 57409-2021 tillsynsbegäran mail.docx", "A 57409-2021")</f>
        <v/>
      </c>
    </row>
    <row r="69" ht="15" customHeight="1">
      <c r="A69" t="inlineStr">
        <is>
          <t>A 39114-2025</t>
        </is>
      </c>
      <c r="B69" s="1" t="n">
        <v>45888.55090277778</v>
      </c>
      <c r="C69" s="1" t="n">
        <v>45931</v>
      </c>
      <c r="D69" t="inlineStr">
        <is>
          <t>VÄSTERBOTTENS LÄN</t>
        </is>
      </c>
      <c r="E69" t="inlineStr">
        <is>
          <t>SKELLEFTEÅ</t>
        </is>
      </c>
      <c r="F69" t="inlineStr">
        <is>
          <t>Holmen skog AB</t>
        </is>
      </c>
      <c r="G69" t="n">
        <v>2.9</v>
      </c>
      <c r="H69" t="n">
        <v>2</v>
      </c>
      <c r="I69" t="n">
        <v>1</v>
      </c>
      <c r="J69" t="n">
        <v>2</v>
      </c>
      <c r="K69" t="n">
        <v>0</v>
      </c>
      <c r="L69" t="n">
        <v>0</v>
      </c>
      <c r="M69" t="n">
        <v>0</v>
      </c>
      <c r="N69" t="n">
        <v>0</v>
      </c>
      <c r="O69" t="n">
        <v>2</v>
      </c>
      <c r="P69" t="n">
        <v>0</v>
      </c>
      <c r="Q69" t="n">
        <v>4</v>
      </c>
      <c r="R69" s="2" t="inlineStr">
        <is>
          <t>Garnlav
Tretåig hackspett
Vedticka
Lavskrika</t>
        </is>
      </c>
      <c r="S69">
        <f>HYPERLINK("https://klasma.github.io/Logging_2482/artfynd/A 39114-2025 artfynd.xlsx", "A 39114-2025")</f>
        <v/>
      </c>
      <c r="T69">
        <f>HYPERLINK("https://klasma.github.io/Logging_2482/kartor/A 39114-2025 karta.png", "A 39114-2025")</f>
        <v/>
      </c>
      <c r="V69">
        <f>HYPERLINK("https://klasma.github.io/Logging_2482/klagomål/A 39114-2025 FSC-klagomål.docx", "A 39114-2025")</f>
        <v/>
      </c>
      <c r="W69">
        <f>HYPERLINK("https://klasma.github.io/Logging_2482/klagomålsmail/A 39114-2025 FSC-klagomål mail.docx", "A 39114-2025")</f>
        <v/>
      </c>
      <c r="X69">
        <f>HYPERLINK("https://klasma.github.io/Logging_2482/tillsyn/A 39114-2025 tillsynsbegäran.docx", "A 39114-2025")</f>
        <v/>
      </c>
      <c r="Y69">
        <f>HYPERLINK("https://klasma.github.io/Logging_2482/tillsynsmail/A 39114-2025 tillsynsbegäran mail.docx", "A 39114-2025")</f>
        <v/>
      </c>
      <c r="Z69">
        <f>HYPERLINK("https://klasma.github.io/Logging_2482/fåglar/A 39114-2025 prioriterade fågelarter.docx", "A 39114-2025")</f>
        <v/>
      </c>
    </row>
    <row r="70" ht="15" customHeight="1">
      <c r="A70" t="inlineStr">
        <is>
          <t>A 46092-2023</t>
        </is>
      </c>
      <c r="B70" s="1" t="n">
        <v>45190</v>
      </c>
      <c r="C70" s="1" t="n">
        <v>45931</v>
      </c>
      <c r="D70" t="inlineStr">
        <is>
          <t>VÄSTERBOTTENS LÄN</t>
        </is>
      </c>
      <c r="E70" t="inlineStr">
        <is>
          <t>SKELLEFTEÅ</t>
        </is>
      </c>
      <c r="G70" t="n">
        <v>8.699999999999999</v>
      </c>
      <c r="H70" t="n">
        <v>0</v>
      </c>
      <c r="I70" t="n">
        <v>3</v>
      </c>
      <c r="J70" t="n">
        <v>1</v>
      </c>
      <c r="K70" t="n">
        <v>0</v>
      </c>
      <c r="L70" t="n">
        <v>0</v>
      </c>
      <c r="M70" t="n">
        <v>0</v>
      </c>
      <c r="N70" t="n">
        <v>0</v>
      </c>
      <c r="O70" t="n">
        <v>1</v>
      </c>
      <c r="P70" t="n">
        <v>0</v>
      </c>
      <c r="Q70" t="n">
        <v>4</v>
      </c>
      <c r="R70" s="2" t="inlineStr">
        <is>
          <t>Violettgrå tagellav
Luddlav
Skinnlav
Stuplav</t>
        </is>
      </c>
      <c r="S70">
        <f>HYPERLINK("https://klasma.github.io/Logging_2482/artfynd/A 46092-2023 artfynd.xlsx", "A 46092-2023")</f>
        <v/>
      </c>
      <c r="T70">
        <f>HYPERLINK("https://klasma.github.io/Logging_2482/kartor/A 46092-2023 karta.png", "A 46092-2023")</f>
        <v/>
      </c>
      <c r="V70">
        <f>HYPERLINK("https://klasma.github.io/Logging_2482/klagomål/A 46092-2023 FSC-klagomål.docx", "A 46092-2023")</f>
        <v/>
      </c>
      <c r="W70">
        <f>HYPERLINK("https://klasma.github.io/Logging_2482/klagomålsmail/A 46092-2023 FSC-klagomål mail.docx", "A 46092-2023")</f>
        <v/>
      </c>
      <c r="X70">
        <f>HYPERLINK("https://klasma.github.io/Logging_2482/tillsyn/A 46092-2023 tillsynsbegäran.docx", "A 46092-2023")</f>
        <v/>
      </c>
      <c r="Y70">
        <f>HYPERLINK("https://klasma.github.io/Logging_2482/tillsynsmail/A 46092-2023 tillsynsbegäran mail.docx", "A 46092-2023")</f>
        <v/>
      </c>
    </row>
    <row r="71" ht="15" customHeight="1">
      <c r="A71" t="inlineStr">
        <is>
          <t>A 39126-2025</t>
        </is>
      </c>
      <c r="B71" s="1" t="n">
        <v>45888.58637731482</v>
      </c>
      <c r="C71" s="1" t="n">
        <v>45931</v>
      </c>
      <c r="D71" t="inlineStr">
        <is>
          <t>VÄSTERBOTTENS LÄN</t>
        </is>
      </c>
      <c r="E71" t="inlineStr">
        <is>
          <t>SKELLEFTEÅ</t>
        </is>
      </c>
      <c r="F71" t="inlineStr">
        <is>
          <t>Holmen skog AB</t>
        </is>
      </c>
      <c r="G71" t="n">
        <v>1</v>
      </c>
      <c r="H71" t="n">
        <v>0</v>
      </c>
      <c r="I71" t="n">
        <v>3</v>
      </c>
      <c r="J71" t="n">
        <v>1</v>
      </c>
      <c r="K71" t="n">
        <v>0</v>
      </c>
      <c r="L71" t="n">
        <v>0</v>
      </c>
      <c r="M71" t="n">
        <v>0</v>
      </c>
      <c r="N71" t="n">
        <v>0</v>
      </c>
      <c r="O71" t="n">
        <v>1</v>
      </c>
      <c r="P71" t="n">
        <v>0</v>
      </c>
      <c r="Q71" t="n">
        <v>4</v>
      </c>
      <c r="R71" s="2" t="inlineStr">
        <is>
          <t>Gammelgransskål
Granbarkgnagare
Trådticka
Vedticka</t>
        </is>
      </c>
      <c r="S71">
        <f>HYPERLINK("https://klasma.github.io/Logging_2482/artfynd/A 39126-2025 artfynd.xlsx", "A 39126-2025")</f>
        <v/>
      </c>
      <c r="T71">
        <f>HYPERLINK("https://klasma.github.io/Logging_2482/kartor/A 39126-2025 karta.png", "A 39126-2025")</f>
        <v/>
      </c>
      <c r="U71">
        <f>HYPERLINK("https://klasma.github.io/Logging_2482/knärot/A 39126-2025 karta knärot.png", "A 39126-2025")</f>
        <v/>
      </c>
      <c r="V71">
        <f>HYPERLINK("https://klasma.github.io/Logging_2482/klagomål/A 39126-2025 FSC-klagomål.docx", "A 39126-2025")</f>
        <v/>
      </c>
      <c r="W71">
        <f>HYPERLINK("https://klasma.github.io/Logging_2482/klagomålsmail/A 39126-2025 FSC-klagomål mail.docx", "A 39126-2025")</f>
        <v/>
      </c>
      <c r="X71">
        <f>HYPERLINK("https://klasma.github.io/Logging_2482/tillsyn/A 39126-2025 tillsynsbegäran.docx", "A 39126-2025")</f>
        <v/>
      </c>
      <c r="Y71">
        <f>HYPERLINK("https://klasma.github.io/Logging_2482/tillsynsmail/A 39126-2025 tillsynsbegäran mail.docx", "A 39126-2025")</f>
        <v/>
      </c>
    </row>
    <row r="72" ht="15" customHeight="1">
      <c r="A72" t="inlineStr">
        <is>
          <t>A 62393-2023</t>
        </is>
      </c>
      <c r="B72" s="1" t="n">
        <v>45268</v>
      </c>
      <c r="C72" s="1" t="n">
        <v>45931</v>
      </c>
      <c r="D72" t="inlineStr">
        <is>
          <t>VÄSTERBOTTENS LÄN</t>
        </is>
      </c>
      <c r="E72" t="inlineStr">
        <is>
          <t>SKELLEFTEÅ</t>
        </is>
      </c>
      <c r="F72" t="inlineStr">
        <is>
          <t>Sveaskog</t>
        </is>
      </c>
      <c r="G72" t="n">
        <v>6.7</v>
      </c>
      <c r="H72" t="n">
        <v>0</v>
      </c>
      <c r="I72" t="n">
        <v>1</v>
      </c>
      <c r="J72" t="n">
        <v>3</v>
      </c>
      <c r="K72" t="n">
        <v>0</v>
      </c>
      <c r="L72" t="n">
        <v>0</v>
      </c>
      <c r="M72" t="n">
        <v>0</v>
      </c>
      <c r="N72" t="n">
        <v>0</v>
      </c>
      <c r="O72" t="n">
        <v>3</v>
      </c>
      <c r="P72" t="n">
        <v>0</v>
      </c>
      <c r="Q72" t="n">
        <v>4</v>
      </c>
      <c r="R72" s="2" t="inlineStr">
        <is>
          <t>Garnlav
Lunglav
Violettgrå tagellav
Bårdlav</t>
        </is>
      </c>
      <c r="S72">
        <f>HYPERLINK("https://klasma.github.io/Logging_2482/artfynd/A 62393-2023 artfynd.xlsx", "A 62393-2023")</f>
        <v/>
      </c>
      <c r="T72">
        <f>HYPERLINK("https://klasma.github.io/Logging_2482/kartor/A 62393-2023 karta.png", "A 62393-2023")</f>
        <v/>
      </c>
      <c r="V72">
        <f>HYPERLINK("https://klasma.github.io/Logging_2482/klagomål/A 62393-2023 FSC-klagomål.docx", "A 62393-2023")</f>
        <v/>
      </c>
      <c r="W72">
        <f>HYPERLINK("https://klasma.github.io/Logging_2482/klagomålsmail/A 62393-2023 FSC-klagomål mail.docx", "A 62393-2023")</f>
        <v/>
      </c>
      <c r="X72">
        <f>HYPERLINK("https://klasma.github.io/Logging_2482/tillsyn/A 62393-2023 tillsynsbegäran.docx", "A 62393-2023")</f>
        <v/>
      </c>
      <c r="Y72">
        <f>HYPERLINK("https://klasma.github.io/Logging_2482/tillsynsmail/A 62393-2023 tillsynsbegäran mail.docx", "A 62393-2023")</f>
        <v/>
      </c>
    </row>
    <row r="73" ht="15" customHeight="1">
      <c r="A73" t="inlineStr">
        <is>
          <t>A 55242-2024</t>
        </is>
      </c>
      <c r="B73" s="1" t="n">
        <v>45620</v>
      </c>
      <c r="C73" s="1" t="n">
        <v>45931</v>
      </c>
      <c r="D73" t="inlineStr">
        <is>
          <t>VÄSTERBOTTENS LÄN</t>
        </is>
      </c>
      <c r="E73" t="inlineStr">
        <is>
          <t>SKELLEFTEÅ</t>
        </is>
      </c>
      <c r="G73" t="n">
        <v>3.4</v>
      </c>
      <c r="H73" t="n">
        <v>0</v>
      </c>
      <c r="I73" t="n">
        <v>0</v>
      </c>
      <c r="J73" t="n">
        <v>3</v>
      </c>
      <c r="K73" t="n">
        <v>1</v>
      </c>
      <c r="L73" t="n">
        <v>0</v>
      </c>
      <c r="M73" t="n">
        <v>0</v>
      </c>
      <c r="N73" t="n">
        <v>0</v>
      </c>
      <c r="O73" t="n">
        <v>4</v>
      </c>
      <c r="P73" t="n">
        <v>1</v>
      </c>
      <c r="Q73" t="n">
        <v>4</v>
      </c>
      <c r="R73" s="2" t="inlineStr">
        <is>
          <t>Ostticka
Garnlav
Granticka
Ullticka</t>
        </is>
      </c>
      <c r="S73">
        <f>HYPERLINK("https://klasma.github.io/Logging_2482/artfynd/A 55242-2024 artfynd.xlsx", "A 55242-2024")</f>
        <v/>
      </c>
      <c r="T73">
        <f>HYPERLINK("https://klasma.github.io/Logging_2482/kartor/A 55242-2024 karta.png", "A 55242-2024")</f>
        <v/>
      </c>
      <c r="V73">
        <f>HYPERLINK("https://klasma.github.io/Logging_2482/klagomål/A 55242-2024 FSC-klagomål.docx", "A 55242-2024")</f>
        <v/>
      </c>
      <c r="W73">
        <f>HYPERLINK("https://klasma.github.io/Logging_2482/klagomålsmail/A 55242-2024 FSC-klagomål mail.docx", "A 55242-2024")</f>
        <v/>
      </c>
      <c r="X73">
        <f>HYPERLINK("https://klasma.github.io/Logging_2482/tillsyn/A 55242-2024 tillsynsbegäran.docx", "A 55242-2024")</f>
        <v/>
      </c>
      <c r="Y73">
        <f>HYPERLINK("https://klasma.github.io/Logging_2482/tillsynsmail/A 55242-2024 tillsynsbegäran mail.docx", "A 55242-2024")</f>
        <v/>
      </c>
    </row>
    <row r="74" ht="15" customHeight="1">
      <c r="A74" t="inlineStr">
        <is>
          <t>A 35164-2025</t>
        </is>
      </c>
      <c r="B74" s="1" t="n">
        <v>45852</v>
      </c>
      <c r="C74" s="1" t="n">
        <v>45931</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40414-2025</t>
        </is>
      </c>
      <c r="B75" s="1" t="n">
        <v>45895.57538194444</v>
      </c>
      <c r="C75" s="1" t="n">
        <v>45931</v>
      </c>
      <c r="D75" t="inlineStr">
        <is>
          <t>VÄSTERBOTTENS LÄN</t>
        </is>
      </c>
      <c r="E75" t="inlineStr">
        <is>
          <t>SKELLEFTEÅ</t>
        </is>
      </c>
      <c r="F75" t="inlineStr">
        <is>
          <t>Holmen skog AB</t>
        </is>
      </c>
      <c r="G75" t="n">
        <v>5.1</v>
      </c>
      <c r="H75" t="n">
        <v>1</v>
      </c>
      <c r="I75" t="n">
        <v>0</v>
      </c>
      <c r="J75" t="n">
        <v>4</v>
      </c>
      <c r="K75" t="n">
        <v>0</v>
      </c>
      <c r="L75" t="n">
        <v>0</v>
      </c>
      <c r="M75" t="n">
        <v>0</v>
      </c>
      <c r="N75" t="n">
        <v>0</v>
      </c>
      <c r="O75" t="n">
        <v>4</v>
      </c>
      <c r="P75" t="n">
        <v>0</v>
      </c>
      <c r="Q75" t="n">
        <v>4</v>
      </c>
      <c r="R75" s="2" t="inlineStr">
        <is>
          <t>Gammelgransskål
Garnlav
Tallticka
Tretåig hackspett</t>
        </is>
      </c>
      <c r="S75">
        <f>HYPERLINK("https://klasma.github.io/Logging_2482/artfynd/A 40414-2025 artfynd.xlsx", "A 40414-2025")</f>
        <v/>
      </c>
      <c r="T75">
        <f>HYPERLINK("https://klasma.github.io/Logging_2482/kartor/A 40414-2025 karta.png", "A 40414-2025")</f>
        <v/>
      </c>
      <c r="V75">
        <f>HYPERLINK("https://klasma.github.io/Logging_2482/klagomål/A 40414-2025 FSC-klagomål.docx", "A 40414-2025")</f>
        <v/>
      </c>
      <c r="W75">
        <f>HYPERLINK("https://klasma.github.io/Logging_2482/klagomålsmail/A 40414-2025 FSC-klagomål mail.docx", "A 40414-2025")</f>
        <v/>
      </c>
      <c r="X75">
        <f>HYPERLINK("https://klasma.github.io/Logging_2482/tillsyn/A 40414-2025 tillsynsbegäran.docx", "A 40414-2025")</f>
        <v/>
      </c>
      <c r="Y75">
        <f>HYPERLINK("https://klasma.github.io/Logging_2482/tillsynsmail/A 40414-2025 tillsynsbegäran mail.docx", "A 40414-2025")</f>
        <v/>
      </c>
      <c r="Z75">
        <f>HYPERLINK("https://klasma.github.io/Logging_2482/fåglar/A 40414-2025 prioriterade fågelarter.docx", "A 40414-2025")</f>
        <v/>
      </c>
    </row>
    <row r="76" ht="15" customHeight="1">
      <c r="A76" t="inlineStr">
        <is>
          <t>A 45210-2025</t>
        </is>
      </c>
      <c r="B76" s="1" t="n">
        <v>45919.56964120371</v>
      </c>
      <c r="C76" s="1" t="n">
        <v>45931</v>
      </c>
      <c r="D76" t="inlineStr">
        <is>
          <t>VÄSTERBOTTENS LÄN</t>
        </is>
      </c>
      <c r="E76" t="inlineStr">
        <is>
          <t>SKELLEFTEÅ</t>
        </is>
      </c>
      <c r="F76" t="inlineStr">
        <is>
          <t>Holmen skog AB</t>
        </is>
      </c>
      <c r="G76" t="n">
        <v>38.1</v>
      </c>
      <c r="H76" t="n">
        <v>1</v>
      </c>
      <c r="I76" t="n">
        <v>1</v>
      </c>
      <c r="J76" t="n">
        <v>1</v>
      </c>
      <c r="K76" t="n">
        <v>1</v>
      </c>
      <c r="L76" t="n">
        <v>0</v>
      </c>
      <c r="M76" t="n">
        <v>0</v>
      </c>
      <c r="N76" t="n">
        <v>0</v>
      </c>
      <c r="O76" t="n">
        <v>2</v>
      </c>
      <c r="P76" t="n">
        <v>1</v>
      </c>
      <c r="Q76" t="n">
        <v>4</v>
      </c>
      <c r="R76" s="2" t="inlineStr">
        <is>
          <t>Smalfotad taggsvamp
Vedskivlav
Dropptaggsvamp
Tjäder</t>
        </is>
      </c>
      <c r="S76">
        <f>HYPERLINK("https://klasma.github.io/Logging_2482/artfynd/A 45210-2025 artfynd.xlsx", "A 45210-2025")</f>
        <v/>
      </c>
      <c r="T76">
        <f>HYPERLINK("https://klasma.github.io/Logging_2482/kartor/A 45210-2025 karta.png", "A 45210-2025")</f>
        <v/>
      </c>
      <c r="V76">
        <f>HYPERLINK("https://klasma.github.io/Logging_2482/klagomål/A 45210-2025 FSC-klagomål.docx", "A 45210-2025")</f>
        <v/>
      </c>
      <c r="W76">
        <f>HYPERLINK("https://klasma.github.io/Logging_2482/klagomålsmail/A 45210-2025 FSC-klagomål mail.docx", "A 45210-2025")</f>
        <v/>
      </c>
      <c r="X76">
        <f>HYPERLINK("https://klasma.github.io/Logging_2482/tillsyn/A 45210-2025 tillsynsbegäran.docx", "A 45210-2025")</f>
        <v/>
      </c>
      <c r="Y76">
        <f>HYPERLINK("https://klasma.github.io/Logging_2482/tillsynsmail/A 45210-2025 tillsynsbegäran mail.docx", "A 45210-2025")</f>
        <v/>
      </c>
      <c r="Z76">
        <f>HYPERLINK("https://klasma.github.io/Logging_2482/fåglar/A 45210-2025 prioriterade fågelarter.docx", "A 45210-2025")</f>
        <v/>
      </c>
    </row>
    <row r="77" ht="15" customHeight="1">
      <c r="A77" t="inlineStr">
        <is>
          <t>A 55235-2024</t>
        </is>
      </c>
      <c r="B77" s="1" t="n">
        <v>45620</v>
      </c>
      <c r="C77" s="1" t="n">
        <v>45931</v>
      </c>
      <c r="D77" t="inlineStr">
        <is>
          <t>VÄSTERBOTTENS LÄN</t>
        </is>
      </c>
      <c r="E77" t="inlineStr">
        <is>
          <t>SKELLEFTEÅ</t>
        </is>
      </c>
      <c r="G77" t="n">
        <v>0.9</v>
      </c>
      <c r="H77" t="n">
        <v>1</v>
      </c>
      <c r="I77" t="n">
        <v>1</v>
      </c>
      <c r="J77" t="n">
        <v>2</v>
      </c>
      <c r="K77" t="n">
        <v>1</v>
      </c>
      <c r="L77" t="n">
        <v>0</v>
      </c>
      <c r="M77" t="n">
        <v>0</v>
      </c>
      <c r="N77" t="n">
        <v>0</v>
      </c>
      <c r="O77" t="n">
        <v>3</v>
      </c>
      <c r="P77" t="n">
        <v>1</v>
      </c>
      <c r="Q77" t="n">
        <v>4</v>
      </c>
      <c r="R77" s="2" t="inlineStr">
        <is>
          <t>Doftticka
Barkporlav
Lunglav
Bårdlav</t>
        </is>
      </c>
      <c r="S77">
        <f>HYPERLINK("https://klasma.github.io/Logging_2482/artfynd/A 55235-2024 artfynd.xlsx", "A 55235-2024")</f>
        <v/>
      </c>
      <c r="T77">
        <f>HYPERLINK("https://klasma.github.io/Logging_2482/kartor/A 55235-2024 karta.png", "A 55235-2024")</f>
        <v/>
      </c>
      <c r="V77">
        <f>HYPERLINK("https://klasma.github.io/Logging_2482/klagomål/A 55235-2024 FSC-klagomål.docx", "A 55235-2024")</f>
        <v/>
      </c>
      <c r="W77">
        <f>HYPERLINK("https://klasma.github.io/Logging_2482/klagomålsmail/A 55235-2024 FSC-klagomål mail.docx", "A 55235-2024")</f>
        <v/>
      </c>
      <c r="X77">
        <f>HYPERLINK("https://klasma.github.io/Logging_2482/tillsyn/A 55235-2024 tillsynsbegäran.docx", "A 55235-2024")</f>
        <v/>
      </c>
      <c r="Y77">
        <f>HYPERLINK("https://klasma.github.io/Logging_2482/tillsynsmail/A 55235-2024 tillsynsbegäran mail.docx", "A 55235-2024")</f>
        <v/>
      </c>
    </row>
    <row r="78" ht="15" customHeight="1">
      <c r="A78" t="inlineStr">
        <is>
          <t>A 68690-2020</t>
        </is>
      </c>
      <c r="B78" s="1" t="n">
        <v>44186</v>
      </c>
      <c r="C78" s="1" t="n">
        <v>45931</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45931</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58525-2023</t>
        </is>
      </c>
      <c r="B80" s="1" t="n">
        <v>45251.38579861111</v>
      </c>
      <c r="C80" s="1" t="n">
        <v>45931</v>
      </c>
      <c r="D80" t="inlineStr">
        <is>
          <t>VÄSTERBOTTENS LÄN</t>
        </is>
      </c>
      <c r="E80" t="inlineStr">
        <is>
          <t>SKELLEFTEÅ</t>
        </is>
      </c>
      <c r="F80" t="inlineStr">
        <is>
          <t>Holmen skog AB</t>
        </is>
      </c>
      <c r="G80" t="n">
        <v>19.1</v>
      </c>
      <c r="H80" t="n">
        <v>1</v>
      </c>
      <c r="I80" t="n">
        <v>0</v>
      </c>
      <c r="J80" t="n">
        <v>3</v>
      </c>
      <c r="K80" t="n">
        <v>0</v>
      </c>
      <c r="L80" t="n">
        <v>0</v>
      </c>
      <c r="M80" t="n">
        <v>0</v>
      </c>
      <c r="N80" t="n">
        <v>0</v>
      </c>
      <c r="O80" t="n">
        <v>3</v>
      </c>
      <c r="P80" t="n">
        <v>0</v>
      </c>
      <c r="Q80" t="n">
        <v>3</v>
      </c>
      <c r="R80" s="2" t="inlineStr">
        <is>
          <t>Garnlav
Tretåig hackspett
Vedskivlav</t>
        </is>
      </c>
      <c r="S80">
        <f>HYPERLINK("https://klasma.github.io/Logging_2482/artfynd/A 58525-2023 artfynd.xlsx", "A 58525-2023")</f>
        <v/>
      </c>
      <c r="T80">
        <f>HYPERLINK("https://klasma.github.io/Logging_2482/kartor/A 58525-2023 karta.png", "A 58525-2023")</f>
        <v/>
      </c>
      <c r="V80">
        <f>HYPERLINK("https://klasma.github.io/Logging_2482/klagomål/A 58525-2023 FSC-klagomål.docx", "A 58525-2023")</f>
        <v/>
      </c>
      <c r="W80">
        <f>HYPERLINK("https://klasma.github.io/Logging_2482/klagomålsmail/A 58525-2023 FSC-klagomål mail.docx", "A 58525-2023")</f>
        <v/>
      </c>
      <c r="X80">
        <f>HYPERLINK("https://klasma.github.io/Logging_2482/tillsyn/A 58525-2023 tillsynsbegäran.docx", "A 58525-2023")</f>
        <v/>
      </c>
      <c r="Y80">
        <f>HYPERLINK("https://klasma.github.io/Logging_2482/tillsynsmail/A 58525-2023 tillsynsbegäran mail.docx", "A 58525-2023")</f>
        <v/>
      </c>
      <c r="Z80">
        <f>HYPERLINK("https://klasma.github.io/Logging_2482/fåglar/A 58525-2023 prioriterade fågelarter.docx", "A 58525-2023")</f>
        <v/>
      </c>
    </row>
    <row r="81" ht="15" customHeight="1">
      <c r="A81" t="inlineStr">
        <is>
          <t>A 40987-2022</t>
        </is>
      </c>
      <c r="B81" s="1" t="n">
        <v>44823</v>
      </c>
      <c r="C81" s="1" t="n">
        <v>45931</v>
      </c>
      <c r="D81" t="inlineStr">
        <is>
          <t>VÄSTERBOTTENS LÄN</t>
        </is>
      </c>
      <c r="E81" t="inlineStr">
        <is>
          <t>SKELLEFTEÅ</t>
        </is>
      </c>
      <c r="G81" t="n">
        <v>7.1</v>
      </c>
      <c r="H81" t="n">
        <v>0</v>
      </c>
      <c r="I81" t="n">
        <v>2</v>
      </c>
      <c r="J81" t="n">
        <v>1</v>
      </c>
      <c r="K81" t="n">
        <v>0</v>
      </c>
      <c r="L81" t="n">
        <v>0</v>
      </c>
      <c r="M81" t="n">
        <v>0</v>
      </c>
      <c r="N81" t="n">
        <v>0</v>
      </c>
      <c r="O81" t="n">
        <v>1</v>
      </c>
      <c r="P81" t="n">
        <v>0</v>
      </c>
      <c r="Q81" t="n">
        <v>3</v>
      </c>
      <c r="R81" s="2" t="inlineStr">
        <is>
          <t>Blå taggsvamp
Bårdlav
Norrlandslav</t>
        </is>
      </c>
      <c r="S81">
        <f>HYPERLINK("https://klasma.github.io/Logging_2482/artfynd/A 40987-2022 artfynd.xlsx", "A 40987-2022")</f>
        <v/>
      </c>
      <c r="T81">
        <f>HYPERLINK("https://klasma.github.io/Logging_2482/kartor/A 40987-2022 karta.png", "A 40987-2022")</f>
        <v/>
      </c>
      <c r="V81">
        <f>HYPERLINK("https://klasma.github.io/Logging_2482/klagomål/A 40987-2022 FSC-klagomål.docx", "A 40987-2022")</f>
        <v/>
      </c>
      <c r="W81">
        <f>HYPERLINK("https://klasma.github.io/Logging_2482/klagomålsmail/A 40987-2022 FSC-klagomål mail.docx", "A 40987-2022")</f>
        <v/>
      </c>
      <c r="X81">
        <f>HYPERLINK("https://klasma.github.io/Logging_2482/tillsyn/A 40987-2022 tillsynsbegäran.docx", "A 40987-2022")</f>
        <v/>
      </c>
      <c r="Y81">
        <f>HYPERLINK("https://klasma.github.io/Logging_2482/tillsynsmail/A 40987-2022 tillsynsbegäran mail.docx", "A 40987-2022")</f>
        <v/>
      </c>
    </row>
    <row r="82" ht="15" customHeight="1">
      <c r="A82" t="inlineStr">
        <is>
          <t>A 38401-2025</t>
        </is>
      </c>
      <c r="B82" s="1" t="n">
        <v>45883.58827546296</v>
      </c>
      <c r="C82" s="1" t="n">
        <v>45931</v>
      </c>
      <c r="D82" t="inlineStr">
        <is>
          <t>VÄSTERBOTTENS LÄN</t>
        </is>
      </c>
      <c r="E82" t="inlineStr">
        <is>
          <t>SKELLEFTEÅ</t>
        </is>
      </c>
      <c r="F82" t="inlineStr">
        <is>
          <t>Holmen skog AB</t>
        </is>
      </c>
      <c r="G82" t="n">
        <v>9.5</v>
      </c>
      <c r="H82" t="n">
        <v>0</v>
      </c>
      <c r="I82" t="n">
        <v>1</v>
      </c>
      <c r="J82" t="n">
        <v>2</v>
      </c>
      <c r="K82" t="n">
        <v>0</v>
      </c>
      <c r="L82" t="n">
        <v>0</v>
      </c>
      <c r="M82" t="n">
        <v>0</v>
      </c>
      <c r="N82" t="n">
        <v>0</v>
      </c>
      <c r="O82" t="n">
        <v>2</v>
      </c>
      <c r="P82" t="n">
        <v>0</v>
      </c>
      <c r="Q82" t="n">
        <v>3</v>
      </c>
      <c r="R82" s="2" t="inlineStr">
        <is>
          <t>Ullticka
Violettgrå tagellav
Ögonpyrola</t>
        </is>
      </c>
      <c r="S82">
        <f>HYPERLINK("https://klasma.github.io/Logging_2482/artfynd/A 38401-2025 artfynd.xlsx", "A 38401-2025")</f>
        <v/>
      </c>
      <c r="T82">
        <f>HYPERLINK("https://klasma.github.io/Logging_2482/kartor/A 38401-2025 karta.png", "A 38401-2025")</f>
        <v/>
      </c>
      <c r="V82">
        <f>HYPERLINK("https://klasma.github.io/Logging_2482/klagomål/A 38401-2025 FSC-klagomål.docx", "A 38401-2025")</f>
        <v/>
      </c>
      <c r="W82">
        <f>HYPERLINK("https://klasma.github.io/Logging_2482/klagomålsmail/A 38401-2025 FSC-klagomål mail.docx", "A 38401-2025")</f>
        <v/>
      </c>
      <c r="X82">
        <f>HYPERLINK("https://klasma.github.io/Logging_2482/tillsyn/A 38401-2025 tillsynsbegäran.docx", "A 38401-2025")</f>
        <v/>
      </c>
      <c r="Y82">
        <f>HYPERLINK("https://klasma.github.io/Logging_2482/tillsynsmail/A 38401-2025 tillsynsbegäran mail.docx", "A 38401-2025")</f>
        <v/>
      </c>
    </row>
    <row r="83" ht="15" customHeight="1">
      <c r="A83" t="inlineStr">
        <is>
          <t>A 44152-2023</t>
        </is>
      </c>
      <c r="B83" s="1" t="n">
        <v>45188.47930555556</v>
      </c>
      <c r="C83" s="1" t="n">
        <v>45931</v>
      </c>
      <c r="D83" t="inlineStr">
        <is>
          <t>VÄSTERBOTTENS LÄN</t>
        </is>
      </c>
      <c r="E83" t="inlineStr">
        <is>
          <t>SKELLEFTEÅ</t>
        </is>
      </c>
      <c r="F83" t="inlineStr">
        <is>
          <t>Holmen skog AB</t>
        </is>
      </c>
      <c r="G83" t="n">
        <v>9.199999999999999</v>
      </c>
      <c r="H83" t="n">
        <v>1</v>
      </c>
      <c r="I83" t="n">
        <v>0</v>
      </c>
      <c r="J83" t="n">
        <v>3</v>
      </c>
      <c r="K83" t="n">
        <v>0</v>
      </c>
      <c r="L83" t="n">
        <v>0</v>
      </c>
      <c r="M83" t="n">
        <v>0</v>
      </c>
      <c r="N83" t="n">
        <v>0</v>
      </c>
      <c r="O83" t="n">
        <v>3</v>
      </c>
      <c r="P83" t="n">
        <v>0</v>
      </c>
      <c r="Q83" t="n">
        <v>3</v>
      </c>
      <c r="R83" s="2" t="inlineStr">
        <is>
          <t>Gammelgransskål
Garnlav
Videsparv</t>
        </is>
      </c>
      <c r="S83">
        <f>HYPERLINK("https://klasma.github.io/Logging_2482/artfynd/A 44152-2023 artfynd.xlsx", "A 44152-2023")</f>
        <v/>
      </c>
      <c r="T83">
        <f>HYPERLINK("https://klasma.github.io/Logging_2482/kartor/A 44152-2023 karta.png", "A 44152-2023")</f>
        <v/>
      </c>
      <c r="V83">
        <f>HYPERLINK("https://klasma.github.io/Logging_2482/klagomål/A 44152-2023 FSC-klagomål.docx", "A 44152-2023")</f>
        <v/>
      </c>
      <c r="W83">
        <f>HYPERLINK("https://klasma.github.io/Logging_2482/klagomålsmail/A 44152-2023 FSC-klagomål mail.docx", "A 44152-2023")</f>
        <v/>
      </c>
      <c r="X83">
        <f>HYPERLINK("https://klasma.github.io/Logging_2482/tillsyn/A 44152-2023 tillsynsbegäran.docx", "A 44152-2023")</f>
        <v/>
      </c>
      <c r="Y83">
        <f>HYPERLINK("https://klasma.github.io/Logging_2482/tillsynsmail/A 44152-2023 tillsynsbegäran mail.docx", "A 44152-2023")</f>
        <v/>
      </c>
      <c r="Z83">
        <f>HYPERLINK("https://klasma.github.io/Logging_2482/fåglar/A 44152-2023 prioriterade fågelarter.docx", "A 44152-2023")</f>
        <v/>
      </c>
    </row>
    <row r="84" ht="15" customHeight="1">
      <c r="A84" t="inlineStr">
        <is>
          <t>A 23299-2025</t>
        </is>
      </c>
      <c r="B84" s="1" t="n">
        <v>45791.59457175926</v>
      </c>
      <c r="C84" s="1" t="n">
        <v>45931</v>
      </c>
      <c r="D84" t="inlineStr">
        <is>
          <t>VÄSTERBOTTENS LÄN</t>
        </is>
      </c>
      <c r="E84" t="inlineStr">
        <is>
          <t>SKELLEFTEÅ</t>
        </is>
      </c>
      <c r="F84" t="inlineStr">
        <is>
          <t>Holmen skog AB</t>
        </is>
      </c>
      <c r="G84" t="n">
        <v>1.5</v>
      </c>
      <c r="H84" t="n">
        <v>1</v>
      </c>
      <c r="I84" t="n">
        <v>2</v>
      </c>
      <c r="J84" t="n">
        <v>1</v>
      </c>
      <c r="K84" t="n">
        <v>0</v>
      </c>
      <c r="L84" t="n">
        <v>0</v>
      </c>
      <c r="M84" t="n">
        <v>0</v>
      </c>
      <c r="N84" t="n">
        <v>0</v>
      </c>
      <c r="O84" t="n">
        <v>1</v>
      </c>
      <c r="P84" t="n">
        <v>0</v>
      </c>
      <c r="Q84" t="n">
        <v>3</v>
      </c>
      <c r="R84" s="2" t="inlineStr">
        <is>
          <t>Garnlav
Nästlav
Plattlummer</t>
        </is>
      </c>
      <c r="S84">
        <f>HYPERLINK("https://klasma.github.io/Logging_2482/artfynd/A 23299-2025 artfynd.xlsx", "A 23299-2025")</f>
        <v/>
      </c>
      <c r="T84">
        <f>HYPERLINK("https://klasma.github.io/Logging_2482/kartor/A 23299-2025 karta.png", "A 23299-2025")</f>
        <v/>
      </c>
      <c r="V84">
        <f>HYPERLINK("https://klasma.github.io/Logging_2482/klagomål/A 23299-2025 FSC-klagomål.docx", "A 23299-2025")</f>
        <v/>
      </c>
      <c r="W84">
        <f>HYPERLINK("https://klasma.github.io/Logging_2482/klagomålsmail/A 23299-2025 FSC-klagomål mail.docx", "A 23299-2025")</f>
        <v/>
      </c>
      <c r="X84">
        <f>HYPERLINK("https://klasma.github.io/Logging_2482/tillsyn/A 23299-2025 tillsynsbegäran.docx", "A 23299-2025")</f>
        <v/>
      </c>
      <c r="Y84">
        <f>HYPERLINK("https://klasma.github.io/Logging_2482/tillsynsmail/A 23299-2025 tillsynsbegäran mail.docx", "A 23299-2025")</f>
        <v/>
      </c>
    </row>
    <row r="85" ht="15" customHeight="1">
      <c r="A85" t="inlineStr">
        <is>
          <t>A 23725-2025</t>
        </is>
      </c>
      <c r="B85" s="1" t="n">
        <v>45793.40694444445</v>
      </c>
      <c r="C85" s="1" t="n">
        <v>45931</v>
      </c>
      <c r="D85" t="inlineStr">
        <is>
          <t>VÄSTERBOTTENS LÄN</t>
        </is>
      </c>
      <c r="E85" t="inlineStr">
        <is>
          <t>SKELLEFTEÅ</t>
        </is>
      </c>
      <c r="G85" t="n">
        <v>6.3</v>
      </c>
      <c r="H85" t="n">
        <v>2</v>
      </c>
      <c r="I85" t="n">
        <v>0</v>
      </c>
      <c r="J85" t="n">
        <v>2</v>
      </c>
      <c r="K85" t="n">
        <v>0</v>
      </c>
      <c r="L85" t="n">
        <v>0</v>
      </c>
      <c r="M85" t="n">
        <v>0</v>
      </c>
      <c r="N85" t="n">
        <v>0</v>
      </c>
      <c r="O85" t="n">
        <v>2</v>
      </c>
      <c r="P85" t="n">
        <v>0</v>
      </c>
      <c r="Q85" t="n">
        <v>3</v>
      </c>
      <c r="R85" s="2" t="inlineStr">
        <is>
          <t>Garnlav
Nordfladdermus
Fläcknycklar</t>
        </is>
      </c>
      <c r="S85">
        <f>HYPERLINK("https://klasma.github.io/Logging_2482/artfynd/A 23725-2025 artfynd.xlsx", "A 23725-2025")</f>
        <v/>
      </c>
      <c r="T85">
        <f>HYPERLINK("https://klasma.github.io/Logging_2482/kartor/A 23725-2025 karta.png", "A 23725-2025")</f>
        <v/>
      </c>
      <c r="V85">
        <f>HYPERLINK("https://klasma.github.io/Logging_2482/klagomål/A 23725-2025 FSC-klagomål.docx", "A 23725-2025")</f>
        <v/>
      </c>
      <c r="W85">
        <f>HYPERLINK("https://klasma.github.io/Logging_2482/klagomålsmail/A 23725-2025 FSC-klagomål mail.docx", "A 23725-2025")</f>
        <v/>
      </c>
      <c r="X85">
        <f>HYPERLINK("https://klasma.github.io/Logging_2482/tillsyn/A 23725-2025 tillsynsbegäran.docx", "A 23725-2025")</f>
        <v/>
      </c>
      <c r="Y85">
        <f>HYPERLINK("https://klasma.github.io/Logging_2482/tillsynsmail/A 23725-2025 tillsynsbegäran mail.docx", "A 23725-2025")</f>
        <v/>
      </c>
    </row>
    <row r="86" ht="15" customHeight="1">
      <c r="A86" t="inlineStr">
        <is>
          <t>A 20379-2025</t>
        </is>
      </c>
      <c r="B86" s="1" t="n">
        <v>45775.42733796296</v>
      </c>
      <c r="C86" s="1" t="n">
        <v>45931</v>
      </c>
      <c r="D86" t="inlineStr">
        <is>
          <t>VÄSTERBOTTENS LÄN</t>
        </is>
      </c>
      <c r="E86" t="inlineStr">
        <is>
          <t>SKELLEFTEÅ</t>
        </is>
      </c>
      <c r="G86" t="n">
        <v>3.3</v>
      </c>
      <c r="H86" t="n">
        <v>0</v>
      </c>
      <c r="I86" t="n">
        <v>0</v>
      </c>
      <c r="J86" t="n">
        <v>3</v>
      </c>
      <c r="K86" t="n">
        <v>0</v>
      </c>
      <c r="L86" t="n">
        <v>0</v>
      </c>
      <c r="M86" t="n">
        <v>0</v>
      </c>
      <c r="N86" t="n">
        <v>0</v>
      </c>
      <c r="O86" t="n">
        <v>3</v>
      </c>
      <c r="P86" t="n">
        <v>0</v>
      </c>
      <c r="Q86" t="n">
        <v>3</v>
      </c>
      <c r="R86" s="2" t="inlineStr">
        <is>
          <t>Granticka
Orange taggsvamp
Violettgrå tagellav</t>
        </is>
      </c>
      <c r="S86">
        <f>HYPERLINK("https://klasma.github.io/Logging_2482/artfynd/A 20379-2025 artfynd.xlsx", "A 20379-2025")</f>
        <v/>
      </c>
      <c r="T86">
        <f>HYPERLINK("https://klasma.github.io/Logging_2482/kartor/A 20379-2025 karta.png", "A 20379-2025")</f>
        <v/>
      </c>
      <c r="V86">
        <f>HYPERLINK("https://klasma.github.io/Logging_2482/klagomål/A 20379-2025 FSC-klagomål.docx", "A 20379-2025")</f>
        <v/>
      </c>
      <c r="W86">
        <f>HYPERLINK("https://klasma.github.io/Logging_2482/klagomålsmail/A 20379-2025 FSC-klagomål mail.docx", "A 20379-2025")</f>
        <v/>
      </c>
      <c r="X86">
        <f>HYPERLINK("https://klasma.github.io/Logging_2482/tillsyn/A 20379-2025 tillsynsbegäran.docx", "A 20379-2025")</f>
        <v/>
      </c>
      <c r="Y86">
        <f>HYPERLINK("https://klasma.github.io/Logging_2482/tillsynsmail/A 20379-2025 tillsynsbegäran mail.docx", "A 20379-2025")</f>
        <v/>
      </c>
    </row>
    <row r="87" ht="15" customHeight="1">
      <c r="A87" t="inlineStr">
        <is>
          <t>A 29725-2021</t>
        </is>
      </c>
      <c r="B87" s="1" t="n">
        <v>44362.44362268518</v>
      </c>
      <c r="C87" s="1" t="n">
        <v>45931</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56435-2023</t>
        </is>
      </c>
      <c r="B88" s="1" t="n">
        <v>45243</v>
      </c>
      <c r="C88" s="1" t="n">
        <v>45931</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41099-2023</t>
        </is>
      </c>
      <c r="B89" s="1" t="n">
        <v>45173.68905092592</v>
      </c>
      <c r="C89" s="1" t="n">
        <v>45931</v>
      </c>
      <c r="D89" t="inlineStr">
        <is>
          <t>VÄSTERBOTTENS LÄN</t>
        </is>
      </c>
      <c r="E89" t="inlineStr">
        <is>
          <t>SKELLEFTEÅ</t>
        </is>
      </c>
      <c r="F89" t="inlineStr">
        <is>
          <t>Holmen skog AB</t>
        </is>
      </c>
      <c r="G89" t="n">
        <v>7.3</v>
      </c>
      <c r="H89" t="n">
        <v>0</v>
      </c>
      <c r="I89" t="n">
        <v>0</v>
      </c>
      <c r="J89" t="n">
        <v>3</v>
      </c>
      <c r="K89" t="n">
        <v>0</v>
      </c>
      <c r="L89" t="n">
        <v>0</v>
      </c>
      <c r="M89" t="n">
        <v>0</v>
      </c>
      <c r="N89" t="n">
        <v>0</v>
      </c>
      <c r="O89" t="n">
        <v>3</v>
      </c>
      <c r="P89" t="n">
        <v>0</v>
      </c>
      <c r="Q89" t="n">
        <v>3</v>
      </c>
      <c r="R89" s="2" t="inlineStr">
        <is>
          <t>Gammelgransskål
Garnlav
Lunglav</t>
        </is>
      </c>
      <c r="S89">
        <f>HYPERLINK("https://klasma.github.io/Logging_2482/artfynd/A 41099-2023 artfynd.xlsx", "A 41099-2023")</f>
        <v/>
      </c>
      <c r="T89">
        <f>HYPERLINK("https://klasma.github.io/Logging_2482/kartor/A 41099-2023 karta.png", "A 41099-2023")</f>
        <v/>
      </c>
      <c r="V89">
        <f>HYPERLINK("https://klasma.github.io/Logging_2482/klagomål/A 41099-2023 FSC-klagomål.docx", "A 41099-2023")</f>
        <v/>
      </c>
      <c r="W89">
        <f>HYPERLINK("https://klasma.github.io/Logging_2482/klagomålsmail/A 41099-2023 FSC-klagomål mail.docx", "A 41099-2023")</f>
        <v/>
      </c>
      <c r="X89">
        <f>HYPERLINK("https://klasma.github.io/Logging_2482/tillsyn/A 41099-2023 tillsynsbegäran.docx", "A 41099-2023")</f>
        <v/>
      </c>
      <c r="Y89">
        <f>HYPERLINK("https://klasma.github.io/Logging_2482/tillsynsmail/A 41099-2023 tillsynsbegäran mail.docx", "A 41099-2023")</f>
        <v/>
      </c>
    </row>
    <row r="90" ht="15" customHeight="1">
      <c r="A90" t="inlineStr">
        <is>
          <t>A 41412-2022</t>
        </is>
      </c>
      <c r="B90" s="1" t="n">
        <v>44826</v>
      </c>
      <c r="C90" s="1" t="n">
        <v>45931</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32937-2025</t>
        </is>
      </c>
      <c r="B91" s="1" t="n">
        <v>45839.67740740741</v>
      </c>
      <c r="C91" s="1" t="n">
        <v>45931</v>
      </c>
      <c r="D91" t="inlineStr">
        <is>
          <t>VÄSTERBOTTENS LÄN</t>
        </is>
      </c>
      <c r="E91" t="inlineStr">
        <is>
          <t>SKELLEFTEÅ</t>
        </is>
      </c>
      <c r="F91" t="inlineStr">
        <is>
          <t>Holmen skog AB</t>
        </is>
      </c>
      <c r="G91" t="n">
        <v>24.3</v>
      </c>
      <c r="H91" t="n">
        <v>2</v>
      </c>
      <c r="I91" t="n">
        <v>0</v>
      </c>
      <c r="J91" t="n">
        <v>3</v>
      </c>
      <c r="K91" t="n">
        <v>0</v>
      </c>
      <c r="L91" t="n">
        <v>0</v>
      </c>
      <c r="M91" t="n">
        <v>0</v>
      </c>
      <c r="N91" t="n">
        <v>0</v>
      </c>
      <c r="O91" t="n">
        <v>3</v>
      </c>
      <c r="P91" t="n">
        <v>0</v>
      </c>
      <c r="Q91" t="n">
        <v>3</v>
      </c>
      <c r="R91" s="2" t="inlineStr">
        <is>
          <t>Garnlav
Spillkråka
Talltita</t>
        </is>
      </c>
      <c r="S91">
        <f>HYPERLINK("https://klasma.github.io/Logging_2482/artfynd/A 32937-2025 artfynd.xlsx", "A 32937-2025")</f>
        <v/>
      </c>
      <c r="T91">
        <f>HYPERLINK("https://klasma.github.io/Logging_2482/kartor/A 32937-2025 karta.png", "A 32937-2025")</f>
        <v/>
      </c>
      <c r="V91">
        <f>HYPERLINK("https://klasma.github.io/Logging_2482/klagomål/A 32937-2025 FSC-klagomål.docx", "A 32937-2025")</f>
        <v/>
      </c>
      <c r="W91">
        <f>HYPERLINK("https://klasma.github.io/Logging_2482/klagomålsmail/A 32937-2025 FSC-klagomål mail.docx", "A 32937-2025")</f>
        <v/>
      </c>
      <c r="X91">
        <f>HYPERLINK("https://klasma.github.io/Logging_2482/tillsyn/A 32937-2025 tillsynsbegäran.docx", "A 32937-2025")</f>
        <v/>
      </c>
      <c r="Y91">
        <f>HYPERLINK("https://klasma.github.io/Logging_2482/tillsynsmail/A 32937-2025 tillsynsbegäran mail.docx", "A 32937-2025")</f>
        <v/>
      </c>
      <c r="Z91">
        <f>HYPERLINK("https://klasma.github.io/Logging_2482/fåglar/A 32937-2025 prioriterade fågelarter.docx", "A 32937-2025")</f>
        <v/>
      </c>
    </row>
    <row r="92" ht="15" customHeight="1">
      <c r="A92" t="inlineStr">
        <is>
          <t>A 42687-2022</t>
        </is>
      </c>
      <c r="B92" s="1" t="n">
        <v>44831</v>
      </c>
      <c r="C92" s="1" t="n">
        <v>45931</v>
      </c>
      <c r="D92" t="inlineStr">
        <is>
          <t>VÄSTERBOTTENS LÄN</t>
        </is>
      </c>
      <c r="E92" t="inlineStr">
        <is>
          <t>SKELLEFTEÅ</t>
        </is>
      </c>
      <c r="G92" t="n">
        <v>2.7</v>
      </c>
      <c r="H92" t="n">
        <v>0</v>
      </c>
      <c r="I92" t="n">
        <v>0</v>
      </c>
      <c r="J92" t="n">
        <v>3</v>
      </c>
      <c r="K92" t="n">
        <v>0</v>
      </c>
      <c r="L92" t="n">
        <v>0</v>
      </c>
      <c r="M92" t="n">
        <v>0</v>
      </c>
      <c r="N92" t="n">
        <v>0</v>
      </c>
      <c r="O92" t="n">
        <v>3</v>
      </c>
      <c r="P92" t="n">
        <v>0</v>
      </c>
      <c r="Q92" t="n">
        <v>3</v>
      </c>
      <c r="R92" s="2" t="inlineStr">
        <is>
          <t>Granticka
Stjärntagging
Ullticka</t>
        </is>
      </c>
      <c r="S92">
        <f>HYPERLINK("https://klasma.github.io/Logging_2482/artfynd/A 42687-2022 artfynd.xlsx", "A 42687-2022")</f>
        <v/>
      </c>
      <c r="T92">
        <f>HYPERLINK("https://klasma.github.io/Logging_2482/kartor/A 42687-2022 karta.png", "A 42687-2022")</f>
        <v/>
      </c>
      <c r="V92">
        <f>HYPERLINK("https://klasma.github.io/Logging_2482/klagomål/A 42687-2022 FSC-klagomål.docx", "A 42687-2022")</f>
        <v/>
      </c>
      <c r="W92">
        <f>HYPERLINK("https://klasma.github.io/Logging_2482/klagomålsmail/A 42687-2022 FSC-klagomål mail.docx", "A 42687-2022")</f>
        <v/>
      </c>
      <c r="X92">
        <f>HYPERLINK("https://klasma.github.io/Logging_2482/tillsyn/A 42687-2022 tillsynsbegäran.docx", "A 42687-2022")</f>
        <v/>
      </c>
      <c r="Y92">
        <f>HYPERLINK("https://klasma.github.io/Logging_2482/tillsynsmail/A 42687-2022 tillsynsbegäran mail.docx", "A 42687-2022")</f>
        <v/>
      </c>
    </row>
    <row r="93" ht="15" customHeight="1">
      <c r="A93" t="inlineStr">
        <is>
          <t>A 35159-2025</t>
        </is>
      </c>
      <c r="B93" s="1" t="n">
        <v>45852</v>
      </c>
      <c r="C93" s="1" t="n">
        <v>45931</v>
      </c>
      <c r="D93" t="inlineStr">
        <is>
          <t>VÄSTERBOTTENS LÄN</t>
        </is>
      </c>
      <c r="E93" t="inlineStr">
        <is>
          <t>SKELLEFTEÅ</t>
        </is>
      </c>
      <c r="G93" t="n">
        <v>3.3</v>
      </c>
      <c r="H93" t="n">
        <v>1</v>
      </c>
      <c r="I93" t="n">
        <v>0</v>
      </c>
      <c r="J93" t="n">
        <v>2</v>
      </c>
      <c r="K93" t="n">
        <v>0</v>
      </c>
      <c r="L93" t="n">
        <v>0</v>
      </c>
      <c r="M93" t="n">
        <v>0</v>
      </c>
      <c r="N93" t="n">
        <v>0</v>
      </c>
      <c r="O93" t="n">
        <v>3</v>
      </c>
      <c r="P93" t="n">
        <v>0</v>
      </c>
      <c r="Q93" t="n">
        <v>3</v>
      </c>
      <c r="R93" s="2" t="inlineStr">
        <is>
          <t>Granticka
Talltita
Postia balsamina</t>
        </is>
      </c>
      <c r="S93">
        <f>HYPERLINK("https://klasma.github.io/Logging_2482/artfynd/A 35159-2025 artfynd.xlsx", "A 35159-2025")</f>
        <v/>
      </c>
      <c r="T93">
        <f>HYPERLINK("https://klasma.github.io/Logging_2482/kartor/A 35159-2025 karta.png", "A 35159-2025")</f>
        <v/>
      </c>
      <c r="V93">
        <f>HYPERLINK("https://klasma.github.io/Logging_2482/klagomål/A 35159-2025 FSC-klagomål.docx", "A 35159-2025")</f>
        <v/>
      </c>
      <c r="W93">
        <f>HYPERLINK("https://klasma.github.io/Logging_2482/klagomålsmail/A 35159-2025 FSC-klagomål mail.docx", "A 35159-2025")</f>
        <v/>
      </c>
      <c r="X93">
        <f>HYPERLINK("https://klasma.github.io/Logging_2482/tillsyn/A 35159-2025 tillsynsbegäran.docx", "A 35159-2025")</f>
        <v/>
      </c>
      <c r="Y93">
        <f>HYPERLINK("https://klasma.github.io/Logging_2482/tillsynsmail/A 35159-2025 tillsynsbegäran mail.docx", "A 35159-2025")</f>
        <v/>
      </c>
      <c r="Z93">
        <f>HYPERLINK("https://klasma.github.io/Logging_2482/fåglar/A 35159-2025 prioriterade fågelarter.docx", "A 35159-2025")</f>
        <v/>
      </c>
    </row>
    <row r="94" ht="15" customHeight="1">
      <c r="A94" t="inlineStr">
        <is>
          <t>A 14498-2022</t>
        </is>
      </c>
      <c r="B94" s="1" t="n">
        <v>44655</v>
      </c>
      <c r="C94" s="1" t="n">
        <v>45931</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62595-2023</t>
        </is>
      </c>
      <c r="B95" s="1" t="n">
        <v>45267</v>
      </c>
      <c r="C95" s="1" t="n">
        <v>45931</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33858-2024</t>
        </is>
      </c>
      <c r="B96" s="1" t="n">
        <v>45520</v>
      </c>
      <c r="C96" s="1" t="n">
        <v>45931</v>
      </c>
      <c r="D96" t="inlineStr">
        <is>
          <t>VÄSTERBOTTENS LÄN</t>
        </is>
      </c>
      <c r="E96" t="inlineStr">
        <is>
          <t>SKELLEFTEÅ</t>
        </is>
      </c>
      <c r="F96" t="inlineStr">
        <is>
          <t>Holmen skog AB</t>
        </is>
      </c>
      <c r="G96" t="n">
        <v>1.5</v>
      </c>
      <c r="H96" t="n">
        <v>0</v>
      </c>
      <c r="I96" t="n">
        <v>1</v>
      </c>
      <c r="J96" t="n">
        <v>2</v>
      </c>
      <c r="K96" t="n">
        <v>0</v>
      </c>
      <c r="L96" t="n">
        <v>0</v>
      </c>
      <c r="M96" t="n">
        <v>0</v>
      </c>
      <c r="N96" t="n">
        <v>0</v>
      </c>
      <c r="O96" t="n">
        <v>2</v>
      </c>
      <c r="P96" t="n">
        <v>0</v>
      </c>
      <c r="Q96" t="n">
        <v>3</v>
      </c>
      <c r="R96" s="2" t="inlineStr">
        <is>
          <t>Gammelgransskål
Garnlav
Dropptaggsvamp</t>
        </is>
      </c>
      <c r="S96">
        <f>HYPERLINK("https://klasma.github.io/Logging_2482/artfynd/A 33858-2024 artfynd.xlsx", "A 33858-2024")</f>
        <v/>
      </c>
      <c r="T96">
        <f>HYPERLINK("https://klasma.github.io/Logging_2482/kartor/A 33858-2024 karta.png", "A 33858-2024")</f>
        <v/>
      </c>
      <c r="V96">
        <f>HYPERLINK("https://klasma.github.io/Logging_2482/klagomål/A 33858-2024 FSC-klagomål.docx", "A 33858-2024")</f>
        <v/>
      </c>
      <c r="W96">
        <f>HYPERLINK("https://klasma.github.io/Logging_2482/klagomålsmail/A 33858-2024 FSC-klagomål mail.docx", "A 33858-2024")</f>
        <v/>
      </c>
      <c r="X96">
        <f>HYPERLINK("https://klasma.github.io/Logging_2482/tillsyn/A 33858-2024 tillsynsbegäran.docx", "A 33858-2024")</f>
        <v/>
      </c>
      <c r="Y96">
        <f>HYPERLINK("https://klasma.github.io/Logging_2482/tillsynsmail/A 33858-2024 tillsynsbegäran mail.docx", "A 33858-2024")</f>
        <v/>
      </c>
    </row>
    <row r="97" ht="15" customHeight="1">
      <c r="A97" t="inlineStr">
        <is>
          <t>A 45973-2025</t>
        </is>
      </c>
      <c r="B97" s="1" t="n">
        <v>45924.36732638889</v>
      </c>
      <c r="C97" s="1" t="n">
        <v>45931</v>
      </c>
      <c r="D97" t="inlineStr">
        <is>
          <t>VÄSTERBOTTENS LÄN</t>
        </is>
      </c>
      <c r="E97" t="inlineStr">
        <is>
          <t>SKELLEFTEÅ</t>
        </is>
      </c>
      <c r="F97" t="inlineStr">
        <is>
          <t>Holmen skog AB</t>
        </is>
      </c>
      <c r="G97" t="n">
        <v>16.9</v>
      </c>
      <c r="H97" t="n">
        <v>1</v>
      </c>
      <c r="I97" t="n">
        <v>1</v>
      </c>
      <c r="J97" t="n">
        <v>2</v>
      </c>
      <c r="K97" t="n">
        <v>0</v>
      </c>
      <c r="L97" t="n">
        <v>0</v>
      </c>
      <c r="M97" t="n">
        <v>0</v>
      </c>
      <c r="N97" t="n">
        <v>0</v>
      </c>
      <c r="O97" t="n">
        <v>2</v>
      </c>
      <c r="P97" t="n">
        <v>0</v>
      </c>
      <c r="Q97" t="n">
        <v>3</v>
      </c>
      <c r="R97" s="2" t="inlineStr">
        <is>
          <t>Garnlav
Tretåig hackspett
Blodticka</t>
        </is>
      </c>
      <c r="S97">
        <f>HYPERLINK("https://klasma.github.io/Logging_2482/artfynd/A 45973-2025 artfynd.xlsx", "A 45973-2025")</f>
        <v/>
      </c>
      <c r="T97">
        <f>HYPERLINK("https://klasma.github.io/Logging_2482/kartor/A 45973-2025 karta.png", "A 45973-2025")</f>
        <v/>
      </c>
      <c r="V97">
        <f>HYPERLINK("https://klasma.github.io/Logging_2482/klagomål/A 45973-2025 FSC-klagomål.docx", "A 45973-2025")</f>
        <v/>
      </c>
      <c r="W97">
        <f>HYPERLINK("https://klasma.github.io/Logging_2482/klagomålsmail/A 45973-2025 FSC-klagomål mail.docx", "A 45973-2025")</f>
        <v/>
      </c>
      <c r="X97">
        <f>HYPERLINK("https://klasma.github.io/Logging_2482/tillsyn/A 45973-2025 tillsynsbegäran.docx", "A 45973-2025")</f>
        <v/>
      </c>
      <c r="Y97">
        <f>HYPERLINK("https://klasma.github.io/Logging_2482/tillsynsmail/A 45973-2025 tillsynsbegäran mail.docx", "A 45973-2025")</f>
        <v/>
      </c>
      <c r="Z97">
        <f>HYPERLINK("https://klasma.github.io/Logging_2482/fåglar/A 45973-2025 prioriterade fågelarter.docx", "A 45973-2025")</f>
        <v/>
      </c>
    </row>
    <row r="98" ht="15" customHeight="1">
      <c r="A98" t="inlineStr">
        <is>
          <t>A 58661-2021</t>
        </is>
      </c>
      <c r="B98" s="1" t="n">
        <v>44489.40372685185</v>
      </c>
      <c r="C98" s="1" t="n">
        <v>45931</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55809-2020</t>
        </is>
      </c>
      <c r="B99" s="1" t="n">
        <v>44132</v>
      </c>
      <c r="C99" s="1" t="n">
        <v>45931</v>
      </c>
      <c r="D99" t="inlineStr">
        <is>
          <t>VÄSTERBOTTENS LÄN</t>
        </is>
      </c>
      <c r="E99" t="inlineStr">
        <is>
          <t>SKELLEFTEÅ</t>
        </is>
      </c>
      <c r="F99" t="inlineStr">
        <is>
          <t>Sveaskog</t>
        </is>
      </c>
      <c r="G99" t="n">
        <v>9.9</v>
      </c>
      <c r="H99" t="n">
        <v>2</v>
      </c>
      <c r="I99" t="n">
        <v>0</v>
      </c>
      <c r="J99" t="n">
        <v>1</v>
      </c>
      <c r="K99" t="n">
        <v>0</v>
      </c>
      <c r="L99" t="n">
        <v>0</v>
      </c>
      <c r="M99" t="n">
        <v>0</v>
      </c>
      <c r="N99" t="n">
        <v>0</v>
      </c>
      <c r="O99" t="n">
        <v>1</v>
      </c>
      <c r="P99" t="n">
        <v>0</v>
      </c>
      <c r="Q99" t="n">
        <v>2</v>
      </c>
      <c r="R99" s="2" t="inlineStr">
        <is>
          <t>Nordfladdermus
Fläcknycklar</t>
        </is>
      </c>
      <c r="S99">
        <f>HYPERLINK("https://klasma.github.io/Logging_2482/artfynd/A 55809-2020 artfynd.xlsx", "A 55809-2020")</f>
        <v/>
      </c>
      <c r="T99">
        <f>HYPERLINK("https://klasma.github.io/Logging_2482/kartor/A 55809-2020 karta.png", "A 55809-2020")</f>
        <v/>
      </c>
      <c r="V99">
        <f>HYPERLINK("https://klasma.github.io/Logging_2482/klagomål/A 55809-2020 FSC-klagomål.docx", "A 55809-2020")</f>
        <v/>
      </c>
      <c r="W99">
        <f>HYPERLINK("https://klasma.github.io/Logging_2482/klagomålsmail/A 55809-2020 FSC-klagomål mail.docx", "A 55809-2020")</f>
        <v/>
      </c>
      <c r="X99">
        <f>HYPERLINK("https://klasma.github.io/Logging_2482/tillsyn/A 55809-2020 tillsynsbegäran.docx", "A 55809-2020")</f>
        <v/>
      </c>
      <c r="Y99">
        <f>HYPERLINK("https://klasma.github.io/Logging_2482/tillsynsmail/A 55809-2020 tillsynsbegäran mail.docx", "A 55809-2020")</f>
        <v/>
      </c>
    </row>
    <row r="100" ht="15" customHeight="1">
      <c r="A100" t="inlineStr">
        <is>
          <t>A 64203-2020</t>
        </is>
      </c>
      <c r="B100" s="1" t="n">
        <v>44167</v>
      </c>
      <c r="C100" s="1" t="n">
        <v>45931</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901-2023</t>
        </is>
      </c>
      <c r="B101" s="1" t="n">
        <v>44931.92556712963</v>
      </c>
      <c r="C101" s="1" t="n">
        <v>45931</v>
      </c>
      <c r="D101" t="inlineStr">
        <is>
          <t>VÄSTERBOTTENS LÄN</t>
        </is>
      </c>
      <c r="E101" t="inlineStr">
        <is>
          <t>SKELLEFTEÅ</t>
        </is>
      </c>
      <c r="G101" t="n">
        <v>7.7</v>
      </c>
      <c r="H101" t="n">
        <v>0</v>
      </c>
      <c r="I101" t="n">
        <v>0</v>
      </c>
      <c r="J101" t="n">
        <v>2</v>
      </c>
      <c r="K101" t="n">
        <v>0</v>
      </c>
      <c r="L101" t="n">
        <v>0</v>
      </c>
      <c r="M101" t="n">
        <v>0</v>
      </c>
      <c r="N101" t="n">
        <v>0</v>
      </c>
      <c r="O101" t="n">
        <v>2</v>
      </c>
      <c r="P101" t="n">
        <v>0</v>
      </c>
      <c r="Q101" t="n">
        <v>2</v>
      </c>
      <c r="R101" s="2" t="inlineStr">
        <is>
          <t>Garnlav
Skogshare</t>
        </is>
      </c>
      <c r="S101">
        <f>HYPERLINK("https://klasma.github.io/Logging_2482/artfynd/A 901-2023 artfynd.xlsx", "A 901-2023")</f>
        <v/>
      </c>
      <c r="T101">
        <f>HYPERLINK("https://klasma.github.io/Logging_2482/kartor/A 901-2023 karta.png", "A 901-2023")</f>
        <v/>
      </c>
      <c r="V101">
        <f>HYPERLINK("https://klasma.github.io/Logging_2482/klagomål/A 901-2023 FSC-klagomål.docx", "A 901-2023")</f>
        <v/>
      </c>
      <c r="W101">
        <f>HYPERLINK("https://klasma.github.io/Logging_2482/klagomålsmail/A 901-2023 FSC-klagomål mail.docx", "A 901-2023")</f>
        <v/>
      </c>
      <c r="X101">
        <f>HYPERLINK("https://klasma.github.io/Logging_2482/tillsyn/A 901-2023 tillsynsbegäran.docx", "A 901-2023")</f>
        <v/>
      </c>
      <c r="Y101">
        <f>HYPERLINK("https://klasma.github.io/Logging_2482/tillsynsmail/A 901-2023 tillsynsbegäran mail.docx", "A 901-2023")</f>
        <v/>
      </c>
    </row>
    <row r="102" ht="15" customHeight="1">
      <c r="A102" t="inlineStr">
        <is>
          <t>A 11627-2023</t>
        </is>
      </c>
      <c r="B102" s="1" t="n">
        <v>44994</v>
      </c>
      <c r="C102" s="1" t="n">
        <v>45931</v>
      </c>
      <c r="D102" t="inlineStr">
        <is>
          <t>VÄSTERBOTTENS LÄN</t>
        </is>
      </c>
      <c r="E102" t="inlineStr">
        <is>
          <t>SKELLEFTEÅ</t>
        </is>
      </c>
      <c r="G102" t="n">
        <v>16.6</v>
      </c>
      <c r="H102" t="n">
        <v>1</v>
      </c>
      <c r="I102" t="n">
        <v>1</v>
      </c>
      <c r="J102" t="n">
        <v>0</v>
      </c>
      <c r="K102" t="n">
        <v>0</v>
      </c>
      <c r="L102" t="n">
        <v>0</v>
      </c>
      <c r="M102" t="n">
        <v>0</v>
      </c>
      <c r="N102" t="n">
        <v>0</v>
      </c>
      <c r="O102" t="n">
        <v>0</v>
      </c>
      <c r="P102" t="n">
        <v>0</v>
      </c>
      <c r="Q102" t="n">
        <v>2</v>
      </c>
      <c r="R102" s="2" t="inlineStr">
        <is>
          <t>Norrlandslav
Revlummer</t>
        </is>
      </c>
      <c r="S102">
        <f>HYPERLINK("https://klasma.github.io/Logging_2482/artfynd/A 11627-2023 artfynd.xlsx", "A 11627-2023")</f>
        <v/>
      </c>
      <c r="T102">
        <f>HYPERLINK("https://klasma.github.io/Logging_2482/kartor/A 11627-2023 karta.png", "A 11627-2023")</f>
        <v/>
      </c>
      <c r="V102">
        <f>HYPERLINK("https://klasma.github.io/Logging_2482/klagomål/A 11627-2023 FSC-klagomål.docx", "A 11627-2023")</f>
        <v/>
      </c>
      <c r="W102">
        <f>HYPERLINK("https://klasma.github.io/Logging_2482/klagomålsmail/A 11627-2023 FSC-klagomål mail.docx", "A 11627-2023")</f>
        <v/>
      </c>
      <c r="X102">
        <f>HYPERLINK("https://klasma.github.io/Logging_2482/tillsyn/A 11627-2023 tillsynsbegäran.docx", "A 11627-2023")</f>
        <v/>
      </c>
      <c r="Y102">
        <f>HYPERLINK("https://klasma.github.io/Logging_2482/tillsynsmail/A 11627-2023 tillsynsbegäran mail.docx", "A 11627-2023")</f>
        <v/>
      </c>
    </row>
    <row r="103" ht="15" customHeight="1">
      <c r="A103" t="inlineStr">
        <is>
          <t>A 1259-2024</t>
        </is>
      </c>
      <c r="B103" s="1" t="n">
        <v>45302</v>
      </c>
      <c r="C103" s="1" t="n">
        <v>45931</v>
      </c>
      <c r="D103" t="inlineStr">
        <is>
          <t>VÄSTERBOTTENS LÄN</t>
        </is>
      </c>
      <c r="E103" t="inlineStr">
        <is>
          <t>SKELLEFTEÅ</t>
        </is>
      </c>
      <c r="G103" t="n">
        <v>1.6</v>
      </c>
      <c r="H103" t="n">
        <v>0</v>
      </c>
      <c r="I103" t="n">
        <v>0</v>
      </c>
      <c r="J103" t="n">
        <v>2</v>
      </c>
      <c r="K103" t="n">
        <v>0</v>
      </c>
      <c r="L103" t="n">
        <v>0</v>
      </c>
      <c r="M103" t="n">
        <v>0</v>
      </c>
      <c r="N103" t="n">
        <v>0</v>
      </c>
      <c r="O103" t="n">
        <v>2</v>
      </c>
      <c r="P103" t="n">
        <v>0</v>
      </c>
      <c r="Q103" t="n">
        <v>2</v>
      </c>
      <c r="R103" s="2" t="inlineStr">
        <is>
          <t>Månlåsbräken
Nordlåsbräken</t>
        </is>
      </c>
      <c r="S103">
        <f>HYPERLINK("https://klasma.github.io/Logging_2482/artfynd/A 1259-2024 artfynd.xlsx", "A 1259-2024")</f>
        <v/>
      </c>
      <c r="T103">
        <f>HYPERLINK("https://klasma.github.io/Logging_2482/kartor/A 1259-2024 karta.png", "A 1259-2024")</f>
        <v/>
      </c>
      <c r="V103">
        <f>HYPERLINK("https://klasma.github.io/Logging_2482/klagomål/A 1259-2024 FSC-klagomål.docx", "A 1259-2024")</f>
        <v/>
      </c>
      <c r="W103">
        <f>HYPERLINK("https://klasma.github.io/Logging_2482/klagomålsmail/A 1259-2024 FSC-klagomål mail.docx", "A 1259-2024")</f>
        <v/>
      </c>
      <c r="X103">
        <f>HYPERLINK("https://klasma.github.io/Logging_2482/tillsyn/A 1259-2024 tillsynsbegäran.docx", "A 1259-2024")</f>
        <v/>
      </c>
      <c r="Y103">
        <f>HYPERLINK("https://klasma.github.io/Logging_2482/tillsynsmail/A 1259-2024 tillsynsbegäran mail.docx", "A 1259-2024")</f>
        <v/>
      </c>
    </row>
    <row r="104" ht="15" customHeight="1">
      <c r="A104" t="inlineStr">
        <is>
          <t>A 43250-2023</t>
        </is>
      </c>
      <c r="B104" s="1" t="n">
        <v>45180</v>
      </c>
      <c r="C104" s="1" t="n">
        <v>45931</v>
      </c>
      <c r="D104" t="inlineStr">
        <is>
          <t>VÄSTERBOTTENS LÄN</t>
        </is>
      </c>
      <c r="E104" t="inlineStr">
        <is>
          <t>SKELLEFTEÅ</t>
        </is>
      </c>
      <c r="G104" t="n">
        <v>3.3</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43250-2023 artfynd.xlsx", "A 43250-2023")</f>
        <v/>
      </c>
      <c r="T104">
        <f>HYPERLINK("https://klasma.github.io/Logging_2482/kartor/A 43250-2023 karta.png", "A 43250-2023")</f>
        <v/>
      </c>
      <c r="U104">
        <f>HYPERLINK("https://klasma.github.io/Logging_2482/knärot/A 43250-2023 karta knärot.png", "A 43250-2023")</f>
        <v/>
      </c>
      <c r="V104">
        <f>HYPERLINK("https://klasma.github.io/Logging_2482/klagomål/A 43250-2023 FSC-klagomål.docx", "A 43250-2023")</f>
        <v/>
      </c>
      <c r="W104">
        <f>HYPERLINK("https://klasma.github.io/Logging_2482/klagomålsmail/A 43250-2023 FSC-klagomål mail.docx", "A 43250-2023")</f>
        <v/>
      </c>
      <c r="X104">
        <f>HYPERLINK("https://klasma.github.io/Logging_2482/tillsyn/A 43250-2023 tillsynsbegäran.docx", "A 43250-2023")</f>
        <v/>
      </c>
      <c r="Y104">
        <f>HYPERLINK("https://klasma.github.io/Logging_2482/tillsynsmail/A 43250-2023 tillsynsbegäran mail.docx", "A 43250-2023")</f>
        <v/>
      </c>
    </row>
    <row r="105" ht="15" customHeight="1">
      <c r="A105" t="inlineStr">
        <is>
          <t>A 49440-2022</t>
        </is>
      </c>
      <c r="B105" s="1" t="n">
        <v>44859</v>
      </c>
      <c r="C105" s="1" t="n">
        <v>45931</v>
      </c>
      <c r="D105" t="inlineStr">
        <is>
          <t>VÄSTERBOTTENS LÄN</t>
        </is>
      </c>
      <c r="E105" t="inlineStr">
        <is>
          <t>SKELLEFTEÅ</t>
        </is>
      </c>
      <c r="G105" t="n">
        <v>1.5</v>
      </c>
      <c r="H105" t="n">
        <v>0</v>
      </c>
      <c r="I105" t="n">
        <v>0</v>
      </c>
      <c r="J105" t="n">
        <v>2</v>
      </c>
      <c r="K105" t="n">
        <v>0</v>
      </c>
      <c r="L105" t="n">
        <v>0</v>
      </c>
      <c r="M105" t="n">
        <v>0</v>
      </c>
      <c r="N105" t="n">
        <v>0</v>
      </c>
      <c r="O105" t="n">
        <v>2</v>
      </c>
      <c r="P105" t="n">
        <v>0</v>
      </c>
      <c r="Q105" t="n">
        <v>2</v>
      </c>
      <c r="R105" s="2" t="inlineStr">
        <is>
          <t>Gränsticka
Ullticka</t>
        </is>
      </c>
      <c r="S105">
        <f>HYPERLINK("https://klasma.github.io/Logging_2482/artfynd/A 49440-2022 artfynd.xlsx", "A 49440-2022")</f>
        <v/>
      </c>
      <c r="T105">
        <f>HYPERLINK("https://klasma.github.io/Logging_2482/kartor/A 49440-2022 karta.png", "A 49440-2022")</f>
        <v/>
      </c>
      <c r="V105">
        <f>HYPERLINK("https://klasma.github.io/Logging_2482/klagomål/A 49440-2022 FSC-klagomål.docx", "A 49440-2022")</f>
        <v/>
      </c>
      <c r="W105">
        <f>HYPERLINK("https://klasma.github.io/Logging_2482/klagomålsmail/A 49440-2022 FSC-klagomål mail.docx", "A 49440-2022")</f>
        <v/>
      </c>
      <c r="X105">
        <f>HYPERLINK("https://klasma.github.io/Logging_2482/tillsyn/A 49440-2022 tillsynsbegäran.docx", "A 49440-2022")</f>
        <v/>
      </c>
      <c r="Y105">
        <f>HYPERLINK("https://klasma.github.io/Logging_2482/tillsynsmail/A 49440-2022 tillsynsbegäran mail.docx", "A 49440-2022")</f>
        <v/>
      </c>
    </row>
    <row r="106" ht="15" customHeight="1">
      <c r="A106" t="inlineStr">
        <is>
          <t>A 40742-2023</t>
        </is>
      </c>
      <c r="B106" s="1" t="n">
        <v>45170</v>
      </c>
      <c r="C106" s="1" t="n">
        <v>45931</v>
      </c>
      <c r="D106" t="inlineStr">
        <is>
          <t>VÄSTERBOTTENS LÄN</t>
        </is>
      </c>
      <c r="E106" t="inlineStr">
        <is>
          <t>SKELLEFTEÅ</t>
        </is>
      </c>
      <c r="F106" t="inlineStr">
        <is>
          <t>Sveaskog</t>
        </is>
      </c>
      <c r="G106" t="n">
        <v>13.6</v>
      </c>
      <c r="H106" t="n">
        <v>0</v>
      </c>
      <c r="I106" t="n">
        <v>1</v>
      </c>
      <c r="J106" t="n">
        <v>1</v>
      </c>
      <c r="K106" t="n">
        <v>0</v>
      </c>
      <c r="L106" t="n">
        <v>0</v>
      </c>
      <c r="M106" t="n">
        <v>0</v>
      </c>
      <c r="N106" t="n">
        <v>0</v>
      </c>
      <c r="O106" t="n">
        <v>1</v>
      </c>
      <c r="P106" t="n">
        <v>0</v>
      </c>
      <c r="Q106" t="n">
        <v>2</v>
      </c>
      <c r="R106" s="2" t="inlineStr">
        <is>
          <t>Kolflarnlav
Stuplav</t>
        </is>
      </c>
      <c r="S106">
        <f>HYPERLINK("https://klasma.github.io/Logging_2482/artfynd/A 40742-2023 artfynd.xlsx", "A 40742-2023")</f>
        <v/>
      </c>
      <c r="T106">
        <f>HYPERLINK("https://klasma.github.io/Logging_2482/kartor/A 40742-2023 karta.png", "A 40742-2023")</f>
        <v/>
      </c>
      <c r="V106">
        <f>HYPERLINK("https://klasma.github.io/Logging_2482/klagomål/A 40742-2023 FSC-klagomål.docx", "A 40742-2023")</f>
        <v/>
      </c>
      <c r="W106">
        <f>HYPERLINK("https://klasma.github.io/Logging_2482/klagomålsmail/A 40742-2023 FSC-klagomål mail.docx", "A 40742-2023")</f>
        <v/>
      </c>
      <c r="X106">
        <f>HYPERLINK("https://klasma.github.io/Logging_2482/tillsyn/A 40742-2023 tillsynsbegäran.docx", "A 40742-2023")</f>
        <v/>
      </c>
      <c r="Y106">
        <f>HYPERLINK("https://klasma.github.io/Logging_2482/tillsynsmail/A 40742-2023 tillsynsbegäran mail.docx", "A 40742-2023")</f>
        <v/>
      </c>
    </row>
    <row r="107" ht="15" customHeight="1">
      <c r="A107" t="inlineStr">
        <is>
          <t>A 53271-2024</t>
        </is>
      </c>
      <c r="B107" s="1" t="n">
        <v>45614.36726851852</v>
      </c>
      <c r="C107" s="1" t="n">
        <v>45931</v>
      </c>
      <c r="D107" t="inlineStr">
        <is>
          <t>VÄSTERBOTTENS LÄN</t>
        </is>
      </c>
      <c r="E107" t="inlineStr">
        <is>
          <t>SKELLEFTEÅ</t>
        </is>
      </c>
      <c r="F107" t="inlineStr">
        <is>
          <t>Holmen skog AB</t>
        </is>
      </c>
      <c r="G107" t="n">
        <v>11.1</v>
      </c>
      <c r="H107" t="n">
        <v>0</v>
      </c>
      <c r="I107" t="n">
        <v>1</v>
      </c>
      <c r="J107" t="n">
        <v>1</v>
      </c>
      <c r="K107" t="n">
        <v>0</v>
      </c>
      <c r="L107" t="n">
        <v>0</v>
      </c>
      <c r="M107" t="n">
        <v>0</v>
      </c>
      <c r="N107" t="n">
        <v>0</v>
      </c>
      <c r="O107" t="n">
        <v>1</v>
      </c>
      <c r="P107" t="n">
        <v>0</v>
      </c>
      <c r="Q107" t="n">
        <v>2</v>
      </c>
      <c r="R107" s="2" t="inlineStr">
        <is>
          <t>Orange taggsvamp
Ögonpyrola</t>
        </is>
      </c>
      <c r="S107">
        <f>HYPERLINK("https://klasma.github.io/Logging_2482/artfynd/A 53271-2024 artfynd.xlsx", "A 53271-2024")</f>
        <v/>
      </c>
      <c r="T107">
        <f>HYPERLINK("https://klasma.github.io/Logging_2482/kartor/A 53271-2024 karta.png", "A 53271-2024")</f>
        <v/>
      </c>
      <c r="V107">
        <f>HYPERLINK("https://klasma.github.io/Logging_2482/klagomål/A 53271-2024 FSC-klagomål.docx", "A 53271-2024")</f>
        <v/>
      </c>
      <c r="W107">
        <f>HYPERLINK("https://klasma.github.io/Logging_2482/klagomålsmail/A 53271-2024 FSC-klagomål mail.docx", "A 53271-2024")</f>
        <v/>
      </c>
      <c r="X107">
        <f>HYPERLINK("https://klasma.github.io/Logging_2482/tillsyn/A 53271-2024 tillsynsbegäran.docx", "A 53271-2024")</f>
        <v/>
      </c>
      <c r="Y107">
        <f>HYPERLINK("https://klasma.github.io/Logging_2482/tillsynsmail/A 53271-2024 tillsynsbegäran mail.docx", "A 53271-2024")</f>
        <v/>
      </c>
    </row>
    <row r="108" ht="15" customHeight="1">
      <c r="A108" t="inlineStr">
        <is>
          <t>A 55198-2024</t>
        </is>
      </c>
      <c r="B108" s="1" t="n">
        <v>45620</v>
      </c>
      <c r="C108" s="1" t="n">
        <v>45931</v>
      </c>
      <c r="D108" t="inlineStr">
        <is>
          <t>VÄSTERBOTTENS LÄN</t>
        </is>
      </c>
      <c r="E108" t="inlineStr">
        <is>
          <t>SKELLEFTEÅ</t>
        </is>
      </c>
      <c r="G108" t="n">
        <v>1.8</v>
      </c>
      <c r="H108" t="n">
        <v>0</v>
      </c>
      <c r="I108" t="n">
        <v>1</v>
      </c>
      <c r="J108" t="n">
        <v>1</v>
      </c>
      <c r="K108" t="n">
        <v>0</v>
      </c>
      <c r="L108" t="n">
        <v>0</v>
      </c>
      <c r="M108" t="n">
        <v>0</v>
      </c>
      <c r="N108" t="n">
        <v>0</v>
      </c>
      <c r="O108" t="n">
        <v>1</v>
      </c>
      <c r="P108" t="n">
        <v>0</v>
      </c>
      <c r="Q108" t="n">
        <v>2</v>
      </c>
      <c r="R108" s="2" t="inlineStr">
        <is>
          <t>Blanksvart spiklav
Nästlav</t>
        </is>
      </c>
      <c r="S108">
        <f>HYPERLINK("https://klasma.github.io/Logging_2482/artfynd/A 55198-2024 artfynd.xlsx", "A 55198-2024")</f>
        <v/>
      </c>
      <c r="T108">
        <f>HYPERLINK("https://klasma.github.io/Logging_2482/kartor/A 55198-2024 karta.png", "A 55198-2024")</f>
        <v/>
      </c>
      <c r="V108">
        <f>HYPERLINK("https://klasma.github.io/Logging_2482/klagomål/A 55198-2024 FSC-klagomål.docx", "A 55198-2024")</f>
        <v/>
      </c>
      <c r="W108">
        <f>HYPERLINK("https://klasma.github.io/Logging_2482/klagomålsmail/A 55198-2024 FSC-klagomål mail.docx", "A 55198-2024")</f>
        <v/>
      </c>
      <c r="X108">
        <f>HYPERLINK("https://klasma.github.io/Logging_2482/tillsyn/A 55198-2024 tillsynsbegäran.docx", "A 55198-2024")</f>
        <v/>
      </c>
      <c r="Y108">
        <f>HYPERLINK("https://klasma.github.io/Logging_2482/tillsynsmail/A 55198-2024 tillsynsbegäran mail.docx", "A 55198-2024")</f>
        <v/>
      </c>
    </row>
    <row r="109" ht="15" customHeight="1">
      <c r="A109" t="inlineStr">
        <is>
          <t>A 59706-2021</t>
        </is>
      </c>
      <c r="B109" s="1" t="n">
        <v>44494</v>
      </c>
      <c r="C109" s="1" t="n">
        <v>45931</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53422-2024</t>
        </is>
      </c>
      <c r="B110" s="1" t="n">
        <v>45614.51167824074</v>
      </c>
      <c r="C110" s="1" t="n">
        <v>45931</v>
      </c>
      <c r="D110" t="inlineStr">
        <is>
          <t>VÄSTERBOTTENS LÄN</t>
        </is>
      </c>
      <c r="E110" t="inlineStr">
        <is>
          <t>SKELLEFTEÅ</t>
        </is>
      </c>
      <c r="G110" t="n">
        <v>1.6</v>
      </c>
      <c r="H110" t="n">
        <v>1</v>
      </c>
      <c r="I110" t="n">
        <v>0</v>
      </c>
      <c r="J110" t="n">
        <v>2</v>
      </c>
      <c r="K110" t="n">
        <v>0</v>
      </c>
      <c r="L110" t="n">
        <v>0</v>
      </c>
      <c r="M110" t="n">
        <v>0</v>
      </c>
      <c r="N110" t="n">
        <v>0</v>
      </c>
      <c r="O110" t="n">
        <v>2</v>
      </c>
      <c r="P110" t="n">
        <v>0</v>
      </c>
      <c r="Q110" t="n">
        <v>2</v>
      </c>
      <c r="R110" s="2" t="inlineStr">
        <is>
          <t>Järpe
Talltaggsvamp</t>
        </is>
      </c>
      <c r="S110">
        <f>HYPERLINK("https://klasma.github.io/Logging_2482/artfynd/A 53422-2024 artfynd.xlsx", "A 53422-2024")</f>
        <v/>
      </c>
      <c r="T110">
        <f>HYPERLINK("https://klasma.github.io/Logging_2482/kartor/A 53422-2024 karta.png", "A 53422-2024")</f>
        <v/>
      </c>
      <c r="V110">
        <f>HYPERLINK("https://klasma.github.io/Logging_2482/klagomål/A 53422-2024 FSC-klagomål.docx", "A 53422-2024")</f>
        <v/>
      </c>
      <c r="W110">
        <f>HYPERLINK("https://klasma.github.io/Logging_2482/klagomålsmail/A 53422-2024 FSC-klagomål mail.docx", "A 53422-2024")</f>
        <v/>
      </c>
      <c r="X110">
        <f>HYPERLINK("https://klasma.github.io/Logging_2482/tillsyn/A 53422-2024 tillsynsbegäran.docx", "A 53422-2024")</f>
        <v/>
      </c>
      <c r="Y110">
        <f>HYPERLINK("https://klasma.github.io/Logging_2482/tillsynsmail/A 53422-2024 tillsynsbegäran mail.docx", "A 53422-2024")</f>
        <v/>
      </c>
      <c r="Z110">
        <f>HYPERLINK("https://klasma.github.io/Logging_2482/fåglar/A 53422-2024 prioriterade fågelarter.docx", "A 53422-2024")</f>
        <v/>
      </c>
    </row>
    <row r="111" ht="15" customHeight="1">
      <c r="A111" t="inlineStr">
        <is>
          <t>A 29500-2025</t>
        </is>
      </c>
      <c r="B111" s="1" t="n">
        <v>45825.28601851852</v>
      </c>
      <c r="C111" s="1" t="n">
        <v>45931</v>
      </c>
      <c r="D111" t="inlineStr">
        <is>
          <t>VÄSTERBOTTENS LÄN</t>
        </is>
      </c>
      <c r="E111" t="inlineStr">
        <is>
          <t>SKELLEFTEÅ</t>
        </is>
      </c>
      <c r="G111" t="n">
        <v>19.6</v>
      </c>
      <c r="H111" t="n">
        <v>1</v>
      </c>
      <c r="I111" t="n">
        <v>0</v>
      </c>
      <c r="J111" t="n">
        <v>2</v>
      </c>
      <c r="K111" t="n">
        <v>0</v>
      </c>
      <c r="L111" t="n">
        <v>0</v>
      </c>
      <c r="M111" t="n">
        <v>0</v>
      </c>
      <c r="N111" t="n">
        <v>0</v>
      </c>
      <c r="O111" t="n">
        <v>2</v>
      </c>
      <c r="P111" t="n">
        <v>0</v>
      </c>
      <c r="Q111" t="n">
        <v>2</v>
      </c>
      <c r="R111" s="2" t="inlineStr">
        <is>
          <t>Duvhök
Garnlav</t>
        </is>
      </c>
      <c r="S111">
        <f>HYPERLINK("https://klasma.github.io/Logging_2482/artfynd/A 29500-2025 artfynd.xlsx", "A 29500-2025")</f>
        <v/>
      </c>
      <c r="T111">
        <f>HYPERLINK("https://klasma.github.io/Logging_2482/kartor/A 29500-2025 karta.png", "A 29500-2025")</f>
        <v/>
      </c>
      <c r="V111">
        <f>HYPERLINK("https://klasma.github.io/Logging_2482/klagomål/A 29500-2025 FSC-klagomål.docx", "A 29500-2025")</f>
        <v/>
      </c>
      <c r="W111">
        <f>HYPERLINK("https://klasma.github.io/Logging_2482/klagomålsmail/A 29500-2025 FSC-klagomål mail.docx", "A 29500-2025")</f>
        <v/>
      </c>
      <c r="X111">
        <f>HYPERLINK("https://klasma.github.io/Logging_2482/tillsyn/A 29500-2025 tillsynsbegäran.docx", "A 29500-2025")</f>
        <v/>
      </c>
      <c r="Y111">
        <f>HYPERLINK("https://klasma.github.io/Logging_2482/tillsynsmail/A 29500-2025 tillsynsbegäran mail.docx", "A 29500-2025")</f>
        <v/>
      </c>
      <c r="Z111">
        <f>HYPERLINK("https://klasma.github.io/Logging_2482/fåglar/A 29500-2025 prioriterade fågelarter.docx", "A 29500-2025")</f>
        <v/>
      </c>
    </row>
    <row r="112" ht="15" customHeight="1">
      <c r="A112" t="inlineStr">
        <is>
          <t>A 43743-2024</t>
        </is>
      </c>
      <c r="B112" s="1" t="n">
        <v>45569.66039351852</v>
      </c>
      <c r="C112" s="1" t="n">
        <v>45931</v>
      </c>
      <c r="D112" t="inlineStr">
        <is>
          <t>VÄSTERBOTTENS LÄN</t>
        </is>
      </c>
      <c r="E112" t="inlineStr">
        <is>
          <t>SKELLEFTEÅ</t>
        </is>
      </c>
      <c r="G112" t="n">
        <v>2.6</v>
      </c>
      <c r="H112" t="n">
        <v>1</v>
      </c>
      <c r="I112" t="n">
        <v>1</v>
      </c>
      <c r="J112" t="n">
        <v>0</v>
      </c>
      <c r="K112" t="n">
        <v>0</v>
      </c>
      <c r="L112" t="n">
        <v>0</v>
      </c>
      <c r="M112" t="n">
        <v>0</v>
      </c>
      <c r="N112" t="n">
        <v>0</v>
      </c>
      <c r="O112" t="n">
        <v>0</v>
      </c>
      <c r="P112" t="n">
        <v>0</v>
      </c>
      <c r="Q112" t="n">
        <v>2</v>
      </c>
      <c r="R112" s="2" t="inlineStr">
        <is>
          <t>Stuplav
Fläcknycklar</t>
        </is>
      </c>
      <c r="S112">
        <f>HYPERLINK("https://klasma.github.io/Logging_2482/artfynd/A 43743-2024 artfynd.xlsx", "A 43743-2024")</f>
        <v/>
      </c>
      <c r="T112">
        <f>HYPERLINK("https://klasma.github.io/Logging_2482/kartor/A 43743-2024 karta.png", "A 43743-2024")</f>
        <v/>
      </c>
      <c r="V112">
        <f>HYPERLINK("https://klasma.github.io/Logging_2482/klagomål/A 43743-2024 FSC-klagomål.docx", "A 43743-2024")</f>
        <v/>
      </c>
      <c r="W112">
        <f>HYPERLINK("https://klasma.github.io/Logging_2482/klagomålsmail/A 43743-2024 FSC-klagomål mail.docx", "A 43743-2024")</f>
        <v/>
      </c>
      <c r="X112">
        <f>HYPERLINK("https://klasma.github.io/Logging_2482/tillsyn/A 43743-2024 tillsynsbegäran.docx", "A 43743-2024")</f>
        <v/>
      </c>
      <c r="Y112">
        <f>HYPERLINK("https://klasma.github.io/Logging_2482/tillsynsmail/A 43743-2024 tillsynsbegäran mail.docx", "A 43743-2024")</f>
        <v/>
      </c>
    </row>
    <row r="113" ht="15" customHeight="1">
      <c r="A113" t="inlineStr">
        <is>
          <t>A 52525-2024</t>
        </is>
      </c>
      <c r="B113" s="1" t="n">
        <v>45609</v>
      </c>
      <c r="C113" s="1" t="n">
        <v>45931</v>
      </c>
      <c r="D113" t="inlineStr">
        <is>
          <t>VÄSTERBOTTENS LÄN</t>
        </is>
      </c>
      <c r="E113" t="inlineStr">
        <is>
          <t>SKELLEFTEÅ</t>
        </is>
      </c>
      <c r="G113" t="n">
        <v>8.6</v>
      </c>
      <c r="H113" t="n">
        <v>0</v>
      </c>
      <c r="I113" t="n">
        <v>1</v>
      </c>
      <c r="J113" t="n">
        <v>1</v>
      </c>
      <c r="K113" t="n">
        <v>0</v>
      </c>
      <c r="L113" t="n">
        <v>0</v>
      </c>
      <c r="M113" t="n">
        <v>0</v>
      </c>
      <c r="N113" t="n">
        <v>0</v>
      </c>
      <c r="O113" t="n">
        <v>1</v>
      </c>
      <c r="P113" t="n">
        <v>0</v>
      </c>
      <c r="Q113" t="n">
        <v>2</v>
      </c>
      <c r="R113" s="2" t="inlineStr">
        <is>
          <t>Lunglav
Stuplav</t>
        </is>
      </c>
      <c r="S113">
        <f>HYPERLINK("https://klasma.github.io/Logging_2482/artfynd/A 52525-2024 artfynd.xlsx", "A 52525-2024")</f>
        <v/>
      </c>
      <c r="T113">
        <f>HYPERLINK("https://klasma.github.io/Logging_2482/kartor/A 52525-2024 karta.png", "A 52525-2024")</f>
        <v/>
      </c>
      <c r="V113">
        <f>HYPERLINK("https://klasma.github.io/Logging_2482/klagomål/A 52525-2024 FSC-klagomål.docx", "A 52525-2024")</f>
        <v/>
      </c>
      <c r="W113">
        <f>HYPERLINK("https://klasma.github.io/Logging_2482/klagomålsmail/A 52525-2024 FSC-klagomål mail.docx", "A 52525-2024")</f>
        <v/>
      </c>
      <c r="X113">
        <f>HYPERLINK("https://klasma.github.io/Logging_2482/tillsyn/A 52525-2024 tillsynsbegäran.docx", "A 52525-2024")</f>
        <v/>
      </c>
      <c r="Y113">
        <f>HYPERLINK("https://klasma.github.io/Logging_2482/tillsynsmail/A 52525-2024 tillsynsbegäran mail.docx", "A 52525-2024")</f>
        <v/>
      </c>
    </row>
    <row r="114" ht="15" customHeight="1">
      <c r="A114" t="inlineStr">
        <is>
          <t>A 57851-2024</t>
        </is>
      </c>
      <c r="B114" s="1" t="n">
        <v>45631</v>
      </c>
      <c r="C114" s="1" t="n">
        <v>45931</v>
      </c>
      <c r="D114" t="inlineStr">
        <is>
          <t>VÄSTERBOTTENS LÄN</t>
        </is>
      </c>
      <c r="E114" t="inlineStr">
        <is>
          <t>SKELLEFTEÅ</t>
        </is>
      </c>
      <c r="F114" t="inlineStr">
        <is>
          <t>Sveaskog</t>
        </is>
      </c>
      <c r="G114" t="n">
        <v>15.7</v>
      </c>
      <c r="H114" t="n">
        <v>2</v>
      </c>
      <c r="I114" t="n">
        <v>0</v>
      </c>
      <c r="J114" t="n">
        <v>0</v>
      </c>
      <c r="K114" t="n">
        <v>0</v>
      </c>
      <c r="L114" t="n">
        <v>0</v>
      </c>
      <c r="M114" t="n">
        <v>0</v>
      </c>
      <c r="N114" t="n">
        <v>0</v>
      </c>
      <c r="O114" t="n">
        <v>0</v>
      </c>
      <c r="P114" t="n">
        <v>0</v>
      </c>
      <c r="Q114" t="n">
        <v>2</v>
      </c>
      <c r="R114" s="2" t="inlineStr">
        <is>
          <t>Fläcknycklar
Revlummer</t>
        </is>
      </c>
      <c r="S114">
        <f>HYPERLINK("https://klasma.github.io/Logging_2482/artfynd/A 57851-2024 artfynd.xlsx", "A 57851-2024")</f>
        <v/>
      </c>
      <c r="T114">
        <f>HYPERLINK("https://klasma.github.io/Logging_2482/kartor/A 57851-2024 karta.png", "A 57851-2024")</f>
        <v/>
      </c>
      <c r="V114">
        <f>HYPERLINK("https://klasma.github.io/Logging_2482/klagomål/A 57851-2024 FSC-klagomål.docx", "A 57851-2024")</f>
        <v/>
      </c>
      <c r="W114">
        <f>HYPERLINK("https://klasma.github.io/Logging_2482/klagomålsmail/A 57851-2024 FSC-klagomål mail.docx", "A 57851-2024")</f>
        <v/>
      </c>
      <c r="X114">
        <f>HYPERLINK("https://klasma.github.io/Logging_2482/tillsyn/A 57851-2024 tillsynsbegäran.docx", "A 57851-2024")</f>
        <v/>
      </c>
      <c r="Y114">
        <f>HYPERLINK("https://klasma.github.io/Logging_2482/tillsynsmail/A 57851-2024 tillsynsbegäran mail.docx", "A 57851-2024")</f>
        <v/>
      </c>
    </row>
    <row r="115" ht="15" customHeight="1">
      <c r="A115" t="inlineStr">
        <is>
          <t>A 23329-2025</t>
        </is>
      </c>
      <c r="B115" s="1" t="n">
        <v>45791.64069444445</v>
      </c>
      <c r="C115" s="1" t="n">
        <v>45931</v>
      </c>
      <c r="D115" t="inlineStr">
        <is>
          <t>VÄSTERBOTTENS LÄN</t>
        </is>
      </c>
      <c r="E115" t="inlineStr">
        <is>
          <t>SKELLEFTEÅ</t>
        </is>
      </c>
      <c r="F115" t="inlineStr">
        <is>
          <t>Holmen skog AB</t>
        </is>
      </c>
      <c r="G115" t="n">
        <v>3.3</v>
      </c>
      <c r="H115" t="n">
        <v>0</v>
      </c>
      <c r="I115" t="n">
        <v>1</v>
      </c>
      <c r="J115" t="n">
        <v>1</v>
      </c>
      <c r="K115" t="n">
        <v>0</v>
      </c>
      <c r="L115" t="n">
        <v>0</v>
      </c>
      <c r="M115" t="n">
        <v>0</v>
      </c>
      <c r="N115" t="n">
        <v>0</v>
      </c>
      <c r="O115" t="n">
        <v>1</v>
      </c>
      <c r="P115" t="n">
        <v>0</v>
      </c>
      <c r="Q115" t="n">
        <v>2</v>
      </c>
      <c r="R115" s="2" t="inlineStr">
        <is>
          <t>Garnlav
Dropptaggsvamp</t>
        </is>
      </c>
      <c r="S115">
        <f>HYPERLINK("https://klasma.github.io/Logging_2482/artfynd/A 23329-2025 artfynd.xlsx", "A 23329-2025")</f>
        <v/>
      </c>
      <c r="T115">
        <f>HYPERLINK("https://klasma.github.io/Logging_2482/kartor/A 23329-2025 karta.png", "A 23329-2025")</f>
        <v/>
      </c>
      <c r="V115">
        <f>HYPERLINK("https://klasma.github.io/Logging_2482/klagomål/A 23329-2025 FSC-klagomål.docx", "A 23329-2025")</f>
        <v/>
      </c>
      <c r="W115">
        <f>HYPERLINK("https://klasma.github.io/Logging_2482/klagomålsmail/A 23329-2025 FSC-klagomål mail.docx", "A 23329-2025")</f>
        <v/>
      </c>
      <c r="X115">
        <f>HYPERLINK("https://klasma.github.io/Logging_2482/tillsyn/A 23329-2025 tillsynsbegäran.docx", "A 23329-2025")</f>
        <v/>
      </c>
      <c r="Y115">
        <f>HYPERLINK("https://klasma.github.io/Logging_2482/tillsynsmail/A 23329-2025 tillsynsbegäran mail.docx", "A 23329-2025")</f>
        <v/>
      </c>
    </row>
    <row r="116" ht="15" customHeight="1">
      <c r="A116" t="inlineStr">
        <is>
          <t>A 5110-2025</t>
        </is>
      </c>
      <c r="B116" s="1" t="n">
        <v>45691</v>
      </c>
      <c r="C116" s="1" t="n">
        <v>45931</v>
      </c>
      <c r="D116" t="inlineStr">
        <is>
          <t>VÄSTERBOTTENS LÄN</t>
        </is>
      </c>
      <c r="E116" t="inlineStr">
        <is>
          <t>SKELLEFTEÅ</t>
        </is>
      </c>
      <c r="G116" t="n">
        <v>3.5</v>
      </c>
      <c r="H116" t="n">
        <v>0</v>
      </c>
      <c r="I116" t="n">
        <v>0</v>
      </c>
      <c r="J116" t="n">
        <v>2</v>
      </c>
      <c r="K116" t="n">
        <v>0</v>
      </c>
      <c r="L116" t="n">
        <v>0</v>
      </c>
      <c r="M116" t="n">
        <v>0</v>
      </c>
      <c r="N116" t="n">
        <v>0</v>
      </c>
      <c r="O116" t="n">
        <v>2</v>
      </c>
      <c r="P116" t="n">
        <v>0</v>
      </c>
      <c r="Q116" t="n">
        <v>2</v>
      </c>
      <c r="R116" s="2" t="inlineStr">
        <is>
          <t>Gammelgransskål
Harticka</t>
        </is>
      </c>
      <c r="S116">
        <f>HYPERLINK("https://klasma.github.io/Logging_2482/artfynd/A 5110-2025 artfynd.xlsx", "A 5110-2025")</f>
        <v/>
      </c>
      <c r="T116">
        <f>HYPERLINK("https://klasma.github.io/Logging_2482/kartor/A 5110-2025 karta.png", "A 5110-2025")</f>
        <v/>
      </c>
      <c r="V116">
        <f>HYPERLINK("https://klasma.github.io/Logging_2482/klagomål/A 5110-2025 FSC-klagomål.docx", "A 5110-2025")</f>
        <v/>
      </c>
      <c r="W116">
        <f>HYPERLINK("https://klasma.github.io/Logging_2482/klagomålsmail/A 5110-2025 FSC-klagomål mail.docx", "A 5110-2025")</f>
        <v/>
      </c>
      <c r="X116">
        <f>HYPERLINK("https://klasma.github.io/Logging_2482/tillsyn/A 5110-2025 tillsynsbegäran.docx", "A 5110-2025")</f>
        <v/>
      </c>
      <c r="Y116">
        <f>HYPERLINK("https://klasma.github.io/Logging_2482/tillsynsmail/A 5110-2025 tillsynsbegäran mail.docx", "A 5110-2025")</f>
        <v/>
      </c>
    </row>
    <row r="117" ht="15" customHeight="1">
      <c r="A117" t="inlineStr">
        <is>
          <t>A 26962-2025</t>
        </is>
      </c>
      <c r="B117" s="1" t="n">
        <v>45811.46348379629</v>
      </c>
      <c r="C117" s="1" t="n">
        <v>45931</v>
      </c>
      <c r="D117" t="inlineStr">
        <is>
          <t>VÄSTERBOTTENS LÄN</t>
        </is>
      </c>
      <c r="E117" t="inlineStr">
        <is>
          <t>SKELLEFTEÅ</t>
        </is>
      </c>
      <c r="G117" t="n">
        <v>2.4</v>
      </c>
      <c r="H117" t="n">
        <v>1</v>
      </c>
      <c r="I117" t="n">
        <v>0</v>
      </c>
      <c r="J117" t="n">
        <v>2</v>
      </c>
      <c r="K117" t="n">
        <v>0</v>
      </c>
      <c r="L117" t="n">
        <v>0</v>
      </c>
      <c r="M117" t="n">
        <v>0</v>
      </c>
      <c r="N117" t="n">
        <v>0</v>
      </c>
      <c r="O117" t="n">
        <v>2</v>
      </c>
      <c r="P117" t="n">
        <v>0</v>
      </c>
      <c r="Q117" t="n">
        <v>2</v>
      </c>
      <c r="R117" s="2" t="inlineStr">
        <is>
          <t>Garnlav
Talltita</t>
        </is>
      </c>
      <c r="S117">
        <f>HYPERLINK("https://klasma.github.io/Logging_2482/artfynd/A 26962-2025 artfynd.xlsx", "A 26962-2025")</f>
        <v/>
      </c>
      <c r="T117">
        <f>HYPERLINK("https://klasma.github.io/Logging_2482/kartor/A 26962-2025 karta.png", "A 26962-2025")</f>
        <v/>
      </c>
      <c r="V117">
        <f>HYPERLINK("https://klasma.github.io/Logging_2482/klagomål/A 26962-2025 FSC-klagomål.docx", "A 26962-2025")</f>
        <v/>
      </c>
      <c r="W117">
        <f>HYPERLINK("https://klasma.github.io/Logging_2482/klagomålsmail/A 26962-2025 FSC-klagomål mail.docx", "A 26962-2025")</f>
        <v/>
      </c>
      <c r="X117">
        <f>HYPERLINK("https://klasma.github.io/Logging_2482/tillsyn/A 26962-2025 tillsynsbegäran.docx", "A 26962-2025")</f>
        <v/>
      </c>
      <c r="Y117">
        <f>HYPERLINK("https://klasma.github.io/Logging_2482/tillsynsmail/A 26962-2025 tillsynsbegäran mail.docx", "A 26962-2025")</f>
        <v/>
      </c>
      <c r="Z117">
        <f>HYPERLINK("https://klasma.github.io/Logging_2482/fåglar/A 26962-2025 prioriterade fågelarter.docx", "A 26962-2025")</f>
        <v/>
      </c>
    </row>
    <row r="118" ht="15" customHeight="1">
      <c r="A118" t="inlineStr">
        <is>
          <t>A 28061-2025</t>
        </is>
      </c>
      <c r="B118" s="1" t="n">
        <v>45817.66739583333</v>
      </c>
      <c r="C118" s="1" t="n">
        <v>45931</v>
      </c>
      <c r="D118" t="inlineStr">
        <is>
          <t>VÄSTERBOTTENS LÄN</t>
        </is>
      </c>
      <c r="E118" t="inlineStr">
        <is>
          <t>SKELLEFTEÅ</t>
        </is>
      </c>
      <c r="G118" t="n">
        <v>3.3</v>
      </c>
      <c r="H118" t="n">
        <v>1</v>
      </c>
      <c r="I118" t="n">
        <v>0</v>
      </c>
      <c r="J118" t="n">
        <v>2</v>
      </c>
      <c r="K118" t="n">
        <v>0</v>
      </c>
      <c r="L118" t="n">
        <v>0</v>
      </c>
      <c r="M118" t="n">
        <v>0</v>
      </c>
      <c r="N118" t="n">
        <v>0</v>
      </c>
      <c r="O118" t="n">
        <v>2</v>
      </c>
      <c r="P118" t="n">
        <v>0</v>
      </c>
      <c r="Q118" t="n">
        <v>2</v>
      </c>
      <c r="R118" s="2" t="inlineStr">
        <is>
          <t>Garnlav
Spillkråka</t>
        </is>
      </c>
      <c r="S118">
        <f>HYPERLINK("https://klasma.github.io/Logging_2482/artfynd/A 28061-2025 artfynd.xlsx", "A 28061-2025")</f>
        <v/>
      </c>
      <c r="T118">
        <f>HYPERLINK("https://klasma.github.io/Logging_2482/kartor/A 28061-2025 karta.png", "A 28061-2025")</f>
        <v/>
      </c>
      <c r="V118">
        <f>HYPERLINK("https://klasma.github.io/Logging_2482/klagomål/A 28061-2025 FSC-klagomål.docx", "A 28061-2025")</f>
        <v/>
      </c>
      <c r="W118">
        <f>HYPERLINK("https://klasma.github.io/Logging_2482/klagomålsmail/A 28061-2025 FSC-klagomål mail.docx", "A 28061-2025")</f>
        <v/>
      </c>
      <c r="X118">
        <f>HYPERLINK("https://klasma.github.io/Logging_2482/tillsyn/A 28061-2025 tillsynsbegäran.docx", "A 28061-2025")</f>
        <v/>
      </c>
      <c r="Y118">
        <f>HYPERLINK("https://klasma.github.io/Logging_2482/tillsynsmail/A 28061-2025 tillsynsbegäran mail.docx", "A 28061-2025")</f>
        <v/>
      </c>
      <c r="Z118">
        <f>HYPERLINK("https://klasma.github.io/Logging_2482/fåglar/A 28061-2025 prioriterade fågelarter.docx", "A 28061-2025")</f>
        <v/>
      </c>
    </row>
    <row r="119" ht="15" customHeight="1">
      <c r="A119" t="inlineStr">
        <is>
          <t>A 787-2023</t>
        </is>
      </c>
      <c r="B119" s="1" t="n">
        <v>44931</v>
      </c>
      <c r="C119" s="1" t="n">
        <v>45931</v>
      </c>
      <c r="D119" t="inlineStr">
        <is>
          <t>VÄSTERBOTTENS LÄN</t>
        </is>
      </c>
      <c r="E119" t="inlineStr">
        <is>
          <t>SKELLEFTEÅ</t>
        </is>
      </c>
      <c r="G119" t="n">
        <v>13.9</v>
      </c>
      <c r="H119" t="n">
        <v>0</v>
      </c>
      <c r="I119" t="n">
        <v>1</v>
      </c>
      <c r="J119" t="n">
        <v>1</v>
      </c>
      <c r="K119" t="n">
        <v>0</v>
      </c>
      <c r="L119" t="n">
        <v>0</v>
      </c>
      <c r="M119" t="n">
        <v>0</v>
      </c>
      <c r="N119" t="n">
        <v>0</v>
      </c>
      <c r="O119" t="n">
        <v>1</v>
      </c>
      <c r="P119" t="n">
        <v>0</v>
      </c>
      <c r="Q119" t="n">
        <v>2</v>
      </c>
      <c r="R119" s="2" t="inlineStr">
        <is>
          <t>Storgröe
Ögonpyrola</t>
        </is>
      </c>
      <c r="S119">
        <f>HYPERLINK("https://klasma.github.io/Logging_2482/artfynd/A 787-2023 artfynd.xlsx", "A 787-2023")</f>
        <v/>
      </c>
      <c r="T119">
        <f>HYPERLINK("https://klasma.github.io/Logging_2482/kartor/A 787-2023 karta.png", "A 787-2023")</f>
        <v/>
      </c>
      <c r="V119">
        <f>HYPERLINK("https://klasma.github.io/Logging_2482/klagomål/A 787-2023 FSC-klagomål.docx", "A 787-2023")</f>
        <v/>
      </c>
      <c r="W119">
        <f>HYPERLINK("https://klasma.github.io/Logging_2482/klagomålsmail/A 787-2023 FSC-klagomål mail.docx", "A 787-2023")</f>
        <v/>
      </c>
      <c r="X119">
        <f>HYPERLINK("https://klasma.github.io/Logging_2482/tillsyn/A 787-2023 tillsynsbegäran.docx", "A 787-2023")</f>
        <v/>
      </c>
      <c r="Y119">
        <f>HYPERLINK("https://klasma.github.io/Logging_2482/tillsynsmail/A 787-2023 tillsynsbegäran mail.docx", "A 787-2023")</f>
        <v/>
      </c>
    </row>
    <row r="120" ht="15" customHeight="1">
      <c r="A120" t="inlineStr">
        <is>
          <t>A 35733-2021</t>
        </is>
      </c>
      <c r="B120" s="1" t="n">
        <v>44385</v>
      </c>
      <c r="C120" s="1" t="n">
        <v>45931</v>
      </c>
      <c r="D120" t="inlineStr">
        <is>
          <t>VÄSTERBOTTENS LÄN</t>
        </is>
      </c>
      <c r="E120" t="inlineStr">
        <is>
          <t>SKELLEFTEÅ</t>
        </is>
      </c>
      <c r="G120" t="n">
        <v>0.9</v>
      </c>
      <c r="H120" t="n">
        <v>2</v>
      </c>
      <c r="I120" t="n">
        <v>0</v>
      </c>
      <c r="J120" t="n">
        <v>1</v>
      </c>
      <c r="K120" t="n">
        <v>0</v>
      </c>
      <c r="L120" t="n">
        <v>0</v>
      </c>
      <c r="M120" t="n">
        <v>0</v>
      </c>
      <c r="N120" t="n">
        <v>0</v>
      </c>
      <c r="O120" t="n">
        <v>1</v>
      </c>
      <c r="P120" t="n">
        <v>0</v>
      </c>
      <c r="Q120" t="n">
        <v>2</v>
      </c>
      <c r="R120" s="2" t="inlineStr">
        <is>
          <t>Spillkråka
Tjäder</t>
        </is>
      </c>
      <c r="S120">
        <f>HYPERLINK("https://klasma.github.io/Logging_2482/artfynd/A 35733-2021 artfynd.xlsx", "A 35733-2021")</f>
        <v/>
      </c>
      <c r="T120">
        <f>HYPERLINK("https://klasma.github.io/Logging_2482/kartor/A 35733-2021 karta.png", "A 35733-2021")</f>
        <v/>
      </c>
      <c r="V120">
        <f>HYPERLINK("https://klasma.github.io/Logging_2482/klagomål/A 35733-2021 FSC-klagomål.docx", "A 35733-2021")</f>
        <v/>
      </c>
      <c r="W120">
        <f>HYPERLINK("https://klasma.github.io/Logging_2482/klagomålsmail/A 35733-2021 FSC-klagomål mail.docx", "A 35733-2021")</f>
        <v/>
      </c>
      <c r="X120">
        <f>HYPERLINK("https://klasma.github.io/Logging_2482/tillsyn/A 35733-2021 tillsynsbegäran.docx", "A 35733-2021")</f>
        <v/>
      </c>
      <c r="Y120">
        <f>HYPERLINK("https://klasma.github.io/Logging_2482/tillsynsmail/A 35733-2021 tillsynsbegäran mail.docx", "A 35733-2021")</f>
        <v/>
      </c>
      <c r="Z120">
        <f>HYPERLINK("https://klasma.github.io/Logging_2482/fåglar/A 35733-2021 prioriterade fågelarter.docx", "A 35733-2021")</f>
        <v/>
      </c>
    </row>
    <row r="121" ht="15" customHeight="1">
      <c r="A121" t="inlineStr">
        <is>
          <t>A 57222-2024</t>
        </is>
      </c>
      <c r="B121" s="1" t="n">
        <v>45629.52625</v>
      </c>
      <c r="C121" s="1" t="n">
        <v>45931</v>
      </c>
      <c r="D121" t="inlineStr">
        <is>
          <t>VÄSTERBOTTENS LÄN</t>
        </is>
      </c>
      <c r="E121" t="inlineStr">
        <is>
          <t>SKELLEFTEÅ</t>
        </is>
      </c>
      <c r="F121" t="inlineStr">
        <is>
          <t>Holmen skog AB</t>
        </is>
      </c>
      <c r="G121" t="n">
        <v>3.9</v>
      </c>
      <c r="H121" t="n">
        <v>1</v>
      </c>
      <c r="I121" t="n">
        <v>0</v>
      </c>
      <c r="J121" t="n">
        <v>1</v>
      </c>
      <c r="K121" t="n">
        <v>1</v>
      </c>
      <c r="L121" t="n">
        <v>0</v>
      </c>
      <c r="M121" t="n">
        <v>0</v>
      </c>
      <c r="N121" t="n">
        <v>0</v>
      </c>
      <c r="O121" t="n">
        <v>2</v>
      </c>
      <c r="P121" t="n">
        <v>1</v>
      </c>
      <c r="Q121" t="n">
        <v>2</v>
      </c>
      <c r="R121" s="2" t="inlineStr">
        <is>
          <t>Knärot
Gammelgransskål</t>
        </is>
      </c>
      <c r="S121">
        <f>HYPERLINK("https://klasma.github.io/Logging_2482/artfynd/A 57222-2024 artfynd.xlsx", "A 57222-2024")</f>
        <v/>
      </c>
      <c r="T121">
        <f>HYPERLINK("https://klasma.github.io/Logging_2482/kartor/A 57222-2024 karta.png", "A 57222-2024")</f>
        <v/>
      </c>
      <c r="U121">
        <f>HYPERLINK("https://klasma.github.io/Logging_2482/knärot/A 57222-2024 karta knärot.png", "A 57222-2024")</f>
        <v/>
      </c>
      <c r="V121">
        <f>HYPERLINK("https://klasma.github.io/Logging_2482/klagomål/A 57222-2024 FSC-klagomål.docx", "A 57222-2024")</f>
        <v/>
      </c>
      <c r="W121">
        <f>HYPERLINK("https://klasma.github.io/Logging_2482/klagomålsmail/A 57222-2024 FSC-klagomål mail.docx", "A 57222-2024")</f>
        <v/>
      </c>
      <c r="X121">
        <f>HYPERLINK("https://klasma.github.io/Logging_2482/tillsyn/A 57222-2024 tillsynsbegäran.docx", "A 57222-2024")</f>
        <v/>
      </c>
      <c r="Y121">
        <f>HYPERLINK("https://klasma.github.io/Logging_2482/tillsynsmail/A 57222-2024 tillsynsbegäran mail.docx", "A 57222-2024")</f>
        <v/>
      </c>
    </row>
    <row r="122" ht="15" customHeight="1">
      <c r="A122" t="inlineStr">
        <is>
          <t>A 35956-2025</t>
        </is>
      </c>
      <c r="B122" s="1" t="n">
        <v>45863.32681712963</v>
      </c>
      <c r="C122" s="1" t="n">
        <v>45931</v>
      </c>
      <c r="D122" t="inlineStr">
        <is>
          <t>VÄSTERBOTTENS LÄN</t>
        </is>
      </c>
      <c r="E122" t="inlineStr">
        <is>
          <t>SKELLEFTEÅ</t>
        </is>
      </c>
      <c r="F122" t="inlineStr">
        <is>
          <t>Holmen skog AB</t>
        </is>
      </c>
      <c r="G122" t="n">
        <v>3.1</v>
      </c>
      <c r="H122" t="n">
        <v>1</v>
      </c>
      <c r="I122" t="n">
        <v>0</v>
      </c>
      <c r="J122" t="n">
        <v>1</v>
      </c>
      <c r="K122" t="n">
        <v>0</v>
      </c>
      <c r="L122" t="n">
        <v>0</v>
      </c>
      <c r="M122" t="n">
        <v>0</v>
      </c>
      <c r="N122" t="n">
        <v>0</v>
      </c>
      <c r="O122" t="n">
        <v>1</v>
      </c>
      <c r="P122" t="n">
        <v>0</v>
      </c>
      <c r="Q122" t="n">
        <v>2</v>
      </c>
      <c r="R122" s="2" t="inlineStr">
        <is>
          <t>Gammelgransskål
Fläcknycklar</t>
        </is>
      </c>
      <c r="S122">
        <f>HYPERLINK("https://klasma.github.io/Logging_2482/artfynd/A 35956-2025 artfynd.xlsx", "A 35956-2025")</f>
        <v/>
      </c>
      <c r="T122">
        <f>HYPERLINK("https://klasma.github.io/Logging_2482/kartor/A 35956-2025 karta.png", "A 35956-2025")</f>
        <v/>
      </c>
      <c r="V122">
        <f>HYPERLINK("https://klasma.github.io/Logging_2482/klagomål/A 35956-2025 FSC-klagomål.docx", "A 35956-2025")</f>
        <v/>
      </c>
      <c r="W122">
        <f>HYPERLINK("https://klasma.github.io/Logging_2482/klagomålsmail/A 35956-2025 FSC-klagomål mail.docx", "A 35956-2025")</f>
        <v/>
      </c>
      <c r="X122">
        <f>HYPERLINK("https://klasma.github.io/Logging_2482/tillsyn/A 35956-2025 tillsynsbegäran.docx", "A 35956-2025")</f>
        <v/>
      </c>
      <c r="Y122">
        <f>HYPERLINK("https://klasma.github.io/Logging_2482/tillsynsmail/A 35956-2025 tillsynsbegäran mail.docx", "A 35956-2025")</f>
        <v/>
      </c>
    </row>
    <row r="123" ht="15" customHeight="1">
      <c r="A123" t="inlineStr">
        <is>
          <t>A 58701-2023</t>
        </is>
      </c>
      <c r="B123" s="1" t="n">
        <v>45247</v>
      </c>
      <c r="C123" s="1" t="n">
        <v>45931</v>
      </c>
      <c r="D123" t="inlineStr">
        <is>
          <t>VÄSTERBOTTENS LÄN</t>
        </is>
      </c>
      <c r="E123" t="inlineStr">
        <is>
          <t>SKELLEFTEÅ</t>
        </is>
      </c>
      <c r="G123" t="n">
        <v>1.8</v>
      </c>
      <c r="H123" t="n">
        <v>1</v>
      </c>
      <c r="I123" t="n">
        <v>0</v>
      </c>
      <c r="J123" t="n">
        <v>2</v>
      </c>
      <c r="K123" t="n">
        <v>0</v>
      </c>
      <c r="L123" t="n">
        <v>0</v>
      </c>
      <c r="M123" t="n">
        <v>0</v>
      </c>
      <c r="N123" t="n">
        <v>0</v>
      </c>
      <c r="O123" t="n">
        <v>2</v>
      </c>
      <c r="P123" t="n">
        <v>0</v>
      </c>
      <c r="Q123" t="n">
        <v>2</v>
      </c>
      <c r="R123" s="2" t="inlineStr">
        <is>
          <t>Koralltaggsvamp
Talltita</t>
        </is>
      </c>
      <c r="S123">
        <f>HYPERLINK("https://klasma.github.io/Logging_2482/artfynd/A 58701-2023 artfynd.xlsx", "A 58701-2023")</f>
        <v/>
      </c>
      <c r="T123">
        <f>HYPERLINK("https://klasma.github.io/Logging_2482/kartor/A 58701-2023 karta.png", "A 58701-2023")</f>
        <v/>
      </c>
      <c r="V123">
        <f>HYPERLINK("https://klasma.github.io/Logging_2482/klagomål/A 58701-2023 FSC-klagomål.docx", "A 58701-2023")</f>
        <v/>
      </c>
      <c r="W123">
        <f>HYPERLINK("https://klasma.github.io/Logging_2482/klagomålsmail/A 58701-2023 FSC-klagomål mail.docx", "A 58701-2023")</f>
        <v/>
      </c>
      <c r="X123">
        <f>HYPERLINK("https://klasma.github.io/Logging_2482/tillsyn/A 58701-2023 tillsynsbegäran.docx", "A 58701-2023")</f>
        <v/>
      </c>
      <c r="Y123">
        <f>HYPERLINK("https://klasma.github.io/Logging_2482/tillsynsmail/A 58701-2023 tillsynsbegäran mail.docx", "A 58701-2023")</f>
        <v/>
      </c>
      <c r="Z123">
        <f>HYPERLINK("https://klasma.github.io/Logging_2482/fåglar/A 58701-2023 prioriterade fågelarter.docx", "A 58701-2023")</f>
        <v/>
      </c>
    </row>
    <row r="124" ht="15" customHeight="1">
      <c r="A124" t="inlineStr">
        <is>
          <t>A 14391-2025</t>
        </is>
      </c>
      <c r="B124" s="1" t="n">
        <v>45741.42979166667</v>
      </c>
      <c r="C124" s="1" t="n">
        <v>45931</v>
      </c>
      <c r="D124" t="inlineStr">
        <is>
          <t>VÄSTERBOTTENS LÄN</t>
        </is>
      </c>
      <c r="E124" t="inlineStr">
        <is>
          <t>SKELLEFTEÅ</t>
        </is>
      </c>
      <c r="G124" t="n">
        <v>3.2</v>
      </c>
      <c r="H124" t="n">
        <v>2</v>
      </c>
      <c r="I124" t="n">
        <v>0</v>
      </c>
      <c r="J124" t="n">
        <v>0</v>
      </c>
      <c r="K124" t="n">
        <v>0</v>
      </c>
      <c r="L124" t="n">
        <v>0</v>
      </c>
      <c r="M124" t="n">
        <v>0</v>
      </c>
      <c r="N124" t="n">
        <v>0</v>
      </c>
      <c r="O124" t="n">
        <v>0</v>
      </c>
      <c r="P124" t="n">
        <v>0</v>
      </c>
      <c r="Q124" t="n">
        <v>2</v>
      </c>
      <c r="R124" s="2" t="inlineStr">
        <is>
          <t>Enkelbeckasin
Grönsiska</t>
        </is>
      </c>
      <c r="S124">
        <f>HYPERLINK("https://klasma.github.io/Logging_2482/artfynd/A 14391-2025 artfynd.xlsx", "A 14391-2025")</f>
        <v/>
      </c>
      <c r="T124">
        <f>HYPERLINK("https://klasma.github.io/Logging_2482/kartor/A 14391-2025 karta.png", "A 14391-2025")</f>
        <v/>
      </c>
      <c r="V124">
        <f>HYPERLINK("https://klasma.github.io/Logging_2482/klagomål/A 14391-2025 FSC-klagomål.docx", "A 14391-2025")</f>
        <v/>
      </c>
      <c r="W124">
        <f>HYPERLINK("https://klasma.github.io/Logging_2482/klagomålsmail/A 14391-2025 FSC-klagomål mail.docx", "A 14391-2025")</f>
        <v/>
      </c>
      <c r="X124">
        <f>HYPERLINK("https://klasma.github.io/Logging_2482/tillsyn/A 14391-2025 tillsynsbegäran.docx", "A 14391-2025")</f>
        <v/>
      </c>
      <c r="Y124">
        <f>HYPERLINK("https://klasma.github.io/Logging_2482/tillsynsmail/A 14391-2025 tillsynsbegäran mail.docx", "A 14391-2025")</f>
        <v/>
      </c>
      <c r="Z124">
        <f>HYPERLINK("https://klasma.github.io/Logging_2482/fåglar/A 14391-2025 prioriterade fågelarter.docx", "A 14391-2025")</f>
        <v/>
      </c>
    </row>
    <row r="125" ht="15" customHeight="1">
      <c r="A125" t="inlineStr">
        <is>
          <t>A 37985-2025</t>
        </is>
      </c>
      <c r="B125" s="1" t="n">
        <v>45881.70010416667</v>
      </c>
      <c r="C125" s="1" t="n">
        <v>45931</v>
      </c>
      <c r="D125" t="inlineStr">
        <is>
          <t>VÄSTERBOTTENS LÄN</t>
        </is>
      </c>
      <c r="E125" t="inlineStr">
        <is>
          <t>SKELLEFTEÅ</t>
        </is>
      </c>
      <c r="G125" t="n">
        <v>4.9</v>
      </c>
      <c r="H125" t="n">
        <v>1</v>
      </c>
      <c r="I125" t="n">
        <v>0</v>
      </c>
      <c r="J125" t="n">
        <v>1</v>
      </c>
      <c r="K125" t="n">
        <v>0</v>
      </c>
      <c r="L125" t="n">
        <v>0</v>
      </c>
      <c r="M125" t="n">
        <v>0</v>
      </c>
      <c r="N125" t="n">
        <v>0</v>
      </c>
      <c r="O125" t="n">
        <v>1</v>
      </c>
      <c r="P125" t="n">
        <v>0</v>
      </c>
      <c r="Q125" t="n">
        <v>2</v>
      </c>
      <c r="R125" s="2" t="inlineStr">
        <is>
          <t>Lunglav
Orre</t>
        </is>
      </c>
      <c r="S125">
        <f>HYPERLINK("https://klasma.github.io/Logging_2482/artfynd/A 37985-2025 artfynd.xlsx", "A 37985-2025")</f>
        <v/>
      </c>
      <c r="T125">
        <f>HYPERLINK("https://klasma.github.io/Logging_2482/kartor/A 37985-2025 karta.png", "A 37985-2025")</f>
        <v/>
      </c>
      <c r="V125">
        <f>HYPERLINK("https://klasma.github.io/Logging_2482/klagomål/A 37985-2025 FSC-klagomål.docx", "A 37985-2025")</f>
        <v/>
      </c>
      <c r="W125">
        <f>HYPERLINK("https://klasma.github.io/Logging_2482/klagomålsmail/A 37985-2025 FSC-klagomål mail.docx", "A 37985-2025")</f>
        <v/>
      </c>
      <c r="X125">
        <f>HYPERLINK("https://klasma.github.io/Logging_2482/tillsyn/A 37985-2025 tillsynsbegäran.docx", "A 37985-2025")</f>
        <v/>
      </c>
      <c r="Y125">
        <f>HYPERLINK("https://klasma.github.io/Logging_2482/tillsynsmail/A 37985-2025 tillsynsbegäran mail.docx", "A 37985-2025")</f>
        <v/>
      </c>
      <c r="Z125">
        <f>HYPERLINK("https://klasma.github.io/Logging_2482/fåglar/A 37985-2025 prioriterade fågelarter.docx", "A 37985-2025")</f>
        <v/>
      </c>
    </row>
    <row r="126" ht="15" customHeight="1">
      <c r="A126" t="inlineStr">
        <is>
          <t>A 42328-2025</t>
        </is>
      </c>
      <c r="B126" s="1" t="n">
        <v>45904</v>
      </c>
      <c r="C126" s="1" t="n">
        <v>45931</v>
      </c>
      <c r="D126" t="inlineStr">
        <is>
          <t>VÄSTERBOTTENS LÄN</t>
        </is>
      </c>
      <c r="E126" t="inlineStr">
        <is>
          <t>SKELLEFTEÅ</t>
        </is>
      </c>
      <c r="G126" t="n">
        <v>7.5</v>
      </c>
      <c r="H126" t="n">
        <v>2</v>
      </c>
      <c r="I126" t="n">
        <v>0</v>
      </c>
      <c r="J126" t="n">
        <v>1</v>
      </c>
      <c r="K126" t="n">
        <v>0</v>
      </c>
      <c r="L126" t="n">
        <v>0</v>
      </c>
      <c r="M126" t="n">
        <v>0</v>
      </c>
      <c r="N126" t="n">
        <v>0</v>
      </c>
      <c r="O126" t="n">
        <v>1</v>
      </c>
      <c r="P126" t="n">
        <v>0</v>
      </c>
      <c r="Q126" t="n">
        <v>2</v>
      </c>
      <c r="R126" s="2" t="inlineStr">
        <is>
          <t>Rödvingetrast
Enkelbeckasin</t>
        </is>
      </c>
      <c r="S126">
        <f>HYPERLINK("https://klasma.github.io/Logging_2482/artfynd/A 42328-2025 artfynd.xlsx", "A 42328-2025")</f>
        <v/>
      </c>
      <c r="T126">
        <f>HYPERLINK("https://klasma.github.io/Logging_2482/kartor/A 42328-2025 karta.png", "A 42328-2025")</f>
        <v/>
      </c>
      <c r="V126">
        <f>HYPERLINK("https://klasma.github.io/Logging_2482/klagomål/A 42328-2025 FSC-klagomål.docx", "A 42328-2025")</f>
        <v/>
      </c>
      <c r="W126">
        <f>HYPERLINK("https://klasma.github.io/Logging_2482/klagomålsmail/A 42328-2025 FSC-klagomål mail.docx", "A 42328-2025")</f>
        <v/>
      </c>
      <c r="X126">
        <f>HYPERLINK("https://klasma.github.io/Logging_2482/tillsyn/A 42328-2025 tillsynsbegäran.docx", "A 42328-2025")</f>
        <v/>
      </c>
      <c r="Y126">
        <f>HYPERLINK("https://klasma.github.io/Logging_2482/tillsynsmail/A 42328-2025 tillsynsbegäran mail.docx", "A 42328-2025")</f>
        <v/>
      </c>
      <c r="Z126">
        <f>HYPERLINK("https://klasma.github.io/Logging_2482/fåglar/A 42328-2025 prioriterade fågelarter.docx", "A 42328-2025")</f>
        <v/>
      </c>
    </row>
    <row r="127" ht="15" customHeight="1">
      <c r="A127" t="inlineStr">
        <is>
          <t>A 20367-2025</t>
        </is>
      </c>
      <c r="B127" s="1" t="n">
        <v>45775.40958333333</v>
      </c>
      <c r="C127" s="1" t="n">
        <v>45931</v>
      </c>
      <c r="D127" t="inlineStr">
        <is>
          <t>VÄSTERBOTTENS LÄN</t>
        </is>
      </c>
      <c r="E127" t="inlineStr">
        <is>
          <t>SKELLEFTEÅ</t>
        </is>
      </c>
      <c r="G127" t="n">
        <v>3</v>
      </c>
      <c r="H127" t="n">
        <v>1</v>
      </c>
      <c r="I127" t="n">
        <v>0</v>
      </c>
      <c r="J127" t="n">
        <v>1</v>
      </c>
      <c r="K127" t="n">
        <v>1</v>
      </c>
      <c r="L127" t="n">
        <v>0</v>
      </c>
      <c r="M127" t="n">
        <v>0</v>
      </c>
      <c r="N127" t="n">
        <v>0</v>
      </c>
      <c r="O127" t="n">
        <v>2</v>
      </c>
      <c r="P127" t="n">
        <v>1</v>
      </c>
      <c r="Q127" t="n">
        <v>2</v>
      </c>
      <c r="R127" s="2" t="inlineStr">
        <is>
          <t>Knärot
Ullticka</t>
        </is>
      </c>
      <c r="S127">
        <f>HYPERLINK("https://klasma.github.io/Logging_2482/artfynd/A 20367-2025 artfynd.xlsx", "A 20367-2025")</f>
        <v/>
      </c>
      <c r="T127">
        <f>HYPERLINK("https://klasma.github.io/Logging_2482/kartor/A 20367-2025 karta.png", "A 20367-2025")</f>
        <v/>
      </c>
      <c r="U127">
        <f>HYPERLINK("https://klasma.github.io/Logging_2482/knärot/A 20367-2025 karta knärot.png", "A 20367-2025")</f>
        <v/>
      </c>
      <c r="V127">
        <f>HYPERLINK("https://klasma.github.io/Logging_2482/klagomål/A 20367-2025 FSC-klagomål.docx", "A 20367-2025")</f>
        <v/>
      </c>
      <c r="W127">
        <f>HYPERLINK("https://klasma.github.io/Logging_2482/klagomålsmail/A 20367-2025 FSC-klagomål mail.docx", "A 20367-2025")</f>
        <v/>
      </c>
      <c r="X127">
        <f>HYPERLINK("https://klasma.github.io/Logging_2482/tillsyn/A 20367-2025 tillsynsbegäran.docx", "A 20367-2025")</f>
        <v/>
      </c>
      <c r="Y127">
        <f>HYPERLINK("https://klasma.github.io/Logging_2482/tillsynsmail/A 20367-2025 tillsynsbegäran mail.docx", "A 20367-2025")</f>
        <v/>
      </c>
    </row>
    <row r="128" ht="15" customHeight="1">
      <c r="A128" t="inlineStr">
        <is>
          <t>A 14857-2021</t>
        </is>
      </c>
      <c r="B128" s="1" t="n">
        <v>44280</v>
      </c>
      <c r="C128" s="1" t="n">
        <v>45931</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45931</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737-2025</t>
        </is>
      </c>
      <c r="B130" s="1" t="n">
        <v>45665</v>
      </c>
      <c r="C130" s="1" t="n">
        <v>45931</v>
      </c>
      <c r="D130" t="inlineStr">
        <is>
          <t>VÄSTERBOTTENS LÄN</t>
        </is>
      </c>
      <c r="E130" t="inlineStr">
        <is>
          <t>SKELLEFTEÅ</t>
        </is>
      </c>
      <c r="G130" t="n">
        <v>14.8</v>
      </c>
      <c r="H130" t="n">
        <v>0</v>
      </c>
      <c r="I130" t="n">
        <v>0</v>
      </c>
      <c r="J130" t="n">
        <v>0</v>
      </c>
      <c r="K130" t="n">
        <v>1</v>
      </c>
      <c r="L130" t="n">
        <v>0</v>
      </c>
      <c r="M130" t="n">
        <v>0</v>
      </c>
      <c r="N130" t="n">
        <v>0</v>
      </c>
      <c r="O130" t="n">
        <v>1</v>
      </c>
      <c r="P130" t="n">
        <v>1</v>
      </c>
      <c r="Q130" t="n">
        <v>1</v>
      </c>
      <c r="R130" s="2" t="inlineStr">
        <is>
          <t>Goliatmusseron</t>
        </is>
      </c>
      <c r="S130">
        <f>HYPERLINK("https://klasma.github.io/Logging_2482/artfynd/A 737-2025 artfynd.xlsx", "A 737-2025")</f>
        <v/>
      </c>
      <c r="T130">
        <f>HYPERLINK("https://klasma.github.io/Logging_2482/kartor/A 737-2025 karta.png", "A 737-2025")</f>
        <v/>
      </c>
      <c r="V130">
        <f>HYPERLINK("https://klasma.github.io/Logging_2482/klagomål/A 737-2025 FSC-klagomål.docx", "A 737-2025")</f>
        <v/>
      </c>
      <c r="W130">
        <f>HYPERLINK("https://klasma.github.io/Logging_2482/klagomålsmail/A 737-2025 FSC-klagomål mail.docx", "A 737-2025")</f>
        <v/>
      </c>
      <c r="X130">
        <f>HYPERLINK("https://klasma.github.io/Logging_2482/tillsyn/A 737-2025 tillsynsbegäran.docx", "A 737-2025")</f>
        <v/>
      </c>
      <c r="Y130">
        <f>HYPERLINK("https://klasma.github.io/Logging_2482/tillsynsmail/A 737-2025 tillsynsbegäran mail.docx", "A 737-2025")</f>
        <v/>
      </c>
    </row>
    <row r="131" ht="15" customHeight="1">
      <c r="A131" t="inlineStr">
        <is>
          <t>A 28448-2023</t>
        </is>
      </c>
      <c r="B131" s="1" t="n">
        <v>45103</v>
      </c>
      <c r="C131" s="1" t="n">
        <v>45931</v>
      </c>
      <c r="D131" t="inlineStr">
        <is>
          <t>VÄSTERBOTTENS LÄN</t>
        </is>
      </c>
      <c r="E131" t="inlineStr">
        <is>
          <t>SKELLEFTEÅ</t>
        </is>
      </c>
      <c r="F131" t="inlineStr">
        <is>
          <t>Kyrkan</t>
        </is>
      </c>
      <c r="G131" t="n">
        <v>9.4</v>
      </c>
      <c r="H131" t="n">
        <v>0</v>
      </c>
      <c r="I131" t="n">
        <v>0</v>
      </c>
      <c r="J131" t="n">
        <v>1</v>
      </c>
      <c r="K131" t="n">
        <v>0</v>
      </c>
      <c r="L131" t="n">
        <v>0</v>
      </c>
      <c r="M131" t="n">
        <v>0</v>
      </c>
      <c r="N131" t="n">
        <v>0</v>
      </c>
      <c r="O131" t="n">
        <v>1</v>
      </c>
      <c r="P131" t="n">
        <v>0</v>
      </c>
      <c r="Q131" t="n">
        <v>1</v>
      </c>
      <c r="R131" s="2" t="inlineStr">
        <is>
          <t>Tallriska</t>
        </is>
      </c>
      <c r="S131">
        <f>HYPERLINK("https://klasma.github.io/Logging_2482/artfynd/A 28448-2023 artfynd.xlsx", "A 28448-2023")</f>
        <v/>
      </c>
      <c r="T131">
        <f>HYPERLINK("https://klasma.github.io/Logging_2482/kartor/A 28448-2023 karta.png", "A 28448-2023")</f>
        <v/>
      </c>
      <c r="V131">
        <f>HYPERLINK("https://klasma.github.io/Logging_2482/klagomål/A 28448-2023 FSC-klagomål.docx", "A 28448-2023")</f>
        <v/>
      </c>
      <c r="W131">
        <f>HYPERLINK("https://klasma.github.io/Logging_2482/klagomålsmail/A 28448-2023 FSC-klagomål mail.docx", "A 28448-2023")</f>
        <v/>
      </c>
      <c r="X131">
        <f>HYPERLINK("https://klasma.github.io/Logging_2482/tillsyn/A 28448-2023 tillsynsbegäran.docx", "A 28448-2023")</f>
        <v/>
      </c>
      <c r="Y131">
        <f>HYPERLINK("https://klasma.github.io/Logging_2482/tillsynsmail/A 28448-2023 tillsynsbegäran mail.docx", "A 28448-2023")</f>
        <v/>
      </c>
    </row>
    <row r="132" ht="15" customHeight="1">
      <c r="A132" t="inlineStr">
        <is>
          <t>A 36628-2023</t>
        </is>
      </c>
      <c r="B132" s="1" t="n">
        <v>45153</v>
      </c>
      <c r="C132" s="1" t="n">
        <v>45931</v>
      </c>
      <c r="D132" t="inlineStr">
        <is>
          <t>VÄSTERBOTTENS LÄN</t>
        </is>
      </c>
      <c r="E132" t="inlineStr">
        <is>
          <t>SKELLEFTEÅ</t>
        </is>
      </c>
      <c r="F132" t="inlineStr">
        <is>
          <t>Holmen skog AB</t>
        </is>
      </c>
      <c r="G132" t="n">
        <v>4.6</v>
      </c>
      <c r="H132" t="n">
        <v>0</v>
      </c>
      <c r="I132" t="n">
        <v>0</v>
      </c>
      <c r="J132" t="n">
        <v>1</v>
      </c>
      <c r="K132" t="n">
        <v>0</v>
      </c>
      <c r="L132" t="n">
        <v>0</v>
      </c>
      <c r="M132" t="n">
        <v>0</v>
      </c>
      <c r="N132" t="n">
        <v>0</v>
      </c>
      <c r="O132" t="n">
        <v>1</v>
      </c>
      <c r="P132" t="n">
        <v>0</v>
      </c>
      <c r="Q132" t="n">
        <v>1</v>
      </c>
      <c r="R132" s="2" t="inlineStr">
        <is>
          <t>Gultoppig fingersvamp</t>
        </is>
      </c>
      <c r="S132">
        <f>HYPERLINK("https://klasma.github.io/Logging_2482/artfynd/A 36628-2023 artfynd.xlsx", "A 36628-2023")</f>
        <v/>
      </c>
      <c r="T132">
        <f>HYPERLINK("https://klasma.github.io/Logging_2482/kartor/A 36628-2023 karta.png", "A 36628-2023")</f>
        <v/>
      </c>
      <c r="V132">
        <f>HYPERLINK("https://klasma.github.io/Logging_2482/klagomål/A 36628-2023 FSC-klagomål.docx", "A 36628-2023")</f>
        <v/>
      </c>
      <c r="W132">
        <f>HYPERLINK("https://klasma.github.io/Logging_2482/klagomålsmail/A 36628-2023 FSC-klagomål mail.docx", "A 36628-2023")</f>
        <v/>
      </c>
      <c r="X132">
        <f>HYPERLINK("https://klasma.github.io/Logging_2482/tillsyn/A 36628-2023 tillsynsbegäran.docx", "A 36628-2023")</f>
        <v/>
      </c>
      <c r="Y132">
        <f>HYPERLINK("https://klasma.github.io/Logging_2482/tillsynsmail/A 36628-2023 tillsynsbegäran mail.docx", "A 36628-2023")</f>
        <v/>
      </c>
    </row>
    <row r="133" ht="15" customHeight="1">
      <c r="A133" t="inlineStr">
        <is>
          <t>A 46731-2025</t>
        </is>
      </c>
      <c r="B133" s="1" t="n">
        <v>45926.59231481481</v>
      </c>
      <c r="C133" s="1" t="n">
        <v>45931</v>
      </c>
      <c r="D133" t="inlineStr">
        <is>
          <t>VÄSTERBOTTENS LÄN</t>
        </is>
      </c>
      <c r="E133" t="inlineStr">
        <is>
          <t>SKELLEFTEÅ</t>
        </is>
      </c>
      <c r="F133" t="inlineStr">
        <is>
          <t>Sveaskog</t>
        </is>
      </c>
      <c r="G133" t="n">
        <v>17</v>
      </c>
      <c r="H133" t="n">
        <v>0</v>
      </c>
      <c r="I133" t="n">
        <v>0</v>
      </c>
      <c r="J133" t="n">
        <v>1</v>
      </c>
      <c r="K133" t="n">
        <v>0</v>
      </c>
      <c r="L133" t="n">
        <v>0</v>
      </c>
      <c r="M133" t="n">
        <v>0</v>
      </c>
      <c r="N133" t="n">
        <v>0</v>
      </c>
      <c r="O133" t="n">
        <v>1</v>
      </c>
      <c r="P133" t="n">
        <v>0</v>
      </c>
      <c r="Q133" t="n">
        <v>1</v>
      </c>
      <c r="R133" s="2" t="inlineStr">
        <is>
          <t>Garnlav</t>
        </is>
      </c>
      <c r="S133">
        <f>HYPERLINK("https://klasma.github.io/Logging_2482/artfynd/A 46731-2025 artfynd.xlsx", "A 46731-2025")</f>
        <v/>
      </c>
      <c r="T133">
        <f>HYPERLINK("https://klasma.github.io/Logging_2482/kartor/A 46731-2025 karta.png", "A 46731-2025")</f>
        <v/>
      </c>
      <c r="V133">
        <f>HYPERLINK("https://klasma.github.io/Logging_2482/klagomål/A 46731-2025 FSC-klagomål.docx", "A 46731-2025")</f>
        <v/>
      </c>
      <c r="W133">
        <f>HYPERLINK("https://klasma.github.io/Logging_2482/klagomålsmail/A 46731-2025 FSC-klagomål mail.docx", "A 46731-2025")</f>
        <v/>
      </c>
      <c r="X133">
        <f>HYPERLINK("https://klasma.github.io/Logging_2482/tillsyn/A 46731-2025 tillsynsbegäran.docx", "A 46731-2025")</f>
        <v/>
      </c>
      <c r="Y133">
        <f>HYPERLINK("https://klasma.github.io/Logging_2482/tillsynsmail/A 46731-2025 tillsynsbegäran mail.docx", "A 46731-2025")</f>
        <v/>
      </c>
    </row>
    <row r="134" ht="15" customHeight="1">
      <c r="A134" t="inlineStr">
        <is>
          <t>A 32964-2021</t>
        </is>
      </c>
      <c r="B134" s="1" t="n">
        <v>44376</v>
      </c>
      <c r="C134" s="1" t="n">
        <v>45931</v>
      </c>
      <c r="D134" t="inlineStr">
        <is>
          <t>VÄSTERBOTTENS LÄN</t>
        </is>
      </c>
      <c r="E134" t="inlineStr">
        <is>
          <t>SKELLEFTEÅ</t>
        </is>
      </c>
      <c r="G134" t="n">
        <v>16</v>
      </c>
      <c r="H134" t="n">
        <v>0</v>
      </c>
      <c r="I134" t="n">
        <v>0</v>
      </c>
      <c r="J134" t="n">
        <v>1</v>
      </c>
      <c r="K134" t="n">
        <v>0</v>
      </c>
      <c r="L134" t="n">
        <v>0</v>
      </c>
      <c r="M134" t="n">
        <v>0</v>
      </c>
      <c r="N134" t="n">
        <v>0</v>
      </c>
      <c r="O134" t="n">
        <v>1</v>
      </c>
      <c r="P134" t="n">
        <v>0</v>
      </c>
      <c r="Q134" t="n">
        <v>1</v>
      </c>
      <c r="R134" s="2" t="inlineStr">
        <is>
          <t>Kådvaxskinn</t>
        </is>
      </c>
      <c r="S134">
        <f>HYPERLINK("https://klasma.github.io/Logging_2482/artfynd/A 32964-2021 artfynd.xlsx", "A 32964-2021")</f>
        <v/>
      </c>
      <c r="T134">
        <f>HYPERLINK("https://klasma.github.io/Logging_2482/kartor/A 32964-2021 karta.png", "A 32964-2021")</f>
        <v/>
      </c>
      <c r="V134">
        <f>HYPERLINK("https://klasma.github.io/Logging_2482/klagomål/A 32964-2021 FSC-klagomål.docx", "A 32964-2021")</f>
        <v/>
      </c>
      <c r="W134">
        <f>HYPERLINK("https://klasma.github.io/Logging_2482/klagomålsmail/A 32964-2021 FSC-klagomål mail.docx", "A 32964-2021")</f>
        <v/>
      </c>
      <c r="X134">
        <f>HYPERLINK("https://klasma.github.io/Logging_2482/tillsyn/A 32964-2021 tillsynsbegäran.docx", "A 32964-2021")</f>
        <v/>
      </c>
      <c r="Y134">
        <f>HYPERLINK("https://klasma.github.io/Logging_2482/tillsynsmail/A 32964-2021 tillsynsbegäran mail.docx", "A 32964-2021")</f>
        <v/>
      </c>
    </row>
    <row r="135" ht="15" customHeight="1">
      <c r="A135" t="inlineStr">
        <is>
          <t>A 60231-2022</t>
        </is>
      </c>
      <c r="B135" s="1" t="n">
        <v>44910</v>
      </c>
      <c r="C135" s="1" t="n">
        <v>45931</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54058-2022</t>
        </is>
      </c>
      <c r="B136" s="1" t="n">
        <v>44881</v>
      </c>
      <c r="C136" s="1" t="n">
        <v>45931</v>
      </c>
      <c r="D136" t="inlineStr">
        <is>
          <t>VÄSTERBOTTENS LÄN</t>
        </is>
      </c>
      <c r="E136" t="inlineStr">
        <is>
          <t>SKELLEFTEÅ</t>
        </is>
      </c>
      <c r="F136" t="inlineStr">
        <is>
          <t>Sveaskog</t>
        </is>
      </c>
      <c r="G136" t="n">
        <v>1.2</v>
      </c>
      <c r="H136" t="n">
        <v>0</v>
      </c>
      <c r="I136" t="n">
        <v>1</v>
      </c>
      <c r="J136" t="n">
        <v>0</v>
      </c>
      <c r="K136" t="n">
        <v>0</v>
      </c>
      <c r="L136" t="n">
        <v>0</v>
      </c>
      <c r="M136" t="n">
        <v>0</v>
      </c>
      <c r="N136" t="n">
        <v>0</v>
      </c>
      <c r="O136" t="n">
        <v>0</v>
      </c>
      <c r="P136" t="n">
        <v>0</v>
      </c>
      <c r="Q136" t="n">
        <v>1</v>
      </c>
      <c r="R136" s="2" t="inlineStr">
        <is>
          <t>Luddlav</t>
        </is>
      </c>
      <c r="S136">
        <f>HYPERLINK("https://klasma.github.io/Logging_2482/artfynd/A 54058-2022 artfynd.xlsx", "A 54058-2022")</f>
        <v/>
      </c>
      <c r="T136">
        <f>HYPERLINK("https://klasma.github.io/Logging_2482/kartor/A 54058-2022 karta.png", "A 54058-2022")</f>
        <v/>
      </c>
      <c r="V136">
        <f>HYPERLINK("https://klasma.github.io/Logging_2482/klagomål/A 54058-2022 FSC-klagomål.docx", "A 54058-2022")</f>
        <v/>
      </c>
      <c r="W136">
        <f>HYPERLINK("https://klasma.github.io/Logging_2482/klagomålsmail/A 54058-2022 FSC-klagomål mail.docx", "A 54058-2022")</f>
        <v/>
      </c>
      <c r="X136">
        <f>HYPERLINK("https://klasma.github.io/Logging_2482/tillsyn/A 54058-2022 tillsynsbegäran.docx", "A 54058-2022")</f>
        <v/>
      </c>
      <c r="Y136">
        <f>HYPERLINK("https://klasma.github.io/Logging_2482/tillsynsmail/A 54058-2022 tillsynsbegäran mail.docx", "A 54058-2022")</f>
        <v/>
      </c>
    </row>
    <row r="137" ht="15" customHeight="1">
      <c r="A137" t="inlineStr">
        <is>
          <t>A 41087-2023</t>
        </is>
      </c>
      <c r="B137" s="1" t="n">
        <v>45173</v>
      </c>
      <c r="C137" s="1" t="n">
        <v>45931</v>
      </c>
      <c r="D137" t="inlineStr">
        <is>
          <t>VÄSTERBOTTENS LÄN</t>
        </is>
      </c>
      <c r="E137" t="inlineStr">
        <is>
          <t>SKELLEFTEÅ</t>
        </is>
      </c>
      <c r="F137" t="inlineStr">
        <is>
          <t>Holmen skog AB</t>
        </is>
      </c>
      <c r="G137" t="n">
        <v>10</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41087-2023 artfynd.xlsx", "A 41087-2023")</f>
        <v/>
      </c>
      <c r="T137">
        <f>HYPERLINK("https://klasma.github.io/Logging_2482/kartor/A 41087-2023 karta.png", "A 41087-2023")</f>
        <v/>
      </c>
      <c r="V137">
        <f>HYPERLINK("https://klasma.github.io/Logging_2482/klagomål/A 41087-2023 FSC-klagomål.docx", "A 41087-2023")</f>
        <v/>
      </c>
      <c r="W137">
        <f>HYPERLINK("https://klasma.github.io/Logging_2482/klagomålsmail/A 41087-2023 FSC-klagomål mail.docx", "A 41087-2023")</f>
        <v/>
      </c>
      <c r="X137">
        <f>HYPERLINK("https://klasma.github.io/Logging_2482/tillsyn/A 41087-2023 tillsynsbegäran.docx", "A 41087-2023")</f>
        <v/>
      </c>
      <c r="Y137">
        <f>HYPERLINK("https://klasma.github.io/Logging_2482/tillsynsmail/A 41087-2023 tillsynsbegäran mail.docx", "A 41087-2023")</f>
        <v/>
      </c>
    </row>
    <row r="138" ht="15" customHeight="1">
      <c r="A138" t="inlineStr">
        <is>
          <t>A 47354-2025</t>
        </is>
      </c>
      <c r="B138" s="1" t="n">
        <v>45930.57769675926</v>
      </c>
      <c r="C138" s="1" t="n">
        <v>45931</v>
      </c>
      <c r="D138" t="inlineStr">
        <is>
          <t>VÄSTERBOTTENS LÄN</t>
        </is>
      </c>
      <c r="E138" t="inlineStr">
        <is>
          <t>SKELLEFTEÅ</t>
        </is>
      </c>
      <c r="G138" t="n">
        <v>0.5</v>
      </c>
      <c r="H138" t="n">
        <v>1</v>
      </c>
      <c r="I138" t="n">
        <v>0</v>
      </c>
      <c r="J138" t="n">
        <v>0</v>
      </c>
      <c r="K138" t="n">
        <v>0</v>
      </c>
      <c r="L138" t="n">
        <v>0</v>
      </c>
      <c r="M138" t="n">
        <v>0</v>
      </c>
      <c r="N138" t="n">
        <v>0</v>
      </c>
      <c r="O138" t="n">
        <v>0</v>
      </c>
      <c r="P138" t="n">
        <v>0</v>
      </c>
      <c r="Q138" t="n">
        <v>1</v>
      </c>
      <c r="R138" s="2" t="inlineStr">
        <is>
          <t>Mindre vattensalamander</t>
        </is>
      </c>
      <c r="S138">
        <f>HYPERLINK("https://klasma.github.io/Logging_2482/artfynd/A 47354-2025 artfynd.xlsx", "A 47354-2025")</f>
        <v/>
      </c>
      <c r="T138">
        <f>HYPERLINK("https://klasma.github.io/Logging_2482/kartor/A 47354-2025 karta.png", "A 47354-2025")</f>
        <v/>
      </c>
      <c r="V138">
        <f>HYPERLINK("https://klasma.github.io/Logging_2482/klagomål/A 47354-2025 FSC-klagomål.docx", "A 47354-2025")</f>
        <v/>
      </c>
      <c r="W138">
        <f>HYPERLINK("https://klasma.github.io/Logging_2482/klagomålsmail/A 47354-2025 FSC-klagomål mail.docx", "A 47354-2025")</f>
        <v/>
      </c>
      <c r="X138">
        <f>HYPERLINK("https://klasma.github.io/Logging_2482/tillsyn/A 47354-2025 tillsynsbegäran.docx", "A 47354-2025")</f>
        <v/>
      </c>
      <c r="Y138">
        <f>HYPERLINK("https://klasma.github.io/Logging_2482/tillsynsmail/A 47354-2025 tillsynsbegäran mail.docx", "A 47354-2025")</f>
        <v/>
      </c>
    </row>
    <row r="139" ht="15" customHeight="1">
      <c r="A139" t="inlineStr">
        <is>
          <t>A 32566-2023</t>
        </is>
      </c>
      <c r="B139" s="1" t="n">
        <v>45121</v>
      </c>
      <c r="C139" s="1" t="n">
        <v>45931</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41055-2023</t>
        </is>
      </c>
      <c r="B140" s="1" t="n">
        <v>45173</v>
      </c>
      <c r="C140" s="1" t="n">
        <v>45931</v>
      </c>
      <c r="D140" t="inlineStr">
        <is>
          <t>VÄSTERBOTTENS LÄN</t>
        </is>
      </c>
      <c r="E140" t="inlineStr">
        <is>
          <t>SKELLEFTEÅ</t>
        </is>
      </c>
      <c r="F140" t="inlineStr">
        <is>
          <t>Holmen skog AB</t>
        </is>
      </c>
      <c r="G140" t="n">
        <v>4.4</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41055-2023 artfynd.xlsx", "A 41055-2023")</f>
        <v/>
      </c>
      <c r="T140">
        <f>HYPERLINK("https://klasma.github.io/Logging_2482/kartor/A 41055-2023 karta.png", "A 41055-2023")</f>
        <v/>
      </c>
      <c r="V140">
        <f>HYPERLINK("https://klasma.github.io/Logging_2482/klagomål/A 41055-2023 FSC-klagomål.docx", "A 41055-2023")</f>
        <v/>
      </c>
      <c r="W140">
        <f>HYPERLINK("https://klasma.github.io/Logging_2482/klagomålsmail/A 41055-2023 FSC-klagomål mail.docx", "A 41055-2023")</f>
        <v/>
      </c>
      <c r="X140">
        <f>HYPERLINK("https://klasma.github.io/Logging_2482/tillsyn/A 41055-2023 tillsynsbegäran.docx", "A 41055-2023")</f>
        <v/>
      </c>
      <c r="Y140">
        <f>HYPERLINK("https://klasma.github.io/Logging_2482/tillsynsmail/A 41055-2023 tillsynsbegäran mail.docx", "A 41055-2023")</f>
        <v/>
      </c>
    </row>
    <row r="141" ht="15" customHeight="1">
      <c r="A141" t="inlineStr">
        <is>
          <t>A 32724-2024</t>
        </is>
      </c>
      <c r="B141" s="1" t="n">
        <v>45516.40765046296</v>
      </c>
      <c r="C141" s="1" t="n">
        <v>45931</v>
      </c>
      <c r="D141" t="inlineStr">
        <is>
          <t>VÄSTERBOTTENS LÄN</t>
        </is>
      </c>
      <c r="E141" t="inlineStr">
        <is>
          <t>SKELLEFTEÅ</t>
        </is>
      </c>
      <c r="F141" t="inlineStr">
        <is>
          <t>Holmen skog AB</t>
        </is>
      </c>
      <c r="G141" t="n">
        <v>4.4</v>
      </c>
      <c r="H141" t="n">
        <v>0</v>
      </c>
      <c r="I141" t="n">
        <v>0</v>
      </c>
      <c r="J141" t="n">
        <v>1</v>
      </c>
      <c r="K141" t="n">
        <v>0</v>
      </c>
      <c r="L141" t="n">
        <v>0</v>
      </c>
      <c r="M141" t="n">
        <v>0</v>
      </c>
      <c r="N141" t="n">
        <v>0</v>
      </c>
      <c r="O141" t="n">
        <v>1</v>
      </c>
      <c r="P141" t="n">
        <v>0</v>
      </c>
      <c r="Q141" t="n">
        <v>1</v>
      </c>
      <c r="R141" s="2" t="inlineStr">
        <is>
          <t>Lunglav</t>
        </is>
      </c>
      <c r="S141">
        <f>HYPERLINK("https://klasma.github.io/Logging_2482/artfynd/A 32724-2024 artfynd.xlsx", "A 32724-2024")</f>
        <v/>
      </c>
      <c r="T141">
        <f>HYPERLINK("https://klasma.github.io/Logging_2482/kartor/A 32724-2024 karta.png", "A 32724-2024")</f>
        <v/>
      </c>
      <c r="V141">
        <f>HYPERLINK("https://klasma.github.io/Logging_2482/klagomål/A 32724-2024 FSC-klagomål.docx", "A 32724-2024")</f>
        <v/>
      </c>
      <c r="W141">
        <f>HYPERLINK("https://klasma.github.io/Logging_2482/klagomålsmail/A 32724-2024 FSC-klagomål mail.docx", "A 32724-2024")</f>
        <v/>
      </c>
      <c r="X141">
        <f>HYPERLINK("https://klasma.github.io/Logging_2482/tillsyn/A 32724-2024 tillsynsbegäran.docx", "A 32724-2024")</f>
        <v/>
      </c>
      <c r="Y141">
        <f>HYPERLINK("https://klasma.github.io/Logging_2482/tillsynsmail/A 32724-2024 tillsynsbegäran mail.docx", "A 32724-2024")</f>
        <v/>
      </c>
    </row>
    <row r="142" ht="15" customHeight="1">
      <c r="A142" t="inlineStr">
        <is>
          <t>A 58766-2021</t>
        </is>
      </c>
      <c r="B142" s="1" t="n">
        <v>44489</v>
      </c>
      <c r="C142" s="1" t="n">
        <v>45931</v>
      </c>
      <c r="D142" t="inlineStr">
        <is>
          <t>VÄSTERBOTTENS LÄN</t>
        </is>
      </c>
      <c r="E142" t="inlineStr">
        <is>
          <t>SKELLEFTEÅ</t>
        </is>
      </c>
      <c r="G142" t="n">
        <v>5.5</v>
      </c>
      <c r="H142" t="n">
        <v>0</v>
      </c>
      <c r="I142" t="n">
        <v>0</v>
      </c>
      <c r="J142" t="n">
        <v>1</v>
      </c>
      <c r="K142" t="n">
        <v>0</v>
      </c>
      <c r="L142" t="n">
        <v>0</v>
      </c>
      <c r="M142" t="n">
        <v>0</v>
      </c>
      <c r="N142" t="n">
        <v>0</v>
      </c>
      <c r="O142" t="n">
        <v>1</v>
      </c>
      <c r="P142" t="n">
        <v>0</v>
      </c>
      <c r="Q142" t="n">
        <v>1</v>
      </c>
      <c r="R142" s="2" t="inlineStr">
        <is>
          <t>Stjärntagging</t>
        </is>
      </c>
      <c r="S142">
        <f>HYPERLINK("https://klasma.github.io/Logging_2482/artfynd/A 58766-2021 artfynd.xlsx", "A 58766-2021")</f>
        <v/>
      </c>
      <c r="T142">
        <f>HYPERLINK("https://klasma.github.io/Logging_2482/kartor/A 58766-2021 karta.png", "A 58766-2021")</f>
        <v/>
      </c>
      <c r="V142">
        <f>HYPERLINK("https://klasma.github.io/Logging_2482/klagomål/A 58766-2021 FSC-klagomål.docx", "A 58766-2021")</f>
        <v/>
      </c>
      <c r="W142">
        <f>HYPERLINK("https://klasma.github.io/Logging_2482/klagomålsmail/A 58766-2021 FSC-klagomål mail.docx", "A 58766-2021")</f>
        <v/>
      </c>
      <c r="X142">
        <f>HYPERLINK("https://klasma.github.io/Logging_2482/tillsyn/A 58766-2021 tillsynsbegäran.docx", "A 58766-2021")</f>
        <v/>
      </c>
      <c r="Y142">
        <f>HYPERLINK("https://klasma.github.io/Logging_2482/tillsynsmail/A 58766-2021 tillsynsbegäran mail.docx", "A 58766-2021")</f>
        <v/>
      </c>
    </row>
    <row r="143" ht="15" customHeight="1">
      <c r="A143" t="inlineStr">
        <is>
          <t>A 6156-2025</t>
        </is>
      </c>
      <c r="B143" s="1" t="n">
        <v>45695</v>
      </c>
      <c r="C143" s="1" t="n">
        <v>45931</v>
      </c>
      <c r="D143" t="inlineStr">
        <is>
          <t>VÄSTERBOTTENS LÄN</t>
        </is>
      </c>
      <c r="E143" t="inlineStr">
        <is>
          <t>SKELLEFTEÅ</t>
        </is>
      </c>
      <c r="G143" t="n">
        <v>5.1</v>
      </c>
      <c r="H143" t="n">
        <v>0</v>
      </c>
      <c r="I143" t="n">
        <v>0</v>
      </c>
      <c r="J143" t="n">
        <v>1</v>
      </c>
      <c r="K143" t="n">
        <v>0</v>
      </c>
      <c r="L143" t="n">
        <v>0</v>
      </c>
      <c r="M143" t="n">
        <v>0</v>
      </c>
      <c r="N143" t="n">
        <v>0</v>
      </c>
      <c r="O143" t="n">
        <v>1</v>
      </c>
      <c r="P143" t="n">
        <v>0</v>
      </c>
      <c r="Q143" t="n">
        <v>1</v>
      </c>
      <c r="R143" s="2" t="inlineStr">
        <is>
          <t>Gammelgransskål</t>
        </is>
      </c>
      <c r="S143">
        <f>HYPERLINK("https://klasma.github.io/Logging_2482/artfynd/A 6156-2025 artfynd.xlsx", "A 6156-2025")</f>
        <v/>
      </c>
      <c r="T143">
        <f>HYPERLINK("https://klasma.github.io/Logging_2482/kartor/A 6156-2025 karta.png", "A 6156-2025")</f>
        <v/>
      </c>
      <c r="V143">
        <f>HYPERLINK("https://klasma.github.io/Logging_2482/klagomål/A 6156-2025 FSC-klagomål.docx", "A 6156-2025")</f>
        <v/>
      </c>
      <c r="W143">
        <f>HYPERLINK("https://klasma.github.io/Logging_2482/klagomålsmail/A 6156-2025 FSC-klagomål mail.docx", "A 6156-2025")</f>
        <v/>
      </c>
      <c r="X143">
        <f>HYPERLINK("https://klasma.github.io/Logging_2482/tillsyn/A 6156-2025 tillsynsbegäran.docx", "A 6156-2025")</f>
        <v/>
      </c>
      <c r="Y143">
        <f>HYPERLINK("https://klasma.github.io/Logging_2482/tillsynsmail/A 6156-2025 tillsynsbegäran mail.docx", "A 6156-2025")</f>
        <v/>
      </c>
    </row>
    <row r="144" ht="15" customHeight="1">
      <c r="A144" t="inlineStr">
        <is>
          <t>A 9446-2025</t>
        </is>
      </c>
      <c r="B144" s="1" t="n">
        <v>45715.42019675926</v>
      </c>
      <c r="C144" s="1" t="n">
        <v>45931</v>
      </c>
      <c r="D144" t="inlineStr">
        <is>
          <t>VÄSTERBOTTENS LÄN</t>
        </is>
      </c>
      <c r="E144" t="inlineStr">
        <is>
          <t>SKELLEFTEÅ</t>
        </is>
      </c>
      <c r="G144" t="n">
        <v>1.8</v>
      </c>
      <c r="H144" t="n">
        <v>0</v>
      </c>
      <c r="I144" t="n">
        <v>1</v>
      </c>
      <c r="J144" t="n">
        <v>0</v>
      </c>
      <c r="K144" t="n">
        <v>0</v>
      </c>
      <c r="L144" t="n">
        <v>0</v>
      </c>
      <c r="M144" t="n">
        <v>0</v>
      </c>
      <c r="N144" t="n">
        <v>0</v>
      </c>
      <c r="O144" t="n">
        <v>0</v>
      </c>
      <c r="P144" t="n">
        <v>0</v>
      </c>
      <c r="Q144" t="n">
        <v>1</v>
      </c>
      <c r="R144" s="2" t="inlineStr">
        <is>
          <t>Vedticka</t>
        </is>
      </c>
      <c r="S144">
        <f>HYPERLINK("https://klasma.github.io/Logging_2482/artfynd/A 9446-2025 artfynd.xlsx", "A 9446-2025")</f>
        <v/>
      </c>
      <c r="T144">
        <f>HYPERLINK("https://klasma.github.io/Logging_2482/kartor/A 9446-2025 karta.png", "A 9446-2025")</f>
        <v/>
      </c>
      <c r="V144">
        <f>HYPERLINK("https://klasma.github.io/Logging_2482/klagomål/A 9446-2025 FSC-klagomål.docx", "A 9446-2025")</f>
        <v/>
      </c>
      <c r="W144">
        <f>HYPERLINK("https://klasma.github.io/Logging_2482/klagomålsmail/A 9446-2025 FSC-klagomål mail.docx", "A 9446-2025")</f>
        <v/>
      </c>
      <c r="X144">
        <f>HYPERLINK("https://klasma.github.io/Logging_2482/tillsyn/A 9446-2025 tillsynsbegäran.docx", "A 9446-2025")</f>
        <v/>
      </c>
      <c r="Y144">
        <f>HYPERLINK("https://klasma.github.io/Logging_2482/tillsynsmail/A 9446-2025 tillsynsbegäran mail.docx", "A 9446-2025")</f>
        <v/>
      </c>
    </row>
    <row r="145" ht="15" customHeight="1">
      <c r="A145" t="inlineStr">
        <is>
          <t>A 19924-2025</t>
        </is>
      </c>
      <c r="B145" s="1" t="n">
        <v>45771</v>
      </c>
      <c r="C145" s="1" t="n">
        <v>45931</v>
      </c>
      <c r="D145" t="inlineStr">
        <is>
          <t>VÄSTERBOTTENS LÄN</t>
        </is>
      </c>
      <c r="E145" t="inlineStr">
        <is>
          <t>SKELLEFTEÅ</t>
        </is>
      </c>
      <c r="F145" t="inlineStr">
        <is>
          <t>Holmen skog AB</t>
        </is>
      </c>
      <c r="G145" t="n">
        <v>2.1</v>
      </c>
      <c r="H145" t="n">
        <v>0</v>
      </c>
      <c r="I145" t="n">
        <v>1</v>
      </c>
      <c r="J145" t="n">
        <v>0</v>
      </c>
      <c r="K145" t="n">
        <v>0</v>
      </c>
      <c r="L145" t="n">
        <v>0</v>
      </c>
      <c r="M145" t="n">
        <v>0</v>
      </c>
      <c r="N145" t="n">
        <v>0</v>
      </c>
      <c r="O145" t="n">
        <v>0</v>
      </c>
      <c r="P145" t="n">
        <v>0</v>
      </c>
      <c r="Q145" t="n">
        <v>1</v>
      </c>
      <c r="R145" s="2" t="inlineStr">
        <is>
          <t>Tibast</t>
        </is>
      </c>
      <c r="S145">
        <f>HYPERLINK("https://klasma.github.io/Logging_2482/artfynd/A 19924-2025 artfynd.xlsx", "A 19924-2025")</f>
        <v/>
      </c>
      <c r="T145">
        <f>HYPERLINK("https://klasma.github.io/Logging_2482/kartor/A 19924-2025 karta.png", "A 19924-2025")</f>
        <v/>
      </c>
      <c r="V145">
        <f>HYPERLINK("https://klasma.github.io/Logging_2482/klagomål/A 19924-2025 FSC-klagomål.docx", "A 19924-2025")</f>
        <v/>
      </c>
      <c r="W145">
        <f>HYPERLINK("https://klasma.github.io/Logging_2482/klagomålsmail/A 19924-2025 FSC-klagomål mail.docx", "A 19924-2025")</f>
        <v/>
      </c>
      <c r="X145">
        <f>HYPERLINK("https://klasma.github.io/Logging_2482/tillsyn/A 19924-2025 tillsynsbegäran.docx", "A 19924-2025")</f>
        <v/>
      </c>
      <c r="Y145">
        <f>HYPERLINK("https://klasma.github.io/Logging_2482/tillsynsmail/A 19924-2025 tillsynsbegäran mail.docx", "A 19924-2025")</f>
        <v/>
      </c>
    </row>
    <row r="146" ht="15" customHeight="1">
      <c r="A146" t="inlineStr">
        <is>
          <t>A 24885-2022</t>
        </is>
      </c>
      <c r="B146" s="1" t="n">
        <v>44728</v>
      </c>
      <c r="C146" s="1" t="n">
        <v>45931</v>
      </c>
      <c r="D146" t="inlineStr">
        <is>
          <t>VÄSTERBOTTENS LÄN</t>
        </is>
      </c>
      <c r="E146" t="inlineStr">
        <is>
          <t>SKELLEFTEÅ</t>
        </is>
      </c>
      <c r="F146" t="inlineStr">
        <is>
          <t>Holmen skog AB</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HYPERLINK("https://klasma.github.io/Logging_2482/artfynd/A 24885-2022 artfynd.xlsx", "A 24885-2022")</f>
        <v/>
      </c>
      <c r="T146">
        <f>HYPERLINK("https://klasma.github.io/Logging_2482/kartor/A 24885-2022 karta.png", "A 24885-2022")</f>
        <v/>
      </c>
      <c r="V146">
        <f>HYPERLINK("https://klasma.github.io/Logging_2482/klagomål/A 24885-2022 FSC-klagomål.docx", "A 24885-2022")</f>
        <v/>
      </c>
      <c r="W146">
        <f>HYPERLINK("https://klasma.github.io/Logging_2482/klagomålsmail/A 24885-2022 FSC-klagomål mail.docx", "A 24885-2022")</f>
        <v/>
      </c>
      <c r="X146">
        <f>HYPERLINK("https://klasma.github.io/Logging_2482/tillsyn/A 24885-2022 tillsynsbegäran.docx", "A 24885-2022")</f>
        <v/>
      </c>
      <c r="Y146">
        <f>HYPERLINK("https://klasma.github.io/Logging_2482/tillsynsmail/A 24885-2022 tillsynsbegäran mail.docx", "A 24885-2022")</f>
        <v/>
      </c>
    </row>
    <row r="147" ht="15" customHeight="1">
      <c r="A147" t="inlineStr">
        <is>
          <t>A 8302-2025</t>
        </is>
      </c>
      <c r="B147" s="1" t="n">
        <v>45708</v>
      </c>
      <c r="C147" s="1" t="n">
        <v>45931</v>
      </c>
      <c r="D147" t="inlineStr">
        <is>
          <t>VÄSTERBOTTENS LÄN</t>
        </is>
      </c>
      <c r="E147" t="inlineStr">
        <is>
          <t>SKELLEFTEÅ</t>
        </is>
      </c>
      <c r="G147" t="n">
        <v>9.800000000000001</v>
      </c>
      <c r="H147" t="n">
        <v>1</v>
      </c>
      <c r="I147" t="n">
        <v>0</v>
      </c>
      <c r="J147" t="n">
        <v>0</v>
      </c>
      <c r="K147" t="n">
        <v>0</v>
      </c>
      <c r="L147" t="n">
        <v>0</v>
      </c>
      <c r="M147" t="n">
        <v>0</v>
      </c>
      <c r="N147" t="n">
        <v>0</v>
      </c>
      <c r="O147" t="n">
        <v>0</v>
      </c>
      <c r="P147" t="n">
        <v>0</v>
      </c>
      <c r="Q147" t="n">
        <v>1</v>
      </c>
      <c r="R147" s="2" t="inlineStr">
        <is>
          <t>Mattlummer</t>
        </is>
      </c>
      <c r="S147">
        <f>HYPERLINK("https://klasma.github.io/Logging_2482/artfynd/A 8302-2025 artfynd.xlsx", "A 8302-2025")</f>
        <v/>
      </c>
      <c r="T147">
        <f>HYPERLINK("https://klasma.github.io/Logging_2482/kartor/A 8302-2025 karta.png", "A 8302-2025")</f>
        <v/>
      </c>
      <c r="V147">
        <f>HYPERLINK("https://klasma.github.io/Logging_2482/klagomål/A 8302-2025 FSC-klagomål.docx", "A 8302-2025")</f>
        <v/>
      </c>
      <c r="W147">
        <f>HYPERLINK("https://klasma.github.io/Logging_2482/klagomålsmail/A 8302-2025 FSC-klagomål mail.docx", "A 8302-2025")</f>
        <v/>
      </c>
      <c r="X147">
        <f>HYPERLINK("https://klasma.github.io/Logging_2482/tillsyn/A 8302-2025 tillsynsbegäran.docx", "A 8302-2025")</f>
        <v/>
      </c>
      <c r="Y147">
        <f>HYPERLINK("https://klasma.github.io/Logging_2482/tillsynsmail/A 8302-2025 tillsynsbegäran mail.docx", "A 8302-2025")</f>
        <v/>
      </c>
    </row>
    <row r="148" ht="15" customHeight="1">
      <c r="A148" t="inlineStr">
        <is>
          <t>A 36531-2022</t>
        </is>
      </c>
      <c r="B148" s="1" t="n">
        <v>44804</v>
      </c>
      <c r="C148" s="1" t="n">
        <v>45931</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60586-2022</t>
        </is>
      </c>
      <c r="B149" s="1" t="n">
        <v>44911</v>
      </c>
      <c r="C149" s="1" t="n">
        <v>45931</v>
      </c>
      <c r="D149" t="inlineStr">
        <is>
          <t>VÄSTERBOTTENS LÄN</t>
        </is>
      </c>
      <c r="E149" t="inlineStr">
        <is>
          <t>SKELLEFTEÅ</t>
        </is>
      </c>
      <c r="F149" t="inlineStr">
        <is>
          <t>Sveaskog</t>
        </is>
      </c>
      <c r="G149" t="n">
        <v>10.8</v>
      </c>
      <c r="H149" t="n">
        <v>0</v>
      </c>
      <c r="I149" t="n">
        <v>0</v>
      </c>
      <c r="J149" t="n">
        <v>1</v>
      </c>
      <c r="K149" t="n">
        <v>0</v>
      </c>
      <c r="L149" t="n">
        <v>0</v>
      </c>
      <c r="M149" t="n">
        <v>0</v>
      </c>
      <c r="N149" t="n">
        <v>0</v>
      </c>
      <c r="O149" t="n">
        <v>1</v>
      </c>
      <c r="P149" t="n">
        <v>0</v>
      </c>
      <c r="Q149" t="n">
        <v>1</v>
      </c>
      <c r="R149" s="2" t="inlineStr">
        <is>
          <t>Garnlav</t>
        </is>
      </c>
      <c r="S149">
        <f>HYPERLINK("https://klasma.github.io/Logging_2482/artfynd/A 60586-2022 artfynd.xlsx", "A 60586-2022")</f>
        <v/>
      </c>
      <c r="T149">
        <f>HYPERLINK("https://klasma.github.io/Logging_2482/kartor/A 60586-2022 karta.png", "A 60586-2022")</f>
        <v/>
      </c>
      <c r="V149">
        <f>HYPERLINK("https://klasma.github.io/Logging_2482/klagomål/A 60586-2022 FSC-klagomål.docx", "A 60586-2022")</f>
        <v/>
      </c>
      <c r="W149">
        <f>HYPERLINK("https://klasma.github.io/Logging_2482/klagomålsmail/A 60586-2022 FSC-klagomål mail.docx", "A 60586-2022")</f>
        <v/>
      </c>
      <c r="X149">
        <f>HYPERLINK("https://klasma.github.io/Logging_2482/tillsyn/A 60586-2022 tillsynsbegäran.docx", "A 60586-2022")</f>
        <v/>
      </c>
      <c r="Y149">
        <f>HYPERLINK("https://klasma.github.io/Logging_2482/tillsynsmail/A 60586-2022 tillsynsbegäran mail.docx", "A 60586-2022")</f>
        <v/>
      </c>
    </row>
    <row r="150" ht="15" customHeight="1">
      <c r="A150" t="inlineStr">
        <is>
          <t>A 28860-2025</t>
        </is>
      </c>
      <c r="B150" s="1" t="n">
        <v>45820.59178240741</v>
      </c>
      <c r="C150" s="1" t="n">
        <v>45931</v>
      </c>
      <c r="D150" t="inlineStr">
        <is>
          <t>VÄSTERBOTTENS LÄN</t>
        </is>
      </c>
      <c r="E150" t="inlineStr">
        <is>
          <t>SKELLEFTEÅ</t>
        </is>
      </c>
      <c r="F150" t="inlineStr">
        <is>
          <t>Holmen skog AB</t>
        </is>
      </c>
      <c r="G150" t="n">
        <v>3.2</v>
      </c>
      <c r="H150" t="n">
        <v>0</v>
      </c>
      <c r="I150" t="n">
        <v>0</v>
      </c>
      <c r="J150" t="n">
        <v>1</v>
      </c>
      <c r="K150" t="n">
        <v>0</v>
      </c>
      <c r="L150" t="n">
        <v>0</v>
      </c>
      <c r="M150" t="n">
        <v>0</v>
      </c>
      <c r="N150" t="n">
        <v>0</v>
      </c>
      <c r="O150" t="n">
        <v>1</v>
      </c>
      <c r="P150" t="n">
        <v>0</v>
      </c>
      <c r="Q150" t="n">
        <v>1</v>
      </c>
      <c r="R150" s="2" t="inlineStr">
        <is>
          <t>Vedskivlav</t>
        </is>
      </c>
      <c r="S150">
        <f>HYPERLINK("https://klasma.github.io/Logging_2482/artfynd/A 28860-2025 artfynd.xlsx", "A 28860-2025")</f>
        <v/>
      </c>
      <c r="T150">
        <f>HYPERLINK("https://klasma.github.io/Logging_2482/kartor/A 28860-2025 karta.png", "A 28860-2025")</f>
        <v/>
      </c>
      <c r="V150">
        <f>HYPERLINK("https://klasma.github.io/Logging_2482/klagomål/A 28860-2025 FSC-klagomål.docx", "A 28860-2025")</f>
        <v/>
      </c>
      <c r="W150">
        <f>HYPERLINK("https://klasma.github.io/Logging_2482/klagomålsmail/A 28860-2025 FSC-klagomål mail.docx", "A 28860-2025")</f>
        <v/>
      </c>
      <c r="X150">
        <f>HYPERLINK("https://klasma.github.io/Logging_2482/tillsyn/A 28860-2025 tillsynsbegäran.docx", "A 28860-2025")</f>
        <v/>
      </c>
      <c r="Y150">
        <f>HYPERLINK("https://klasma.github.io/Logging_2482/tillsynsmail/A 28860-2025 tillsynsbegäran mail.docx", "A 28860-2025")</f>
        <v/>
      </c>
    </row>
    <row r="151" ht="15" customHeight="1">
      <c r="A151" t="inlineStr">
        <is>
          <t>A 8729-2025</t>
        </is>
      </c>
      <c r="B151" s="1" t="n">
        <v>45712.53144675926</v>
      </c>
      <c r="C151" s="1" t="n">
        <v>45931</v>
      </c>
      <c r="D151" t="inlineStr">
        <is>
          <t>VÄSTERBOTTENS LÄN</t>
        </is>
      </c>
      <c r="E151" t="inlineStr">
        <is>
          <t>SKELLEFTEÅ</t>
        </is>
      </c>
      <c r="G151" t="n">
        <v>12.2</v>
      </c>
      <c r="H151" t="n">
        <v>0</v>
      </c>
      <c r="I151" t="n">
        <v>0</v>
      </c>
      <c r="J151" t="n">
        <v>1</v>
      </c>
      <c r="K151" t="n">
        <v>0</v>
      </c>
      <c r="L151" t="n">
        <v>0</v>
      </c>
      <c r="M151" t="n">
        <v>0</v>
      </c>
      <c r="N151" t="n">
        <v>0</v>
      </c>
      <c r="O151" t="n">
        <v>1</v>
      </c>
      <c r="P151" t="n">
        <v>0</v>
      </c>
      <c r="Q151" t="n">
        <v>1</v>
      </c>
      <c r="R151" s="2" t="inlineStr">
        <is>
          <t>Granticka</t>
        </is>
      </c>
      <c r="S151">
        <f>HYPERLINK("https://klasma.github.io/Logging_2482/artfynd/A 8729-2025 artfynd.xlsx", "A 8729-2025")</f>
        <v/>
      </c>
      <c r="T151">
        <f>HYPERLINK("https://klasma.github.io/Logging_2482/kartor/A 8729-2025 karta.png", "A 8729-2025")</f>
        <v/>
      </c>
      <c r="V151">
        <f>HYPERLINK("https://klasma.github.io/Logging_2482/klagomål/A 8729-2025 FSC-klagomål.docx", "A 8729-2025")</f>
        <v/>
      </c>
      <c r="W151">
        <f>HYPERLINK("https://klasma.github.io/Logging_2482/klagomålsmail/A 8729-2025 FSC-klagomål mail.docx", "A 8729-2025")</f>
        <v/>
      </c>
      <c r="X151">
        <f>HYPERLINK("https://klasma.github.io/Logging_2482/tillsyn/A 8729-2025 tillsynsbegäran.docx", "A 8729-2025")</f>
        <v/>
      </c>
      <c r="Y151">
        <f>HYPERLINK("https://klasma.github.io/Logging_2482/tillsynsmail/A 8729-2025 tillsynsbegäran mail.docx", "A 8729-2025")</f>
        <v/>
      </c>
    </row>
    <row r="152" ht="15" customHeight="1">
      <c r="A152" t="inlineStr">
        <is>
          <t>A 2436-2025</t>
        </is>
      </c>
      <c r="B152" s="1" t="n">
        <v>45673</v>
      </c>
      <c r="C152" s="1" t="n">
        <v>45931</v>
      </c>
      <c r="D152" t="inlineStr">
        <is>
          <t>VÄSTERBOTTENS LÄN</t>
        </is>
      </c>
      <c r="E152" t="inlineStr">
        <is>
          <t>SKELLEFTEÅ</t>
        </is>
      </c>
      <c r="G152" t="n">
        <v>5</v>
      </c>
      <c r="H152" t="n">
        <v>1</v>
      </c>
      <c r="I152" t="n">
        <v>0</v>
      </c>
      <c r="J152" t="n">
        <v>1</v>
      </c>
      <c r="K152" t="n">
        <v>0</v>
      </c>
      <c r="L152" t="n">
        <v>0</v>
      </c>
      <c r="M152" t="n">
        <v>0</v>
      </c>
      <c r="N152" t="n">
        <v>0</v>
      </c>
      <c r="O152" t="n">
        <v>1</v>
      </c>
      <c r="P152" t="n">
        <v>0</v>
      </c>
      <c r="Q152" t="n">
        <v>1</v>
      </c>
      <c r="R152" s="2" t="inlineStr">
        <is>
          <t>Tretåig hackspett</t>
        </is>
      </c>
      <c r="S152">
        <f>HYPERLINK("https://klasma.github.io/Logging_2482/artfynd/A 2436-2025 artfynd.xlsx", "A 2436-2025")</f>
        <v/>
      </c>
      <c r="T152">
        <f>HYPERLINK("https://klasma.github.io/Logging_2482/kartor/A 2436-2025 karta.png", "A 2436-2025")</f>
        <v/>
      </c>
      <c r="V152">
        <f>HYPERLINK("https://klasma.github.io/Logging_2482/klagomål/A 2436-2025 FSC-klagomål.docx", "A 2436-2025")</f>
        <v/>
      </c>
      <c r="W152">
        <f>HYPERLINK("https://klasma.github.io/Logging_2482/klagomålsmail/A 2436-2025 FSC-klagomål mail.docx", "A 2436-2025")</f>
        <v/>
      </c>
      <c r="X152">
        <f>HYPERLINK("https://klasma.github.io/Logging_2482/tillsyn/A 2436-2025 tillsynsbegäran.docx", "A 2436-2025")</f>
        <v/>
      </c>
      <c r="Y152">
        <f>HYPERLINK("https://klasma.github.io/Logging_2482/tillsynsmail/A 2436-2025 tillsynsbegäran mail.docx", "A 2436-2025")</f>
        <v/>
      </c>
      <c r="Z152">
        <f>HYPERLINK("https://klasma.github.io/Logging_2482/fåglar/A 2436-2025 prioriterade fågelarter.docx", "A 2436-2025")</f>
        <v/>
      </c>
    </row>
    <row r="153" ht="15" customHeight="1">
      <c r="A153" t="inlineStr">
        <is>
          <t>A 53071-2022</t>
        </is>
      </c>
      <c r="B153" s="1" t="n">
        <v>44873</v>
      </c>
      <c r="C153" s="1" t="n">
        <v>45931</v>
      </c>
      <c r="D153" t="inlineStr">
        <is>
          <t>VÄSTERBOTTENS LÄN</t>
        </is>
      </c>
      <c r="E153" t="inlineStr">
        <is>
          <t>SKELLEFTEÅ</t>
        </is>
      </c>
      <c r="G153" t="n">
        <v>10.6</v>
      </c>
      <c r="H153" t="n">
        <v>0</v>
      </c>
      <c r="I153" t="n">
        <v>0</v>
      </c>
      <c r="J153" t="n">
        <v>1</v>
      </c>
      <c r="K153" t="n">
        <v>0</v>
      </c>
      <c r="L153" t="n">
        <v>0</v>
      </c>
      <c r="M153" t="n">
        <v>0</v>
      </c>
      <c r="N153" t="n">
        <v>0</v>
      </c>
      <c r="O153" t="n">
        <v>1</v>
      </c>
      <c r="P153" t="n">
        <v>0</v>
      </c>
      <c r="Q153" t="n">
        <v>1</v>
      </c>
      <c r="R153" s="2" t="inlineStr">
        <is>
          <t>Granticka</t>
        </is>
      </c>
      <c r="S153">
        <f>HYPERLINK("https://klasma.github.io/Logging_2482/artfynd/A 53071-2022 artfynd.xlsx", "A 53071-2022")</f>
        <v/>
      </c>
      <c r="T153">
        <f>HYPERLINK("https://klasma.github.io/Logging_2482/kartor/A 53071-2022 karta.png", "A 53071-2022")</f>
        <v/>
      </c>
      <c r="V153">
        <f>HYPERLINK("https://klasma.github.io/Logging_2482/klagomål/A 53071-2022 FSC-klagomål.docx", "A 53071-2022")</f>
        <v/>
      </c>
      <c r="W153">
        <f>HYPERLINK("https://klasma.github.io/Logging_2482/klagomålsmail/A 53071-2022 FSC-klagomål mail.docx", "A 53071-2022")</f>
        <v/>
      </c>
      <c r="X153">
        <f>HYPERLINK("https://klasma.github.io/Logging_2482/tillsyn/A 53071-2022 tillsynsbegäran.docx", "A 53071-2022")</f>
        <v/>
      </c>
      <c r="Y153">
        <f>HYPERLINK("https://klasma.github.io/Logging_2482/tillsynsmail/A 53071-2022 tillsynsbegäran mail.docx", "A 53071-2022")</f>
        <v/>
      </c>
    </row>
    <row r="154" ht="15" customHeight="1">
      <c r="A154" t="inlineStr">
        <is>
          <t>A 57851-2022</t>
        </is>
      </c>
      <c r="B154" s="1" t="n">
        <v>44898</v>
      </c>
      <c r="C154" s="1" t="n">
        <v>45931</v>
      </c>
      <c r="D154" t="inlineStr">
        <is>
          <t>VÄSTERBOTTENS LÄN</t>
        </is>
      </c>
      <c r="E154" t="inlineStr">
        <is>
          <t>SKELLEFTEÅ</t>
        </is>
      </c>
      <c r="F154" t="inlineStr">
        <is>
          <t>Holmen skog AB</t>
        </is>
      </c>
      <c r="G154" t="n">
        <v>4.6</v>
      </c>
      <c r="H154" t="n">
        <v>1</v>
      </c>
      <c r="I154" t="n">
        <v>0</v>
      </c>
      <c r="J154" t="n">
        <v>1</v>
      </c>
      <c r="K154" t="n">
        <v>0</v>
      </c>
      <c r="L154" t="n">
        <v>0</v>
      </c>
      <c r="M154" t="n">
        <v>0</v>
      </c>
      <c r="N154" t="n">
        <v>0</v>
      </c>
      <c r="O154" t="n">
        <v>1</v>
      </c>
      <c r="P154" t="n">
        <v>0</v>
      </c>
      <c r="Q154" t="n">
        <v>1</v>
      </c>
      <c r="R154" s="2" t="inlineStr">
        <is>
          <t>Utter</t>
        </is>
      </c>
      <c r="S154">
        <f>HYPERLINK("https://klasma.github.io/Logging_2482/artfynd/A 57851-2022 artfynd.xlsx", "A 57851-2022")</f>
        <v/>
      </c>
      <c r="T154">
        <f>HYPERLINK("https://klasma.github.io/Logging_2482/kartor/A 57851-2022 karta.png", "A 57851-2022")</f>
        <v/>
      </c>
      <c r="V154">
        <f>HYPERLINK("https://klasma.github.io/Logging_2482/klagomål/A 57851-2022 FSC-klagomål.docx", "A 57851-2022")</f>
        <v/>
      </c>
      <c r="W154">
        <f>HYPERLINK("https://klasma.github.io/Logging_2482/klagomålsmail/A 57851-2022 FSC-klagomål mail.docx", "A 57851-2022")</f>
        <v/>
      </c>
      <c r="X154">
        <f>HYPERLINK("https://klasma.github.io/Logging_2482/tillsyn/A 57851-2022 tillsynsbegäran.docx", "A 57851-2022")</f>
        <v/>
      </c>
      <c r="Y154">
        <f>HYPERLINK("https://klasma.github.io/Logging_2482/tillsynsmail/A 57851-2022 tillsynsbegäran mail.docx", "A 57851-2022")</f>
        <v/>
      </c>
    </row>
    <row r="155" ht="15" customHeight="1">
      <c r="A155" t="inlineStr">
        <is>
          <t>A 1694-2025</t>
        </is>
      </c>
      <c r="B155" s="1" t="n">
        <v>45670</v>
      </c>
      <c r="C155" s="1" t="n">
        <v>45931</v>
      </c>
      <c r="D155" t="inlineStr">
        <is>
          <t>VÄSTERBOTTENS LÄN</t>
        </is>
      </c>
      <c r="E155" t="inlineStr">
        <is>
          <t>SKELLEFTEÅ</t>
        </is>
      </c>
      <c r="G155" t="n">
        <v>1.8</v>
      </c>
      <c r="H155" t="n">
        <v>1</v>
      </c>
      <c r="I155" t="n">
        <v>0</v>
      </c>
      <c r="J155" t="n">
        <v>1</v>
      </c>
      <c r="K155" t="n">
        <v>0</v>
      </c>
      <c r="L155" t="n">
        <v>0</v>
      </c>
      <c r="M155" t="n">
        <v>0</v>
      </c>
      <c r="N155" t="n">
        <v>0</v>
      </c>
      <c r="O155" t="n">
        <v>1</v>
      </c>
      <c r="P155" t="n">
        <v>0</v>
      </c>
      <c r="Q155" t="n">
        <v>1</v>
      </c>
      <c r="R155" s="2" t="inlineStr">
        <is>
          <t>Spillkråka</t>
        </is>
      </c>
      <c r="S155">
        <f>HYPERLINK("https://klasma.github.io/Logging_2482/artfynd/A 1694-2025 artfynd.xlsx", "A 1694-2025")</f>
        <v/>
      </c>
      <c r="T155">
        <f>HYPERLINK("https://klasma.github.io/Logging_2482/kartor/A 1694-2025 karta.png", "A 1694-2025")</f>
        <v/>
      </c>
      <c r="V155">
        <f>HYPERLINK("https://klasma.github.io/Logging_2482/klagomål/A 1694-2025 FSC-klagomål.docx", "A 1694-2025")</f>
        <v/>
      </c>
      <c r="W155">
        <f>HYPERLINK("https://klasma.github.io/Logging_2482/klagomålsmail/A 1694-2025 FSC-klagomål mail.docx", "A 1694-2025")</f>
        <v/>
      </c>
      <c r="X155">
        <f>HYPERLINK("https://klasma.github.io/Logging_2482/tillsyn/A 1694-2025 tillsynsbegäran.docx", "A 1694-2025")</f>
        <v/>
      </c>
      <c r="Y155">
        <f>HYPERLINK("https://klasma.github.io/Logging_2482/tillsynsmail/A 1694-2025 tillsynsbegäran mail.docx", "A 1694-2025")</f>
        <v/>
      </c>
      <c r="Z155">
        <f>HYPERLINK("https://klasma.github.io/Logging_2482/fåglar/A 1694-2025 prioriterade fågelarter.docx", "A 1694-2025")</f>
        <v/>
      </c>
    </row>
    <row r="156" ht="15" customHeight="1">
      <c r="A156" t="inlineStr">
        <is>
          <t>A 59709-2024</t>
        </is>
      </c>
      <c r="B156" s="1" t="n">
        <v>45639.44667824074</v>
      </c>
      <c r="C156" s="1" t="n">
        <v>45931</v>
      </c>
      <c r="D156" t="inlineStr">
        <is>
          <t>VÄSTERBOTTENS LÄN</t>
        </is>
      </c>
      <c r="E156" t="inlineStr">
        <is>
          <t>SKELLEFTEÅ</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HYPERLINK("https://klasma.github.io/Logging_2482/artfynd/A 59709-2024 artfynd.xlsx", "A 59709-2024")</f>
        <v/>
      </c>
      <c r="T156">
        <f>HYPERLINK("https://klasma.github.io/Logging_2482/kartor/A 59709-2024 karta.png", "A 59709-2024")</f>
        <v/>
      </c>
      <c r="V156">
        <f>HYPERLINK("https://klasma.github.io/Logging_2482/klagomål/A 59709-2024 FSC-klagomål.docx", "A 59709-2024")</f>
        <v/>
      </c>
      <c r="W156">
        <f>HYPERLINK("https://klasma.github.io/Logging_2482/klagomålsmail/A 59709-2024 FSC-klagomål mail.docx", "A 59709-2024")</f>
        <v/>
      </c>
      <c r="X156">
        <f>HYPERLINK("https://klasma.github.io/Logging_2482/tillsyn/A 59709-2024 tillsynsbegäran.docx", "A 59709-2024")</f>
        <v/>
      </c>
      <c r="Y156">
        <f>HYPERLINK("https://klasma.github.io/Logging_2482/tillsynsmail/A 59709-2024 tillsynsbegäran mail.docx", "A 59709-2024")</f>
        <v/>
      </c>
      <c r="Z156">
        <f>HYPERLINK("https://klasma.github.io/Logging_2482/fåglar/A 59709-2024 prioriterade fågelarter.docx", "A 59709-2024")</f>
        <v/>
      </c>
    </row>
    <row r="157" ht="15" customHeight="1">
      <c r="A157" t="inlineStr">
        <is>
          <t>A 41409-2025</t>
        </is>
      </c>
      <c r="B157" s="1" t="n">
        <v>45901.34798611111</v>
      </c>
      <c r="C157" s="1" t="n">
        <v>45931</v>
      </c>
      <c r="D157" t="inlineStr">
        <is>
          <t>VÄSTERBOTTENS LÄN</t>
        </is>
      </c>
      <c r="E157" t="inlineStr">
        <is>
          <t>SKELLEFTEÅ</t>
        </is>
      </c>
      <c r="F157" t="inlineStr">
        <is>
          <t>Kommuner</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HYPERLINK("https://klasma.github.io/Logging_2482/artfynd/A 41409-2025 artfynd.xlsx", "A 41409-2025")</f>
        <v/>
      </c>
      <c r="T157">
        <f>HYPERLINK("https://klasma.github.io/Logging_2482/kartor/A 41409-2025 karta.png", "A 41409-2025")</f>
        <v/>
      </c>
      <c r="V157">
        <f>HYPERLINK("https://klasma.github.io/Logging_2482/klagomål/A 41409-2025 FSC-klagomål.docx", "A 41409-2025")</f>
        <v/>
      </c>
      <c r="W157">
        <f>HYPERLINK("https://klasma.github.io/Logging_2482/klagomålsmail/A 41409-2025 FSC-klagomål mail.docx", "A 41409-2025")</f>
        <v/>
      </c>
      <c r="X157">
        <f>HYPERLINK("https://klasma.github.io/Logging_2482/tillsyn/A 41409-2025 tillsynsbegäran.docx", "A 41409-2025")</f>
        <v/>
      </c>
      <c r="Y157">
        <f>HYPERLINK("https://klasma.github.io/Logging_2482/tillsynsmail/A 41409-2025 tillsynsbegäran mail.docx", "A 41409-2025")</f>
        <v/>
      </c>
    </row>
    <row r="158" ht="15" customHeight="1">
      <c r="A158" t="inlineStr">
        <is>
          <t>A 45376-2024</t>
        </is>
      </c>
      <c r="B158" s="1" t="n">
        <v>45576.51907407407</v>
      </c>
      <c r="C158" s="1" t="n">
        <v>45931</v>
      </c>
      <c r="D158" t="inlineStr">
        <is>
          <t>VÄSTERBOTTENS LÄN</t>
        </is>
      </c>
      <c r="E158" t="inlineStr">
        <is>
          <t>SKELLEFTEÅ</t>
        </is>
      </c>
      <c r="G158" t="n">
        <v>1.2</v>
      </c>
      <c r="H158" t="n">
        <v>1</v>
      </c>
      <c r="I158" t="n">
        <v>0</v>
      </c>
      <c r="J158" t="n">
        <v>0</v>
      </c>
      <c r="K158" t="n">
        <v>0</v>
      </c>
      <c r="L158" t="n">
        <v>0</v>
      </c>
      <c r="M158" t="n">
        <v>0</v>
      </c>
      <c r="N158" t="n">
        <v>0</v>
      </c>
      <c r="O158" t="n">
        <v>0</v>
      </c>
      <c r="P158" t="n">
        <v>0</v>
      </c>
      <c r="Q158" t="n">
        <v>1</v>
      </c>
      <c r="R158" s="2" t="inlineStr">
        <is>
          <t>Fläcknycklar</t>
        </is>
      </c>
      <c r="S158">
        <f>HYPERLINK("https://klasma.github.io/Logging_2482/artfynd/A 45376-2024 artfynd.xlsx", "A 45376-2024")</f>
        <v/>
      </c>
      <c r="T158">
        <f>HYPERLINK("https://klasma.github.io/Logging_2482/kartor/A 45376-2024 karta.png", "A 45376-2024")</f>
        <v/>
      </c>
      <c r="V158">
        <f>HYPERLINK("https://klasma.github.io/Logging_2482/klagomål/A 45376-2024 FSC-klagomål.docx", "A 45376-2024")</f>
        <v/>
      </c>
      <c r="W158">
        <f>HYPERLINK("https://klasma.github.io/Logging_2482/klagomålsmail/A 45376-2024 FSC-klagomål mail.docx", "A 45376-2024")</f>
        <v/>
      </c>
      <c r="X158">
        <f>HYPERLINK("https://klasma.github.io/Logging_2482/tillsyn/A 45376-2024 tillsynsbegäran.docx", "A 45376-2024")</f>
        <v/>
      </c>
      <c r="Y158">
        <f>HYPERLINK("https://klasma.github.io/Logging_2482/tillsynsmail/A 45376-2024 tillsynsbegäran mail.docx", "A 45376-2024")</f>
        <v/>
      </c>
    </row>
    <row r="159" ht="15" customHeight="1">
      <c r="A159" t="inlineStr">
        <is>
          <t>A 57568-2024</t>
        </is>
      </c>
      <c r="B159" s="1" t="n">
        <v>45630.46457175926</v>
      </c>
      <c r="C159" s="1" t="n">
        <v>45931</v>
      </c>
      <c r="D159" t="inlineStr">
        <is>
          <t>VÄSTERBOTTENS LÄN</t>
        </is>
      </c>
      <c r="E159" t="inlineStr">
        <is>
          <t>SKELLEFTEÅ</t>
        </is>
      </c>
      <c r="F159" t="inlineStr">
        <is>
          <t>Sveaskog</t>
        </is>
      </c>
      <c r="G159" t="n">
        <v>7.3</v>
      </c>
      <c r="H159" t="n">
        <v>0</v>
      </c>
      <c r="I159" t="n">
        <v>0</v>
      </c>
      <c r="J159" t="n">
        <v>1</v>
      </c>
      <c r="K159" t="n">
        <v>0</v>
      </c>
      <c r="L159" t="n">
        <v>0</v>
      </c>
      <c r="M159" t="n">
        <v>0</v>
      </c>
      <c r="N159" t="n">
        <v>0</v>
      </c>
      <c r="O159" t="n">
        <v>1</v>
      </c>
      <c r="P159" t="n">
        <v>0</v>
      </c>
      <c r="Q159" t="n">
        <v>1</v>
      </c>
      <c r="R159" s="2" t="inlineStr">
        <is>
          <t>Stjärntagging</t>
        </is>
      </c>
      <c r="S159">
        <f>HYPERLINK("https://klasma.github.io/Logging_2482/artfynd/A 57568-2024 artfynd.xlsx", "A 57568-2024")</f>
        <v/>
      </c>
      <c r="T159">
        <f>HYPERLINK("https://klasma.github.io/Logging_2482/kartor/A 57568-2024 karta.png", "A 57568-2024")</f>
        <v/>
      </c>
      <c r="V159">
        <f>HYPERLINK("https://klasma.github.io/Logging_2482/klagomål/A 57568-2024 FSC-klagomål.docx", "A 57568-2024")</f>
        <v/>
      </c>
      <c r="W159">
        <f>HYPERLINK("https://klasma.github.io/Logging_2482/klagomålsmail/A 57568-2024 FSC-klagomål mail.docx", "A 57568-2024")</f>
        <v/>
      </c>
      <c r="X159">
        <f>HYPERLINK("https://klasma.github.io/Logging_2482/tillsyn/A 57568-2024 tillsynsbegäran.docx", "A 57568-2024")</f>
        <v/>
      </c>
      <c r="Y159">
        <f>HYPERLINK("https://klasma.github.io/Logging_2482/tillsynsmail/A 57568-2024 tillsynsbegäran mail.docx", "A 57568-2024")</f>
        <v/>
      </c>
    </row>
    <row r="160" ht="15" customHeight="1">
      <c r="A160" t="inlineStr">
        <is>
          <t>A 35910-2025</t>
        </is>
      </c>
      <c r="B160" s="1" t="n">
        <v>45862.5197800926</v>
      </c>
      <c r="C160" s="1" t="n">
        <v>45931</v>
      </c>
      <c r="D160" t="inlineStr">
        <is>
          <t>VÄSTERBOTTENS LÄN</t>
        </is>
      </c>
      <c r="E160" t="inlineStr">
        <is>
          <t>SKELLEFTEÅ</t>
        </is>
      </c>
      <c r="F160" t="inlineStr">
        <is>
          <t>Holmen skog AB</t>
        </is>
      </c>
      <c r="G160" t="n">
        <v>5.6</v>
      </c>
      <c r="H160" t="n">
        <v>0</v>
      </c>
      <c r="I160" t="n">
        <v>1</v>
      </c>
      <c r="J160" t="n">
        <v>0</v>
      </c>
      <c r="K160" t="n">
        <v>0</v>
      </c>
      <c r="L160" t="n">
        <v>0</v>
      </c>
      <c r="M160" t="n">
        <v>0</v>
      </c>
      <c r="N160" t="n">
        <v>0</v>
      </c>
      <c r="O160" t="n">
        <v>0</v>
      </c>
      <c r="P160" t="n">
        <v>0</v>
      </c>
      <c r="Q160" t="n">
        <v>1</v>
      </c>
      <c r="R160" s="2" t="inlineStr">
        <is>
          <t>Stuplav</t>
        </is>
      </c>
      <c r="S160">
        <f>HYPERLINK("https://klasma.github.io/Logging_2482/artfynd/A 35910-2025 artfynd.xlsx", "A 35910-2025")</f>
        <v/>
      </c>
      <c r="T160">
        <f>HYPERLINK("https://klasma.github.io/Logging_2482/kartor/A 35910-2025 karta.png", "A 35910-2025")</f>
        <v/>
      </c>
      <c r="U160">
        <f>HYPERLINK("https://klasma.github.io/Logging_2482/knärot/A 35910-2025 karta knärot.png", "A 35910-2025")</f>
        <v/>
      </c>
      <c r="V160">
        <f>HYPERLINK("https://klasma.github.io/Logging_2482/klagomål/A 35910-2025 FSC-klagomål.docx", "A 35910-2025")</f>
        <v/>
      </c>
      <c r="W160">
        <f>HYPERLINK("https://klasma.github.io/Logging_2482/klagomålsmail/A 35910-2025 FSC-klagomål mail.docx", "A 35910-2025")</f>
        <v/>
      </c>
      <c r="X160">
        <f>HYPERLINK("https://klasma.github.io/Logging_2482/tillsyn/A 35910-2025 tillsynsbegäran.docx", "A 35910-2025")</f>
        <v/>
      </c>
      <c r="Y160">
        <f>HYPERLINK("https://klasma.github.io/Logging_2482/tillsynsmail/A 35910-2025 tillsynsbegäran mail.docx", "A 35910-2025")</f>
        <v/>
      </c>
    </row>
    <row r="161" ht="15" customHeight="1">
      <c r="A161" t="inlineStr">
        <is>
          <t>A 43228-2025</t>
        </is>
      </c>
      <c r="B161" s="1" t="n">
        <v>45910.49400462963</v>
      </c>
      <c r="C161" s="1" t="n">
        <v>45931</v>
      </c>
      <c r="D161" t="inlineStr">
        <is>
          <t>VÄSTERBOTTENS LÄN</t>
        </is>
      </c>
      <c r="E161" t="inlineStr">
        <is>
          <t>SKELLEFTEÅ</t>
        </is>
      </c>
      <c r="G161" t="n">
        <v>2.9</v>
      </c>
      <c r="H161" t="n">
        <v>0</v>
      </c>
      <c r="I161" t="n">
        <v>0</v>
      </c>
      <c r="J161" t="n">
        <v>1</v>
      </c>
      <c r="K161" t="n">
        <v>0</v>
      </c>
      <c r="L161" t="n">
        <v>0</v>
      </c>
      <c r="M161" t="n">
        <v>0</v>
      </c>
      <c r="N161" t="n">
        <v>0</v>
      </c>
      <c r="O161" t="n">
        <v>1</v>
      </c>
      <c r="P161" t="n">
        <v>0</v>
      </c>
      <c r="Q161" t="n">
        <v>1</v>
      </c>
      <c r="R161" s="2" t="inlineStr">
        <is>
          <t>Ullticka</t>
        </is>
      </c>
      <c r="S161">
        <f>HYPERLINK("https://klasma.github.io/Logging_2482/artfynd/A 43228-2025 artfynd.xlsx", "A 43228-2025")</f>
        <v/>
      </c>
      <c r="T161">
        <f>HYPERLINK("https://klasma.github.io/Logging_2482/kartor/A 43228-2025 karta.png", "A 43228-2025")</f>
        <v/>
      </c>
      <c r="V161">
        <f>HYPERLINK("https://klasma.github.io/Logging_2482/klagomål/A 43228-2025 FSC-klagomål.docx", "A 43228-2025")</f>
        <v/>
      </c>
      <c r="W161">
        <f>HYPERLINK("https://klasma.github.io/Logging_2482/klagomålsmail/A 43228-2025 FSC-klagomål mail.docx", "A 43228-2025")</f>
        <v/>
      </c>
      <c r="X161">
        <f>HYPERLINK("https://klasma.github.io/Logging_2482/tillsyn/A 43228-2025 tillsynsbegäran.docx", "A 43228-2025")</f>
        <v/>
      </c>
      <c r="Y161">
        <f>HYPERLINK("https://klasma.github.io/Logging_2482/tillsynsmail/A 43228-2025 tillsynsbegäran mail.docx", "A 43228-2025")</f>
        <v/>
      </c>
    </row>
    <row r="162" ht="15" customHeight="1">
      <c r="A162" t="inlineStr">
        <is>
          <t>A 44809-2025</t>
        </is>
      </c>
      <c r="B162" s="1" t="n">
        <v>45918.36953703704</v>
      </c>
      <c r="C162" s="1" t="n">
        <v>45931</v>
      </c>
      <c r="D162" t="inlineStr">
        <is>
          <t>VÄSTERBOTTENS LÄN</t>
        </is>
      </c>
      <c r="E162" t="inlineStr">
        <is>
          <t>SKELLEFTEÅ</t>
        </is>
      </c>
      <c r="F162" t="inlineStr">
        <is>
          <t>Holmen skog AB</t>
        </is>
      </c>
      <c r="G162" t="n">
        <v>1.9</v>
      </c>
      <c r="H162" t="n">
        <v>1</v>
      </c>
      <c r="I162" t="n">
        <v>0</v>
      </c>
      <c r="J162" t="n">
        <v>1</v>
      </c>
      <c r="K162" t="n">
        <v>0</v>
      </c>
      <c r="L162" t="n">
        <v>0</v>
      </c>
      <c r="M162" t="n">
        <v>0</v>
      </c>
      <c r="N162" t="n">
        <v>0</v>
      </c>
      <c r="O162" t="n">
        <v>1</v>
      </c>
      <c r="P162" t="n">
        <v>0</v>
      </c>
      <c r="Q162" t="n">
        <v>1</v>
      </c>
      <c r="R162" s="2" t="inlineStr">
        <is>
          <t>Utter</t>
        </is>
      </c>
      <c r="S162">
        <f>HYPERLINK("https://klasma.github.io/Logging_2482/artfynd/A 44809-2025 artfynd.xlsx", "A 44809-2025")</f>
        <v/>
      </c>
      <c r="T162">
        <f>HYPERLINK("https://klasma.github.io/Logging_2482/kartor/A 44809-2025 karta.png", "A 44809-2025")</f>
        <v/>
      </c>
      <c r="V162">
        <f>HYPERLINK("https://klasma.github.io/Logging_2482/klagomål/A 44809-2025 FSC-klagomål.docx", "A 44809-2025")</f>
        <v/>
      </c>
      <c r="W162">
        <f>HYPERLINK("https://klasma.github.io/Logging_2482/klagomålsmail/A 44809-2025 FSC-klagomål mail.docx", "A 44809-2025")</f>
        <v/>
      </c>
      <c r="X162">
        <f>HYPERLINK("https://klasma.github.io/Logging_2482/tillsyn/A 44809-2025 tillsynsbegäran.docx", "A 44809-2025")</f>
        <v/>
      </c>
      <c r="Y162">
        <f>HYPERLINK("https://klasma.github.io/Logging_2482/tillsynsmail/A 44809-2025 tillsynsbegäran mail.docx", "A 44809-2025")</f>
        <v/>
      </c>
    </row>
    <row r="163" ht="15" customHeight="1">
      <c r="A163" t="inlineStr">
        <is>
          <t>A 37254-2025</t>
        </is>
      </c>
      <c r="B163" s="1" t="n">
        <v>45875</v>
      </c>
      <c r="C163" s="1" t="n">
        <v>45931</v>
      </c>
      <c r="D163" t="inlineStr">
        <is>
          <t>VÄSTERBOTTENS LÄN</t>
        </is>
      </c>
      <c r="E163" t="inlineStr">
        <is>
          <t>SKELLEFTEÅ</t>
        </is>
      </c>
      <c r="G163" t="n">
        <v>11.4</v>
      </c>
      <c r="H163" t="n">
        <v>0</v>
      </c>
      <c r="I163" t="n">
        <v>0</v>
      </c>
      <c r="J163" t="n">
        <v>1</v>
      </c>
      <c r="K163" t="n">
        <v>0</v>
      </c>
      <c r="L163" t="n">
        <v>0</v>
      </c>
      <c r="M163" t="n">
        <v>0</v>
      </c>
      <c r="N163" t="n">
        <v>0</v>
      </c>
      <c r="O163" t="n">
        <v>1</v>
      </c>
      <c r="P163" t="n">
        <v>0</v>
      </c>
      <c r="Q163" t="n">
        <v>1</v>
      </c>
      <c r="R163" s="2" t="inlineStr">
        <is>
          <t>Äggvaxskivling</t>
        </is>
      </c>
      <c r="S163">
        <f>HYPERLINK("https://klasma.github.io/Logging_2482/artfynd/A 37254-2025 artfynd.xlsx", "A 37254-2025")</f>
        <v/>
      </c>
      <c r="T163">
        <f>HYPERLINK("https://klasma.github.io/Logging_2482/kartor/A 37254-2025 karta.png", "A 37254-2025")</f>
        <v/>
      </c>
      <c r="V163">
        <f>HYPERLINK("https://klasma.github.io/Logging_2482/klagomål/A 37254-2025 FSC-klagomål.docx", "A 37254-2025")</f>
        <v/>
      </c>
      <c r="W163">
        <f>HYPERLINK("https://klasma.github.io/Logging_2482/klagomålsmail/A 37254-2025 FSC-klagomål mail.docx", "A 37254-2025")</f>
        <v/>
      </c>
      <c r="X163">
        <f>HYPERLINK("https://klasma.github.io/Logging_2482/tillsyn/A 37254-2025 tillsynsbegäran.docx", "A 37254-2025")</f>
        <v/>
      </c>
      <c r="Y163">
        <f>HYPERLINK("https://klasma.github.io/Logging_2482/tillsynsmail/A 37254-2025 tillsynsbegäran mail.docx", "A 37254-2025")</f>
        <v/>
      </c>
    </row>
    <row r="164" ht="15" customHeight="1">
      <c r="A164" t="inlineStr">
        <is>
          <t>A 64409-2021</t>
        </is>
      </c>
      <c r="B164" s="1" t="n">
        <v>44510</v>
      </c>
      <c r="C164" s="1" t="n">
        <v>45931</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Igelkott</t>
        </is>
      </c>
      <c r="S164">
        <f>HYPERLINK("https://klasma.github.io/Logging_2482/artfynd/A 64409-2021 artfynd.xlsx", "A 64409-2021")</f>
        <v/>
      </c>
      <c r="T164">
        <f>HYPERLINK("https://klasma.github.io/Logging_2482/kartor/A 64409-2021 karta.png", "A 64409-2021")</f>
        <v/>
      </c>
      <c r="V164">
        <f>HYPERLINK("https://klasma.github.io/Logging_2482/klagomål/A 64409-2021 FSC-klagomål.docx", "A 64409-2021")</f>
        <v/>
      </c>
      <c r="W164">
        <f>HYPERLINK("https://klasma.github.io/Logging_2482/klagomålsmail/A 64409-2021 FSC-klagomål mail.docx", "A 64409-2021")</f>
        <v/>
      </c>
      <c r="X164">
        <f>HYPERLINK("https://klasma.github.io/Logging_2482/tillsyn/A 64409-2021 tillsynsbegäran.docx", "A 64409-2021")</f>
        <v/>
      </c>
      <c r="Y164">
        <f>HYPERLINK("https://klasma.github.io/Logging_2482/tillsynsmail/A 64409-2021 tillsynsbegäran mail.docx", "A 64409-2021")</f>
        <v/>
      </c>
    </row>
    <row r="165" ht="15" customHeight="1">
      <c r="A165" t="inlineStr">
        <is>
          <t>A 8820-2025</t>
        </is>
      </c>
      <c r="B165" s="1" t="n">
        <v>45712.77329861111</v>
      </c>
      <c r="C165" s="1" t="n">
        <v>45931</v>
      </c>
      <c r="D165" t="inlineStr">
        <is>
          <t>VÄSTERBOTTENS LÄN</t>
        </is>
      </c>
      <c r="E165" t="inlineStr">
        <is>
          <t>SKELLEFTEÅ</t>
        </is>
      </c>
      <c r="G165" t="n">
        <v>2.5</v>
      </c>
      <c r="H165" t="n">
        <v>1</v>
      </c>
      <c r="I165" t="n">
        <v>0</v>
      </c>
      <c r="J165" t="n">
        <v>0</v>
      </c>
      <c r="K165" t="n">
        <v>1</v>
      </c>
      <c r="L165" t="n">
        <v>0</v>
      </c>
      <c r="M165" t="n">
        <v>0</v>
      </c>
      <c r="N165" t="n">
        <v>0</v>
      </c>
      <c r="O165" t="n">
        <v>1</v>
      </c>
      <c r="P165" t="n">
        <v>1</v>
      </c>
      <c r="Q165" t="n">
        <v>1</v>
      </c>
      <c r="R165" s="2" t="inlineStr">
        <is>
          <t>Knärot</t>
        </is>
      </c>
      <c r="S165">
        <f>HYPERLINK("https://klasma.github.io/Logging_2482/artfynd/A 8820-2025 artfynd.xlsx", "A 8820-2025")</f>
        <v/>
      </c>
      <c r="T165">
        <f>HYPERLINK("https://klasma.github.io/Logging_2482/kartor/A 8820-2025 karta.png", "A 8820-2025")</f>
        <v/>
      </c>
      <c r="U165">
        <f>HYPERLINK("https://klasma.github.io/Logging_2482/knärot/A 8820-2025 karta knärot.png", "A 8820-2025")</f>
        <v/>
      </c>
      <c r="V165">
        <f>HYPERLINK("https://klasma.github.io/Logging_2482/klagomål/A 8820-2025 FSC-klagomål.docx", "A 8820-2025")</f>
        <v/>
      </c>
      <c r="W165">
        <f>HYPERLINK("https://klasma.github.io/Logging_2482/klagomålsmail/A 8820-2025 FSC-klagomål mail.docx", "A 8820-2025")</f>
        <v/>
      </c>
      <c r="X165">
        <f>HYPERLINK("https://klasma.github.io/Logging_2482/tillsyn/A 8820-2025 tillsynsbegäran.docx", "A 8820-2025")</f>
        <v/>
      </c>
      <c r="Y165">
        <f>HYPERLINK("https://klasma.github.io/Logging_2482/tillsynsmail/A 8820-2025 tillsynsbegäran mail.docx", "A 8820-2025")</f>
        <v/>
      </c>
    </row>
    <row r="166" ht="15" customHeight="1">
      <c r="A166" t="inlineStr">
        <is>
          <t>A 56879-2020</t>
        </is>
      </c>
      <c r="B166" s="1" t="n">
        <v>44134</v>
      </c>
      <c r="C166" s="1" t="n">
        <v>45931</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45931</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45931</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45931</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45931</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45931</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45931</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45931</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45931</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45931</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40345-2022</t>
        </is>
      </c>
      <c r="B176" s="1" t="n">
        <v>44823</v>
      </c>
      <c r="C176" s="1" t="n">
        <v>45931</v>
      </c>
      <c r="D176" t="inlineStr">
        <is>
          <t>VÄSTERBOTTENS LÄN</t>
        </is>
      </c>
      <c r="E176" t="inlineStr">
        <is>
          <t>SKELLEFTEÅ</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45931</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45931</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45931</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45931</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45931</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45931</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45931</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45931</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45931</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45931</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45931</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45931</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28959-2021</t>
        </is>
      </c>
      <c r="B189" s="1" t="n">
        <v>44358.37585648148</v>
      </c>
      <c r="C189" s="1" t="n">
        <v>45931</v>
      </c>
      <c r="D189" t="inlineStr">
        <is>
          <t>VÄSTERBOTTENS LÄN</t>
        </is>
      </c>
      <c r="E189" t="inlineStr">
        <is>
          <t>SKELLEFTEÅ</t>
        </is>
      </c>
      <c r="G189" t="n">
        <v>4.9</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45931</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11226-2022</t>
        </is>
      </c>
      <c r="B191" s="1" t="n">
        <v>44624</v>
      </c>
      <c r="C191" s="1" t="n">
        <v>45931</v>
      </c>
      <c r="D191" t="inlineStr">
        <is>
          <t>VÄSTERBOTTENS LÄN</t>
        </is>
      </c>
      <c r="E191" t="inlineStr">
        <is>
          <t>SKELLEFTEÅ</t>
        </is>
      </c>
      <c r="G191" t="n">
        <v>3.1</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45931</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45931</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45931</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45931</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45931</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45931</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45931</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45931</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18046-2022</t>
        </is>
      </c>
      <c r="B200" s="1" t="n">
        <v>44684</v>
      </c>
      <c r="C200" s="1" t="n">
        <v>45931</v>
      </c>
      <c r="D200" t="inlineStr">
        <is>
          <t>VÄSTERBOTTENS LÄN</t>
        </is>
      </c>
      <c r="E200" t="inlineStr">
        <is>
          <t>SKELLEFTEÅ</t>
        </is>
      </c>
      <c r="G200" t="n">
        <v>0.9</v>
      </c>
      <c r="H200" t="n">
        <v>0</v>
      </c>
      <c r="I200" t="n">
        <v>0</v>
      </c>
      <c r="J200" t="n">
        <v>0</v>
      </c>
      <c r="K200" t="n">
        <v>0</v>
      </c>
      <c r="L200" t="n">
        <v>0</v>
      </c>
      <c r="M200" t="n">
        <v>0</v>
      </c>
      <c r="N200" t="n">
        <v>0</v>
      </c>
      <c r="O200" t="n">
        <v>0</v>
      </c>
      <c r="P200" t="n">
        <v>0</v>
      </c>
      <c r="Q200" t="n">
        <v>0</v>
      </c>
      <c r="R200" s="2" t="inlineStr"/>
    </row>
    <row r="201" ht="15" customHeight="1">
      <c r="A201" t="inlineStr">
        <is>
          <t>A 70229-2021</t>
        </is>
      </c>
      <c r="B201" s="1" t="n">
        <v>44533</v>
      </c>
      <c r="C201" s="1" t="n">
        <v>45931</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45931</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45931</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52482-2022</t>
        </is>
      </c>
      <c r="B204" s="1" t="n">
        <v>44869</v>
      </c>
      <c r="C204" s="1" t="n">
        <v>45931</v>
      </c>
      <c r="D204" t="inlineStr">
        <is>
          <t>VÄSTERBOTTENS LÄN</t>
        </is>
      </c>
      <c r="E204" t="inlineStr">
        <is>
          <t>SKELLEFTEÅ</t>
        </is>
      </c>
      <c r="G204" t="n">
        <v>0.6</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45931</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45931</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45931</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45931</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45931</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45931</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45931</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45931</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45931</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45931</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45931</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45931</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45931</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41513-2022</t>
        </is>
      </c>
      <c r="B218" s="1" t="n">
        <v>44827</v>
      </c>
      <c r="C218" s="1" t="n">
        <v>45931</v>
      </c>
      <c r="D218" t="inlineStr">
        <is>
          <t>VÄSTERBOTTENS LÄN</t>
        </is>
      </c>
      <c r="E218" t="inlineStr">
        <is>
          <t>SKELLEFTEÅ</t>
        </is>
      </c>
      <c r="G218" t="n">
        <v>6.4</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45931</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45931</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45931</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45931</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45931</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45931</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45931</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45931</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45931</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52086-2021</t>
        </is>
      </c>
      <c r="B228" s="1" t="n">
        <v>44463</v>
      </c>
      <c r="C228" s="1" t="n">
        <v>45931</v>
      </c>
      <c r="D228" t="inlineStr">
        <is>
          <t>VÄSTERBOTTENS LÄN</t>
        </is>
      </c>
      <c r="E228" t="inlineStr">
        <is>
          <t>SKELLEFTEÅ</t>
        </is>
      </c>
      <c r="G228" t="n">
        <v>1.5</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45931</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33373-2021</t>
        </is>
      </c>
      <c r="B230" s="1" t="n">
        <v>44377.5328125</v>
      </c>
      <c r="C230" s="1" t="n">
        <v>45931</v>
      </c>
      <c r="D230" t="inlineStr">
        <is>
          <t>VÄSTERBOTTENS LÄN</t>
        </is>
      </c>
      <c r="E230" t="inlineStr">
        <is>
          <t>SKELLEFTEÅ</t>
        </is>
      </c>
      <c r="G230" t="n">
        <v>0.9</v>
      </c>
      <c r="H230" t="n">
        <v>0</v>
      </c>
      <c r="I230" t="n">
        <v>0</v>
      </c>
      <c r="J230" t="n">
        <v>0</v>
      </c>
      <c r="K230" t="n">
        <v>0</v>
      </c>
      <c r="L230" t="n">
        <v>0</v>
      </c>
      <c r="M230" t="n">
        <v>0</v>
      </c>
      <c r="N230" t="n">
        <v>0</v>
      </c>
      <c r="O230" t="n">
        <v>0</v>
      </c>
      <c r="P230" t="n">
        <v>0</v>
      </c>
      <c r="Q230" t="n">
        <v>0</v>
      </c>
      <c r="R230" s="2" t="inlineStr"/>
    </row>
    <row r="231" ht="15" customHeight="1">
      <c r="A231" t="inlineStr">
        <is>
          <t>A 14851-2021</t>
        </is>
      </c>
      <c r="B231" s="1" t="n">
        <v>44280.93606481481</v>
      </c>
      <c r="C231" s="1" t="n">
        <v>45931</v>
      </c>
      <c r="D231" t="inlineStr">
        <is>
          <t>VÄSTERBOTTENS LÄN</t>
        </is>
      </c>
      <c r="E231" t="inlineStr">
        <is>
          <t>SKELLEFTEÅ</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20046-2021</t>
        </is>
      </c>
      <c r="B232" s="1" t="n">
        <v>44313</v>
      </c>
      <c r="C232" s="1" t="n">
        <v>45931</v>
      </c>
      <c r="D232" t="inlineStr">
        <is>
          <t>VÄSTERBOTTENS LÄN</t>
        </is>
      </c>
      <c r="E232" t="inlineStr">
        <is>
          <t>SKELLEFTEÅ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45931</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3963-2022</t>
        </is>
      </c>
      <c r="B234" s="1" t="n">
        <v>44587.60012731481</v>
      </c>
      <c r="C234" s="1" t="n">
        <v>45931</v>
      </c>
      <c r="D234" t="inlineStr">
        <is>
          <t>VÄSTERBOTTENS LÄN</t>
        </is>
      </c>
      <c r="E234" t="inlineStr">
        <is>
          <t>SKELLEFTEÅ</t>
        </is>
      </c>
      <c r="G234" t="n">
        <v>7</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45931</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45890-2022</t>
        </is>
      </c>
      <c r="B236" s="1" t="n">
        <v>44844</v>
      </c>
      <c r="C236" s="1" t="n">
        <v>45931</v>
      </c>
      <c r="D236" t="inlineStr">
        <is>
          <t>VÄSTERBOTTENS LÄN</t>
        </is>
      </c>
      <c r="E236" t="inlineStr">
        <is>
          <t>SKELLEFTEÅ</t>
        </is>
      </c>
      <c r="G236" t="n">
        <v>0.5</v>
      </c>
      <c r="H236" t="n">
        <v>0</v>
      </c>
      <c r="I236" t="n">
        <v>0</v>
      </c>
      <c r="J236" t="n">
        <v>0</v>
      </c>
      <c r="K236" t="n">
        <v>0</v>
      </c>
      <c r="L236" t="n">
        <v>0</v>
      </c>
      <c r="M236" t="n">
        <v>0</v>
      </c>
      <c r="N236" t="n">
        <v>0</v>
      </c>
      <c r="O236" t="n">
        <v>0</v>
      </c>
      <c r="P236" t="n">
        <v>0</v>
      </c>
      <c r="Q236" t="n">
        <v>0</v>
      </c>
      <c r="R236" s="2" t="inlineStr"/>
    </row>
    <row r="237" ht="15" customHeight="1">
      <c r="A237" t="inlineStr">
        <is>
          <t>A 32415-2022</t>
        </is>
      </c>
      <c r="B237" s="1" t="n">
        <v>44782</v>
      </c>
      <c r="C237" s="1" t="n">
        <v>45931</v>
      </c>
      <c r="D237" t="inlineStr">
        <is>
          <t>VÄSTERBOTTENS LÄN</t>
        </is>
      </c>
      <c r="E237" t="inlineStr">
        <is>
          <t>SKELLEFTEÅ</t>
        </is>
      </c>
      <c r="F237" t="inlineStr">
        <is>
          <t>Kommuner</t>
        </is>
      </c>
      <c r="G237" t="n">
        <v>4.5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45931</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45931</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45931</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45931</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49183-2020</t>
        </is>
      </c>
      <c r="B242" s="1" t="n">
        <v>44105</v>
      </c>
      <c r="C242" s="1" t="n">
        <v>45931</v>
      </c>
      <c r="D242" t="inlineStr">
        <is>
          <t>VÄSTERBOTTENS LÄN</t>
        </is>
      </c>
      <c r="E242" t="inlineStr">
        <is>
          <t>SKELLEFTEÅ</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26807-2022</t>
        </is>
      </c>
      <c r="B243" s="1" t="n">
        <v>44740.4341087963</v>
      </c>
      <c r="C243" s="1" t="n">
        <v>45931</v>
      </c>
      <c r="D243" t="inlineStr">
        <is>
          <t>VÄSTERBOTTENS LÄN</t>
        </is>
      </c>
      <c r="E243" t="inlineStr">
        <is>
          <t>SKELLEFTEÅ</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29029-2022</t>
        </is>
      </c>
      <c r="B244" s="1" t="n">
        <v>44749</v>
      </c>
      <c r="C244" s="1" t="n">
        <v>45931</v>
      </c>
      <c r="D244" t="inlineStr">
        <is>
          <t>VÄSTERBOTTENS LÄN</t>
        </is>
      </c>
      <c r="E244" t="inlineStr">
        <is>
          <t>SKELLEFTEÅ</t>
        </is>
      </c>
      <c r="G244" t="n">
        <v>0.7</v>
      </c>
      <c r="H244" t="n">
        <v>0</v>
      </c>
      <c r="I244" t="n">
        <v>0</v>
      </c>
      <c r="J244" t="n">
        <v>0</v>
      </c>
      <c r="K244" t="n">
        <v>0</v>
      </c>
      <c r="L244" t="n">
        <v>0</v>
      </c>
      <c r="M244" t="n">
        <v>0</v>
      </c>
      <c r="N244" t="n">
        <v>0</v>
      </c>
      <c r="O244" t="n">
        <v>0</v>
      </c>
      <c r="P244" t="n">
        <v>0</v>
      </c>
      <c r="Q244" t="n">
        <v>0</v>
      </c>
      <c r="R244" s="2" t="inlineStr"/>
    </row>
    <row r="245" ht="15" customHeight="1">
      <c r="A245" t="inlineStr">
        <is>
          <t>A 24663-2022</t>
        </is>
      </c>
      <c r="B245" s="1" t="n">
        <v>44728</v>
      </c>
      <c r="C245" s="1" t="n">
        <v>45931</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7034-2021</t>
        </is>
      </c>
      <c r="B246" s="1" t="n">
        <v>44237</v>
      </c>
      <c r="C246" s="1" t="n">
        <v>45931</v>
      </c>
      <c r="D246" t="inlineStr">
        <is>
          <t>VÄSTERBOTTENS LÄN</t>
        </is>
      </c>
      <c r="E246" t="inlineStr">
        <is>
          <t>SKELLEFTEÅ</t>
        </is>
      </c>
      <c r="G246" t="n">
        <v>10.1</v>
      </c>
      <c r="H246" t="n">
        <v>0</v>
      </c>
      <c r="I246" t="n">
        <v>0</v>
      </c>
      <c r="J246" t="n">
        <v>0</v>
      </c>
      <c r="K246" t="n">
        <v>0</v>
      </c>
      <c r="L246" t="n">
        <v>0</v>
      </c>
      <c r="M246" t="n">
        <v>0</v>
      </c>
      <c r="N246" t="n">
        <v>0</v>
      </c>
      <c r="O246" t="n">
        <v>0</v>
      </c>
      <c r="P246" t="n">
        <v>0</v>
      </c>
      <c r="Q246" t="n">
        <v>0</v>
      </c>
      <c r="R246" s="2" t="inlineStr"/>
    </row>
    <row r="247" ht="15" customHeight="1">
      <c r="A247" t="inlineStr">
        <is>
          <t>A 58427-2020</t>
        </is>
      </c>
      <c r="B247" s="1" t="n">
        <v>44141</v>
      </c>
      <c r="C247" s="1" t="n">
        <v>45931</v>
      </c>
      <c r="D247" t="inlineStr">
        <is>
          <t>VÄSTERBOTTENS LÄN</t>
        </is>
      </c>
      <c r="E247" t="inlineStr">
        <is>
          <t>SKELLEFTEÅ</t>
        </is>
      </c>
      <c r="G247" t="n">
        <v>5.5</v>
      </c>
      <c r="H247" t="n">
        <v>0</v>
      </c>
      <c r="I247" t="n">
        <v>0</v>
      </c>
      <c r="J247" t="n">
        <v>0</v>
      </c>
      <c r="K247" t="n">
        <v>0</v>
      </c>
      <c r="L247" t="n">
        <v>0</v>
      </c>
      <c r="M247" t="n">
        <v>0</v>
      </c>
      <c r="N247" t="n">
        <v>0</v>
      </c>
      <c r="O247" t="n">
        <v>0</v>
      </c>
      <c r="P247" t="n">
        <v>0</v>
      </c>
      <c r="Q247" t="n">
        <v>0</v>
      </c>
      <c r="R247" s="2" t="inlineStr"/>
    </row>
    <row r="248" ht="15" customHeight="1">
      <c r="A248" t="inlineStr">
        <is>
          <t>A 42348-2022</t>
        </is>
      </c>
      <c r="B248" s="1" t="n">
        <v>44827</v>
      </c>
      <c r="C248" s="1" t="n">
        <v>45931</v>
      </c>
      <c r="D248" t="inlineStr">
        <is>
          <t>VÄSTERBOTTENS LÄN</t>
        </is>
      </c>
      <c r="E248" t="inlineStr">
        <is>
          <t>SKELLEFTEÅ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58861-2020</t>
        </is>
      </c>
      <c r="B249" s="1" t="n">
        <v>44146</v>
      </c>
      <c r="C249" s="1" t="n">
        <v>45931</v>
      </c>
      <c r="D249" t="inlineStr">
        <is>
          <t>VÄSTERBOTTENS LÄN</t>
        </is>
      </c>
      <c r="E249" t="inlineStr">
        <is>
          <t>SKELLEFTEÅ</t>
        </is>
      </c>
      <c r="G249" t="n">
        <v>1.6</v>
      </c>
      <c r="H249" t="n">
        <v>0</v>
      </c>
      <c r="I249" t="n">
        <v>0</v>
      </c>
      <c r="J249" t="n">
        <v>0</v>
      </c>
      <c r="K249" t="n">
        <v>0</v>
      </c>
      <c r="L249" t="n">
        <v>0</v>
      </c>
      <c r="M249" t="n">
        <v>0</v>
      </c>
      <c r="N249" t="n">
        <v>0</v>
      </c>
      <c r="O249" t="n">
        <v>0</v>
      </c>
      <c r="P249" t="n">
        <v>0</v>
      </c>
      <c r="Q249" t="n">
        <v>0</v>
      </c>
      <c r="R249" s="2" t="inlineStr"/>
    </row>
    <row r="250" ht="15" customHeight="1">
      <c r="A250" t="inlineStr">
        <is>
          <t>A 63502-2021</t>
        </is>
      </c>
      <c r="B250" s="1" t="n">
        <v>44508</v>
      </c>
      <c r="C250" s="1" t="n">
        <v>45931</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25513-2021</t>
        </is>
      </c>
      <c r="B251" s="1" t="n">
        <v>44342.94737268519</v>
      </c>
      <c r="C251" s="1" t="n">
        <v>45931</v>
      </c>
      <c r="D251" t="inlineStr">
        <is>
          <t>VÄSTERBOTTENS LÄN</t>
        </is>
      </c>
      <c r="E251" t="inlineStr">
        <is>
          <t>SKELLEFTEÅ</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30704-2021</t>
        </is>
      </c>
      <c r="B252" s="1" t="n">
        <v>44365</v>
      </c>
      <c r="C252" s="1" t="n">
        <v>45931</v>
      </c>
      <c r="D252" t="inlineStr">
        <is>
          <t>VÄSTERBOTTENS LÄN</t>
        </is>
      </c>
      <c r="E252" t="inlineStr">
        <is>
          <t>SKELLEFTEÅ</t>
        </is>
      </c>
      <c r="G252" t="n">
        <v>20.2</v>
      </c>
      <c r="H252" t="n">
        <v>0</v>
      </c>
      <c r="I252" t="n">
        <v>0</v>
      </c>
      <c r="J252" t="n">
        <v>0</v>
      </c>
      <c r="K252" t="n">
        <v>0</v>
      </c>
      <c r="L252" t="n">
        <v>0</v>
      </c>
      <c r="M252" t="n">
        <v>0</v>
      </c>
      <c r="N252" t="n">
        <v>0</v>
      </c>
      <c r="O252" t="n">
        <v>0</v>
      </c>
      <c r="P252" t="n">
        <v>0</v>
      </c>
      <c r="Q252" t="n">
        <v>0</v>
      </c>
      <c r="R252" s="2" t="inlineStr"/>
    </row>
    <row r="253" ht="15" customHeight="1">
      <c r="A253" t="inlineStr">
        <is>
          <t>A 47410-2022</t>
        </is>
      </c>
      <c r="B253" s="1" t="n">
        <v>44853.53674768518</v>
      </c>
      <c r="C253" s="1" t="n">
        <v>45931</v>
      </c>
      <c r="D253" t="inlineStr">
        <is>
          <t>VÄSTERBOTTENS LÄN</t>
        </is>
      </c>
      <c r="E253" t="inlineStr">
        <is>
          <t>SKELLEFTEÅ</t>
        </is>
      </c>
      <c r="G253" t="n">
        <v>2.8</v>
      </c>
      <c r="H253" t="n">
        <v>0</v>
      </c>
      <c r="I253" t="n">
        <v>0</v>
      </c>
      <c r="J253" t="n">
        <v>0</v>
      </c>
      <c r="K253" t="n">
        <v>0</v>
      </c>
      <c r="L253" t="n">
        <v>0</v>
      </c>
      <c r="M253" t="n">
        <v>0</v>
      </c>
      <c r="N253" t="n">
        <v>0</v>
      </c>
      <c r="O253" t="n">
        <v>0</v>
      </c>
      <c r="P253" t="n">
        <v>0</v>
      </c>
      <c r="Q253" t="n">
        <v>0</v>
      </c>
      <c r="R253" s="2" t="inlineStr"/>
    </row>
    <row r="254" ht="15" customHeight="1">
      <c r="A254" t="inlineStr">
        <is>
          <t>A 43069-2022</t>
        </is>
      </c>
      <c r="B254" s="1" t="n">
        <v>44833.63614583333</v>
      </c>
      <c r="C254" s="1" t="n">
        <v>45931</v>
      </c>
      <c r="D254" t="inlineStr">
        <is>
          <t>VÄSTERBOTTENS LÄN</t>
        </is>
      </c>
      <c r="E254" t="inlineStr">
        <is>
          <t>SKELLEFTEÅ</t>
        </is>
      </c>
      <c r="F254" t="inlineStr">
        <is>
          <t>Sveaskog</t>
        </is>
      </c>
      <c r="G254" t="n">
        <v>19.6</v>
      </c>
      <c r="H254" t="n">
        <v>0</v>
      </c>
      <c r="I254" t="n">
        <v>0</v>
      </c>
      <c r="J254" t="n">
        <v>0</v>
      </c>
      <c r="K254" t="n">
        <v>0</v>
      </c>
      <c r="L254" t="n">
        <v>0</v>
      </c>
      <c r="M254" t="n">
        <v>0</v>
      </c>
      <c r="N254" t="n">
        <v>0</v>
      </c>
      <c r="O254" t="n">
        <v>0</v>
      </c>
      <c r="P254" t="n">
        <v>0</v>
      </c>
      <c r="Q254" t="n">
        <v>0</v>
      </c>
      <c r="R254" s="2" t="inlineStr"/>
    </row>
    <row r="255" ht="15" customHeight="1">
      <c r="A255" t="inlineStr">
        <is>
          <t>A 13729-2021</t>
        </is>
      </c>
      <c r="B255" s="1" t="n">
        <v>44274</v>
      </c>
      <c r="C255" s="1" t="n">
        <v>45931</v>
      </c>
      <c r="D255" t="inlineStr">
        <is>
          <t>VÄSTERBOTTENS LÄN</t>
        </is>
      </c>
      <c r="E255" t="inlineStr">
        <is>
          <t>SKELLEFTEÅ</t>
        </is>
      </c>
      <c r="G255" t="n">
        <v>7.6</v>
      </c>
      <c r="H255" t="n">
        <v>0</v>
      </c>
      <c r="I255" t="n">
        <v>0</v>
      </c>
      <c r="J255" t="n">
        <v>0</v>
      </c>
      <c r="K255" t="n">
        <v>0</v>
      </c>
      <c r="L255" t="n">
        <v>0</v>
      </c>
      <c r="M255" t="n">
        <v>0</v>
      </c>
      <c r="N255" t="n">
        <v>0</v>
      </c>
      <c r="O255" t="n">
        <v>0</v>
      </c>
      <c r="P255" t="n">
        <v>0</v>
      </c>
      <c r="Q255" t="n">
        <v>0</v>
      </c>
      <c r="R255" s="2" t="inlineStr"/>
    </row>
    <row r="256" ht="15" customHeight="1">
      <c r="A256" t="inlineStr">
        <is>
          <t>A 34547-2022</t>
        </is>
      </c>
      <c r="B256" s="1" t="n">
        <v>44793.9403587963</v>
      </c>
      <c r="C256" s="1" t="n">
        <v>45931</v>
      </c>
      <c r="D256" t="inlineStr">
        <is>
          <t>VÄSTERBOTTENS LÄN</t>
        </is>
      </c>
      <c r="E256" t="inlineStr">
        <is>
          <t>SKELLEFTEÅ</t>
        </is>
      </c>
      <c r="F256" t="inlineStr">
        <is>
          <t>SCA</t>
        </is>
      </c>
      <c r="G256" t="n">
        <v>6.8</v>
      </c>
      <c r="H256" t="n">
        <v>0</v>
      </c>
      <c r="I256" t="n">
        <v>0</v>
      </c>
      <c r="J256" t="n">
        <v>0</v>
      </c>
      <c r="K256" t="n">
        <v>0</v>
      </c>
      <c r="L256" t="n">
        <v>0</v>
      </c>
      <c r="M256" t="n">
        <v>0</v>
      </c>
      <c r="N256" t="n">
        <v>0</v>
      </c>
      <c r="O256" t="n">
        <v>0</v>
      </c>
      <c r="P256" t="n">
        <v>0</v>
      </c>
      <c r="Q256" t="n">
        <v>0</v>
      </c>
      <c r="R256" s="2" t="inlineStr"/>
    </row>
    <row r="257" ht="15" customHeight="1">
      <c r="A257" t="inlineStr">
        <is>
          <t>A 16750-2022</t>
        </is>
      </c>
      <c r="B257" s="1" t="n">
        <v>44673</v>
      </c>
      <c r="C257" s="1" t="n">
        <v>45931</v>
      </c>
      <c r="D257" t="inlineStr">
        <is>
          <t>VÄSTERBOTTENS LÄN</t>
        </is>
      </c>
      <c r="E257" t="inlineStr">
        <is>
          <t>SKELLEFTEÅ</t>
        </is>
      </c>
      <c r="G257" t="n">
        <v>3</v>
      </c>
      <c r="H257" t="n">
        <v>0</v>
      </c>
      <c r="I257" t="n">
        <v>0</v>
      </c>
      <c r="J257" t="n">
        <v>0</v>
      </c>
      <c r="K257" t="n">
        <v>0</v>
      </c>
      <c r="L257" t="n">
        <v>0</v>
      </c>
      <c r="M257" t="n">
        <v>0</v>
      </c>
      <c r="N257" t="n">
        <v>0</v>
      </c>
      <c r="O257" t="n">
        <v>0</v>
      </c>
      <c r="P257" t="n">
        <v>0</v>
      </c>
      <c r="Q257" t="n">
        <v>0</v>
      </c>
      <c r="R257" s="2" t="inlineStr"/>
    </row>
    <row r="258" ht="15" customHeight="1">
      <c r="A258" t="inlineStr">
        <is>
          <t>A 3934-2021</t>
        </is>
      </c>
      <c r="B258" s="1" t="n">
        <v>44221</v>
      </c>
      <c r="C258" s="1" t="n">
        <v>45931</v>
      </c>
      <c r="D258" t="inlineStr">
        <is>
          <t>VÄSTERBOTTENS LÄN</t>
        </is>
      </c>
      <c r="E258" t="inlineStr">
        <is>
          <t>SKELLEFTEÅ</t>
        </is>
      </c>
      <c r="G258" t="n">
        <v>2.5</v>
      </c>
      <c r="H258" t="n">
        <v>0</v>
      </c>
      <c r="I258" t="n">
        <v>0</v>
      </c>
      <c r="J258" t="n">
        <v>0</v>
      </c>
      <c r="K258" t="n">
        <v>0</v>
      </c>
      <c r="L258" t="n">
        <v>0</v>
      </c>
      <c r="M258" t="n">
        <v>0</v>
      </c>
      <c r="N258" t="n">
        <v>0</v>
      </c>
      <c r="O258" t="n">
        <v>0</v>
      </c>
      <c r="P258" t="n">
        <v>0</v>
      </c>
      <c r="Q258" t="n">
        <v>0</v>
      </c>
      <c r="R258" s="2" t="inlineStr"/>
    </row>
    <row r="259" ht="15" customHeight="1">
      <c r="A259" t="inlineStr">
        <is>
          <t>A 5603-2021</t>
        </is>
      </c>
      <c r="B259" s="1" t="n">
        <v>44230</v>
      </c>
      <c r="C259" s="1" t="n">
        <v>45931</v>
      </c>
      <c r="D259" t="inlineStr">
        <is>
          <t>VÄSTERBOTTENS LÄN</t>
        </is>
      </c>
      <c r="E259" t="inlineStr">
        <is>
          <t>SKELLEFTEÅ</t>
        </is>
      </c>
      <c r="G259" t="n">
        <v>2.6</v>
      </c>
      <c r="H259" t="n">
        <v>0</v>
      </c>
      <c r="I259" t="n">
        <v>0</v>
      </c>
      <c r="J259" t="n">
        <v>0</v>
      </c>
      <c r="K259" t="n">
        <v>0</v>
      </c>
      <c r="L259" t="n">
        <v>0</v>
      </c>
      <c r="M259" t="n">
        <v>0</v>
      </c>
      <c r="N259" t="n">
        <v>0</v>
      </c>
      <c r="O259" t="n">
        <v>0</v>
      </c>
      <c r="P259" t="n">
        <v>0</v>
      </c>
      <c r="Q259" t="n">
        <v>0</v>
      </c>
      <c r="R259" s="2" t="inlineStr"/>
    </row>
    <row r="260" ht="15" customHeight="1">
      <c r="A260" t="inlineStr">
        <is>
          <t>A 6356-2021</t>
        </is>
      </c>
      <c r="B260" s="1" t="n">
        <v>44235</v>
      </c>
      <c r="C260" s="1" t="n">
        <v>45931</v>
      </c>
      <c r="D260" t="inlineStr">
        <is>
          <t>VÄSTERBOTTENS LÄN</t>
        </is>
      </c>
      <c r="E260" t="inlineStr">
        <is>
          <t>SKELLEFTEÅ</t>
        </is>
      </c>
      <c r="G260" t="n">
        <v>1.9</v>
      </c>
      <c r="H260" t="n">
        <v>0</v>
      </c>
      <c r="I260" t="n">
        <v>0</v>
      </c>
      <c r="J260" t="n">
        <v>0</v>
      </c>
      <c r="K260" t="n">
        <v>0</v>
      </c>
      <c r="L260" t="n">
        <v>0</v>
      </c>
      <c r="M260" t="n">
        <v>0</v>
      </c>
      <c r="N260" t="n">
        <v>0</v>
      </c>
      <c r="O260" t="n">
        <v>0</v>
      </c>
      <c r="P260" t="n">
        <v>0</v>
      </c>
      <c r="Q260" t="n">
        <v>0</v>
      </c>
      <c r="R260" s="2" t="inlineStr"/>
    </row>
    <row r="261" ht="15" customHeight="1">
      <c r="A261" t="inlineStr">
        <is>
          <t>A 64650-2020</t>
        </is>
      </c>
      <c r="B261" s="1" t="n">
        <v>44166</v>
      </c>
      <c r="C261" s="1" t="n">
        <v>45931</v>
      </c>
      <c r="D261" t="inlineStr">
        <is>
          <t>VÄSTERBOTTENS LÄN</t>
        </is>
      </c>
      <c r="E261" t="inlineStr">
        <is>
          <t>SKELLEFTEÅ</t>
        </is>
      </c>
      <c r="G261" t="n">
        <v>0.7</v>
      </c>
      <c r="H261" t="n">
        <v>0</v>
      </c>
      <c r="I261" t="n">
        <v>0</v>
      </c>
      <c r="J261" t="n">
        <v>0</v>
      </c>
      <c r="K261" t="n">
        <v>0</v>
      </c>
      <c r="L261" t="n">
        <v>0</v>
      </c>
      <c r="M261" t="n">
        <v>0</v>
      </c>
      <c r="N261" t="n">
        <v>0</v>
      </c>
      <c r="O261" t="n">
        <v>0</v>
      </c>
      <c r="P261" t="n">
        <v>0</v>
      </c>
      <c r="Q261" t="n">
        <v>0</v>
      </c>
      <c r="R261" s="2" t="inlineStr"/>
    </row>
    <row r="262" ht="15" customHeight="1">
      <c r="A262" t="inlineStr">
        <is>
          <t>A 18183-2021</t>
        </is>
      </c>
      <c r="B262" s="1" t="n">
        <v>44302</v>
      </c>
      <c r="C262" s="1" t="n">
        <v>45931</v>
      </c>
      <c r="D262" t="inlineStr">
        <is>
          <t>VÄSTERBOTTENS LÄN</t>
        </is>
      </c>
      <c r="E262" t="inlineStr">
        <is>
          <t>SKELLEFTEÅ</t>
        </is>
      </c>
      <c r="G262" t="n">
        <v>7.4</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45931</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71019-2021</t>
        </is>
      </c>
      <c r="B264" s="1" t="n">
        <v>44538.64574074074</v>
      </c>
      <c r="C264" s="1" t="n">
        <v>45931</v>
      </c>
      <c r="D264" t="inlineStr">
        <is>
          <t>VÄSTERBOTTENS LÄN</t>
        </is>
      </c>
      <c r="E264" t="inlineStr">
        <is>
          <t>SKELLEFTEÅ</t>
        </is>
      </c>
      <c r="G264" t="n">
        <v>7.3</v>
      </c>
      <c r="H264" t="n">
        <v>0</v>
      </c>
      <c r="I264" t="n">
        <v>0</v>
      </c>
      <c r="J264" t="n">
        <v>0</v>
      </c>
      <c r="K264" t="n">
        <v>0</v>
      </c>
      <c r="L264" t="n">
        <v>0</v>
      </c>
      <c r="M264" t="n">
        <v>0</v>
      </c>
      <c r="N264" t="n">
        <v>0</v>
      </c>
      <c r="O264" t="n">
        <v>0</v>
      </c>
      <c r="P264" t="n">
        <v>0</v>
      </c>
      <c r="Q264" t="n">
        <v>0</v>
      </c>
      <c r="R264" s="2" t="inlineStr"/>
    </row>
    <row r="265" ht="15" customHeight="1">
      <c r="A265" t="inlineStr">
        <is>
          <t>A 52589-2022</t>
        </is>
      </c>
      <c r="B265" s="1" t="n">
        <v>44874.63079861111</v>
      </c>
      <c r="C265" s="1" t="n">
        <v>45931</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62763-2020</t>
        </is>
      </c>
      <c r="B266" s="1" t="n">
        <v>44160</v>
      </c>
      <c r="C266" s="1" t="n">
        <v>45931</v>
      </c>
      <c r="D266" t="inlineStr">
        <is>
          <t>VÄSTERBOTTENS LÄN</t>
        </is>
      </c>
      <c r="E266" t="inlineStr">
        <is>
          <t>SKELLEFTEÅ</t>
        </is>
      </c>
      <c r="G266" t="n">
        <v>1.1</v>
      </c>
      <c r="H266" t="n">
        <v>0</v>
      </c>
      <c r="I266" t="n">
        <v>0</v>
      </c>
      <c r="J266" t="n">
        <v>0</v>
      </c>
      <c r="K266" t="n">
        <v>0</v>
      </c>
      <c r="L266" t="n">
        <v>0</v>
      </c>
      <c r="M266" t="n">
        <v>0</v>
      </c>
      <c r="N266" t="n">
        <v>0</v>
      </c>
      <c r="O266" t="n">
        <v>0</v>
      </c>
      <c r="P266" t="n">
        <v>0</v>
      </c>
      <c r="Q266" t="n">
        <v>0</v>
      </c>
      <c r="R266" s="2" t="inlineStr"/>
    </row>
    <row r="267" ht="15" customHeight="1">
      <c r="A267" t="inlineStr">
        <is>
          <t>A 32344-2022</t>
        </is>
      </c>
      <c r="B267" s="1" t="n">
        <v>44781.88997685185</v>
      </c>
      <c r="C267" s="1" t="n">
        <v>45931</v>
      </c>
      <c r="D267" t="inlineStr">
        <is>
          <t>VÄSTERBOTTENS LÄN</t>
        </is>
      </c>
      <c r="E267" t="inlineStr">
        <is>
          <t>SKELLEFTEÅ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61958-2020</t>
        </is>
      </c>
      <c r="B268" s="1" t="n">
        <v>44155</v>
      </c>
      <c r="C268" s="1" t="n">
        <v>45931</v>
      </c>
      <c r="D268" t="inlineStr">
        <is>
          <t>VÄSTERBOTTENS LÄN</t>
        </is>
      </c>
      <c r="E268" t="inlineStr">
        <is>
          <t>SKELLEFTEÅ</t>
        </is>
      </c>
      <c r="G268" t="n">
        <v>2.2</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45931</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72203-2021</t>
        </is>
      </c>
      <c r="B270" s="1" t="n">
        <v>44543</v>
      </c>
      <c r="C270" s="1" t="n">
        <v>45931</v>
      </c>
      <c r="D270" t="inlineStr">
        <is>
          <t>VÄSTERBOTTENS LÄN</t>
        </is>
      </c>
      <c r="E270" t="inlineStr">
        <is>
          <t>SKELLEFTEÅ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39827-2021</t>
        </is>
      </c>
      <c r="B271" s="1" t="n">
        <v>44417</v>
      </c>
      <c r="C271" s="1" t="n">
        <v>45931</v>
      </c>
      <c r="D271" t="inlineStr">
        <is>
          <t>VÄSTERBOTTENS LÄN</t>
        </is>
      </c>
      <c r="E271" t="inlineStr">
        <is>
          <t>SKELLEFTEÅ</t>
        </is>
      </c>
      <c r="G271" t="n">
        <v>3.8</v>
      </c>
      <c r="H271" t="n">
        <v>0</v>
      </c>
      <c r="I271" t="n">
        <v>0</v>
      </c>
      <c r="J271" t="n">
        <v>0</v>
      </c>
      <c r="K271" t="n">
        <v>0</v>
      </c>
      <c r="L271" t="n">
        <v>0</v>
      </c>
      <c r="M271" t="n">
        <v>0</v>
      </c>
      <c r="N271" t="n">
        <v>0</v>
      </c>
      <c r="O271" t="n">
        <v>0</v>
      </c>
      <c r="P271" t="n">
        <v>0</v>
      </c>
      <c r="Q271" t="n">
        <v>0</v>
      </c>
      <c r="R271" s="2" t="inlineStr"/>
    </row>
    <row r="272" ht="15" customHeight="1">
      <c r="A272" t="inlineStr">
        <is>
          <t>A 59171-2021</t>
        </is>
      </c>
      <c r="B272" s="1" t="n">
        <v>44489</v>
      </c>
      <c r="C272" s="1" t="n">
        <v>45931</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34633-2021</t>
        </is>
      </c>
      <c r="B273" s="1" t="n">
        <v>44382</v>
      </c>
      <c r="C273" s="1" t="n">
        <v>45931</v>
      </c>
      <c r="D273" t="inlineStr">
        <is>
          <t>VÄSTERBOTTENS LÄN</t>
        </is>
      </c>
      <c r="E273" t="inlineStr">
        <is>
          <t>SKELLEFTEÅ</t>
        </is>
      </c>
      <c r="G273" t="n">
        <v>4.2</v>
      </c>
      <c r="H273" t="n">
        <v>0</v>
      </c>
      <c r="I273" t="n">
        <v>0</v>
      </c>
      <c r="J273" t="n">
        <v>0</v>
      </c>
      <c r="K273" t="n">
        <v>0</v>
      </c>
      <c r="L273" t="n">
        <v>0</v>
      </c>
      <c r="M273" t="n">
        <v>0</v>
      </c>
      <c r="N273" t="n">
        <v>0</v>
      </c>
      <c r="O273" t="n">
        <v>0</v>
      </c>
      <c r="P273" t="n">
        <v>0</v>
      </c>
      <c r="Q273" t="n">
        <v>0</v>
      </c>
      <c r="R273" s="2" t="inlineStr"/>
    </row>
    <row r="274" ht="15" customHeight="1">
      <c r="A274" t="inlineStr">
        <is>
          <t>A 30449-2021</t>
        </is>
      </c>
      <c r="B274" s="1" t="n">
        <v>44364</v>
      </c>
      <c r="C274" s="1" t="n">
        <v>45931</v>
      </c>
      <c r="D274" t="inlineStr">
        <is>
          <t>VÄSTERBOTTENS LÄN</t>
        </is>
      </c>
      <c r="E274" t="inlineStr">
        <is>
          <t>SKELLEFTEÅ</t>
        </is>
      </c>
      <c r="G274" t="n">
        <v>2.6</v>
      </c>
      <c r="H274" t="n">
        <v>0</v>
      </c>
      <c r="I274" t="n">
        <v>0</v>
      </c>
      <c r="J274" t="n">
        <v>0</v>
      </c>
      <c r="K274" t="n">
        <v>0</v>
      </c>
      <c r="L274" t="n">
        <v>0</v>
      </c>
      <c r="M274" t="n">
        <v>0</v>
      </c>
      <c r="N274" t="n">
        <v>0</v>
      </c>
      <c r="O274" t="n">
        <v>0</v>
      </c>
      <c r="P274" t="n">
        <v>0</v>
      </c>
      <c r="Q274" t="n">
        <v>0</v>
      </c>
      <c r="R274" s="2" t="inlineStr"/>
    </row>
    <row r="275" ht="15" customHeight="1">
      <c r="A275" t="inlineStr">
        <is>
          <t>A 37937-2021</t>
        </is>
      </c>
      <c r="B275" s="1" t="n">
        <v>44403</v>
      </c>
      <c r="C275" s="1" t="n">
        <v>45931</v>
      </c>
      <c r="D275" t="inlineStr">
        <is>
          <t>VÄSTERBOTTENS LÄN</t>
        </is>
      </c>
      <c r="E275" t="inlineStr">
        <is>
          <t>SKELLEFTEÅ</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45931</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36564-2021</t>
        </is>
      </c>
      <c r="B277" s="1" t="n">
        <v>44391</v>
      </c>
      <c r="C277" s="1" t="n">
        <v>45931</v>
      </c>
      <c r="D277" t="inlineStr">
        <is>
          <t>VÄSTERBOTTENS LÄN</t>
        </is>
      </c>
      <c r="E277" t="inlineStr">
        <is>
          <t>SKELLEFTEÅ</t>
        </is>
      </c>
      <c r="G277" t="n">
        <v>0.7</v>
      </c>
      <c r="H277" t="n">
        <v>0</v>
      </c>
      <c r="I277" t="n">
        <v>0</v>
      </c>
      <c r="J277" t="n">
        <v>0</v>
      </c>
      <c r="K277" t="n">
        <v>0</v>
      </c>
      <c r="L277" t="n">
        <v>0</v>
      </c>
      <c r="M277" t="n">
        <v>0</v>
      </c>
      <c r="N277" t="n">
        <v>0</v>
      </c>
      <c r="O277" t="n">
        <v>0</v>
      </c>
      <c r="P277" t="n">
        <v>0</v>
      </c>
      <c r="Q277" t="n">
        <v>0</v>
      </c>
      <c r="R277" s="2" t="inlineStr"/>
    </row>
    <row r="278" ht="15" customHeight="1">
      <c r="A278" t="inlineStr">
        <is>
          <t>A 38932-2022</t>
        </is>
      </c>
      <c r="B278" s="1" t="n">
        <v>44816</v>
      </c>
      <c r="C278" s="1" t="n">
        <v>45931</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53152-2021</t>
        </is>
      </c>
      <c r="B279" s="1" t="n">
        <v>44468.3399537037</v>
      </c>
      <c r="C279" s="1" t="n">
        <v>45931</v>
      </c>
      <c r="D279" t="inlineStr">
        <is>
          <t>VÄSTERBOTTENS LÄN</t>
        </is>
      </c>
      <c r="E279" t="inlineStr">
        <is>
          <t>SKELLEFTEÅ</t>
        </is>
      </c>
      <c r="G279" t="n">
        <v>3.7</v>
      </c>
      <c r="H279" t="n">
        <v>0</v>
      </c>
      <c r="I279" t="n">
        <v>0</v>
      </c>
      <c r="J279" t="n">
        <v>0</v>
      </c>
      <c r="K279" t="n">
        <v>0</v>
      </c>
      <c r="L279" t="n">
        <v>0</v>
      </c>
      <c r="M279" t="n">
        <v>0</v>
      </c>
      <c r="N279" t="n">
        <v>0</v>
      </c>
      <c r="O279" t="n">
        <v>0</v>
      </c>
      <c r="P279" t="n">
        <v>0</v>
      </c>
      <c r="Q279" t="n">
        <v>0</v>
      </c>
      <c r="R279" s="2" t="inlineStr"/>
    </row>
    <row r="280" ht="15" customHeight="1">
      <c r="A280" t="inlineStr">
        <is>
          <t>A 45043-2021</t>
        </is>
      </c>
      <c r="B280" s="1" t="n">
        <v>44438</v>
      </c>
      <c r="C280" s="1" t="n">
        <v>45931</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30194-2021</t>
        </is>
      </c>
      <c r="B281" s="1" t="n">
        <v>44363</v>
      </c>
      <c r="C281" s="1" t="n">
        <v>45931</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45931</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41464-2021</t>
        </is>
      </c>
      <c r="B283" s="1" t="n">
        <v>44424.87716435185</v>
      </c>
      <c r="C283" s="1" t="n">
        <v>45931</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47974-2021</t>
        </is>
      </c>
      <c r="B284" s="1" t="n">
        <v>44448</v>
      </c>
      <c r="C284" s="1" t="n">
        <v>45931</v>
      </c>
      <c r="D284" t="inlineStr">
        <is>
          <t>VÄSTERBOTTENS LÄN</t>
        </is>
      </c>
      <c r="E284" t="inlineStr">
        <is>
          <t>SKELLEFTEÅ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65254-2020</t>
        </is>
      </c>
      <c r="B285" s="1" t="n">
        <v>44172</v>
      </c>
      <c r="C285" s="1" t="n">
        <v>45931</v>
      </c>
      <c r="D285" t="inlineStr">
        <is>
          <t>VÄSTERBOTTENS LÄN</t>
        </is>
      </c>
      <c r="E285" t="inlineStr">
        <is>
          <t>SKELLEFTEÅ</t>
        </is>
      </c>
      <c r="G285" t="n">
        <v>2</v>
      </c>
      <c r="H285" t="n">
        <v>0</v>
      </c>
      <c r="I285" t="n">
        <v>0</v>
      </c>
      <c r="J285" t="n">
        <v>0</v>
      </c>
      <c r="K285" t="n">
        <v>0</v>
      </c>
      <c r="L285" t="n">
        <v>0</v>
      </c>
      <c r="M285" t="n">
        <v>0</v>
      </c>
      <c r="N285" t="n">
        <v>0</v>
      </c>
      <c r="O285" t="n">
        <v>0</v>
      </c>
      <c r="P285" t="n">
        <v>0</v>
      </c>
      <c r="Q285" t="n">
        <v>0</v>
      </c>
      <c r="R285" s="2" t="inlineStr"/>
    </row>
    <row r="286" ht="15" customHeight="1">
      <c r="A286" t="inlineStr">
        <is>
          <t>A 65081-2020</t>
        </is>
      </c>
      <c r="B286" s="1" t="n">
        <v>44167</v>
      </c>
      <c r="C286" s="1" t="n">
        <v>45931</v>
      </c>
      <c r="D286" t="inlineStr">
        <is>
          <t>VÄSTERBOTTENS LÄN</t>
        </is>
      </c>
      <c r="E286" t="inlineStr">
        <is>
          <t>SKELLEFTEÅ</t>
        </is>
      </c>
      <c r="G286" t="n">
        <v>0.7</v>
      </c>
      <c r="H286" t="n">
        <v>0</v>
      </c>
      <c r="I286" t="n">
        <v>0</v>
      </c>
      <c r="J286" t="n">
        <v>0</v>
      </c>
      <c r="K286" t="n">
        <v>0</v>
      </c>
      <c r="L286" t="n">
        <v>0</v>
      </c>
      <c r="M286" t="n">
        <v>0</v>
      </c>
      <c r="N286" t="n">
        <v>0</v>
      </c>
      <c r="O286" t="n">
        <v>0</v>
      </c>
      <c r="P286" t="n">
        <v>0</v>
      </c>
      <c r="Q286" t="n">
        <v>0</v>
      </c>
      <c r="R286" s="2" t="inlineStr"/>
    </row>
    <row r="287" ht="15" customHeight="1">
      <c r="A287" t="inlineStr">
        <is>
          <t>A 65103-2020</t>
        </is>
      </c>
      <c r="B287" s="1" t="n">
        <v>44167</v>
      </c>
      <c r="C287" s="1" t="n">
        <v>45931</v>
      </c>
      <c r="D287" t="inlineStr">
        <is>
          <t>VÄSTERBOTTENS LÄN</t>
        </is>
      </c>
      <c r="E287" t="inlineStr">
        <is>
          <t>SKELLEFTEÅ</t>
        </is>
      </c>
      <c r="G287" t="n">
        <v>0.6</v>
      </c>
      <c r="H287" t="n">
        <v>0</v>
      </c>
      <c r="I287" t="n">
        <v>0</v>
      </c>
      <c r="J287" t="n">
        <v>0</v>
      </c>
      <c r="K287" t="n">
        <v>0</v>
      </c>
      <c r="L287" t="n">
        <v>0</v>
      </c>
      <c r="M287" t="n">
        <v>0</v>
      </c>
      <c r="N287" t="n">
        <v>0</v>
      </c>
      <c r="O287" t="n">
        <v>0</v>
      </c>
      <c r="P287" t="n">
        <v>0</v>
      </c>
      <c r="Q287" t="n">
        <v>0</v>
      </c>
      <c r="R287" s="2" t="inlineStr"/>
    </row>
    <row r="288" ht="15" customHeight="1">
      <c r="A288" t="inlineStr">
        <is>
          <t>A 65486-2020</t>
        </is>
      </c>
      <c r="B288" s="1" t="n">
        <v>44172</v>
      </c>
      <c r="C288" s="1" t="n">
        <v>45931</v>
      </c>
      <c r="D288" t="inlineStr">
        <is>
          <t>VÄSTERBOTTENS LÄN</t>
        </is>
      </c>
      <c r="E288" t="inlineStr">
        <is>
          <t>SKELLEFTEÅ</t>
        </is>
      </c>
      <c r="G288" t="n">
        <v>2.8</v>
      </c>
      <c r="H288" t="n">
        <v>0</v>
      </c>
      <c r="I288" t="n">
        <v>0</v>
      </c>
      <c r="J288" t="n">
        <v>0</v>
      </c>
      <c r="K288" t="n">
        <v>0</v>
      </c>
      <c r="L288" t="n">
        <v>0</v>
      </c>
      <c r="M288" t="n">
        <v>0</v>
      </c>
      <c r="N288" t="n">
        <v>0</v>
      </c>
      <c r="O288" t="n">
        <v>0</v>
      </c>
      <c r="P288" t="n">
        <v>0</v>
      </c>
      <c r="Q288" t="n">
        <v>0</v>
      </c>
      <c r="R288" s="2" t="inlineStr"/>
    </row>
    <row r="289" ht="15" customHeight="1">
      <c r="A289" t="inlineStr">
        <is>
          <t>A 65567-2020</t>
        </is>
      </c>
      <c r="B289" s="1" t="n">
        <v>44173</v>
      </c>
      <c r="C289" s="1" t="n">
        <v>45931</v>
      </c>
      <c r="D289" t="inlineStr">
        <is>
          <t>VÄSTERBOTTENS LÄN</t>
        </is>
      </c>
      <c r="E289" t="inlineStr">
        <is>
          <t>SKELLEFTEÅ</t>
        </is>
      </c>
      <c r="F289" t="inlineStr">
        <is>
          <t>Sveaskog</t>
        </is>
      </c>
      <c r="G289" t="n">
        <v>17.7</v>
      </c>
      <c r="H289" t="n">
        <v>0</v>
      </c>
      <c r="I289" t="n">
        <v>0</v>
      </c>
      <c r="J289" t="n">
        <v>0</v>
      </c>
      <c r="K289" t="n">
        <v>0</v>
      </c>
      <c r="L289" t="n">
        <v>0</v>
      </c>
      <c r="M289" t="n">
        <v>0</v>
      </c>
      <c r="N289" t="n">
        <v>0</v>
      </c>
      <c r="O289" t="n">
        <v>0</v>
      </c>
      <c r="P289" t="n">
        <v>0</v>
      </c>
      <c r="Q289" t="n">
        <v>0</v>
      </c>
      <c r="R289" s="2" t="inlineStr"/>
    </row>
    <row r="290" ht="15" customHeight="1">
      <c r="A290" t="inlineStr">
        <is>
          <t>A 32114-2021</t>
        </is>
      </c>
      <c r="B290" s="1" t="n">
        <v>44371.30479166667</v>
      </c>
      <c r="C290" s="1" t="n">
        <v>45931</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68203-2020</t>
        </is>
      </c>
      <c r="B291" s="1" t="n">
        <v>44183</v>
      </c>
      <c r="C291" s="1" t="n">
        <v>45931</v>
      </c>
      <c r="D291" t="inlineStr">
        <is>
          <t>VÄSTERBOTTENS LÄN</t>
        </is>
      </c>
      <c r="E291" t="inlineStr">
        <is>
          <t>SKELLEFTEÅ</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33687-2021</t>
        </is>
      </c>
      <c r="B292" s="1" t="n">
        <v>44378</v>
      </c>
      <c r="C292" s="1" t="n">
        <v>45931</v>
      </c>
      <c r="D292" t="inlineStr">
        <is>
          <t>VÄSTERBOTTENS LÄN</t>
        </is>
      </c>
      <c r="E292" t="inlineStr">
        <is>
          <t>SKELLEFTEÅ</t>
        </is>
      </c>
      <c r="G292" t="n">
        <v>0.1</v>
      </c>
      <c r="H292" t="n">
        <v>0</v>
      </c>
      <c r="I292" t="n">
        <v>0</v>
      </c>
      <c r="J292" t="n">
        <v>0</v>
      </c>
      <c r="K292" t="n">
        <v>0</v>
      </c>
      <c r="L292" t="n">
        <v>0</v>
      </c>
      <c r="M292" t="n">
        <v>0</v>
      </c>
      <c r="N292" t="n">
        <v>0</v>
      </c>
      <c r="O292" t="n">
        <v>0</v>
      </c>
      <c r="P292" t="n">
        <v>0</v>
      </c>
      <c r="Q292" t="n">
        <v>0</v>
      </c>
      <c r="R292" s="2" t="inlineStr"/>
    </row>
    <row r="293" ht="15" customHeight="1">
      <c r="A293" t="inlineStr">
        <is>
          <t>A 9579-2022</t>
        </is>
      </c>
      <c r="B293" s="1" t="n">
        <v>44617</v>
      </c>
      <c r="C293" s="1" t="n">
        <v>45931</v>
      </c>
      <c r="D293" t="inlineStr">
        <is>
          <t>VÄSTERBOTTENS LÄN</t>
        </is>
      </c>
      <c r="E293" t="inlineStr">
        <is>
          <t>SKELLEFTEÅ</t>
        </is>
      </c>
      <c r="G293" t="n">
        <v>0.7</v>
      </c>
      <c r="H293" t="n">
        <v>0</v>
      </c>
      <c r="I293" t="n">
        <v>0</v>
      </c>
      <c r="J293" t="n">
        <v>0</v>
      </c>
      <c r="K293" t="n">
        <v>0</v>
      </c>
      <c r="L293" t="n">
        <v>0</v>
      </c>
      <c r="M293" t="n">
        <v>0</v>
      </c>
      <c r="N293" t="n">
        <v>0</v>
      </c>
      <c r="O293" t="n">
        <v>0</v>
      </c>
      <c r="P293" t="n">
        <v>0</v>
      </c>
      <c r="Q293" t="n">
        <v>0</v>
      </c>
      <c r="R293" s="2" t="inlineStr"/>
    </row>
    <row r="294" ht="15" customHeight="1">
      <c r="A294" t="inlineStr">
        <is>
          <t>A 19870-2022</t>
        </is>
      </c>
      <c r="B294" s="1" t="n">
        <v>44694</v>
      </c>
      <c r="C294" s="1" t="n">
        <v>45931</v>
      </c>
      <c r="D294" t="inlineStr">
        <is>
          <t>VÄSTERBOTTENS LÄN</t>
        </is>
      </c>
      <c r="E294" t="inlineStr">
        <is>
          <t>SKELLEFTEÅ</t>
        </is>
      </c>
      <c r="G294" t="n">
        <v>5.5</v>
      </c>
      <c r="H294" t="n">
        <v>0</v>
      </c>
      <c r="I294" t="n">
        <v>0</v>
      </c>
      <c r="J294" t="n">
        <v>0</v>
      </c>
      <c r="K294" t="n">
        <v>0</v>
      </c>
      <c r="L294" t="n">
        <v>0</v>
      </c>
      <c r="M294" t="n">
        <v>0</v>
      </c>
      <c r="N294" t="n">
        <v>0</v>
      </c>
      <c r="O294" t="n">
        <v>0</v>
      </c>
      <c r="P294" t="n">
        <v>0</v>
      </c>
      <c r="Q294" t="n">
        <v>0</v>
      </c>
      <c r="R294" s="2" t="inlineStr"/>
    </row>
    <row r="295" ht="15" customHeight="1">
      <c r="A295" t="inlineStr">
        <is>
          <t>A 39623-2021</t>
        </is>
      </c>
      <c r="B295" s="1" t="n">
        <v>44413</v>
      </c>
      <c r="C295" s="1" t="n">
        <v>45931</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64507-2020</t>
        </is>
      </c>
      <c r="B296" s="1" t="n">
        <v>44168</v>
      </c>
      <c r="C296" s="1" t="n">
        <v>45931</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3882-2022</t>
        </is>
      </c>
      <c r="B297" s="1" t="n">
        <v>44587.45986111111</v>
      </c>
      <c r="C297" s="1" t="n">
        <v>45931</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39035-2021</t>
        </is>
      </c>
      <c r="B298" s="1" t="n">
        <v>44411</v>
      </c>
      <c r="C298" s="1" t="n">
        <v>45931</v>
      </c>
      <c r="D298" t="inlineStr">
        <is>
          <t>VÄSTERBOTTENS LÄN</t>
        </is>
      </c>
      <c r="E298" t="inlineStr">
        <is>
          <t>SKELLEFTEÅ</t>
        </is>
      </c>
      <c r="G298" t="n">
        <v>1.9</v>
      </c>
      <c r="H298" t="n">
        <v>0</v>
      </c>
      <c r="I298" t="n">
        <v>0</v>
      </c>
      <c r="J298" t="n">
        <v>0</v>
      </c>
      <c r="K298" t="n">
        <v>0</v>
      </c>
      <c r="L298" t="n">
        <v>0</v>
      </c>
      <c r="M298" t="n">
        <v>0</v>
      </c>
      <c r="N298" t="n">
        <v>0</v>
      </c>
      <c r="O298" t="n">
        <v>0</v>
      </c>
      <c r="P298" t="n">
        <v>0</v>
      </c>
      <c r="Q298" t="n">
        <v>0</v>
      </c>
      <c r="R298" s="2" t="inlineStr"/>
    </row>
    <row r="299" ht="15" customHeight="1">
      <c r="A299" t="inlineStr">
        <is>
          <t>A 24606-2021</t>
        </is>
      </c>
      <c r="B299" s="1" t="n">
        <v>44319</v>
      </c>
      <c r="C299" s="1" t="n">
        <v>45931</v>
      </c>
      <c r="D299" t="inlineStr">
        <is>
          <t>VÄSTERBOTTENS LÄN</t>
        </is>
      </c>
      <c r="E299" t="inlineStr">
        <is>
          <t>SKELLEFTEÅ</t>
        </is>
      </c>
      <c r="G299" t="n">
        <v>2.4</v>
      </c>
      <c r="H299" t="n">
        <v>0</v>
      </c>
      <c r="I299" t="n">
        <v>0</v>
      </c>
      <c r="J299" t="n">
        <v>0</v>
      </c>
      <c r="K299" t="n">
        <v>0</v>
      </c>
      <c r="L299" t="n">
        <v>0</v>
      </c>
      <c r="M299" t="n">
        <v>0</v>
      </c>
      <c r="N299" t="n">
        <v>0</v>
      </c>
      <c r="O299" t="n">
        <v>0</v>
      </c>
      <c r="P299" t="n">
        <v>0</v>
      </c>
      <c r="Q299" t="n">
        <v>0</v>
      </c>
      <c r="R299" s="2" t="inlineStr"/>
    </row>
    <row r="300" ht="15" customHeight="1">
      <c r="A300" t="inlineStr">
        <is>
          <t>A 49906-2022</t>
        </is>
      </c>
      <c r="B300" s="1" t="n">
        <v>44864</v>
      </c>
      <c r="C300" s="1" t="n">
        <v>45931</v>
      </c>
      <c r="D300" t="inlineStr">
        <is>
          <t>VÄSTERBOTTENS LÄN</t>
        </is>
      </c>
      <c r="E300" t="inlineStr">
        <is>
          <t>SKELLEFTEÅ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9045-2021</t>
        </is>
      </c>
      <c r="B301" s="1" t="n">
        <v>44249</v>
      </c>
      <c r="C301" s="1" t="n">
        <v>45931</v>
      </c>
      <c r="D301" t="inlineStr">
        <is>
          <t>VÄSTERBOTTENS LÄN</t>
        </is>
      </c>
      <c r="E301" t="inlineStr">
        <is>
          <t>SKELLEFTEÅ</t>
        </is>
      </c>
      <c r="G301" t="n">
        <v>3.8</v>
      </c>
      <c r="H301" t="n">
        <v>0</v>
      </c>
      <c r="I301" t="n">
        <v>0</v>
      </c>
      <c r="J301" t="n">
        <v>0</v>
      </c>
      <c r="K301" t="n">
        <v>0</v>
      </c>
      <c r="L301" t="n">
        <v>0</v>
      </c>
      <c r="M301" t="n">
        <v>0</v>
      </c>
      <c r="N301" t="n">
        <v>0</v>
      </c>
      <c r="O301" t="n">
        <v>0</v>
      </c>
      <c r="P301" t="n">
        <v>0</v>
      </c>
      <c r="Q301" t="n">
        <v>0</v>
      </c>
      <c r="R301" s="2" t="inlineStr"/>
    </row>
    <row r="302" ht="15" customHeight="1">
      <c r="A302" t="inlineStr">
        <is>
          <t>A 38873-2022</t>
        </is>
      </c>
      <c r="B302" s="1" t="n">
        <v>44816</v>
      </c>
      <c r="C302" s="1" t="n">
        <v>45931</v>
      </c>
      <c r="D302" t="inlineStr">
        <is>
          <t>VÄSTERBOTTENS LÄN</t>
        </is>
      </c>
      <c r="E302" t="inlineStr">
        <is>
          <t>SKELLEFTEÅ</t>
        </is>
      </c>
      <c r="G302" t="n">
        <v>0.2</v>
      </c>
      <c r="H302" t="n">
        <v>0</v>
      </c>
      <c r="I302" t="n">
        <v>0</v>
      </c>
      <c r="J302" t="n">
        <v>0</v>
      </c>
      <c r="K302" t="n">
        <v>0</v>
      </c>
      <c r="L302" t="n">
        <v>0</v>
      </c>
      <c r="M302" t="n">
        <v>0</v>
      </c>
      <c r="N302" t="n">
        <v>0</v>
      </c>
      <c r="O302" t="n">
        <v>0</v>
      </c>
      <c r="P302" t="n">
        <v>0</v>
      </c>
      <c r="Q302" t="n">
        <v>0</v>
      </c>
      <c r="R302" s="2" t="inlineStr"/>
    </row>
    <row r="303" ht="15" customHeight="1">
      <c r="A303" t="inlineStr">
        <is>
          <t>A 38876-2022</t>
        </is>
      </c>
      <c r="B303" s="1" t="n">
        <v>44816</v>
      </c>
      <c r="C303" s="1" t="n">
        <v>45931</v>
      </c>
      <c r="D303" t="inlineStr">
        <is>
          <t>VÄSTERBOTTENS LÄN</t>
        </is>
      </c>
      <c r="E303" t="inlineStr">
        <is>
          <t>SKELLEFTEÅ</t>
        </is>
      </c>
      <c r="G303" t="n">
        <v>0.3</v>
      </c>
      <c r="H303" t="n">
        <v>0</v>
      </c>
      <c r="I303" t="n">
        <v>0</v>
      </c>
      <c r="J303" t="n">
        <v>0</v>
      </c>
      <c r="K303" t="n">
        <v>0</v>
      </c>
      <c r="L303" t="n">
        <v>0</v>
      </c>
      <c r="M303" t="n">
        <v>0</v>
      </c>
      <c r="N303" t="n">
        <v>0</v>
      </c>
      <c r="O303" t="n">
        <v>0</v>
      </c>
      <c r="P303" t="n">
        <v>0</v>
      </c>
      <c r="Q303" t="n">
        <v>0</v>
      </c>
      <c r="R303" s="2" t="inlineStr"/>
    </row>
    <row r="304" ht="15" customHeight="1">
      <c r="A304" t="inlineStr">
        <is>
          <t>A 71410-2021</t>
        </is>
      </c>
      <c r="B304" s="1" t="n">
        <v>44540.36674768518</v>
      </c>
      <c r="C304" s="1" t="n">
        <v>45931</v>
      </c>
      <c r="D304" t="inlineStr">
        <is>
          <t>VÄSTERBOTTENS LÄN</t>
        </is>
      </c>
      <c r="E304" t="inlineStr">
        <is>
          <t>SKELLEFTEÅ</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32436-2022</t>
        </is>
      </c>
      <c r="B305" s="1" t="n">
        <v>44782</v>
      </c>
      <c r="C305" s="1" t="n">
        <v>45931</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17197-2022</t>
        </is>
      </c>
      <c r="B306" s="1" t="n">
        <v>44677.75340277778</v>
      </c>
      <c r="C306" s="1" t="n">
        <v>45931</v>
      </c>
      <c r="D306" t="inlineStr">
        <is>
          <t>VÄSTERBOTTENS LÄN</t>
        </is>
      </c>
      <c r="E306" t="inlineStr">
        <is>
          <t>SKELLEFTEÅ</t>
        </is>
      </c>
      <c r="G306" t="n">
        <v>5.8</v>
      </c>
      <c r="H306" t="n">
        <v>0</v>
      </c>
      <c r="I306" t="n">
        <v>0</v>
      </c>
      <c r="J306" t="n">
        <v>0</v>
      </c>
      <c r="K306" t="n">
        <v>0</v>
      </c>
      <c r="L306" t="n">
        <v>0</v>
      </c>
      <c r="M306" t="n">
        <v>0</v>
      </c>
      <c r="N306" t="n">
        <v>0</v>
      </c>
      <c r="O306" t="n">
        <v>0</v>
      </c>
      <c r="P306" t="n">
        <v>0</v>
      </c>
      <c r="Q306" t="n">
        <v>0</v>
      </c>
      <c r="R306" s="2" t="inlineStr"/>
    </row>
    <row r="307" ht="15" customHeight="1">
      <c r="A307" t="inlineStr">
        <is>
          <t>A 39732-2022</t>
        </is>
      </c>
      <c r="B307" s="1" t="n">
        <v>44819.34829861111</v>
      </c>
      <c r="C307" s="1" t="n">
        <v>45931</v>
      </c>
      <c r="D307" t="inlineStr">
        <is>
          <t>VÄSTERBOTTENS LÄN</t>
        </is>
      </c>
      <c r="E307" t="inlineStr">
        <is>
          <t>SKELLEFTEÅ</t>
        </is>
      </c>
      <c r="F307" t="inlineStr">
        <is>
          <t>Holmen skog AB</t>
        </is>
      </c>
      <c r="G307" t="n">
        <v>3.1</v>
      </c>
      <c r="H307" t="n">
        <v>0</v>
      </c>
      <c r="I307" t="n">
        <v>0</v>
      </c>
      <c r="J307" t="n">
        <v>0</v>
      </c>
      <c r="K307" t="n">
        <v>0</v>
      </c>
      <c r="L307" t="n">
        <v>0</v>
      </c>
      <c r="M307" t="n">
        <v>0</v>
      </c>
      <c r="N307" t="n">
        <v>0</v>
      </c>
      <c r="O307" t="n">
        <v>0</v>
      </c>
      <c r="P307" t="n">
        <v>0</v>
      </c>
      <c r="Q307" t="n">
        <v>0</v>
      </c>
      <c r="R307" s="2" t="inlineStr"/>
    </row>
    <row r="308" ht="15" customHeight="1">
      <c r="A308" t="inlineStr">
        <is>
          <t>A 45985-2022</t>
        </is>
      </c>
      <c r="B308" s="1" t="n">
        <v>44844</v>
      </c>
      <c r="C308" s="1" t="n">
        <v>45931</v>
      </c>
      <c r="D308" t="inlineStr">
        <is>
          <t>VÄSTERBOTTENS LÄN</t>
        </is>
      </c>
      <c r="E308" t="inlineStr">
        <is>
          <t>SKELLEFTEÅ</t>
        </is>
      </c>
      <c r="G308" t="n">
        <v>0.7</v>
      </c>
      <c r="H308" t="n">
        <v>0</v>
      </c>
      <c r="I308" t="n">
        <v>0</v>
      </c>
      <c r="J308" t="n">
        <v>0</v>
      </c>
      <c r="K308" t="n">
        <v>0</v>
      </c>
      <c r="L308" t="n">
        <v>0</v>
      </c>
      <c r="M308" t="n">
        <v>0</v>
      </c>
      <c r="N308" t="n">
        <v>0</v>
      </c>
      <c r="O308" t="n">
        <v>0</v>
      </c>
      <c r="P308" t="n">
        <v>0</v>
      </c>
      <c r="Q308" t="n">
        <v>0</v>
      </c>
      <c r="R308" s="2" t="inlineStr"/>
    </row>
    <row r="309" ht="15" customHeight="1">
      <c r="A309" t="inlineStr">
        <is>
          <t>A 39019-2022</t>
        </is>
      </c>
      <c r="B309" s="1" t="n">
        <v>44817</v>
      </c>
      <c r="C309" s="1" t="n">
        <v>45931</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24242-2022</t>
        </is>
      </c>
      <c r="B310" s="1" t="n">
        <v>44725.66059027778</v>
      </c>
      <c r="C310" s="1" t="n">
        <v>45931</v>
      </c>
      <c r="D310" t="inlineStr">
        <is>
          <t>VÄSTERBOTTENS LÄN</t>
        </is>
      </c>
      <c r="E310" t="inlineStr">
        <is>
          <t>SKELLEFTEÅ</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51919-2022</t>
        </is>
      </c>
      <c r="B311" s="1" t="n">
        <v>44872.63363425926</v>
      </c>
      <c r="C311" s="1" t="n">
        <v>45931</v>
      </c>
      <c r="D311" t="inlineStr">
        <is>
          <t>VÄSTERBOTTENS LÄN</t>
        </is>
      </c>
      <c r="E311" t="inlineStr">
        <is>
          <t>SKELLEFTEÅ</t>
        </is>
      </c>
      <c r="F311" t="inlineStr">
        <is>
          <t>Holmen skog AB</t>
        </is>
      </c>
      <c r="G311" t="n">
        <v>5.2</v>
      </c>
      <c r="H311" t="n">
        <v>0</v>
      </c>
      <c r="I311" t="n">
        <v>0</v>
      </c>
      <c r="J311" t="n">
        <v>0</v>
      </c>
      <c r="K311" t="n">
        <v>0</v>
      </c>
      <c r="L311" t="n">
        <v>0</v>
      </c>
      <c r="M311" t="n">
        <v>0</v>
      </c>
      <c r="N311" t="n">
        <v>0</v>
      </c>
      <c r="O311" t="n">
        <v>0</v>
      </c>
      <c r="P311" t="n">
        <v>0</v>
      </c>
      <c r="Q311" t="n">
        <v>0</v>
      </c>
      <c r="R311" s="2" t="inlineStr"/>
    </row>
    <row r="312" ht="15" customHeight="1">
      <c r="A312" t="inlineStr">
        <is>
          <t>A 37823-2022</t>
        </is>
      </c>
      <c r="B312" s="1" t="n">
        <v>44810.92642361111</v>
      </c>
      <c r="C312" s="1" t="n">
        <v>45931</v>
      </c>
      <c r="D312" t="inlineStr">
        <is>
          <t>VÄSTERBOTTENS LÄN</t>
        </is>
      </c>
      <c r="E312" t="inlineStr">
        <is>
          <t>SKELLEFTEÅ</t>
        </is>
      </c>
      <c r="G312" t="n">
        <v>2.3</v>
      </c>
      <c r="H312" t="n">
        <v>0</v>
      </c>
      <c r="I312" t="n">
        <v>0</v>
      </c>
      <c r="J312" t="n">
        <v>0</v>
      </c>
      <c r="K312" t="n">
        <v>0</v>
      </c>
      <c r="L312" t="n">
        <v>0</v>
      </c>
      <c r="M312" t="n">
        <v>0</v>
      </c>
      <c r="N312" t="n">
        <v>0</v>
      </c>
      <c r="O312" t="n">
        <v>0</v>
      </c>
      <c r="P312" t="n">
        <v>0</v>
      </c>
      <c r="Q312" t="n">
        <v>0</v>
      </c>
      <c r="R312" s="2" t="inlineStr"/>
    </row>
    <row r="313" ht="15" customHeight="1">
      <c r="A313" t="inlineStr">
        <is>
          <t>A 22661-2022</t>
        </is>
      </c>
      <c r="B313" s="1" t="n">
        <v>44714</v>
      </c>
      <c r="C313" s="1" t="n">
        <v>45931</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40219-2022</t>
        </is>
      </c>
      <c r="B314" s="1" t="n">
        <v>44820</v>
      </c>
      <c r="C314" s="1" t="n">
        <v>45931</v>
      </c>
      <c r="D314" t="inlineStr">
        <is>
          <t>VÄSTERBOTTENS LÄN</t>
        </is>
      </c>
      <c r="E314" t="inlineStr">
        <is>
          <t>SKELLEFTEÅ</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31197-2021</t>
        </is>
      </c>
      <c r="B315" s="1" t="n">
        <v>44368</v>
      </c>
      <c r="C315" s="1" t="n">
        <v>45931</v>
      </c>
      <c r="D315" t="inlineStr">
        <is>
          <t>VÄSTERBOTTENS LÄN</t>
        </is>
      </c>
      <c r="E315" t="inlineStr">
        <is>
          <t>SKELLEFTEÅ</t>
        </is>
      </c>
      <c r="G315" t="n">
        <v>2.2</v>
      </c>
      <c r="H315" t="n">
        <v>0</v>
      </c>
      <c r="I315" t="n">
        <v>0</v>
      </c>
      <c r="J315" t="n">
        <v>0</v>
      </c>
      <c r="K315" t="n">
        <v>0</v>
      </c>
      <c r="L315" t="n">
        <v>0</v>
      </c>
      <c r="M315" t="n">
        <v>0</v>
      </c>
      <c r="N315" t="n">
        <v>0</v>
      </c>
      <c r="O315" t="n">
        <v>0</v>
      </c>
      <c r="P315" t="n">
        <v>0</v>
      </c>
      <c r="Q315" t="n">
        <v>0</v>
      </c>
      <c r="R315" s="2" t="inlineStr"/>
    </row>
    <row r="316" ht="15" customHeight="1">
      <c r="A316" t="inlineStr">
        <is>
          <t>A 21843-2022</t>
        </is>
      </c>
      <c r="B316" s="1" t="n">
        <v>44711</v>
      </c>
      <c r="C316" s="1" t="n">
        <v>45931</v>
      </c>
      <c r="D316" t="inlineStr">
        <is>
          <t>VÄSTERBOTTENS LÄN</t>
        </is>
      </c>
      <c r="E316" t="inlineStr">
        <is>
          <t>SKELLEFTEÅ</t>
        </is>
      </c>
      <c r="G316" t="n">
        <v>4.7</v>
      </c>
      <c r="H316" t="n">
        <v>0</v>
      </c>
      <c r="I316" t="n">
        <v>0</v>
      </c>
      <c r="J316" t="n">
        <v>0</v>
      </c>
      <c r="K316" t="n">
        <v>0</v>
      </c>
      <c r="L316" t="n">
        <v>0</v>
      </c>
      <c r="M316" t="n">
        <v>0</v>
      </c>
      <c r="N316" t="n">
        <v>0</v>
      </c>
      <c r="O316" t="n">
        <v>0</v>
      </c>
      <c r="P316" t="n">
        <v>0</v>
      </c>
      <c r="Q316" t="n">
        <v>0</v>
      </c>
      <c r="R316" s="2" t="inlineStr"/>
    </row>
    <row r="317" ht="15" customHeight="1">
      <c r="A317" t="inlineStr">
        <is>
          <t>A 31954-2022</t>
        </is>
      </c>
      <c r="B317" s="1" t="n">
        <v>44777.92450231482</v>
      </c>
      <c r="C317" s="1" t="n">
        <v>45931</v>
      </c>
      <c r="D317" t="inlineStr">
        <is>
          <t>VÄSTERBOTTENS LÄN</t>
        </is>
      </c>
      <c r="E317" t="inlineStr">
        <is>
          <t>SKELLEFTEÅ</t>
        </is>
      </c>
      <c r="G317" t="n">
        <v>0.4</v>
      </c>
      <c r="H317" t="n">
        <v>0</v>
      </c>
      <c r="I317" t="n">
        <v>0</v>
      </c>
      <c r="J317" t="n">
        <v>0</v>
      </c>
      <c r="K317" t="n">
        <v>0</v>
      </c>
      <c r="L317" t="n">
        <v>0</v>
      </c>
      <c r="M317" t="n">
        <v>0</v>
      </c>
      <c r="N317" t="n">
        <v>0</v>
      </c>
      <c r="O317" t="n">
        <v>0</v>
      </c>
      <c r="P317" t="n">
        <v>0</v>
      </c>
      <c r="Q317" t="n">
        <v>0</v>
      </c>
      <c r="R317" s="2" t="inlineStr"/>
    </row>
    <row r="318" ht="15" customHeight="1">
      <c r="A318" t="inlineStr">
        <is>
          <t>A 32438-2021</t>
        </is>
      </c>
      <c r="B318" s="1" t="n">
        <v>44371</v>
      </c>
      <c r="C318" s="1" t="n">
        <v>45931</v>
      </c>
      <c r="D318" t="inlineStr">
        <is>
          <t>VÄSTERBOTTENS LÄN</t>
        </is>
      </c>
      <c r="E318" t="inlineStr">
        <is>
          <t>SKELLEFTEÅ</t>
        </is>
      </c>
      <c r="G318" t="n">
        <v>4.7</v>
      </c>
      <c r="H318" t="n">
        <v>0</v>
      </c>
      <c r="I318" t="n">
        <v>0</v>
      </c>
      <c r="J318" t="n">
        <v>0</v>
      </c>
      <c r="K318" t="n">
        <v>0</v>
      </c>
      <c r="L318" t="n">
        <v>0</v>
      </c>
      <c r="M318" t="n">
        <v>0</v>
      </c>
      <c r="N318" t="n">
        <v>0</v>
      </c>
      <c r="O318" t="n">
        <v>0</v>
      </c>
      <c r="P318" t="n">
        <v>0</v>
      </c>
      <c r="Q318" t="n">
        <v>0</v>
      </c>
      <c r="R318" s="2" t="inlineStr"/>
    </row>
    <row r="319" ht="15" customHeight="1">
      <c r="A319" t="inlineStr">
        <is>
          <t>A 60152-2020</t>
        </is>
      </c>
      <c r="B319" s="1" t="n">
        <v>44151</v>
      </c>
      <c r="C319" s="1" t="n">
        <v>45931</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44722-2022</t>
        </is>
      </c>
      <c r="B320" s="1" t="n">
        <v>44840.90104166666</v>
      </c>
      <c r="C320" s="1" t="n">
        <v>45931</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27637-2022</t>
        </is>
      </c>
      <c r="B321" s="1" t="n">
        <v>44743</v>
      </c>
      <c r="C321" s="1" t="n">
        <v>45931</v>
      </c>
      <c r="D321" t="inlineStr">
        <is>
          <t>VÄSTERBOTTENS LÄN</t>
        </is>
      </c>
      <c r="E321" t="inlineStr">
        <is>
          <t>SKELLEFTEÅ</t>
        </is>
      </c>
      <c r="G321" t="n">
        <v>5.4</v>
      </c>
      <c r="H321" t="n">
        <v>0</v>
      </c>
      <c r="I321" t="n">
        <v>0</v>
      </c>
      <c r="J321" t="n">
        <v>0</v>
      </c>
      <c r="K321" t="n">
        <v>0</v>
      </c>
      <c r="L321" t="n">
        <v>0</v>
      </c>
      <c r="M321" t="n">
        <v>0</v>
      </c>
      <c r="N321" t="n">
        <v>0</v>
      </c>
      <c r="O321" t="n">
        <v>0</v>
      </c>
      <c r="P321" t="n">
        <v>0</v>
      </c>
      <c r="Q321" t="n">
        <v>0</v>
      </c>
      <c r="R321" s="2" t="inlineStr"/>
    </row>
    <row r="322" ht="15" customHeight="1">
      <c r="A322" t="inlineStr">
        <is>
          <t>A 4844-2022</t>
        </is>
      </c>
      <c r="B322" s="1" t="n">
        <v>44592</v>
      </c>
      <c r="C322" s="1" t="n">
        <v>45931</v>
      </c>
      <c r="D322" t="inlineStr">
        <is>
          <t>VÄSTERBOTTENS LÄN</t>
        </is>
      </c>
      <c r="E322" t="inlineStr">
        <is>
          <t>SKELLEFTEÅ</t>
        </is>
      </c>
      <c r="G322" t="n">
        <v>0.3</v>
      </c>
      <c r="H322" t="n">
        <v>0</v>
      </c>
      <c r="I322" t="n">
        <v>0</v>
      </c>
      <c r="J322" t="n">
        <v>0</v>
      </c>
      <c r="K322" t="n">
        <v>0</v>
      </c>
      <c r="L322" t="n">
        <v>0</v>
      </c>
      <c r="M322" t="n">
        <v>0</v>
      </c>
      <c r="N322" t="n">
        <v>0</v>
      </c>
      <c r="O322" t="n">
        <v>0</v>
      </c>
      <c r="P322" t="n">
        <v>0</v>
      </c>
      <c r="Q322" t="n">
        <v>0</v>
      </c>
      <c r="R322" s="2" t="inlineStr"/>
    </row>
    <row r="323" ht="15" customHeight="1">
      <c r="A323" t="inlineStr">
        <is>
          <t>A 30754-2021</t>
        </is>
      </c>
      <c r="B323" s="1" t="n">
        <v>44365.46270833333</v>
      </c>
      <c r="C323" s="1" t="n">
        <v>45931</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50055-2022</t>
        </is>
      </c>
      <c r="B324" s="1" t="n">
        <v>44865.47516203704</v>
      </c>
      <c r="C324" s="1" t="n">
        <v>45931</v>
      </c>
      <c r="D324" t="inlineStr">
        <is>
          <t>VÄSTERBOTTENS LÄN</t>
        </is>
      </c>
      <c r="E324" t="inlineStr">
        <is>
          <t>SKELLEFTEÅ</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18073-2021</t>
        </is>
      </c>
      <c r="B325" s="1" t="n">
        <v>44302.44858796296</v>
      </c>
      <c r="C325" s="1" t="n">
        <v>45931</v>
      </c>
      <c r="D325" t="inlineStr">
        <is>
          <t>VÄSTERBOTTENS LÄN</t>
        </is>
      </c>
      <c r="E325" t="inlineStr">
        <is>
          <t>SKELLEFTEÅ</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18182-2021</t>
        </is>
      </c>
      <c r="B326" s="1" t="n">
        <v>44302</v>
      </c>
      <c r="C326" s="1" t="n">
        <v>45931</v>
      </c>
      <c r="D326" t="inlineStr">
        <is>
          <t>VÄSTERBOTTENS LÄN</t>
        </is>
      </c>
      <c r="E326" t="inlineStr">
        <is>
          <t>SKELLEFTEÅ</t>
        </is>
      </c>
      <c r="G326" t="n">
        <v>1.2</v>
      </c>
      <c r="H326" t="n">
        <v>0</v>
      </c>
      <c r="I326" t="n">
        <v>0</v>
      </c>
      <c r="J326" t="n">
        <v>0</v>
      </c>
      <c r="K326" t="n">
        <v>0</v>
      </c>
      <c r="L326" t="n">
        <v>0</v>
      </c>
      <c r="M326" t="n">
        <v>0</v>
      </c>
      <c r="N326" t="n">
        <v>0</v>
      </c>
      <c r="O326" t="n">
        <v>0</v>
      </c>
      <c r="P326" t="n">
        <v>0</v>
      </c>
      <c r="Q326" t="n">
        <v>0</v>
      </c>
      <c r="R326" s="2" t="inlineStr"/>
    </row>
    <row r="327" ht="15" customHeight="1">
      <c r="A327" t="inlineStr">
        <is>
          <t>A 55568-2021</t>
        </is>
      </c>
      <c r="B327" s="1" t="n">
        <v>44475.72190972222</v>
      </c>
      <c r="C327" s="1" t="n">
        <v>45931</v>
      </c>
      <c r="D327" t="inlineStr">
        <is>
          <t>VÄSTERBOTTENS LÄN</t>
        </is>
      </c>
      <c r="E327" t="inlineStr">
        <is>
          <t>SKELLEFTEÅ</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35608-2022</t>
        </is>
      </c>
      <c r="B328" s="1" t="n">
        <v>44799</v>
      </c>
      <c r="C328" s="1" t="n">
        <v>45931</v>
      </c>
      <c r="D328" t="inlineStr">
        <is>
          <t>VÄSTERBOTTENS LÄN</t>
        </is>
      </c>
      <c r="E328" t="inlineStr">
        <is>
          <t>SKELLEFTEÅ</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37938-2021</t>
        </is>
      </c>
      <c r="B329" s="1" t="n">
        <v>44403</v>
      </c>
      <c r="C329" s="1" t="n">
        <v>45931</v>
      </c>
      <c r="D329" t="inlineStr">
        <is>
          <t>VÄSTERBOTTENS LÄN</t>
        </is>
      </c>
      <c r="E329" t="inlineStr">
        <is>
          <t>SKELLEFTEÅ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73614-2021</t>
        </is>
      </c>
      <c r="B330" s="1" t="n">
        <v>44551</v>
      </c>
      <c r="C330" s="1" t="n">
        <v>45931</v>
      </c>
      <c r="D330" t="inlineStr">
        <is>
          <t>VÄSTERBOTTENS LÄN</t>
        </is>
      </c>
      <c r="E330" t="inlineStr">
        <is>
          <t>SKELLEFTEÅ</t>
        </is>
      </c>
      <c r="G330" t="n">
        <v>0.5</v>
      </c>
      <c r="H330" t="n">
        <v>0</v>
      </c>
      <c r="I330" t="n">
        <v>0</v>
      </c>
      <c r="J330" t="n">
        <v>0</v>
      </c>
      <c r="K330" t="n">
        <v>0</v>
      </c>
      <c r="L330" t="n">
        <v>0</v>
      </c>
      <c r="M330" t="n">
        <v>0</v>
      </c>
      <c r="N330" t="n">
        <v>0</v>
      </c>
      <c r="O330" t="n">
        <v>0</v>
      </c>
      <c r="P330" t="n">
        <v>0</v>
      </c>
      <c r="Q330" t="n">
        <v>0</v>
      </c>
      <c r="R330" s="2" t="inlineStr"/>
    </row>
    <row r="331" ht="15" customHeight="1">
      <c r="A331" t="inlineStr">
        <is>
          <t>A 65455-2021</t>
        </is>
      </c>
      <c r="B331" s="1" t="n">
        <v>44516.28991898148</v>
      </c>
      <c r="C331" s="1" t="n">
        <v>45931</v>
      </c>
      <c r="D331" t="inlineStr">
        <is>
          <t>VÄSTERBOTTENS LÄN</t>
        </is>
      </c>
      <c r="E331" t="inlineStr">
        <is>
          <t>SKELLEFTEÅ</t>
        </is>
      </c>
      <c r="G331" t="n">
        <v>0.9</v>
      </c>
      <c r="H331" t="n">
        <v>0</v>
      </c>
      <c r="I331" t="n">
        <v>0</v>
      </c>
      <c r="J331" t="n">
        <v>0</v>
      </c>
      <c r="K331" t="n">
        <v>0</v>
      </c>
      <c r="L331" t="n">
        <v>0</v>
      </c>
      <c r="M331" t="n">
        <v>0</v>
      </c>
      <c r="N331" t="n">
        <v>0</v>
      </c>
      <c r="O331" t="n">
        <v>0</v>
      </c>
      <c r="P331" t="n">
        <v>0</v>
      </c>
      <c r="Q331" t="n">
        <v>0</v>
      </c>
      <c r="R331" s="2" t="inlineStr"/>
    </row>
    <row r="332" ht="15" customHeight="1">
      <c r="A332" t="inlineStr">
        <is>
          <t>A 22364-2022</t>
        </is>
      </c>
      <c r="B332" s="1" t="n">
        <v>44713</v>
      </c>
      <c r="C332" s="1" t="n">
        <v>45931</v>
      </c>
      <c r="D332" t="inlineStr">
        <is>
          <t>VÄSTERBOTTENS LÄN</t>
        </is>
      </c>
      <c r="E332" t="inlineStr">
        <is>
          <t>SKELLEFTEÅ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35442-2021</t>
        </is>
      </c>
      <c r="B333" s="1" t="n">
        <v>44384</v>
      </c>
      <c r="C333" s="1" t="n">
        <v>45931</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58808-2021</t>
        </is>
      </c>
      <c r="B334" s="1" t="n">
        <v>44489</v>
      </c>
      <c r="C334" s="1" t="n">
        <v>45931</v>
      </c>
      <c r="D334" t="inlineStr">
        <is>
          <t>VÄSTERBOTTENS LÄN</t>
        </is>
      </c>
      <c r="E334" t="inlineStr">
        <is>
          <t>SKELLEFTEÅ</t>
        </is>
      </c>
      <c r="F334" t="inlineStr">
        <is>
          <t>Sveaskog</t>
        </is>
      </c>
      <c r="G334" t="n">
        <v>15.5</v>
      </c>
      <c r="H334" t="n">
        <v>0</v>
      </c>
      <c r="I334" t="n">
        <v>0</v>
      </c>
      <c r="J334" t="n">
        <v>0</v>
      </c>
      <c r="K334" t="n">
        <v>0</v>
      </c>
      <c r="L334" t="n">
        <v>0</v>
      </c>
      <c r="M334" t="n">
        <v>0</v>
      </c>
      <c r="N334" t="n">
        <v>0</v>
      </c>
      <c r="O334" t="n">
        <v>0</v>
      </c>
      <c r="P334" t="n">
        <v>0</v>
      </c>
      <c r="Q334" t="n">
        <v>0</v>
      </c>
      <c r="R334" s="2" t="inlineStr"/>
    </row>
    <row r="335" ht="15" customHeight="1">
      <c r="A335" t="inlineStr">
        <is>
          <t>A 58811-2021</t>
        </is>
      </c>
      <c r="B335" s="1" t="n">
        <v>44489</v>
      </c>
      <c r="C335" s="1" t="n">
        <v>45931</v>
      </c>
      <c r="D335" t="inlineStr">
        <is>
          <t>VÄSTERBOTTENS LÄN</t>
        </is>
      </c>
      <c r="E335" t="inlineStr">
        <is>
          <t>SKELLEFTEÅ</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66250-2021</t>
        </is>
      </c>
      <c r="B336" s="1" t="n">
        <v>44518.42975694445</v>
      </c>
      <c r="C336" s="1" t="n">
        <v>45931</v>
      </c>
      <c r="D336" t="inlineStr">
        <is>
          <t>VÄSTERBOTTENS LÄN</t>
        </is>
      </c>
      <c r="E336" t="inlineStr">
        <is>
          <t>SKELLEFTEÅ</t>
        </is>
      </c>
      <c r="F336" t="inlineStr">
        <is>
          <t>Holmen skog AB</t>
        </is>
      </c>
      <c r="G336" t="n">
        <v>5.2</v>
      </c>
      <c r="H336" t="n">
        <v>0</v>
      </c>
      <c r="I336" t="n">
        <v>0</v>
      </c>
      <c r="J336" t="n">
        <v>0</v>
      </c>
      <c r="K336" t="n">
        <v>0</v>
      </c>
      <c r="L336" t="n">
        <v>0</v>
      </c>
      <c r="M336" t="n">
        <v>0</v>
      </c>
      <c r="N336" t="n">
        <v>0</v>
      </c>
      <c r="O336" t="n">
        <v>0</v>
      </c>
      <c r="P336" t="n">
        <v>0</v>
      </c>
      <c r="Q336" t="n">
        <v>0</v>
      </c>
      <c r="R336" s="2" t="inlineStr"/>
    </row>
    <row r="337" ht="15" customHeight="1">
      <c r="A337" t="inlineStr">
        <is>
          <t>A 22828-2022</t>
        </is>
      </c>
      <c r="B337" s="1" t="n">
        <v>44714</v>
      </c>
      <c r="C337" s="1" t="n">
        <v>45931</v>
      </c>
      <c r="D337" t="inlineStr">
        <is>
          <t>VÄSTERBOTTENS LÄN</t>
        </is>
      </c>
      <c r="E337" t="inlineStr">
        <is>
          <t>SKELLEFTEÅ</t>
        </is>
      </c>
      <c r="G337" t="n">
        <v>0.6</v>
      </c>
      <c r="H337" t="n">
        <v>0</v>
      </c>
      <c r="I337" t="n">
        <v>0</v>
      </c>
      <c r="J337" t="n">
        <v>0</v>
      </c>
      <c r="K337" t="n">
        <v>0</v>
      </c>
      <c r="L337" t="n">
        <v>0</v>
      </c>
      <c r="M337" t="n">
        <v>0</v>
      </c>
      <c r="N337" t="n">
        <v>0</v>
      </c>
      <c r="O337" t="n">
        <v>0</v>
      </c>
      <c r="P337" t="n">
        <v>0</v>
      </c>
      <c r="Q337" t="n">
        <v>0</v>
      </c>
      <c r="R337" s="2" t="inlineStr"/>
    </row>
    <row r="338" ht="15" customHeight="1">
      <c r="A338" t="inlineStr">
        <is>
          <t>A 23513-2022</t>
        </is>
      </c>
      <c r="B338" s="1" t="n">
        <v>44721.39010416667</v>
      </c>
      <c r="C338" s="1" t="n">
        <v>45931</v>
      </c>
      <c r="D338" t="inlineStr">
        <is>
          <t>VÄSTERBOTTENS LÄN</t>
        </is>
      </c>
      <c r="E338" t="inlineStr">
        <is>
          <t>SKELLEFTEÅ</t>
        </is>
      </c>
      <c r="G338" t="n">
        <v>2.1</v>
      </c>
      <c r="H338" t="n">
        <v>0</v>
      </c>
      <c r="I338" t="n">
        <v>0</v>
      </c>
      <c r="J338" t="n">
        <v>0</v>
      </c>
      <c r="K338" t="n">
        <v>0</v>
      </c>
      <c r="L338" t="n">
        <v>0</v>
      </c>
      <c r="M338" t="n">
        <v>0</v>
      </c>
      <c r="N338" t="n">
        <v>0</v>
      </c>
      <c r="O338" t="n">
        <v>0</v>
      </c>
      <c r="P338" t="n">
        <v>0</v>
      </c>
      <c r="Q338" t="n">
        <v>0</v>
      </c>
      <c r="R338" s="2" t="inlineStr"/>
    </row>
    <row r="339" ht="15" customHeight="1">
      <c r="A339" t="inlineStr">
        <is>
          <t>A 45554-2022</t>
        </is>
      </c>
      <c r="B339" s="1" t="n">
        <v>44845</v>
      </c>
      <c r="C339" s="1" t="n">
        <v>45931</v>
      </c>
      <c r="D339" t="inlineStr">
        <is>
          <t>VÄSTERBOTTENS LÄN</t>
        </is>
      </c>
      <c r="E339" t="inlineStr">
        <is>
          <t>SKELLEFTEÅ</t>
        </is>
      </c>
      <c r="F339" t="inlineStr">
        <is>
          <t>Holmen skog AB</t>
        </is>
      </c>
      <c r="G339" t="n">
        <v>11</v>
      </c>
      <c r="H339" t="n">
        <v>0</v>
      </c>
      <c r="I339" t="n">
        <v>0</v>
      </c>
      <c r="J339" t="n">
        <v>0</v>
      </c>
      <c r="K339" t="n">
        <v>0</v>
      </c>
      <c r="L339" t="n">
        <v>0</v>
      </c>
      <c r="M339" t="n">
        <v>0</v>
      </c>
      <c r="N339" t="n">
        <v>0</v>
      </c>
      <c r="O339" t="n">
        <v>0</v>
      </c>
      <c r="P339" t="n">
        <v>0</v>
      </c>
      <c r="Q339" t="n">
        <v>0</v>
      </c>
      <c r="R339" s="2" t="inlineStr"/>
    </row>
    <row r="340" ht="15" customHeight="1">
      <c r="A340" t="inlineStr">
        <is>
          <t>A 3266-2022</t>
        </is>
      </c>
      <c r="B340" s="1" t="n">
        <v>44583.87421296296</v>
      </c>
      <c r="C340" s="1" t="n">
        <v>45931</v>
      </c>
      <c r="D340" t="inlineStr">
        <is>
          <t>VÄSTERBOTTENS LÄN</t>
        </is>
      </c>
      <c r="E340" t="inlineStr">
        <is>
          <t>SKELLEFTEÅ</t>
        </is>
      </c>
      <c r="G340" t="n">
        <v>2</v>
      </c>
      <c r="H340" t="n">
        <v>0</v>
      </c>
      <c r="I340" t="n">
        <v>0</v>
      </c>
      <c r="J340" t="n">
        <v>0</v>
      </c>
      <c r="K340" t="n">
        <v>0</v>
      </c>
      <c r="L340" t="n">
        <v>0</v>
      </c>
      <c r="M340" t="n">
        <v>0</v>
      </c>
      <c r="N340" t="n">
        <v>0</v>
      </c>
      <c r="O340" t="n">
        <v>0</v>
      </c>
      <c r="P340" t="n">
        <v>0</v>
      </c>
      <c r="Q340" t="n">
        <v>0</v>
      </c>
      <c r="R340" s="2" t="inlineStr"/>
    </row>
    <row r="341" ht="15" customHeight="1">
      <c r="A341" t="inlineStr">
        <is>
          <t>A 51547-2020</t>
        </is>
      </c>
      <c r="B341" s="1" t="n">
        <v>44113</v>
      </c>
      <c r="C341" s="1" t="n">
        <v>45931</v>
      </c>
      <c r="D341" t="inlineStr">
        <is>
          <t>VÄSTERBOTTENS LÄN</t>
        </is>
      </c>
      <c r="E341" t="inlineStr">
        <is>
          <t>SKELLEFTEÅ</t>
        </is>
      </c>
      <c r="F341" t="inlineStr">
        <is>
          <t>Holmen skog AB</t>
        </is>
      </c>
      <c r="G341" t="n">
        <v>0.5</v>
      </c>
      <c r="H341" t="n">
        <v>0</v>
      </c>
      <c r="I341" t="n">
        <v>0</v>
      </c>
      <c r="J341" t="n">
        <v>0</v>
      </c>
      <c r="K341" t="n">
        <v>0</v>
      </c>
      <c r="L341" t="n">
        <v>0</v>
      </c>
      <c r="M341" t="n">
        <v>0</v>
      </c>
      <c r="N341" t="n">
        <v>0</v>
      </c>
      <c r="O341" t="n">
        <v>0</v>
      </c>
      <c r="P341" t="n">
        <v>0</v>
      </c>
      <c r="Q341" t="n">
        <v>0</v>
      </c>
      <c r="R341" s="2" t="inlineStr"/>
    </row>
    <row r="342" ht="15" customHeight="1">
      <c r="A342" t="inlineStr">
        <is>
          <t>A 57370-2021</t>
        </is>
      </c>
      <c r="B342" s="1" t="n">
        <v>44483</v>
      </c>
      <c r="C342" s="1" t="n">
        <v>45931</v>
      </c>
      <c r="D342" t="inlineStr">
        <is>
          <t>VÄSTERBOTTENS LÄN</t>
        </is>
      </c>
      <c r="E342" t="inlineStr">
        <is>
          <t>SKELLEFTEÅ</t>
        </is>
      </c>
      <c r="F342" t="inlineStr">
        <is>
          <t>Holmen skog AB</t>
        </is>
      </c>
      <c r="G342" t="n">
        <v>2.3</v>
      </c>
      <c r="H342" t="n">
        <v>0</v>
      </c>
      <c r="I342" t="n">
        <v>0</v>
      </c>
      <c r="J342" t="n">
        <v>0</v>
      </c>
      <c r="K342" t="n">
        <v>0</v>
      </c>
      <c r="L342" t="n">
        <v>0</v>
      </c>
      <c r="M342" t="n">
        <v>0</v>
      </c>
      <c r="N342" t="n">
        <v>0</v>
      </c>
      <c r="O342" t="n">
        <v>0</v>
      </c>
      <c r="P342" t="n">
        <v>0</v>
      </c>
      <c r="Q342" t="n">
        <v>0</v>
      </c>
      <c r="R342" s="2" t="inlineStr"/>
    </row>
    <row r="343" ht="15" customHeight="1">
      <c r="A343" t="inlineStr">
        <is>
          <t>A 14627-2022</t>
        </is>
      </c>
      <c r="B343" s="1" t="n">
        <v>44655.64009259259</v>
      </c>
      <c r="C343" s="1" t="n">
        <v>45931</v>
      </c>
      <c r="D343" t="inlineStr">
        <is>
          <t>VÄSTERBOTTENS LÄN</t>
        </is>
      </c>
      <c r="E343" t="inlineStr">
        <is>
          <t>SKELLEFTEÅ</t>
        </is>
      </c>
      <c r="G343" t="n">
        <v>5.9</v>
      </c>
      <c r="H343" t="n">
        <v>0</v>
      </c>
      <c r="I343" t="n">
        <v>0</v>
      </c>
      <c r="J343" t="n">
        <v>0</v>
      </c>
      <c r="K343" t="n">
        <v>0</v>
      </c>
      <c r="L343" t="n">
        <v>0</v>
      </c>
      <c r="M343" t="n">
        <v>0</v>
      </c>
      <c r="N343" t="n">
        <v>0</v>
      </c>
      <c r="O343" t="n">
        <v>0</v>
      </c>
      <c r="P343" t="n">
        <v>0</v>
      </c>
      <c r="Q343" t="n">
        <v>0</v>
      </c>
      <c r="R343" s="2" t="inlineStr"/>
    </row>
    <row r="344" ht="15" customHeight="1">
      <c r="A344" t="inlineStr">
        <is>
          <t>A 40851-2022</t>
        </is>
      </c>
      <c r="B344" s="1" t="n">
        <v>44825.26050925926</v>
      </c>
      <c r="C344" s="1" t="n">
        <v>45931</v>
      </c>
      <c r="D344" t="inlineStr">
        <is>
          <t>VÄSTERBOTTENS LÄN</t>
        </is>
      </c>
      <c r="E344" t="inlineStr">
        <is>
          <t>SKELLEFTEÅ</t>
        </is>
      </c>
      <c r="G344" t="n">
        <v>2.6</v>
      </c>
      <c r="H344" t="n">
        <v>0</v>
      </c>
      <c r="I344" t="n">
        <v>0</v>
      </c>
      <c r="J344" t="n">
        <v>0</v>
      </c>
      <c r="K344" t="n">
        <v>0</v>
      </c>
      <c r="L344" t="n">
        <v>0</v>
      </c>
      <c r="M344" t="n">
        <v>0</v>
      </c>
      <c r="N344" t="n">
        <v>0</v>
      </c>
      <c r="O344" t="n">
        <v>0</v>
      </c>
      <c r="P344" t="n">
        <v>0</v>
      </c>
      <c r="Q344" t="n">
        <v>0</v>
      </c>
      <c r="R344" s="2" t="inlineStr"/>
    </row>
    <row r="345" ht="15" customHeight="1">
      <c r="A345" t="inlineStr">
        <is>
          <t>A 48082-2022</t>
        </is>
      </c>
      <c r="B345" s="1" t="n">
        <v>44855.94578703704</v>
      </c>
      <c r="C345" s="1" t="n">
        <v>45931</v>
      </c>
      <c r="D345" t="inlineStr">
        <is>
          <t>VÄSTERBOTTENS LÄN</t>
        </is>
      </c>
      <c r="E345" t="inlineStr">
        <is>
          <t>SKELLEFTEÅ</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39985-2022</t>
        </is>
      </c>
      <c r="B346" s="1" t="n">
        <v>44820.34109953704</v>
      </c>
      <c r="C346" s="1" t="n">
        <v>45931</v>
      </c>
      <c r="D346" t="inlineStr">
        <is>
          <t>VÄSTERBOTTENS LÄN</t>
        </is>
      </c>
      <c r="E346" t="inlineStr">
        <is>
          <t>SKELLEFTEÅ</t>
        </is>
      </c>
      <c r="G346" t="n">
        <v>2</v>
      </c>
      <c r="H346" t="n">
        <v>0</v>
      </c>
      <c r="I346" t="n">
        <v>0</v>
      </c>
      <c r="J346" t="n">
        <v>0</v>
      </c>
      <c r="K346" t="n">
        <v>0</v>
      </c>
      <c r="L346" t="n">
        <v>0</v>
      </c>
      <c r="M346" t="n">
        <v>0</v>
      </c>
      <c r="N346" t="n">
        <v>0</v>
      </c>
      <c r="O346" t="n">
        <v>0</v>
      </c>
      <c r="P346" t="n">
        <v>0</v>
      </c>
      <c r="Q346" t="n">
        <v>0</v>
      </c>
      <c r="R346" s="2" t="inlineStr"/>
    </row>
    <row r="347" ht="15" customHeight="1">
      <c r="A347" t="inlineStr">
        <is>
          <t>A 64485-2020</t>
        </is>
      </c>
      <c r="B347" s="1" t="n">
        <v>44168</v>
      </c>
      <c r="C347" s="1" t="n">
        <v>45931</v>
      </c>
      <c r="D347" t="inlineStr">
        <is>
          <t>VÄSTERBOTTENS LÄN</t>
        </is>
      </c>
      <c r="E347" t="inlineStr">
        <is>
          <t>SKELLEFTEÅ</t>
        </is>
      </c>
      <c r="G347" t="n">
        <v>35.4</v>
      </c>
      <c r="H347" t="n">
        <v>0</v>
      </c>
      <c r="I347" t="n">
        <v>0</v>
      </c>
      <c r="J347" t="n">
        <v>0</v>
      </c>
      <c r="K347" t="n">
        <v>0</v>
      </c>
      <c r="L347" t="n">
        <v>0</v>
      </c>
      <c r="M347" t="n">
        <v>0</v>
      </c>
      <c r="N347" t="n">
        <v>0</v>
      </c>
      <c r="O347" t="n">
        <v>0</v>
      </c>
      <c r="P347" t="n">
        <v>0</v>
      </c>
      <c r="Q347" t="n">
        <v>0</v>
      </c>
      <c r="R347" s="2" t="inlineStr"/>
    </row>
    <row r="348" ht="15" customHeight="1">
      <c r="A348" t="inlineStr">
        <is>
          <t>A 29092-2022</t>
        </is>
      </c>
      <c r="B348" s="1" t="n">
        <v>44750</v>
      </c>
      <c r="C348" s="1" t="n">
        <v>45931</v>
      </c>
      <c r="D348" t="inlineStr">
        <is>
          <t>VÄSTERBOTTENS LÄN</t>
        </is>
      </c>
      <c r="E348" t="inlineStr">
        <is>
          <t>SKELLEFTEÅ</t>
        </is>
      </c>
      <c r="G348" t="n">
        <v>1.5</v>
      </c>
      <c r="H348" t="n">
        <v>0</v>
      </c>
      <c r="I348" t="n">
        <v>0</v>
      </c>
      <c r="J348" t="n">
        <v>0</v>
      </c>
      <c r="K348" t="n">
        <v>0</v>
      </c>
      <c r="L348" t="n">
        <v>0</v>
      </c>
      <c r="M348" t="n">
        <v>0</v>
      </c>
      <c r="N348" t="n">
        <v>0</v>
      </c>
      <c r="O348" t="n">
        <v>0</v>
      </c>
      <c r="P348" t="n">
        <v>0</v>
      </c>
      <c r="Q348" t="n">
        <v>0</v>
      </c>
      <c r="R348" s="2" t="inlineStr"/>
    </row>
    <row r="349" ht="15" customHeight="1">
      <c r="A349" t="inlineStr">
        <is>
          <t>A 3844-2021</t>
        </is>
      </c>
      <c r="B349" s="1" t="n">
        <v>44216</v>
      </c>
      <c r="C349" s="1" t="n">
        <v>45931</v>
      </c>
      <c r="D349" t="inlineStr">
        <is>
          <t>VÄSTERBOTTENS LÄN</t>
        </is>
      </c>
      <c r="E349" t="inlineStr">
        <is>
          <t>SKELLEFTEÅ</t>
        </is>
      </c>
      <c r="G349" t="n">
        <v>3.7</v>
      </c>
      <c r="H349" t="n">
        <v>0</v>
      </c>
      <c r="I349" t="n">
        <v>0</v>
      </c>
      <c r="J349" t="n">
        <v>0</v>
      </c>
      <c r="K349" t="n">
        <v>0</v>
      </c>
      <c r="L349" t="n">
        <v>0</v>
      </c>
      <c r="M349" t="n">
        <v>0</v>
      </c>
      <c r="N349" t="n">
        <v>0</v>
      </c>
      <c r="O349" t="n">
        <v>0</v>
      </c>
      <c r="P349" t="n">
        <v>0</v>
      </c>
      <c r="Q349" t="n">
        <v>0</v>
      </c>
      <c r="R349" s="2" t="inlineStr"/>
    </row>
    <row r="350" ht="15" customHeight="1">
      <c r="A350" t="inlineStr">
        <is>
          <t>A 70168-2021</t>
        </is>
      </c>
      <c r="B350" s="1" t="n">
        <v>44533.82237268519</v>
      </c>
      <c r="C350" s="1" t="n">
        <v>45931</v>
      </c>
      <c r="D350" t="inlineStr">
        <is>
          <t>VÄSTERBOTTENS LÄN</t>
        </is>
      </c>
      <c r="E350" t="inlineStr">
        <is>
          <t>SKELLEFTEÅ</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11102-2021</t>
        </is>
      </c>
      <c r="B351" s="1" t="n">
        <v>44259</v>
      </c>
      <c r="C351" s="1" t="n">
        <v>45931</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51982-2022</t>
        </is>
      </c>
      <c r="B352" s="1" t="n">
        <v>44872.82622685185</v>
      </c>
      <c r="C352" s="1" t="n">
        <v>45931</v>
      </c>
      <c r="D352" t="inlineStr">
        <is>
          <t>VÄSTERBOTTENS LÄN</t>
        </is>
      </c>
      <c r="E352" t="inlineStr">
        <is>
          <t>SKELLEFTEÅ</t>
        </is>
      </c>
      <c r="G352" t="n">
        <v>1.2</v>
      </c>
      <c r="H352" t="n">
        <v>0</v>
      </c>
      <c r="I352" t="n">
        <v>0</v>
      </c>
      <c r="J352" t="n">
        <v>0</v>
      </c>
      <c r="K352" t="n">
        <v>0</v>
      </c>
      <c r="L352" t="n">
        <v>0</v>
      </c>
      <c r="M352" t="n">
        <v>0</v>
      </c>
      <c r="N352" t="n">
        <v>0</v>
      </c>
      <c r="O352" t="n">
        <v>0</v>
      </c>
      <c r="P352" t="n">
        <v>0</v>
      </c>
      <c r="Q352" t="n">
        <v>0</v>
      </c>
      <c r="R352" s="2" t="inlineStr"/>
    </row>
    <row r="353" ht="15" customHeight="1">
      <c r="A353" t="inlineStr">
        <is>
          <t>A 10471-2021</t>
        </is>
      </c>
      <c r="B353" s="1" t="n">
        <v>44257</v>
      </c>
      <c r="C353" s="1" t="n">
        <v>45931</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37498-2021</t>
        </is>
      </c>
      <c r="B354" s="1" t="n">
        <v>44399</v>
      </c>
      <c r="C354" s="1" t="n">
        <v>45931</v>
      </c>
      <c r="D354" t="inlineStr">
        <is>
          <t>VÄSTERBOTTENS LÄN</t>
        </is>
      </c>
      <c r="E354" t="inlineStr">
        <is>
          <t>SKELLEFTEÅ</t>
        </is>
      </c>
      <c r="G354" t="n">
        <v>12.8</v>
      </c>
      <c r="H354" t="n">
        <v>0</v>
      </c>
      <c r="I354" t="n">
        <v>0</v>
      </c>
      <c r="J354" t="n">
        <v>0</v>
      </c>
      <c r="K354" t="n">
        <v>0</v>
      </c>
      <c r="L354" t="n">
        <v>0</v>
      </c>
      <c r="M354" t="n">
        <v>0</v>
      </c>
      <c r="N354" t="n">
        <v>0</v>
      </c>
      <c r="O354" t="n">
        <v>0</v>
      </c>
      <c r="P354" t="n">
        <v>0</v>
      </c>
      <c r="Q354" t="n">
        <v>0</v>
      </c>
      <c r="R354" s="2" t="inlineStr"/>
    </row>
    <row r="355" ht="15" customHeight="1">
      <c r="A355" t="inlineStr">
        <is>
          <t>A 42609-2021</t>
        </is>
      </c>
      <c r="B355" s="1" t="n">
        <v>44428.39925925926</v>
      </c>
      <c r="C355" s="1" t="n">
        <v>45931</v>
      </c>
      <c r="D355" t="inlineStr">
        <is>
          <t>VÄSTERBOTTENS LÄN</t>
        </is>
      </c>
      <c r="E355" t="inlineStr">
        <is>
          <t>SKELLEFTEÅ</t>
        </is>
      </c>
      <c r="G355" t="n">
        <v>0.7</v>
      </c>
      <c r="H355" t="n">
        <v>0</v>
      </c>
      <c r="I355" t="n">
        <v>0</v>
      </c>
      <c r="J355" t="n">
        <v>0</v>
      </c>
      <c r="K355" t="n">
        <v>0</v>
      </c>
      <c r="L355" t="n">
        <v>0</v>
      </c>
      <c r="M355" t="n">
        <v>0</v>
      </c>
      <c r="N355" t="n">
        <v>0</v>
      </c>
      <c r="O355" t="n">
        <v>0</v>
      </c>
      <c r="P355" t="n">
        <v>0</v>
      </c>
      <c r="Q355" t="n">
        <v>0</v>
      </c>
      <c r="R355" s="2" t="inlineStr"/>
    </row>
    <row r="356" ht="15" customHeight="1">
      <c r="A356" t="inlineStr">
        <is>
          <t>A 69996-2021</t>
        </is>
      </c>
      <c r="B356" s="1" t="n">
        <v>44533</v>
      </c>
      <c r="C356" s="1" t="n">
        <v>45931</v>
      </c>
      <c r="D356" t="inlineStr">
        <is>
          <t>VÄSTERBOTTENS LÄN</t>
        </is>
      </c>
      <c r="E356" t="inlineStr">
        <is>
          <t>SKELLEFTEÅ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5972-2022</t>
        </is>
      </c>
      <c r="B357" s="1" t="n">
        <v>44599.3759375</v>
      </c>
      <c r="C357" s="1" t="n">
        <v>45931</v>
      </c>
      <c r="D357" t="inlineStr">
        <is>
          <t>VÄSTERBOTTENS LÄN</t>
        </is>
      </c>
      <c r="E357" t="inlineStr">
        <is>
          <t>SKELLEFTEÅ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25674-2022</t>
        </is>
      </c>
      <c r="B358" s="1" t="n">
        <v>44732</v>
      </c>
      <c r="C358" s="1" t="n">
        <v>45931</v>
      </c>
      <c r="D358" t="inlineStr">
        <is>
          <t>VÄSTERBOTTENS LÄN</t>
        </is>
      </c>
      <c r="E358" t="inlineStr">
        <is>
          <t>SKELLEFTEÅ</t>
        </is>
      </c>
      <c r="G358" t="n">
        <v>1.4</v>
      </c>
      <c r="H358" t="n">
        <v>0</v>
      </c>
      <c r="I358" t="n">
        <v>0</v>
      </c>
      <c r="J358" t="n">
        <v>0</v>
      </c>
      <c r="K358" t="n">
        <v>0</v>
      </c>
      <c r="L358" t="n">
        <v>0</v>
      </c>
      <c r="M358" t="n">
        <v>0</v>
      </c>
      <c r="N358" t="n">
        <v>0</v>
      </c>
      <c r="O358" t="n">
        <v>0</v>
      </c>
      <c r="P358" t="n">
        <v>0</v>
      </c>
      <c r="Q358" t="n">
        <v>0</v>
      </c>
      <c r="R358" s="2" t="inlineStr"/>
    </row>
    <row r="359" ht="15" customHeight="1">
      <c r="A359" t="inlineStr">
        <is>
          <t>A 43917-2022</t>
        </is>
      </c>
      <c r="B359" s="1" t="n">
        <v>44838.51583333333</v>
      </c>
      <c r="C359" s="1" t="n">
        <v>45931</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2607-2022</t>
        </is>
      </c>
      <c r="B360" s="1" t="n">
        <v>44580</v>
      </c>
      <c r="C360" s="1" t="n">
        <v>45931</v>
      </c>
      <c r="D360" t="inlineStr">
        <is>
          <t>VÄSTERBOTTENS LÄN</t>
        </is>
      </c>
      <c r="E360" t="inlineStr">
        <is>
          <t>SKELLEFTEÅ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49757-2022</t>
        </is>
      </c>
      <c r="B361" s="1" t="n">
        <v>44862.59038194444</v>
      </c>
      <c r="C361" s="1" t="n">
        <v>45931</v>
      </c>
      <c r="D361" t="inlineStr">
        <is>
          <t>VÄSTERBOTTENS LÄN</t>
        </is>
      </c>
      <c r="E361" t="inlineStr">
        <is>
          <t>SKELLEFTEÅ</t>
        </is>
      </c>
      <c r="F361" t="inlineStr">
        <is>
          <t>Holmen skog AB</t>
        </is>
      </c>
      <c r="G361" t="n">
        <v>4.1</v>
      </c>
      <c r="H361" t="n">
        <v>0</v>
      </c>
      <c r="I361" t="n">
        <v>0</v>
      </c>
      <c r="J361" t="n">
        <v>0</v>
      </c>
      <c r="K361" t="n">
        <v>0</v>
      </c>
      <c r="L361" t="n">
        <v>0</v>
      </c>
      <c r="M361" t="n">
        <v>0</v>
      </c>
      <c r="N361" t="n">
        <v>0</v>
      </c>
      <c r="O361" t="n">
        <v>0</v>
      </c>
      <c r="P361" t="n">
        <v>0</v>
      </c>
      <c r="Q361" t="n">
        <v>0</v>
      </c>
      <c r="R361" s="2" t="inlineStr"/>
    </row>
    <row r="362" ht="15" customHeight="1">
      <c r="A362" t="inlineStr">
        <is>
          <t>A 1834-2022</t>
        </is>
      </c>
      <c r="B362" s="1" t="n">
        <v>44574.67953703704</v>
      </c>
      <c r="C362" s="1" t="n">
        <v>45931</v>
      </c>
      <c r="D362" t="inlineStr">
        <is>
          <t>VÄSTERBOTTENS LÄN</t>
        </is>
      </c>
      <c r="E362" t="inlineStr">
        <is>
          <t>SKELLEFTEÅ</t>
        </is>
      </c>
      <c r="G362" t="n">
        <v>9.9</v>
      </c>
      <c r="H362" t="n">
        <v>0</v>
      </c>
      <c r="I362" t="n">
        <v>0</v>
      </c>
      <c r="J362" t="n">
        <v>0</v>
      </c>
      <c r="K362" t="n">
        <v>0</v>
      </c>
      <c r="L362" t="n">
        <v>0</v>
      </c>
      <c r="M362" t="n">
        <v>0</v>
      </c>
      <c r="N362" t="n">
        <v>0</v>
      </c>
      <c r="O362" t="n">
        <v>0</v>
      </c>
      <c r="P362" t="n">
        <v>0</v>
      </c>
      <c r="Q362" t="n">
        <v>0</v>
      </c>
      <c r="R362" s="2" t="inlineStr"/>
    </row>
    <row r="363" ht="15" customHeight="1">
      <c r="A363" t="inlineStr">
        <is>
          <t>A 14759-2022</t>
        </is>
      </c>
      <c r="B363" s="1" t="n">
        <v>44656</v>
      </c>
      <c r="C363" s="1" t="n">
        <v>45931</v>
      </c>
      <c r="D363" t="inlineStr">
        <is>
          <t>VÄSTERBOTTENS LÄN</t>
        </is>
      </c>
      <c r="E363" t="inlineStr">
        <is>
          <t>SKELLEFTEÅ</t>
        </is>
      </c>
      <c r="G363" t="n">
        <v>0.6</v>
      </c>
      <c r="H363" t="n">
        <v>0</v>
      </c>
      <c r="I363" t="n">
        <v>0</v>
      </c>
      <c r="J363" t="n">
        <v>0</v>
      </c>
      <c r="K363" t="n">
        <v>0</v>
      </c>
      <c r="L363" t="n">
        <v>0</v>
      </c>
      <c r="M363" t="n">
        <v>0</v>
      </c>
      <c r="N363" t="n">
        <v>0</v>
      </c>
      <c r="O363" t="n">
        <v>0</v>
      </c>
      <c r="P363" t="n">
        <v>0</v>
      </c>
      <c r="Q363" t="n">
        <v>0</v>
      </c>
      <c r="R363" s="2" t="inlineStr"/>
    </row>
    <row r="364" ht="15" customHeight="1">
      <c r="A364" t="inlineStr">
        <is>
          <t>A 54872-2020</t>
        </is>
      </c>
      <c r="B364" s="1" t="n">
        <v>44126</v>
      </c>
      <c r="C364" s="1" t="n">
        <v>45931</v>
      </c>
      <c r="D364" t="inlineStr">
        <is>
          <t>VÄSTERBOTTENS LÄN</t>
        </is>
      </c>
      <c r="E364" t="inlineStr">
        <is>
          <t>SKELLEFTEÅ</t>
        </is>
      </c>
      <c r="G364" t="n">
        <v>0.7</v>
      </c>
      <c r="H364" t="n">
        <v>0</v>
      </c>
      <c r="I364" t="n">
        <v>0</v>
      </c>
      <c r="J364" t="n">
        <v>0</v>
      </c>
      <c r="K364" t="n">
        <v>0</v>
      </c>
      <c r="L364" t="n">
        <v>0</v>
      </c>
      <c r="M364" t="n">
        <v>0</v>
      </c>
      <c r="N364" t="n">
        <v>0</v>
      </c>
      <c r="O364" t="n">
        <v>0</v>
      </c>
      <c r="P364" t="n">
        <v>0</v>
      </c>
      <c r="Q364" t="n">
        <v>0</v>
      </c>
      <c r="R364" s="2" t="inlineStr"/>
    </row>
    <row r="365" ht="15" customHeight="1">
      <c r="A365" t="inlineStr">
        <is>
          <t>A 19679-2021</t>
        </is>
      </c>
      <c r="B365" s="1" t="n">
        <v>44312</v>
      </c>
      <c r="C365" s="1" t="n">
        <v>45931</v>
      </c>
      <c r="D365" t="inlineStr">
        <is>
          <t>VÄSTERBOTTENS LÄN</t>
        </is>
      </c>
      <c r="E365" t="inlineStr">
        <is>
          <t>SKELLEFTEÅ</t>
        </is>
      </c>
      <c r="F365" t="inlineStr">
        <is>
          <t>Holmen skog AB</t>
        </is>
      </c>
      <c r="G365" t="n">
        <v>2.4</v>
      </c>
      <c r="H365" t="n">
        <v>0</v>
      </c>
      <c r="I365" t="n">
        <v>0</v>
      </c>
      <c r="J365" t="n">
        <v>0</v>
      </c>
      <c r="K365" t="n">
        <v>0</v>
      </c>
      <c r="L365" t="n">
        <v>0</v>
      </c>
      <c r="M365" t="n">
        <v>0</v>
      </c>
      <c r="N365" t="n">
        <v>0</v>
      </c>
      <c r="O365" t="n">
        <v>0</v>
      </c>
      <c r="P365" t="n">
        <v>0</v>
      </c>
      <c r="Q365" t="n">
        <v>0</v>
      </c>
      <c r="R365" s="2" t="inlineStr"/>
    </row>
    <row r="366" ht="15" customHeight="1">
      <c r="A366" t="inlineStr">
        <is>
          <t>A 58847-2021</t>
        </is>
      </c>
      <c r="B366" s="1" t="n">
        <v>44489.62116898148</v>
      </c>
      <c r="C366" s="1" t="n">
        <v>45931</v>
      </c>
      <c r="D366" t="inlineStr">
        <is>
          <t>VÄSTERBOTTENS LÄN</t>
        </is>
      </c>
      <c r="E366" t="inlineStr">
        <is>
          <t>SKELLEFTEÅ</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71445-2021</t>
        </is>
      </c>
      <c r="B367" s="1" t="n">
        <v>44540.45789351852</v>
      </c>
      <c r="C367" s="1" t="n">
        <v>45931</v>
      </c>
      <c r="D367" t="inlineStr">
        <is>
          <t>VÄSTERBOTTENS LÄN</t>
        </is>
      </c>
      <c r="E367" t="inlineStr">
        <is>
          <t>SKELLEFTEÅ</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71434-2021</t>
        </is>
      </c>
      <c r="B368" s="1" t="n">
        <v>44540.44325231481</v>
      </c>
      <c r="C368" s="1" t="n">
        <v>45931</v>
      </c>
      <c r="D368" t="inlineStr">
        <is>
          <t>VÄSTERBOTTENS LÄN</t>
        </is>
      </c>
      <c r="E368" t="inlineStr">
        <is>
          <t>SKELLEFTEÅ</t>
        </is>
      </c>
      <c r="F368" t="inlineStr">
        <is>
          <t>Sveaskog</t>
        </is>
      </c>
      <c r="G368" t="n">
        <v>13.2</v>
      </c>
      <c r="H368" t="n">
        <v>0</v>
      </c>
      <c r="I368" t="n">
        <v>0</v>
      </c>
      <c r="J368" t="n">
        <v>0</v>
      </c>
      <c r="K368" t="n">
        <v>0</v>
      </c>
      <c r="L368" t="n">
        <v>0</v>
      </c>
      <c r="M368" t="n">
        <v>0</v>
      </c>
      <c r="N368" t="n">
        <v>0</v>
      </c>
      <c r="O368" t="n">
        <v>0</v>
      </c>
      <c r="P368" t="n">
        <v>0</v>
      </c>
      <c r="Q368" t="n">
        <v>0</v>
      </c>
      <c r="R368" s="2" t="inlineStr"/>
    </row>
    <row r="369" ht="15" customHeight="1">
      <c r="A369" t="inlineStr">
        <is>
          <t>A 17257-2022</t>
        </is>
      </c>
      <c r="B369" s="1" t="n">
        <v>44678.3941550926</v>
      </c>
      <c r="C369" s="1" t="n">
        <v>45931</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20610-2022</t>
        </is>
      </c>
      <c r="B370" s="1" t="n">
        <v>44700</v>
      </c>
      <c r="C370" s="1" t="n">
        <v>45931</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58544-2020</t>
        </is>
      </c>
      <c r="B371" s="1" t="n">
        <v>44145</v>
      </c>
      <c r="C371" s="1" t="n">
        <v>45931</v>
      </c>
      <c r="D371" t="inlineStr">
        <is>
          <t>VÄSTERBOTTENS LÄN</t>
        </is>
      </c>
      <c r="E371" t="inlineStr">
        <is>
          <t>SKELLEFTEÅ</t>
        </is>
      </c>
      <c r="F371" t="inlineStr">
        <is>
          <t>Holmen skog AB</t>
        </is>
      </c>
      <c r="G371" t="n">
        <v>1.8</v>
      </c>
      <c r="H371" t="n">
        <v>0</v>
      </c>
      <c r="I371" t="n">
        <v>0</v>
      </c>
      <c r="J371" t="n">
        <v>0</v>
      </c>
      <c r="K371" t="n">
        <v>0</v>
      </c>
      <c r="L371" t="n">
        <v>0</v>
      </c>
      <c r="M371" t="n">
        <v>0</v>
      </c>
      <c r="N371" t="n">
        <v>0</v>
      </c>
      <c r="O371" t="n">
        <v>0</v>
      </c>
      <c r="P371" t="n">
        <v>0</v>
      </c>
      <c r="Q371" t="n">
        <v>0</v>
      </c>
      <c r="R371" s="2" t="inlineStr"/>
    </row>
    <row r="372" ht="15" customHeight="1">
      <c r="A372" t="inlineStr">
        <is>
          <t>A 17251-2022</t>
        </is>
      </c>
      <c r="B372" s="1" t="n">
        <v>44678</v>
      </c>
      <c r="C372" s="1" t="n">
        <v>45931</v>
      </c>
      <c r="D372" t="inlineStr">
        <is>
          <t>VÄSTERBOTTENS LÄN</t>
        </is>
      </c>
      <c r="E372" t="inlineStr">
        <is>
          <t>SKELLEFTEÅ</t>
        </is>
      </c>
      <c r="G372" t="n">
        <v>5.4</v>
      </c>
      <c r="H372" t="n">
        <v>0</v>
      </c>
      <c r="I372" t="n">
        <v>0</v>
      </c>
      <c r="J372" t="n">
        <v>0</v>
      </c>
      <c r="K372" t="n">
        <v>0</v>
      </c>
      <c r="L372" t="n">
        <v>0</v>
      </c>
      <c r="M372" t="n">
        <v>0</v>
      </c>
      <c r="N372" t="n">
        <v>0</v>
      </c>
      <c r="O372" t="n">
        <v>0</v>
      </c>
      <c r="P372" t="n">
        <v>0</v>
      </c>
      <c r="Q372" t="n">
        <v>0</v>
      </c>
      <c r="R372" s="2" t="inlineStr"/>
    </row>
    <row r="373" ht="15" customHeight="1">
      <c r="A373" t="inlineStr">
        <is>
          <t>A 68564-2020</t>
        </is>
      </c>
      <c r="B373" s="1" t="n">
        <v>44186</v>
      </c>
      <c r="C373" s="1" t="n">
        <v>45931</v>
      </c>
      <c r="D373" t="inlineStr">
        <is>
          <t>VÄSTERBOTTENS LÄN</t>
        </is>
      </c>
      <c r="E373" t="inlineStr">
        <is>
          <t>SKELLEFTEÅ</t>
        </is>
      </c>
      <c r="G373" t="n">
        <v>11.4</v>
      </c>
      <c r="H373" t="n">
        <v>0</v>
      </c>
      <c r="I373" t="n">
        <v>0</v>
      </c>
      <c r="J373" t="n">
        <v>0</v>
      </c>
      <c r="K373" t="n">
        <v>0</v>
      </c>
      <c r="L373" t="n">
        <v>0</v>
      </c>
      <c r="M373" t="n">
        <v>0</v>
      </c>
      <c r="N373" t="n">
        <v>0</v>
      </c>
      <c r="O373" t="n">
        <v>0</v>
      </c>
      <c r="P373" t="n">
        <v>0</v>
      </c>
      <c r="Q373" t="n">
        <v>0</v>
      </c>
      <c r="R373" s="2" t="inlineStr"/>
    </row>
    <row r="374" ht="15" customHeight="1">
      <c r="A374" t="inlineStr">
        <is>
          <t>A 3575-2021</t>
        </is>
      </c>
      <c r="B374" s="1" t="n">
        <v>44218</v>
      </c>
      <c r="C374" s="1" t="n">
        <v>45931</v>
      </c>
      <c r="D374" t="inlineStr">
        <is>
          <t>VÄSTERBOTTENS LÄN</t>
        </is>
      </c>
      <c r="E374" t="inlineStr">
        <is>
          <t>SKELLEFTEÅ</t>
        </is>
      </c>
      <c r="G374" t="n">
        <v>1</v>
      </c>
      <c r="H374" t="n">
        <v>0</v>
      </c>
      <c r="I374" t="n">
        <v>0</v>
      </c>
      <c r="J374" t="n">
        <v>0</v>
      </c>
      <c r="K374" t="n">
        <v>0</v>
      </c>
      <c r="L374" t="n">
        <v>0</v>
      </c>
      <c r="M374" t="n">
        <v>0</v>
      </c>
      <c r="N374" t="n">
        <v>0</v>
      </c>
      <c r="O374" t="n">
        <v>0</v>
      </c>
      <c r="P374" t="n">
        <v>0</v>
      </c>
      <c r="Q374" t="n">
        <v>0</v>
      </c>
      <c r="R374" s="2" t="inlineStr"/>
    </row>
    <row r="375" ht="15" customHeight="1">
      <c r="A375" t="inlineStr">
        <is>
          <t>A 31251-2021</t>
        </is>
      </c>
      <c r="B375" s="1" t="n">
        <v>44368</v>
      </c>
      <c r="C375" s="1" t="n">
        <v>45931</v>
      </c>
      <c r="D375" t="inlineStr">
        <is>
          <t>VÄSTERBOTTENS LÄN</t>
        </is>
      </c>
      <c r="E375" t="inlineStr">
        <is>
          <t>SKELLEFTEÅ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59659-2021</t>
        </is>
      </c>
      <c r="B376" s="1" t="n">
        <v>44491</v>
      </c>
      <c r="C376" s="1" t="n">
        <v>45931</v>
      </c>
      <c r="D376" t="inlineStr">
        <is>
          <t>VÄSTERBOTTENS LÄN</t>
        </is>
      </c>
      <c r="E376" t="inlineStr">
        <is>
          <t>SKELLEFTEÅ</t>
        </is>
      </c>
      <c r="G376" t="n">
        <v>1.5</v>
      </c>
      <c r="H376" t="n">
        <v>0</v>
      </c>
      <c r="I376" t="n">
        <v>0</v>
      </c>
      <c r="J376" t="n">
        <v>0</v>
      </c>
      <c r="K376" t="n">
        <v>0</v>
      </c>
      <c r="L376" t="n">
        <v>0</v>
      </c>
      <c r="M376" t="n">
        <v>0</v>
      </c>
      <c r="N376" t="n">
        <v>0</v>
      </c>
      <c r="O376" t="n">
        <v>0</v>
      </c>
      <c r="P376" t="n">
        <v>0</v>
      </c>
      <c r="Q376" t="n">
        <v>0</v>
      </c>
      <c r="R376" s="2" t="inlineStr"/>
    </row>
    <row r="377" ht="15" customHeight="1">
      <c r="A377" t="inlineStr">
        <is>
          <t>A 14952-2022</t>
        </is>
      </c>
      <c r="B377" s="1" t="n">
        <v>44657</v>
      </c>
      <c r="C377" s="1" t="n">
        <v>45931</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7038-2021</t>
        </is>
      </c>
      <c r="B378" s="1" t="n">
        <v>44237</v>
      </c>
      <c r="C378" s="1" t="n">
        <v>45931</v>
      </c>
      <c r="D378" t="inlineStr">
        <is>
          <t>VÄSTERBOTTENS LÄN</t>
        </is>
      </c>
      <c r="E378" t="inlineStr">
        <is>
          <t>SKELLEFTEÅ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55814-2021</t>
        </is>
      </c>
      <c r="B379" s="1" t="n">
        <v>44476.59821759259</v>
      </c>
      <c r="C379" s="1" t="n">
        <v>45931</v>
      </c>
      <c r="D379" t="inlineStr">
        <is>
          <t>VÄSTERBOTTENS LÄN</t>
        </is>
      </c>
      <c r="E379" t="inlineStr">
        <is>
          <t>SKELLEFTEÅ</t>
        </is>
      </c>
      <c r="G379" t="n">
        <v>1.1</v>
      </c>
      <c r="H379" t="n">
        <v>0</v>
      </c>
      <c r="I379" t="n">
        <v>0</v>
      </c>
      <c r="J379" t="n">
        <v>0</v>
      </c>
      <c r="K379" t="n">
        <v>0</v>
      </c>
      <c r="L379" t="n">
        <v>0</v>
      </c>
      <c r="M379" t="n">
        <v>0</v>
      </c>
      <c r="N379" t="n">
        <v>0</v>
      </c>
      <c r="O379" t="n">
        <v>0</v>
      </c>
      <c r="P379" t="n">
        <v>0</v>
      </c>
      <c r="Q379" t="n">
        <v>0</v>
      </c>
      <c r="R379" s="2" t="inlineStr"/>
    </row>
    <row r="380" ht="15" customHeight="1">
      <c r="A380" t="inlineStr">
        <is>
          <t>A 1076-2021</t>
        </is>
      </c>
      <c r="B380" s="1" t="n">
        <v>44207</v>
      </c>
      <c r="C380" s="1" t="n">
        <v>45931</v>
      </c>
      <c r="D380" t="inlineStr">
        <is>
          <t>VÄSTERBOTTENS LÄN</t>
        </is>
      </c>
      <c r="E380" t="inlineStr">
        <is>
          <t>SKELLEFTEÅ</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11087-2021</t>
        </is>
      </c>
      <c r="B381" s="1" t="n">
        <v>44259</v>
      </c>
      <c r="C381" s="1" t="n">
        <v>45931</v>
      </c>
      <c r="D381" t="inlineStr">
        <is>
          <t>VÄSTERBOTTENS LÄN</t>
        </is>
      </c>
      <c r="E381" t="inlineStr">
        <is>
          <t>SKELLEFTEÅ</t>
        </is>
      </c>
      <c r="G381" t="n">
        <v>4.6</v>
      </c>
      <c r="H381" t="n">
        <v>0</v>
      </c>
      <c r="I381" t="n">
        <v>0</v>
      </c>
      <c r="J381" t="n">
        <v>0</v>
      </c>
      <c r="K381" t="n">
        <v>0</v>
      </c>
      <c r="L381" t="n">
        <v>0</v>
      </c>
      <c r="M381" t="n">
        <v>0</v>
      </c>
      <c r="N381" t="n">
        <v>0</v>
      </c>
      <c r="O381" t="n">
        <v>0</v>
      </c>
      <c r="P381" t="n">
        <v>0</v>
      </c>
      <c r="Q381" t="n">
        <v>0</v>
      </c>
      <c r="R381" s="2" t="inlineStr"/>
    </row>
    <row r="382" ht="15" customHeight="1">
      <c r="A382" t="inlineStr">
        <is>
          <t>A 23885-2021</t>
        </is>
      </c>
      <c r="B382" s="1" t="n">
        <v>44335</v>
      </c>
      <c r="C382" s="1" t="n">
        <v>45931</v>
      </c>
      <c r="D382" t="inlineStr">
        <is>
          <t>VÄSTERBOTTENS LÄN</t>
        </is>
      </c>
      <c r="E382" t="inlineStr">
        <is>
          <t>SKELLEFTEÅ</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8652-2021</t>
        </is>
      </c>
      <c r="B383" s="1" t="n">
        <v>44245</v>
      </c>
      <c r="C383" s="1" t="n">
        <v>45931</v>
      </c>
      <c r="D383" t="inlineStr">
        <is>
          <t>VÄSTERBOTTENS LÄN</t>
        </is>
      </c>
      <c r="E383" t="inlineStr">
        <is>
          <t>SKELLEFTEÅ</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51789-2021</t>
        </is>
      </c>
      <c r="B384" s="1" t="n">
        <v>44461</v>
      </c>
      <c r="C384" s="1" t="n">
        <v>45931</v>
      </c>
      <c r="D384" t="inlineStr">
        <is>
          <t>VÄSTERBOTTENS LÄN</t>
        </is>
      </c>
      <c r="E384" t="inlineStr">
        <is>
          <t>SKELLEFTEÅ</t>
        </is>
      </c>
      <c r="G384" t="n">
        <v>1.2</v>
      </c>
      <c r="H384" t="n">
        <v>0</v>
      </c>
      <c r="I384" t="n">
        <v>0</v>
      </c>
      <c r="J384" t="n">
        <v>0</v>
      </c>
      <c r="K384" t="n">
        <v>0</v>
      </c>
      <c r="L384" t="n">
        <v>0</v>
      </c>
      <c r="M384" t="n">
        <v>0</v>
      </c>
      <c r="N384" t="n">
        <v>0</v>
      </c>
      <c r="O384" t="n">
        <v>0</v>
      </c>
      <c r="P384" t="n">
        <v>0</v>
      </c>
      <c r="Q384" t="n">
        <v>0</v>
      </c>
      <c r="R384" s="2" t="inlineStr"/>
    </row>
    <row r="385" ht="15" customHeight="1">
      <c r="A385" t="inlineStr">
        <is>
          <t>A 35435-2021</t>
        </is>
      </c>
      <c r="B385" s="1" t="n">
        <v>44385</v>
      </c>
      <c r="C385" s="1" t="n">
        <v>45931</v>
      </c>
      <c r="D385" t="inlineStr">
        <is>
          <t>VÄSTERBOTTENS LÄN</t>
        </is>
      </c>
      <c r="E385" t="inlineStr">
        <is>
          <t>SKELLEFTEÅ</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3362-2022</t>
        </is>
      </c>
      <c r="B386" s="1" t="n">
        <v>44585</v>
      </c>
      <c r="C386" s="1" t="n">
        <v>45931</v>
      </c>
      <c r="D386" t="inlineStr">
        <is>
          <t>VÄSTERBOTTENS LÄN</t>
        </is>
      </c>
      <c r="E386" t="inlineStr">
        <is>
          <t>SKELLEFTEÅ</t>
        </is>
      </c>
      <c r="G386" t="n">
        <v>0.2</v>
      </c>
      <c r="H386" t="n">
        <v>0</v>
      </c>
      <c r="I386" t="n">
        <v>0</v>
      </c>
      <c r="J386" t="n">
        <v>0</v>
      </c>
      <c r="K386" t="n">
        <v>0</v>
      </c>
      <c r="L386" t="n">
        <v>0</v>
      </c>
      <c r="M386" t="n">
        <v>0</v>
      </c>
      <c r="N386" t="n">
        <v>0</v>
      </c>
      <c r="O386" t="n">
        <v>0</v>
      </c>
      <c r="P386" t="n">
        <v>0</v>
      </c>
      <c r="Q386" t="n">
        <v>0</v>
      </c>
      <c r="R386" s="2" t="inlineStr"/>
    </row>
    <row r="387" ht="15" customHeight="1">
      <c r="A387" t="inlineStr">
        <is>
          <t>A 2575-2021</t>
        </is>
      </c>
      <c r="B387" s="1" t="n">
        <v>44214</v>
      </c>
      <c r="C387" s="1" t="n">
        <v>45931</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23801-2021</t>
        </is>
      </c>
      <c r="B388" s="1" t="n">
        <v>44334</v>
      </c>
      <c r="C388" s="1" t="n">
        <v>45931</v>
      </c>
      <c r="D388" t="inlineStr">
        <is>
          <t>VÄSTERBOTTENS LÄN</t>
        </is>
      </c>
      <c r="E388" t="inlineStr">
        <is>
          <t>SKELLEFTEÅ</t>
        </is>
      </c>
      <c r="G388" t="n">
        <v>2.8</v>
      </c>
      <c r="H388" t="n">
        <v>0</v>
      </c>
      <c r="I388" t="n">
        <v>0</v>
      </c>
      <c r="J388" t="n">
        <v>0</v>
      </c>
      <c r="K388" t="n">
        <v>0</v>
      </c>
      <c r="L388" t="n">
        <v>0</v>
      </c>
      <c r="M388" t="n">
        <v>0</v>
      </c>
      <c r="N388" t="n">
        <v>0</v>
      </c>
      <c r="O388" t="n">
        <v>0</v>
      </c>
      <c r="P388" t="n">
        <v>0</v>
      </c>
      <c r="Q388" t="n">
        <v>0</v>
      </c>
      <c r="R388" s="2" t="inlineStr"/>
    </row>
    <row r="389" ht="15" customHeight="1">
      <c r="A389" t="inlineStr">
        <is>
          <t>A 70703-2021</t>
        </is>
      </c>
      <c r="B389" s="1" t="n">
        <v>44536</v>
      </c>
      <c r="C389" s="1" t="n">
        <v>45931</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29276-2021</t>
        </is>
      </c>
      <c r="B390" s="1" t="n">
        <v>44361</v>
      </c>
      <c r="C390" s="1" t="n">
        <v>45931</v>
      </c>
      <c r="D390" t="inlineStr">
        <is>
          <t>VÄSTERBOTTENS LÄN</t>
        </is>
      </c>
      <c r="E390" t="inlineStr">
        <is>
          <t>SKELLEFTEÅ</t>
        </is>
      </c>
      <c r="G390" t="n">
        <v>2.1</v>
      </c>
      <c r="H390" t="n">
        <v>0</v>
      </c>
      <c r="I390" t="n">
        <v>0</v>
      </c>
      <c r="J390" t="n">
        <v>0</v>
      </c>
      <c r="K390" t="n">
        <v>0</v>
      </c>
      <c r="L390" t="n">
        <v>0</v>
      </c>
      <c r="M390" t="n">
        <v>0</v>
      </c>
      <c r="N390" t="n">
        <v>0</v>
      </c>
      <c r="O390" t="n">
        <v>0</v>
      </c>
      <c r="P390" t="n">
        <v>0</v>
      </c>
      <c r="Q390" t="n">
        <v>0</v>
      </c>
      <c r="R390" s="2" t="inlineStr"/>
    </row>
    <row r="391" ht="15" customHeight="1">
      <c r="A391" t="inlineStr">
        <is>
          <t>A 6666-2022</t>
        </is>
      </c>
      <c r="B391" s="1" t="n">
        <v>44602.37965277778</v>
      </c>
      <c r="C391" s="1" t="n">
        <v>45931</v>
      </c>
      <c r="D391" t="inlineStr">
        <is>
          <t>VÄSTERBOTTENS LÄN</t>
        </is>
      </c>
      <c r="E391" t="inlineStr">
        <is>
          <t>SKELLEFTEÅ</t>
        </is>
      </c>
      <c r="G391" t="n">
        <v>2.1</v>
      </c>
      <c r="H391" t="n">
        <v>0</v>
      </c>
      <c r="I391" t="n">
        <v>0</v>
      </c>
      <c r="J391" t="n">
        <v>0</v>
      </c>
      <c r="K391" t="n">
        <v>0</v>
      </c>
      <c r="L391" t="n">
        <v>0</v>
      </c>
      <c r="M391" t="n">
        <v>0</v>
      </c>
      <c r="N391" t="n">
        <v>0</v>
      </c>
      <c r="O391" t="n">
        <v>0</v>
      </c>
      <c r="P391" t="n">
        <v>0</v>
      </c>
      <c r="Q391" t="n">
        <v>0</v>
      </c>
      <c r="R391" s="2" t="inlineStr"/>
    </row>
    <row r="392" ht="15" customHeight="1">
      <c r="A392" t="inlineStr">
        <is>
          <t>A 19538-2021</t>
        </is>
      </c>
      <c r="B392" s="1" t="n">
        <v>44309</v>
      </c>
      <c r="C392" s="1" t="n">
        <v>45931</v>
      </c>
      <c r="D392" t="inlineStr">
        <is>
          <t>VÄSTERBOTTENS LÄN</t>
        </is>
      </c>
      <c r="E392" t="inlineStr">
        <is>
          <t>SKELLEFTEÅ</t>
        </is>
      </c>
      <c r="G392" t="n">
        <v>2.3</v>
      </c>
      <c r="H392" t="n">
        <v>0</v>
      </c>
      <c r="I392" t="n">
        <v>0</v>
      </c>
      <c r="J392" t="n">
        <v>0</v>
      </c>
      <c r="K392" t="n">
        <v>0</v>
      </c>
      <c r="L392" t="n">
        <v>0</v>
      </c>
      <c r="M392" t="n">
        <v>0</v>
      </c>
      <c r="N392" t="n">
        <v>0</v>
      </c>
      <c r="O392" t="n">
        <v>0</v>
      </c>
      <c r="P392" t="n">
        <v>0</v>
      </c>
      <c r="Q392" t="n">
        <v>0</v>
      </c>
      <c r="R392" s="2" t="inlineStr"/>
    </row>
    <row r="393" ht="15" customHeight="1">
      <c r="A393" t="inlineStr">
        <is>
          <t>A 26130-2021</t>
        </is>
      </c>
      <c r="B393" s="1" t="n">
        <v>44345.93436342593</v>
      </c>
      <c r="C393" s="1" t="n">
        <v>45931</v>
      </c>
      <c r="D393" t="inlineStr">
        <is>
          <t>VÄSTERBOTTENS LÄN</t>
        </is>
      </c>
      <c r="E393" t="inlineStr">
        <is>
          <t>SKELLEFTEÅ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28822-2021</t>
        </is>
      </c>
      <c r="B394" s="1" t="n">
        <v>44357.62862268519</v>
      </c>
      <c r="C394" s="1" t="n">
        <v>45931</v>
      </c>
      <c r="D394" t="inlineStr">
        <is>
          <t>VÄSTERBOTTENS LÄN</t>
        </is>
      </c>
      <c r="E394" t="inlineStr">
        <is>
          <t>SKELLEFTEÅ</t>
        </is>
      </c>
      <c r="G394" t="n">
        <v>2.2</v>
      </c>
      <c r="H394" t="n">
        <v>0</v>
      </c>
      <c r="I394" t="n">
        <v>0</v>
      </c>
      <c r="J394" t="n">
        <v>0</v>
      </c>
      <c r="K394" t="n">
        <v>0</v>
      </c>
      <c r="L394" t="n">
        <v>0</v>
      </c>
      <c r="M394" t="n">
        <v>0</v>
      </c>
      <c r="N394" t="n">
        <v>0</v>
      </c>
      <c r="O394" t="n">
        <v>0</v>
      </c>
      <c r="P394" t="n">
        <v>0</v>
      </c>
      <c r="Q394" t="n">
        <v>0</v>
      </c>
      <c r="R394" s="2" t="inlineStr"/>
    </row>
    <row r="395" ht="15" customHeight="1">
      <c r="A395" t="inlineStr">
        <is>
          <t>A 39192-2021</t>
        </is>
      </c>
      <c r="B395" s="1" t="n">
        <v>44413.34373842592</v>
      </c>
      <c r="C395" s="1" t="n">
        <v>45931</v>
      </c>
      <c r="D395" t="inlineStr">
        <is>
          <t>VÄSTERBOTTENS LÄN</t>
        </is>
      </c>
      <c r="E395" t="inlineStr">
        <is>
          <t>SKELLEFTEÅ</t>
        </is>
      </c>
      <c r="F395" t="inlineStr">
        <is>
          <t>Holmen skog AB</t>
        </is>
      </c>
      <c r="G395" t="n">
        <v>1.3</v>
      </c>
      <c r="H395" t="n">
        <v>0</v>
      </c>
      <c r="I395" t="n">
        <v>0</v>
      </c>
      <c r="J395" t="n">
        <v>0</v>
      </c>
      <c r="K395" t="n">
        <v>0</v>
      </c>
      <c r="L395" t="n">
        <v>0</v>
      </c>
      <c r="M395" t="n">
        <v>0</v>
      </c>
      <c r="N395" t="n">
        <v>0</v>
      </c>
      <c r="O395" t="n">
        <v>0</v>
      </c>
      <c r="P395" t="n">
        <v>0</v>
      </c>
      <c r="Q395" t="n">
        <v>0</v>
      </c>
      <c r="R395" s="2" t="inlineStr"/>
    </row>
    <row r="396" ht="15" customHeight="1">
      <c r="A396" t="inlineStr">
        <is>
          <t>A 13693-2022</t>
        </is>
      </c>
      <c r="B396" s="1" t="n">
        <v>44648</v>
      </c>
      <c r="C396" s="1" t="n">
        <v>45931</v>
      </c>
      <c r="D396" t="inlineStr">
        <is>
          <t>VÄSTERBOTTENS LÄN</t>
        </is>
      </c>
      <c r="E396" t="inlineStr">
        <is>
          <t>SKELLEFTEÅ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42026-2021</t>
        </is>
      </c>
      <c r="B397" s="1" t="n">
        <v>44426.5275925926</v>
      </c>
      <c r="C397" s="1" t="n">
        <v>45931</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63171-2021</t>
        </is>
      </c>
      <c r="B398" s="1" t="n">
        <v>44506</v>
      </c>
      <c r="C398" s="1" t="n">
        <v>45931</v>
      </c>
      <c r="D398" t="inlineStr">
        <is>
          <t>VÄSTERBOTTENS LÄN</t>
        </is>
      </c>
      <c r="E398" t="inlineStr">
        <is>
          <t>SKELLEFTEÅ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42099-2022</t>
        </is>
      </c>
      <c r="B399" s="1" t="n">
        <v>44827</v>
      </c>
      <c r="C399" s="1" t="n">
        <v>45931</v>
      </c>
      <c r="D399" t="inlineStr">
        <is>
          <t>VÄSTERBOTTENS LÄN</t>
        </is>
      </c>
      <c r="E399" t="inlineStr">
        <is>
          <t>SKELLEFTEÅ</t>
        </is>
      </c>
      <c r="G399" t="n">
        <v>1.7</v>
      </c>
      <c r="H399" t="n">
        <v>0</v>
      </c>
      <c r="I399" t="n">
        <v>0</v>
      </c>
      <c r="J399" t="n">
        <v>0</v>
      </c>
      <c r="K399" t="n">
        <v>0</v>
      </c>
      <c r="L399" t="n">
        <v>0</v>
      </c>
      <c r="M399" t="n">
        <v>0</v>
      </c>
      <c r="N399" t="n">
        <v>0</v>
      </c>
      <c r="O399" t="n">
        <v>0</v>
      </c>
      <c r="P399" t="n">
        <v>0</v>
      </c>
      <c r="Q399" t="n">
        <v>0</v>
      </c>
      <c r="R399" s="2" t="inlineStr"/>
    </row>
    <row r="400" ht="15" customHeight="1">
      <c r="A400" t="inlineStr">
        <is>
          <t>A 73956-2021</t>
        </is>
      </c>
      <c r="B400" s="1" t="n">
        <v>44553</v>
      </c>
      <c r="C400" s="1" t="n">
        <v>45931</v>
      </c>
      <c r="D400" t="inlineStr">
        <is>
          <t>VÄSTERBOTTENS LÄN</t>
        </is>
      </c>
      <c r="E400" t="inlineStr">
        <is>
          <t>SKELLEFTEÅ</t>
        </is>
      </c>
      <c r="G400" t="n">
        <v>1</v>
      </c>
      <c r="H400" t="n">
        <v>0</v>
      </c>
      <c r="I400" t="n">
        <v>0</v>
      </c>
      <c r="J400" t="n">
        <v>0</v>
      </c>
      <c r="K400" t="n">
        <v>0</v>
      </c>
      <c r="L400" t="n">
        <v>0</v>
      </c>
      <c r="M400" t="n">
        <v>0</v>
      </c>
      <c r="N400" t="n">
        <v>0</v>
      </c>
      <c r="O400" t="n">
        <v>0</v>
      </c>
      <c r="P400" t="n">
        <v>0</v>
      </c>
      <c r="Q400" t="n">
        <v>0</v>
      </c>
      <c r="R400" s="2" t="inlineStr"/>
    </row>
    <row r="401" ht="15" customHeight="1">
      <c r="A401" t="inlineStr">
        <is>
          <t>A 40013-2022</t>
        </is>
      </c>
      <c r="B401" s="1" t="n">
        <v>44820.3971875</v>
      </c>
      <c r="C401" s="1" t="n">
        <v>45931</v>
      </c>
      <c r="D401" t="inlineStr">
        <is>
          <t>VÄSTERBOTTENS LÄN</t>
        </is>
      </c>
      <c r="E401" t="inlineStr">
        <is>
          <t>SKELLEFTEÅ</t>
        </is>
      </c>
      <c r="G401" t="n">
        <v>4.8</v>
      </c>
      <c r="H401" t="n">
        <v>0</v>
      </c>
      <c r="I401" t="n">
        <v>0</v>
      </c>
      <c r="J401" t="n">
        <v>0</v>
      </c>
      <c r="K401" t="n">
        <v>0</v>
      </c>
      <c r="L401" t="n">
        <v>0</v>
      </c>
      <c r="M401" t="n">
        <v>0</v>
      </c>
      <c r="N401" t="n">
        <v>0</v>
      </c>
      <c r="O401" t="n">
        <v>0</v>
      </c>
      <c r="P401" t="n">
        <v>0</v>
      </c>
      <c r="Q401" t="n">
        <v>0</v>
      </c>
      <c r="R401" s="2" t="inlineStr"/>
    </row>
    <row r="402" ht="15" customHeight="1">
      <c r="A402" t="inlineStr">
        <is>
          <t>A 5095-2021</t>
        </is>
      </c>
      <c r="B402" s="1" t="n">
        <v>44224</v>
      </c>
      <c r="C402" s="1" t="n">
        <v>45931</v>
      </c>
      <c r="D402" t="inlineStr">
        <is>
          <t>VÄSTERBOTTENS LÄN</t>
        </is>
      </c>
      <c r="E402" t="inlineStr">
        <is>
          <t>SKELLEFTEÅ</t>
        </is>
      </c>
      <c r="G402" t="n">
        <v>5.6</v>
      </c>
      <c r="H402" t="n">
        <v>0</v>
      </c>
      <c r="I402" t="n">
        <v>0</v>
      </c>
      <c r="J402" t="n">
        <v>0</v>
      </c>
      <c r="K402" t="n">
        <v>0</v>
      </c>
      <c r="L402" t="n">
        <v>0</v>
      </c>
      <c r="M402" t="n">
        <v>0</v>
      </c>
      <c r="N402" t="n">
        <v>0</v>
      </c>
      <c r="O402" t="n">
        <v>0</v>
      </c>
      <c r="P402" t="n">
        <v>0</v>
      </c>
      <c r="Q402" t="n">
        <v>0</v>
      </c>
      <c r="R402" s="2" t="inlineStr"/>
    </row>
    <row r="403" ht="15" customHeight="1">
      <c r="A403" t="inlineStr">
        <is>
          <t>A 52080-2021</t>
        </is>
      </c>
      <c r="B403" s="1" t="n">
        <v>44463</v>
      </c>
      <c r="C403" s="1" t="n">
        <v>45931</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35888-2022</t>
        </is>
      </c>
      <c r="B404" s="1" t="n">
        <v>44803</v>
      </c>
      <c r="C404" s="1" t="n">
        <v>45931</v>
      </c>
      <c r="D404" t="inlineStr">
        <is>
          <t>VÄSTERBOTTENS LÄN</t>
        </is>
      </c>
      <c r="E404" t="inlineStr">
        <is>
          <t>SKELLEFTEÅ</t>
        </is>
      </c>
      <c r="G404" t="n">
        <v>4.7</v>
      </c>
      <c r="H404" t="n">
        <v>0</v>
      </c>
      <c r="I404" t="n">
        <v>0</v>
      </c>
      <c r="J404" t="n">
        <v>0</v>
      </c>
      <c r="K404" t="n">
        <v>0</v>
      </c>
      <c r="L404" t="n">
        <v>0</v>
      </c>
      <c r="M404" t="n">
        <v>0</v>
      </c>
      <c r="N404" t="n">
        <v>0</v>
      </c>
      <c r="O404" t="n">
        <v>0</v>
      </c>
      <c r="P404" t="n">
        <v>0</v>
      </c>
      <c r="Q404" t="n">
        <v>0</v>
      </c>
      <c r="R404" s="2" t="inlineStr"/>
    </row>
    <row r="405" ht="15" customHeight="1">
      <c r="A405" t="inlineStr">
        <is>
          <t>A 46302-2023</t>
        </is>
      </c>
      <c r="B405" s="1" t="n">
        <v>45191</v>
      </c>
      <c r="C405" s="1" t="n">
        <v>45931</v>
      </c>
      <c r="D405" t="inlineStr">
        <is>
          <t>VÄSTERBOTTENS LÄN</t>
        </is>
      </c>
      <c r="E405" t="inlineStr">
        <is>
          <t>SKELLEFTEÅ</t>
        </is>
      </c>
      <c r="G405" t="n">
        <v>2.5</v>
      </c>
      <c r="H405" t="n">
        <v>0</v>
      </c>
      <c r="I405" t="n">
        <v>0</v>
      </c>
      <c r="J405" t="n">
        <v>0</v>
      </c>
      <c r="K405" t="n">
        <v>0</v>
      </c>
      <c r="L405" t="n">
        <v>0</v>
      </c>
      <c r="M405" t="n">
        <v>0</v>
      </c>
      <c r="N405" t="n">
        <v>0</v>
      </c>
      <c r="O405" t="n">
        <v>0</v>
      </c>
      <c r="P405" t="n">
        <v>0</v>
      </c>
      <c r="Q405" t="n">
        <v>0</v>
      </c>
      <c r="R405" s="2" t="inlineStr"/>
    </row>
    <row r="406" ht="15" customHeight="1">
      <c r="A406" t="inlineStr">
        <is>
          <t>A 56797-2024</t>
        </is>
      </c>
      <c r="B406" s="1" t="n">
        <v>45628.46482638889</v>
      </c>
      <c r="C406" s="1" t="n">
        <v>45931</v>
      </c>
      <c r="D406" t="inlineStr">
        <is>
          <t>VÄSTERBOTTENS LÄN</t>
        </is>
      </c>
      <c r="E406" t="inlineStr">
        <is>
          <t>SKELLEFTEÅ</t>
        </is>
      </c>
      <c r="F406" t="inlineStr">
        <is>
          <t>Holmen skog AB</t>
        </is>
      </c>
      <c r="G406" t="n">
        <v>2.4</v>
      </c>
      <c r="H406" t="n">
        <v>0</v>
      </c>
      <c r="I406" t="n">
        <v>0</v>
      </c>
      <c r="J406" t="n">
        <v>0</v>
      </c>
      <c r="K406" t="n">
        <v>0</v>
      </c>
      <c r="L406" t="n">
        <v>0</v>
      </c>
      <c r="M406" t="n">
        <v>0</v>
      </c>
      <c r="N406" t="n">
        <v>0</v>
      </c>
      <c r="O406" t="n">
        <v>0</v>
      </c>
      <c r="P406" t="n">
        <v>0</v>
      </c>
      <c r="Q406" t="n">
        <v>0</v>
      </c>
      <c r="R406" s="2" t="inlineStr"/>
    </row>
    <row r="407" ht="15" customHeight="1">
      <c r="A407" t="inlineStr">
        <is>
          <t>A 18240-2025</t>
        </is>
      </c>
      <c r="B407" s="1" t="n">
        <v>45762.29850694445</v>
      </c>
      <c r="C407" s="1" t="n">
        <v>45931</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19764-2025</t>
        </is>
      </c>
      <c r="B408" s="1" t="n">
        <v>45771.4071412037</v>
      </c>
      <c r="C408" s="1" t="n">
        <v>45931</v>
      </c>
      <c r="D408" t="inlineStr">
        <is>
          <t>VÄSTERBOTTENS LÄN</t>
        </is>
      </c>
      <c r="E408" t="inlineStr">
        <is>
          <t>SKELLEFTEÅ</t>
        </is>
      </c>
      <c r="G408" t="n">
        <v>0.8</v>
      </c>
      <c r="H408" t="n">
        <v>0</v>
      </c>
      <c r="I408" t="n">
        <v>0</v>
      </c>
      <c r="J408" t="n">
        <v>0</v>
      </c>
      <c r="K408" t="n">
        <v>0</v>
      </c>
      <c r="L408" t="n">
        <v>0</v>
      </c>
      <c r="M408" t="n">
        <v>0</v>
      </c>
      <c r="N408" t="n">
        <v>0</v>
      </c>
      <c r="O408" t="n">
        <v>0</v>
      </c>
      <c r="P408" t="n">
        <v>0</v>
      </c>
      <c r="Q408" t="n">
        <v>0</v>
      </c>
      <c r="R408" s="2" t="inlineStr"/>
    </row>
    <row r="409" ht="15" customHeight="1">
      <c r="A409" t="inlineStr">
        <is>
          <t>A 36539-2022</t>
        </is>
      </c>
      <c r="B409" s="1" t="n">
        <v>44804</v>
      </c>
      <c r="C409" s="1" t="n">
        <v>45931</v>
      </c>
      <c r="D409" t="inlineStr">
        <is>
          <t>VÄSTERBOTTENS LÄN</t>
        </is>
      </c>
      <c r="E409" t="inlineStr">
        <is>
          <t>SKELLEFTEÅ</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12712-2025</t>
        </is>
      </c>
      <c r="B410" s="1" t="n">
        <v>45733.47311342593</v>
      </c>
      <c r="C410" s="1" t="n">
        <v>45931</v>
      </c>
      <c r="D410" t="inlineStr">
        <is>
          <t>VÄSTERBOTTENS LÄN</t>
        </is>
      </c>
      <c r="E410" t="inlineStr">
        <is>
          <t>SKELLEFTEÅ</t>
        </is>
      </c>
      <c r="G410" t="n">
        <v>13.6</v>
      </c>
      <c r="H410" t="n">
        <v>0</v>
      </c>
      <c r="I410" t="n">
        <v>0</v>
      </c>
      <c r="J410" t="n">
        <v>0</v>
      </c>
      <c r="K410" t="n">
        <v>0</v>
      </c>
      <c r="L410" t="n">
        <v>0</v>
      </c>
      <c r="M410" t="n">
        <v>0</v>
      </c>
      <c r="N410" t="n">
        <v>0</v>
      </c>
      <c r="O410" t="n">
        <v>0</v>
      </c>
      <c r="P410" t="n">
        <v>0</v>
      </c>
      <c r="Q410" t="n">
        <v>0</v>
      </c>
      <c r="R410" s="2" t="inlineStr"/>
    </row>
    <row r="411" ht="15" customHeight="1">
      <c r="A411" t="inlineStr">
        <is>
          <t>A 28525-2021</t>
        </is>
      </c>
      <c r="B411" s="1" t="n">
        <v>44356</v>
      </c>
      <c r="C411" s="1" t="n">
        <v>45931</v>
      </c>
      <c r="D411" t="inlineStr">
        <is>
          <t>VÄSTERBOTTENS LÄN</t>
        </is>
      </c>
      <c r="E411" t="inlineStr">
        <is>
          <t>SKELLEFTEÅ</t>
        </is>
      </c>
      <c r="F411" t="inlineStr">
        <is>
          <t>Kyrkan</t>
        </is>
      </c>
      <c r="G411" t="n">
        <v>2</v>
      </c>
      <c r="H411" t="n">
        <v>0</v>
      </c>
      <c r="I411" t="n">
        <v>0</v>
      </c>
      <c r="J411" t="n">
        <v>0</v>
      </c>
      <c r="K411" t="n">
        <v>0</v>
      </c>
      <c r="L411" t="n">
        <v>0</v>
      </c>
      <c r="M411" t="n">
        <v>0</v>
      </c>
      <c r="N411" t="n">
        <v>0</v>
      </c>
      <c r="O411" t="n">
        <v>0</v>
      </c>
      <c r="P411" t="n">
        <v>0</v>
      </c>
      <c r="Q411" t="n">
        <v>0</v>
      </c>
      <c r="R411" s="2" t="inlineStr"/>
    </row>
    <row r="412" ht="15" customHeight="1">
      <c r="A412" t="inlineStr">
        <is>
          <t>A 6837-2022</t>
        </is>
      </c>
      <c r="B412" s="1" t="n">
        <v>44602</v>
      </c>
      <c r="C412" s="1" t="n">
        <v>45931</v>
      </c>
      <c r="D412" t="inlineStr">
        <is>
          <t>VÄSTERBOTTENS LÄN</t>
        </is>
      </c>
      <c r="E412" t="inlineStr">
        <is>
          <t>SKELLEFTEÅ</t>
        </is>
      </c>
      <c r="G412" t="n">
        <v>1.5</v>
      </c>
      <c r="H412" t="n">
        <v>0</v>
      </c>
      <c r="I412" t="n">
        <v>0</v>
      </c>
      <c r="J412" t="n">
        <v>0</v>
      </c>
      <c r="K412" t="n">
        <v>0</v>
      </c>
      <c r="L412" t="n">
        <v>0</v>
      </c>
      <c r="M412" t="n">
        <v>0</v>
      </c>
      <c r="N412" t="n">
        <v>0</v>
      </c>
      <c r="O412" t="n">
        <v>0</v>
      </c>
      <c r="P412" t="n">
        <v>0</v>
      </c>
      <c r="Q412" t="n">
        <v>0</v>
      </c>
      <c r="R412" s="2" t="inlineStr"/>
    </row>
    <row r="413" ht="15" customHeight="1">
      <c r="A413" t="inlineStr">
        <is>
          <t>A 41993-2021</t>
        </is>
      </c>
      <c r="B413" s="1" t="n">
        <v>44426.47770833333</v>
      </c>
      <c r="C413" s="1" t="n">
        <v>45931</v>
      </c>
      <c r="D413" t="inlineStr">
        <is>
          <t>VÄSTERBOTTENS LÄN</t>
        </is>
      </c>
      <c r="E413" t="inlineStr">
        <is>
          <t>SKELLEFTEÅ</t>
        </is>
      </c>
      <c r="F413" t="inlineStr">
        <is>
          <t>Sveaskog</t>
        </is>
      </c>
      <c r="G413" t="n">
        <v>14.3</v>
      </c>
      <c r="H413" t="n">
        <v>0</v>
      </c>
      <c r="I413" t="n">
        <v>0</v>
      </c>
      <c r="J413" t="n">
        <v>0</v>
      </c>
      <c r="K413" t="n">
        <v>0</v>
      </c>
      <c r="L413" t="n">
        <v>0</v>
      </c>
      <c r="M413" t="n">
        <v>0</v>
      </c>
      <c r="N413" t="n">
        <v>0</v>
      </c>
      <c r="O413" t="n">
        <v>0</v>
      </c>
      <c r="P413" t="n">
        <v>0</v>
      </c>
      <c r="Q413" t="n">
        <v>0</v>
      </c>
      <c r="R413" s="2" t="inlineStr"/>
    </row>
    <row r="414" ht="15" customHeight="1">
      <c r="A414" t="inlineStr">
        <is>
          <t>A 16186-2023</t>
        </is>
      </c>
      <c r="B414" s="1" t="n">
        <v>45027.925625</v>
      </c>
      <c r="C414" s="1" t="n">
        <v>45931</v>
      </c>
      <c r="D414" t="inlineStr">
        <is>
          <t>VÄSTERBOTTENS LÄN</t>
        </is>
      </c>
      <c r="E414" t="inlineStr">
        <is>
          <t>SKELLEFTEÅ</t>
        </is>
      </c>
      <c r="G414" t="n">
        <v>12.4</v>
      </c>
      <c r="H414" t="n">
        <v>0</v>
      </c>
      <c r="I414" t="n">
        <v>0</v>
      </c>
      <c r="J414" t="n">
        <v>0</v>
      </c>
      <c r="K414" t="n">
        <v>0</v>
      </c>
      <c r="L414" t="n">
        <v>0</v>
      </c>
      <c r="M414" t="n">
        <v>0</v>
      </c>
      <c r="N414" t="n">
        <v>0</v>
      </c>
      <c r="O414" t="n">
        <v>0</v>
      </c>
      <c r="P414" t="n">
        <v>0</v>
      </c>
      <c r="Q414" t="n">
        <v>0</v>
      </c>
      <c r="R414" s="2" t="inlineStr"/>
    </row>
    <row r="415" ht="15" customHeight="1">
      <c r="A415" t="inlineStr">
        <is>
          <t>A 60209-2024</t>
        </is>
      </c>
      <c r="B415" s="1" t="n">
        <v>45642</v>
      </c>
      <c r="C415" s="1" t="n">
        <v>45931</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4700-2025</t>
        </is>
      </c>
      <c r="B416" s="1" t="n">
        <v>45688</v>
      </c>
      <c r="C416" s="1" t="n">
        <v>45931</v>
      </c>
      <c r="D416" t="inlineStr">
        <is>
          <t>VÄSTERBOTTENS LÄN</t>
        </is>
      </c>
      <c r="E416" t="inlineStr">
        <is>
          <t>SKELLEFTEÅ</t>
        </is>
      </c>
      <c r="G416" t="n">
        <v>3.4</v>
      </c>
      <c r="H416" t="n">
        <v>0</v>
      </c>
      <c r="I416" t="n">
        <v>0</v>
      </c>
      <c r="J416" t="n">
        <v>0</v>
      </c>
      <c r="K416" t="n">
        <v>0</v>
      </c>
      <c r="L416" t="n">
        <v>0</v>
      </c>
      <c r="M416" t="n">
        <v>0</v>
      </c>
      <c r="N416" t="n">
        <v>0</v>
      </c>
      <c r="O416" t="n">
        <v>0</v>
      </c>
      <c r="P416" t="n">
        <v>0</v>
      </c>
      <c r="Q416" t="n">
        <v>0</v>
      </c>
      <c r="R416" s="2" t="inlineStr"/>
    </row>
    <row r="417" ht="15" customHeight="1">
      <c r="A417" t="inlineStr">
        <is>
          <t>A 30959-2021</t>
        </is>
      </c>
      <c r="B417" s="1" t="n">
        <v>44365.71322916666</v>
      </c>
      <c r="C417" s="1" t="n">
        <v>45931</v>
      </c>
      <c r="D417" t="inlineStr">
        <is>
          <t>VÄSTERBOTTENS LÄN</t>
        </is>
      </c>
      <c r="E417" t="inlineStr">
        <is>
          <t>SKELLEFTEÅ</t>
        </is>
      </c>
      <c r="G417" t="n">
        <v>2.7</v>
      </c>
      <c r="H417" t="n">
        <v>0</v>
      </c>
      <c r="I417" t="n">
        <v>0</v>
      </c>
      <c r="J417" t="n">
        <v>0</v>
      </c>
      <c r="K417" t="n">
        <v>0</v>
      </c>
      <c r="L417" t="n">
        <v>0</v>
      </c>
      <c r="M417" t="n">
        <v>0</v>
      </c>
      <c r="N417" t="n">
        <v>0</v>
      </c>
      <c r="O417" t="n">
        <v>0</v>
      </c>
      <c r="P417" t="n">
        <v>0</v>
      </c>
      <c r="Q417" t="n">
        <v>0</v>
      </c>
      <c r="R417" s="2" t="inlineStr"/>
    </row>
    <row r="418" ht="15" customHeight="1">
      <c r="A418" t="inlineStr">
        <is>
          <t>A 42787-2023</t>
        </is>
      </c>
      <c r="B418" s="1" t="n">
        <v>45181</v>
      </c>
      <c r="C418" s="1" t="n">
        <v>45931</v>
      </c>
      <c r="D418" t="inlineStr">
        <is>
          <t>VÄSTERBOTTENS LÄN</t>
        </is>
      </c>
      <c r="E418" t="inlineStr">
        <is>
          <t>SKELLEFTEÅ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1959-2025</t>
        </is>
      </c>
      <c r="B419" s="1" t="n">
        <v>45671</v>
      </c>
      <c r="C419" s="1" t="n">
        <v>45931</v>
      </c>
      <c r="D419" t="inlineStr">
        <is>
          <t>VÄSTERBOTTENS LÄN</t>
        </is>
      </c>
      <c r="E419" t="inlineStr">
        <is>
          <t>SKELLEFTEÅ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15301-2025</t>
        </is>
      </c>
      <c r="B420" s="1" t="n">
        <v>45746.47777777778</v>
      </c>
      <c r="C420" s="1" t="n">
        <v>45931</v>
      </c>
      <c r="D420" t="inlineStr">
        <is>
          <t>VÄSTERBOTTENS LÄN</t>
        </is>
      </c>
      <c r="E420" t="inlineStr">
        <is>
          <t>SKELLEFTEÅ</t>
        </is>
      </c>
      <c r="G420" t="n">
        <v>4.1</v>
      </c>
      <c r="H420" t="n">
        <v>0</v>
      </c>
      <c r="I420" t="n">
        <v>0</v>
      </c>
      <c r="J420" t="n">
        <v>0</v>
      </c>
      <c r="K420" t="n">
        <v>0</v>
      </c>
      <c r="L420" t="n">
        <v>0</v>
      </c>
      <c r="M420" t="n">
        <v>0</v>
      </c>
      <c r="N420" t="n">
        <v>0</v>
      </c>
      <c r="O420" t="n">
        <v>0</v>
      </c>
      <c r="P420" t="n">
        <v>0</v>
      </c>
      <c r="Q420" t="n">
        <v>0</v>
      </c>
      <c r="R420" s="2" t="inlineStr"/>
    </row>
    <row r="421" ht="15" customHeight="1">
      <c r="A421" t="inlineStr">
        <is>
          <t>A 16248-2025</t>
        </is>
      </c>
      <c r="B421" s="1" t="n">
        <v>45750.67751157407</v>
      </c>
      <c r="C421" s="1" t="n">
        <v>45931</v>
      </c>
      <c r="D421" t="inlineStr">
        <is>
          <t>VÄSTERBOTTENS LÄN</t>
        </is>
      </c>
      <c r="E421" t="inlineStr">
        <is>
          <t>SKELLEFTEÅ</t>
        </is>
      </c>
      <c r="G421" t="n">
        <v>2.1</v>
      </c>
      <c r="H421" t="n">
        <v>0</v>
      </c>
      <c r="I421" t="n">
        <v>0</v>
      </c>
      <c r="J421" t="n">
        <v>0</v>
      </c>
      <c r="K421" t="n">
        <v>0</v>
      </c>
      <c r="L421" t="n">
        <v>0</v>
      </c>
      <c r="M421" t="n">
        <v>0</v>
      </c>
      <c r="N421" t="n">
        <v>0</v>
      </c>
      <c r="O421" t="n">
        <v>0</v>
      </c>
      <c r="P421" t="n">
        <v>0</v>
      </c>
      <c r="Q421" t="n">
        <v>0</v>
      </c>
      <c r="R421" s="2" t="inlineStr"/>
    </row>
    <row r="422" ht="15" customHeight="1">
      <c r="A422" t="inlineStr">
        <is>
          <t>A 16251-2025</t>
        </is>
      </c>
      <c r="B422" s="1" t="n">
        <v>45750.69998842593</v>
      </c>
      <c r="C422" s="1" t="n">
        <v>45931</v>
      </c>
      <c r="D422" t="inlineStr">
        <is>
          <t>VÄSTERBOTTENS LÄN</t>
        </is>
      </c>
      <c r="E422" t="inlineStr">
        <is>
          <t>SKELLEFTEÅ</t>
        </is>
      </c>
      <c r="F422" t="inlineStr">
        <is>
          <t>Kommuner</t>
        </is>
      </c>
      <c r="G422" t="n">
        <v>4.6</v>
      </c>
      <c r="H422" t="n">
        <v>0</v>
      </c>
      <c r="I422" t="n">
        <v>0</v>
      </c>
      <c r="J422" t="n">
        <v>0</v>
      </c>
      <c r="K422" t="n">
        <v>0</v>
      </c>
      <c r="L422" t="n">
        <v>0</v>
      </c>
      <c r="M422" t="n">
        <v>0</v>
      </c>
      <c r="N422" t="n">
        <v>0</v>
      </c>
      <c r="O422" t="n">
        <v>0</v>
      </c>
      <c r="P422" t="n">
        <v>0</v>
      </c>
      <c r="Q422" t="n">
        <v>0</v>
      </c>
      <c r="R422" s="2" t="inlineStr"/>
    </row>
    <row r="423" ht="15" customHeight="1">
      <c r="A423" t="inlineStr">
        <is>
          <t>A 16183-2023</t>
        </is>
      </c>
      <c r="B423" s="1" t="n">
        <v>45027</v>
      </c>
      <c r="C423" s="1" t="n">
        <v>45931</v>
      </c>
      <c r="D423" t="inlineStr">
        <is>
          <t>VÄSTERBOTTENS LÄN</t>
        </is>
      </c>
      <c r="E423" t="inlineStr">
        <is>
          <t>SKELLEFTEÅ</t>
        </is>
      </c>
      <c r="G423" t="n">
        <v>24.8</v>
      </c>
      <c r="H423" t="n">
        <v>0</v>
      </c>
      <c r="I423" t="n">
        <v>0</v>
      </c>
      <c r="J423" t="n">
        <v>0</v>
      </c>
      <c r="K423" t="n">
        <v>0</v>
      </c>
      <c r="L423" t="n">
        <v>0</v>
      </c>
      <c r="M423" t="n">
        <v>0</v>
      </c>
      <c r="N423" t="n">
        <v>0</v>
      </c>
      <c r="O423" t="n">
        <v>0</v>
      </c>
      <c r="P423" t="n">
        <v>0</v>
      </c>
      <c r="Q423" t="n">
        <v>0</v>
      </c>
      <c r="R423" s="2" t="inlineStr"/>
    </row>
    <row r="424" ht="15" customHeight="1">
      <c r="A424" t="inlineStr">
        <is>
          <t>A 1149-2021</t>
        </is>
      </c>
      <c r="B424" s="1" t="n">
        <v>44207</v>
      </c>
      <c r="C424" s="1" t="n">
        <v>45931</v>
      </c>
      <c r="D424" t="inlineStr">
        <is>
          <t>VÄSTERBOTTENS LÄN</t>
        </is>
      </c>
      <c r="E424" t="inlineStr">
        <is>
          <t>SKELLEFTEÅ</t>
        </is>
      </c>
      <c r="G424" t="n">
        <v>3.1</v>
      </c>
      <c r="H424" t="n">
        <v>0</v>
      </c>
      <c r="I424" t="n">
        <v>0</v>
      </c>
      <c r="J424" t="n">
        <v>0</v>
      </c>
      <c r="K424" t="n">
        <v>0</v>
      </c>
      <c r="L424" t="n">
        <v>0</v>
      </c>
      <c r="M424" t="n">
        <v>0</v>
      </c>
      <c r="N424" t="n">
        <v>0</v>
      </c>
      <c r="O424" t="n">
        <v>0</v>
      </c>
      <c r="P424" t="n">
        <v>0</v>
      </c>
      <c r="Q424" t="n">
        <v>0</v>
      </c>
      <c r="R424" s="2" t="inlineStr"/>
    </row>
    <row r="425" ht="15" customHeight="1">
      <c r="A425" t="inlineStr">
        <is>
          <t>A 62486-2021</t>
        </is>
      </c>
      <c r="B425" s="1" t="n">
        <v>44503</v>
      </c>
      <c r="C425" s="1" t="n">
        <v>45931</v>
      </c>
      <c r="D425" t="inlineStr">
        <is>
          <t>VÄSTERBOTTENS LÄN</t>
        </is>
      </c>
      <c r="E425" t="inlineStr">
        <is>
          <t>SKELLEFTEÅ</t>
        </is>
      </c>
      <c r="G425" t="n">
        <v>2.4</v>
      </c>
      <c r="H425" t="n">
        <v>0</v>
      </c>
      <c r="I425" t="n">
        <v>0</v>
      </c>
      <c r="J425" t="n">
        <v>0</v>
      </c>
      <c r="K425" t="n">
        <v>0</v>
      </c>
      <c r="L425" t="n">
        <v>0</v>
      </c>
      <c r="M425" t="n">
        <v>0</v>
      </c>
      <c r="N425" t="n">
        <v>0</v>
      </c>
      <c r="O425" t="n">
        <v>0</v>
      </c>
      <c r="P425" t="n">
        <v>0</v>
      </c>
      <c r="Q425" t="n">
        <v>0</v>
      </c>
      <c r="R425" s="2" t="inlineStr"/>
    </row>
    <row r="426" ht="15" customHeight="1">
      <c r="A426" t="inlineStr">
        <is>
          <t>A 4032-2024</t>
        </is>
      </c>
      <c r="B426" s="1" t="n">
        <v>45323.40850694444</v>
      </c>
      <c r="C426" s="1" t="n">
        <v>45931</v>
      </c>
      <c r="D426" t="inlineStr">
        <is>
          <t>VÄSTERBOTTENS LÄN</t>
        </is>
      </c>
      <c r="E426" t="inlineStr">
        <is>
          <t>SKELLEFTEÅ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7745-2024</t>
        </is>
      </c>
      <c r="B427" s="1" t="n">
        <v>45348</v>
      </c>
      <c r="C427" s="1" t="n">
        <v>45931</v>
      </c>
      <c r="D427" t="inlineStr">
        <is>
          <t>VÄSTERBOTTENS LÄN</t>
        </is>
      </c>
      <c r="E427" t="inlineStr">
        <is>
          <t>SKELLEFTEÅ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37855-2023</t>
        </is>
      </c>
      <c r="B428" s="1" t="n">
        <v>45160.40148148148</v>
      </c>
      <c r="C428" s="1" t="n">
        <v>45931</v>
      </c>
      <c r="D428" t="inlineStr">
        <is>
          <t>VÄSTERBOTTENS LÄN</t>
        </is>
      </c>
      <c r="E428" t="inlineStr">
        <is>
          <t>SKELLEFTEÅ</t>
        </is>
      </c>
      <c r="F428" t="inlineStr">
        <is>
          <t>Holmen skog AB</t>
        </is>
      </c>
      <c r="G428" t="n">
        <v>12.3</v>
      </c>
      <c r="H428" t="n">
        <v>0</v>
      </c>
      <c r="I428" t="n">
        <v>0</v>
      </c>
      <c r="J428" t="n">
        <v>0</v>
      </c>
      <c r="K428" t="n">
        <v>0</v>
      </c>
      <c r="L428" t="n">
        <v>0</v>
      </c>
      <c r="M428" t="n">
        <v>0</v>
      </c>
      <c r="N428" t="n">
        <v>0</v>
      </c>
      <c r="O428" t="n">
        <v>0</v>
      </c>
      <c r="P428" t="n">
        <v>0</v>
      </c>
      <c r="Q428" t="n">
        <v>0</v>
      </c>
      <c r="R428" s="2" t="inlineStr"/>
    </row>
    <row r="429" ht="15" customHeight="1">
      <c r="A429" t="inlineStr">
        <is>
          <t>A 64716-2023</t>
        </is>
      </c>
      <c r="B429" s="1" t="n">
        <v>45281</v>
      </c>
      <c r="C429" s="1" t="n">
        <v>45931</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5639-2024</t>
        </is>
      </c>
      <c r="B430" s="1" t="n">
        <v>45334.61408564815</v>
      </c>
      <c r="C430" s="1" t="n">
        <v>45931</v>
      </c>
      <c r="D430" t="inlineStr">
        <is>
          <t>VÄSTERBOTTENS LÄN</t>
        </is>
      </c>
      <c r="E430" t="inlineStr">
        <is>
          <t>SKELLEFTEÅ</t>
        </is>
      </c>
      <c r="G430" t="n">
        <v>9.4</v>
      </c>
      <c r="H430" t="n">
        <v>0</v>
      </c>
      <c r="I430" t="n">
        <v>0</v>
      </c>
      <c r="J430" t="n">
        <v>0</v>
      </c>
      <c r="K430" t="n">
        <v>0</v>
      </c>
      <c r="L430" t="n">
        <v>0</v>
      </c>
      <c r="M430" t="n">
        <v>0</v>
      </c>
      <c r="N430" t="n">
        <v>0</v>
      </c>
      <c r="O430" t="n">
        <v>0</v>
      </c>
      <c r="P430" t="n">
        <v>0</v>
      </c>
      <c r="Q430" t="n">
        <v>0</v>
      </c>
      <c r="R430" s="2" t="inlineStr"/>
    </row>
    <row r="431" ht="15" customHeight="1">
      <c r="A431" t="inlineStr">
        <is>
          <t>A 27560-2022</t>
        </is>
      </c>
      <c r="B431" s="1" t="n">
        <v>44742.9269212963</v>
      </c>
      <c r="C431" s="1" t="n">
        <v>45931</v>
      </c>
      <c r="D431" t="inlineStr">
        <is>
          <t>VÄSTERBOTTENS LÄN</t>
        </is>
      </c>
      <c r="E431" t="inlineStr">
        <is>
          <t>SKELLEFTEÅ</t>
        </is>
      </c>
      <c r="G431" t="n">
        <v>3.8</v>
      </c>
      <c r="H431" t="n">
        <v>0</v>
      </c>
      <c r="I431" t="n">
        <v>0</v>
      </c>
      <c r="J431" t="n">
        <v>0</v>
      </c>
      <c r="K431" t="n">
        <v>0</v>
      </c>
      <c r="L431" t="n">
        <v>0</v>
      </c>
      <c r="M431" t="n">
        <v>0</v>
      </c>
      <c r="N431" t="n">
        <v>0</v>
      </c>
      <c r="O431" t="n">
        <v>0</v>
      </c>
      <c r="P431" t="n">
        <v>0</v>
      </c>
      <c r="Q431" t="n">
        <v>0</v>
      </c>
      <c r="R431" s="2" t="inlineStr"/>
    </row>
    <row r="432" ht="15" customHeight="1">
      <c r="A432" t="inlineStr">
        <is>
          <t>A 15089-2025</t>
        </is>
      </c>
      <c r="B432" s="1" t="n">
        <v>45744.32665509259</v>
      </c>
      <c r="C432" s="1" t="n">
        <v>45931</v>
      </c>
      <c r="D432" t="inlineStr">
        <is>
          <t>VÄSTERBOTTENS LÄN</t>
        </is>
      </c>
      <c r="E432" t="inlineStr">
        <is>
          <t>SKELLEFTEÅ</t>
        </is>
      </c>
      <c r="G432" t="n">
        <v>2.5</v>
      </c>
      <c r="H432" t="n">
        <v>0</v>
      </c>
      <c r="I432" t="n">
        <v>0</v>
      </c>
      <c r="J432" t="n">
        <v>0</v>
      </c>
      <c r="K432" t="n">
        <v>0</v>
      </c>
      <c r="L432" t="n">
        <v>0</v>
      </c>
      <c r="M432" t="n">
        <v>0</v>
      </c>
      <c r="N432" t="n">
        <v>0</v>
      </c>
      <c r="O432" t="n">
        <v>0</v>
      </c>
      <c r="P432" t="n">
        <v>0</v>
      </c>
      <c r="Q432" t="n">
        <v>0</v>
      </c>
      <c r="R432" s="2" t="inlineStr"/>
    </row>
    <row r="433" ht="15" customHeight="1">
      <c r="A433" t="inlineStr">
        <is>
          <t>A 2308-2025</t>
        </is>
      </c>
      <c r="B433" s="1" t="n">
        <v>45673.60113425926</v>
      </c>
      <c r="C433" s="1" t="n">
        <v>45931</v>
      </c>
      <c r="D433" t="inlineStr">
        <is>
          <t>VÄSTERBOTTENS LÄN</t>
        </is>
      </c>
      <c r="E433" t="inlineStr">
        <is>
          <t>SKELLEFTEÅ</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34713-2024</t>
        </is>
      </c>
      <c r="B434" s="1" t="n">
        <v>45526.56255787037</v>
      </c>
      <c r="C434" s="1" t="n">
        <v>45931</v>
      </c>
      <c r="D434" t="inlineStr">
        <is>
          <t>VÄSTERBOTTENS LÄN</t>
        </is>
      </c>
      <c r="E434" t="inlineStr">
        <is>
          <t>SKELLEFTEÅ</t>
        </is>
      </c>
      <c r="G434" t="n">
        <v>0.9</v>
      </c>
      <c r="H434" t="n">
        <v>0</v>
      </c>
      <c r="I434" t="n">
        <v>0</v>
      </c>
      <c r="J434" t="n">
        <v>0</v>
      </c>
      <c r="K434" t="n">
        <v>0</v>
      </c>
      <c r="L434" t="n">
        <v>0</v>
      </c>
      <c r="M434" t="n">
        <v>0</v>
      </c>
      <c r="N434" t="n">
        <v>0</v>
      </c>
      <c r="O434" t="n">
        <v>0</v>
      </c>
      <c r="P434" t="n">
        <v>0</v>
      </c>
      <c r="Q434" t="n">
        <v>0</v>
      </c>
      <c r="R434" s="2" t="inlineStr"/>
    </row>
    <row r="435" ht="15" customHeight="1">
      <c r="A435" t="inlineStr">
        <is>
          <t>A 2393-2025</t>
        </is>
      </c>
      <c r="B435" s="1" t="n">
        <v>45674.33457175926</v>
      </c>
      <c r="C435" s="1" t="n">
        <v>45931</v>
      </c>
      <c r="D435" t="inlineStr">
        <is>
          <t>VÄSTERBOTTENS LÄN</t>
        </is>
      </c>
      <c r="E435" t="inlineStr">
        <is>
          <t>SKELLEFTEÅ</t>
        </is>
      </c>
      <c r="G435" t="n">
        <v>10.2</v>
      </c>
      <c r="H435" t="n">
        <v>0</v>
      </c>
      <c r="I435" t="n">
        <v>0</v>
      </c>
      <c r="J435" t="n">
        <v>0</v>
      </c>
      <c r="K435" t="n">
        <v>0</v>
      </c>
      <c r="L435" t="n">
        <v>0</v>
      </c>
      <c r="M435" t="n">
        <v>0</v>
      </c>
      <c r="N435" t="n">
        <v>0</v>
      </c>
      <c r="O435" t="n">
        <v>0</v>
      </c>
      <c r="P435" t="n">
        <v>0</v>
      </c>
      <c r="Q435" t="n">
        <v>0</v>
      </c>
      <c r="R435" s="2" t="inlineStr"/>
    </row>
    <row r="436" ht="15" customHeight="1">
      <c r="A436" t="inlineStr">
        <is>
          <t>A 14774-2025</t>
        </is>
      </c>
      <c r="B436" s="1" t="n">
        <v>45742.69414351852</v>
      </c>
      <c r="C436" s="1" t="n">
        <v>45931</v>
      </c>
      <c r="D436" t="inlineStr">
        <is>
          <t>VÄSTERBOTTENS LÄN</t>
        </is>
      </c>
      <c r="E436" t="inlineStr">
        <is>
          <t>SKELLEFTEÅ</t>
        </is>
      </c>
      <c r="G436" t="n">
        <v>1.4</v>
      </c>
      <c r="H436" t="n">
        <v>0</v>
      </c>
      <c r="I436" t="n">
        <v>0</v>
      </c>
      <c r="J436" t="n">
        <v>0</v>
      </c>
      <c r="K436" t="n">
        <v>0</v>
      </c>
      <c r="L436" t="n">
        <v>0</v>
      </c>
      <c r="M436" t="n">
        <v>0</v>
      </c>
      <c r="N436" t="n">
        <v>0</v>
      </c>
      <c r="O436" t="n">
        <v>0</v>
      </c>
      <c r="P436" t="n">
        <v>0</v>
      </c>
      <c r="Q436" t="n">
        <v>0</v>
      </c>
      <c r="R436" s="2" t="inlineStr"/>
    </row>
    <row r="437" ht="15" customHeight="1">
      <c r="A437" t="inlineStr">
        <is>
          <t>A 22568-2021</t>
        </is>
      </c>
      <c r="B437" s="1" t="n">
        <v>44322</v>
      </c>
      <c r="C437" s="1" t="n">
        <v>45931</v>
      </c>
      <c r="D437" t="inlineStr">
        <is>
          <t>VÄSTERBOTTENS LÄN</t>
        </is>
      </c>
      <c r="E437" t="inlineStr">
        <is>
          <t>SKELLEFTEÅ</t>
        </is>
      </c>
      <c r="G437" t="n">
        <v>1.4</v>
      </c>
      <c r="H437" t="n">
        <v>0</v>
      </c>
      <c r="I437" t="n">
        <v>0</v>
      </c>
      <c r="J437" t="n">
        <v>0</v>
      </c>
      <c r="K437" t="n">
        <v>0</v>
      </c>
      <c r="L437" t="n">
        <v>0</v>
      </c>
      <c r="M437" t="n">
        <v>0</v>
      </c>
      <c r="N437" t="n">
        <v>0</v>
      </c>
      <c r="O437" t="n">
        <v>0</v>
      </c>
      <c r="P437" t="n">
        <v>0</v>
      </c>
      <c r="Q437" t="n">
        <v>0</v>
      </c>
      <c r="R437" s="2" t="inlineStr"/>
    </row>
    <row r="438" ht="15" customHeight="1">
      <c r="A438" t="inlineStr">
        <is>
          <t>A 15906-2023</t>
        </is>
      </c>
      <c r="B438" s="1" t="n">
        <v>45021</v>
      </c>
      <c r="C438" s="1" t="n">
        <v>45931</v>
      </c>
      <c r="D438" t="inlineStr">
        <is>
          <t>VÄSTERBOTTENS LÄN</t>
        </is>
      </c>
      <c r="E438" t="inlineStr">
        <is>
          <t>SKELLEFTEÅ</t>
        </is>
      </c>
      <c r="G438" t="n">
        <v>7</v>
      </c>
      <c r="H438" t="n">
        <v>0</v>
      </c>
      <c r="I438" t="n">
        <v>0</v>
      </c>
      <c r="J438" t="n">
        <v>0</v>
      </c>
      <c r="K438" t="n">
        <v>0</v>
      </c>
      <c r="L438" t="n">
        <v>0</v>
      </c>
      <c r="M438" t="n">
        <v>0</v>
      </c>
      <c r="N438" t="n">
        <v>0</v>
      </c>
      <c r="O438" t="n">
        <v>0</v>
      </c>
      <c r="P438" t="n">
        <v>0</v>
      </c>
      <c r="Q438" t="n">
        <v>0</v>
      </c>
      <c r="R438" s="2" t="inlineStr"/>
    </row>
    <row r="439" ht="15" customHeight="1">
      <c r="A439" t="inlineStr">
        <is>
          <t>A 38995-2022</t>
        </is>
      </c>
      <c r="B439" s="1" t="n">
        <v>44816</v>
      </c>
      <c r="C439" s="1" t="n">
        <v>45931</v>
      </c>
      <c r="D439" t="inlineStr">
        <is>
          <t>VÄSTERBOTTENS LÄN</t>
        </is>
      </c>
      <c r="E439" t="inlineStr">
        <is>
          <t>SKELLEFTEÅ</t>
        </is>
      </c>
      <c r="G439" t="n">
        <v>2.1</v>
      </c>
      <c r="H439" t="n">
        <v>0</v>
      </c>
      <c r="I439" t="n">
        <v>0</v>
      </c>
      <c r="J439" t="n">
        <v>0</v>
      </c>
      <c r="K439" t="n">
        <v>0</v>
      </c>
      <c r="L439" t="n">
        <v>0</v>
      </c>
      <c r="M439" t="n">
        <v>0</v>
      </c>
      <c r="N439" t="n">
        <v>0</v>
      </c>
      <c r="O439" t="n">
        <v>0</v>
      </c>
      <c r="P439" t="n">
        <v>0</v>
      </c>
      <c r="Q439" t="n">
        <v>0</v>
      </c>
      <c r="R439" s="2" t="inlineStr"/>
    </row>
    <row r="440" ht="15" customHeight="1">
      <c r="A440" t="inlineStr">
        <is>
          <t>A 70748-2021</t>
        </is>
      </c>
      <c r="B440" s="1" t="n">
        <v>44537.63729166667</v>
      </c>
      <c r="C440" s="1" t="n">
        <v>45931</v>
      </c>
      <c r="D440" t="inlineStr">
        <is>
          <t>VÄSTERBOTTENS LÄN</t>
        </is>
      </c>
      <c r="E440" t="inlineStr">
        <is>
          <t>SKELLEFTEÅ</t>
        </is>
      </c>
      <c r="G440" t="n">
        <v>3.4</v>
      </c>
      <c r="H440" t="n">
        <v>0</v>
      </c>
      <c r="I440" t="n">
        <v>0</v>
      </c>
      <c r="J440" t="n">
        <v>0</v>
      </c>
      <c r="K440" t="n">
        <v>0</v>
      </c>
      <c r="L440" t="n">
        <v>0</v>
      </c>
      <c r="M440" t="n">
        <v>0</v>
      </c>
      <c r="N440" t="n">
        <v>0</v>
      </c>
      <c r="O440" t="n">
        <v>0</v>
      </c>
      <c r="P440" t="n">
        <v>0</v>
      </c>
      <c r="Q440" t="n">
        <v>0</v>
      </c>
      <c r="R440" s="2" t="inlineStr"/>
    </row>
    <row r="441" ht="15" customHeight="1">
      <c r="A441" t="inlineStr">
        <is>
          <t>A 44398-2022</t>
        </is>
      </c>
      <c r="B441" s="1" t="n">
        <v>44839</v>
      </c>
      <c r="C441" s="1" t="n">
        <v>45931</v>
      </c>
      <c r="D441" t="inlineStr">
        <is>
          <t>VÄSTERBOTTENS LÄN</t>
        </is>
      </c>
      <c r="E441" t="inlineStr">
        <is>
          <t>SKELLEFTEÅ</t>
        </is>
      </c>
      <c r="F441" t="inlineStr">
        <is>
          <t>Sveaskog</t>
        </is>
      </c>
      <c r="G441" t="n">
        <v>22.3</v>
      </c>
      <c r="H441" t="n">
        <v>0</v>
      </c>
      <c r="I441" t="n">
        <v>0</v>
      </c>
      <c r="J441" t="n">
        <v>0</v>
      </c>
      <c r="K441" t="n">
        <v>0</v>
      </c>
      <c r="L441" t="n">
        <v>0</v>
      </c>
      <c r="M441" t="n">
        <v>0</v>
      </c>
      <c r="N441" t="n">
        <v>0</v>
      </c>
      <c r="O441" t="n">
        <v>0</v>
      </c>
      <c r="P441" t="n">
        <v>0</v>
      </c>
      <c r="Q441" t="n">
        <v>0</v>
      </c>
      <c r="R441" s="2" t="inlineStr"/>
    </row>
    <row r="442" ht="15" customHeight="1">
      <c r="A442" t="inlineStr">
        <is>
          <t>A 31871-2024</t>
        </is>
      </c>
      <c r="B442" s="1" t="n">
        <v>45509.92899305555</v>
      </c>
      <c r="C442" s="1" t="n">
        <v>45931</v>
      </c>
      <c r="D442" t="inlineStr">
        <is>
          <t>VÄSTERBOTTENS LÄN</t>
        </is>
      </c>
      <c r="E442" t="inlineStr">
        <is>
          <t>SKELLEFTEÅ</t>
        </is>
      </c>
      <c r="G442" t="n">
        <v>3</v>
      </c>
      <c r="H442" t="n">
        <v>0</v>
      </c>
      <c r="I442" t="n">
        <v>0</v>
      </c>
      <c r="J442" t="n">
        <v>0</v>
      </c>
      <c r="K442" t="n">
        <v>0</v>
      </c>
      <c r="L442" t="n">
        <v>0</v>
      </c>
      <c r="M442" t="n">
        <v>0</v>
      </c>
      <c r="N442" t="n">
        <v>0</v>
      </c>
      <c r="O442" t="n">
        <v>0</v>
      </c>
      <c r="P442" t="n">
        <v>0</v>
      </c>
      <c r="Q442" t="n">
        <v>0</v>
      </c>
      <c r="R442" s="2" t="inlineStr"/>
    </row>
    <row r="443" ht="15" customHeight="1">
      <c r="A443" t="inlineStr">
        <is>
          <t>A 52493-2023</t>
        </is>
      </c>
      <c r="B443" s="1" t="n">
        <v>45225.45331018518</v>
      </c>
      <c r="C443" s="1" t="n">
        <v>45931</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34508-2023</t>
        </is>
      </c>
      <c r="B444" s="1" t="n">
        <v>45133</v>
      </c>
      <c r="C444" s="1" t="n">
        <v>45931</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16856-2025</t>
        </is>
      </c>
      <c r="B445" s="1" t="n">
        <v>45754</v>
      </c>
      <c r="C445" s="1" t="n">
        <v>45931</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52497-2022</t>
        </is>
      </c>
      <c r="B446" s="1" t="n">
        <v>44869</v>
      </c>
      <c r="C446" s="1" t="n">
        <v>45931</v>
      </c>
      <c r="D446" t="inlineStr">
        <is>
          <t>VÄSTERBOTTENS LÄN</t>
        </is>
      </c>
      <c r="E446" t="inlineStr">
        <is>
          <t>SKELLEFTEÅ</t>
        </is>
      </c>
      <c r="G446" t="n">
        <v>1.4</v>
      </c>
      <c r="H446" t="n">
        <v>0</v>
      </c>
      <c r="I446" t="n">
        <v>0</v>
      </c>
      <c r="J446" t="n">
        <v>0</v>
      </c>
      <c r="K446" t="n">
        <v>0</v>
      </c>
      <c r="L446" t="n">
        <v>0</v>
      </c>
      <c r="M446" t="n">
        <v>0</v>
      </c>
      <c r="N446" t="n">
        <v>0</v>
      </c>
      <c r="O446" t="n">
        <v>0</v>
      </c>
      <c r="P446" t="n">
        <v>0</v>
      </c>
      <c r="Q446" t="n">
        <v>0</v>
      </c>
      <c r="R446" s="2" t="inlineStr"/>
    </row>
    <row r="447" ht="15" customHeight="1">
      <c r="A447" t="inlineStr">
        <is>
          <t>A 18478-2023</t>
        </is>
      </c>
      <c r="B447" s="1" t="n">
        <v>45042.58392361111</v>
      </c>
      <c r="C447" s="1" t="n">
        <v>45931</v>
      </c>
      <c r="D447" t="inlineStr">
        <is>
          <t>VÄSTERBOTTENS LÄN</t>
        </is>
      </c>
      <c r="E447" t="inlineStr">
        <is>
          <t>SKELLEFTEÅ</t>
        </is>
      </c>
      <c r="G447" t="n">
        <v>2.7</v>
      </c>
      <c r="H447" t="n">
        <v>0</v>
      </c>
      <c r="I447" t="n">
        <v>0</v>
      </c>
      <c r="J447" t="n">
        <v>0</v>
      </c>
      <c r="K447" t="n">
        <v>0</v>
      </c>
      <c r="L447" t="n">
        <v>0</v>
      </c>
      <c r="M447" t="n">
        <v>0</v>
      </c>
      <c r="N447" t="n">
        <v>0</v>
      </c>
      <c r="O447" t="n">
        <v>0</v>
      </c>
      <c r="P447" t="n">
        <v>0</v>
      </c>
      <c r="Q447" t="n">
        <v>0</v>
      </c>
      <c r="R447" s="2" t="inlineStr"/>
    </row>
    <row r="448" ht="15" customHeight="1">
      <c r="A448" t="inlineStr">
        <is>
          <t>A 62325-2022</t>
        </is>
      </c>
      <c r="B448" s="1" t="n">
        <v>44916</v>
      </c>
      <c r="C448" s="1" t="n">
        <v>45931</v>
      </c>
      <c r="D448" t="inlineStr">
        <is>
          <t>VÄSTERBOTTENS LÄN</t>
        </is>
      </c>
      <c r="E448" t="inlineStr">
        <is>
          <t>SKELLEFTEÅ</t>
        </is>
      </c>
      <c r="G448" t="n">
        <v>0.4</v>
      </c>
      <c r="H448" t="n">
        <v>0</v>
      </c>
      <c r="I448" t="n">
        <v>0</v>
      </c>
      <c r="J448" t="n">
        <v>0</v>
      </c>
      <c r="K448" t="n">
        <v>0</v>
      </c>
      <c r="L448" t="n">
        <v>0</v>
      </c>
      <c r="M448" t="n">
        <v>0</v>
      </c>
      <c r="N448" t="n">
        <v>0</v>
      </c>
      <c r="O448" t="n">
        <v>0</v>
      </c>
      <c r="P448" t="n">
        <v>0</v>
      </c>
      <c r="Q448" t="n">
        <v>0</v>
      </c>
      <c r="R448" s="2" t="inlineStr"/>
    </row>
    <row r="449" ht="15" customHeight="1">
      <c r="A449" t="inlineStr">
        <is>
          <t>A 11078-2024</t>
        </is>
      </c>
      <c r="B449" s="1" t="n">
        <v>45370</v>
      </c>
      <c r="C449" s="1" t="n">
        <v>45931</v>
      </c>
      <c r="D449" t="inlineStr">
        <is>
          <t>VÄSTERBOTTENS LÄN</t>
        </is>
      </c>
      <c r="E449" t="inlineStr">
        <is>
          <t>SKELLEFTEÅ</t>
        </is>
      </c>
      <c r="G449" t="n">
        <v>9.1</v>
      </c>
      <c r="H449" t="n">
        <v>0</v>
      </c>
      <c r="I449" t="n">
        <v>0</v>
      </c>
      <c r="J449" t="n">
        <v>0</v>
      </c>
      <c r="K449" t="n">
        <v>0</v>
      </c>
      <c r="L449" t="n">
        <v>0</v>
      </c>
      <c r="M449" t="n">
        <v>0</v>
      </c>
      <c r="N449" t="n">
        <v>0</v>
      </c>
      <c r="O449" t="n">
        <v>0</v>
      </c>
      <c r="P449" t="n">
        <v>0</v>
      </c>
      <c r="Q449" t="n">
        <v>0</v>
      </c>
      <c r="R449" s="2" t="inlineStr"/>
    </row>
    <row r="450" ht="15" customHeight="1">
      <c r="A450" t="inlineStr">
        <is>
          <t>A 14663-2024</t>
        </is>
      </c>
      <c r="B450" s="1" t="n">
        <v>45397.41376157408</v>
      </c>
      <c r="C450" s="1" t="n">
        <v>45931</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16604-2025</t>
        </is>
      </c>
      <c r="B451" s="1" t="n">
        <v>45753</v>
      </c>
      <c r="C451" s="1" t="n">
        <v>45931</v>
      </c>
      <c r="D451" t="inlineStr">
        <is>
          <t>VÄSTERBOTTENS LÄN</t>
        </is>
      </c>
      <c r="E451" t="inlineStr">
        <is>
          <t>SKELLEFTEÅ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41006-2023</t>
        </is>
      </c>
      <c r="B452" s="1" t="n">
        <v>45173</v>
      </c>
      <c r="C452" s="1" t="n">
        <v>45931</v>
      </c>
      <c r="D452" t="inlineStr">
        <is>
          <t>VÄSTERBOTTENS LÄN</t>
        </is>
      </c>
      <c r="E452" t="inlineStr">
        <is>
          <t>SKELLEFTEÅ</t>
        </is>
      </c>
      <c r="G452" t="n">
        <v>7.7</v>
      </c>
      <c r="H452" t="n">
        <v>0</v>
      </c>
      <c r="I452" t="n">
        <v>0</v>
      </c>
      <c r="J452" t="n">
        <v>0</v>
      </c>
      <c r="K452" t="n">
        <v>0</v>
      </c>
      <c r="L452" t="n">
        <v>0</v>
      </c>
      <c r="M452" t="n">
        <v>0</v>
      </c>
      <c r="N452" t="n">
        <v>0</v>
      </c>
      <c r="O452" t="n">
        <v>0</v>
      </c>
      <c r="P452" t="n">
        <v>0</v>
      </c>
      <c r="Q452" t="n">
        <v>0</v>
      </c>
      <c r="R452" s="2" t="inlineStr"/>
    </row>
    <row r="453" ht="15" customHeight="1">
      <c r="A453" t="inlineStr">
        <is>
          <t>A 5133-2025</t>
        </is>
      </c>
      <c r="B453" s="1" t="n">
        <v>45691.57523148148</v>
      </c>
      <c r="C453" s="1" t="n">
        <v>45931</v>
      </c>
      <c r="D453" t="inlineStr">
        <is>
          <t>VÄSTERBOTTENS LÄN</t>
        </is>
      </c>
      <c r="E453" t="inlineStr">
        <is>
          <t>SKELLEFTEÅ</t>
        </is>
      </c>
      <c r="G453" t="n">
        <v>7.1</v>
      </c>
      <c r="H453" t="n">
        <v>0</v>
      </c>
      <c r="I453" t="n">
        <v>0</v>
      </c>
      <c r="J453" t="n">
        <v>0</v>
      </c>
      <c r="K453" t="n">
        <v>0</v>
      </c>
      <c r="L453" t="n">
        <v>0</v>
      </c>
      <c r="M453" t="n">
        <v>0</v>
      </c>
      <c r="N453" t="n">
        <v>0</v>
      </c>
      <c r="O453" t="n">
        <v>0</v>
      </c>
      <c r="P453" t="n">
        <v>0</v>
      </c>
      <c r="Q453" t="n">
        <v>0</v>
      </c>
      <c r="R453" s="2" t="inlineStr"/>
    </row>
    <row r="454" ht="15" customHeight="1">
      <c r="A454" t="inlineStr">
        <is>
          <t>A 21152-2024</t>
        </is>
      </c>
      <c r="B454" s="1" t="n">
        <v>45440</v>
      </c>
      <c r="C454" s="1" t="n">
        <v>45931</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28148-2023</t>
        </is>
      </c>
      <c r="B455" s="1" t="n">
        <v>45099.48684027778</v>
      </c>
      <c r="C455" s="1" t="n">
        <v>45931</v>
      </c>
      <c r="D455" t="inlineStr">
        <is>
          <t>VÄSTERBOTTENS LÄN</t>
        </is>
      </c>
      <c r="E455" t="inlineStr">
        <is>
          <t>SKELLEFTEÅ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24352-2024</t>
        </is>
      </c>
      <c r="B456" s="1" t="n">
        <v>45457.59247685185</v>
      </c>
      <c r="C456" s="1" t="n">
        <v>45931</v>
      </c>
      <c r="D456" t="inlineStr">
        <is>
          <t>VÄSTERBOTTENS LÄN</t>
        </is>
      </c>
      <c r="E456" t="inlineStr">
        <is>
          <t>SKELLEFTEÅ</t>
        </is>
      </c>
      <c r="G456" t="n">
        <v>5.4</v>
      </c>
      <c r="H456" t="n">
        <v>0</v>
      </c>
      <c r="I456" t="n">
        <v>0</v>
      </c>
      <c r="J456" t="n">
        <v>0</v>
      </c>
      <c r="K456" t="n">
        <v>0</v>
      </c>
      <c r="L456" t="n">
        <v>0</v>
      </c>
      <c r="M456" t="n">
        <v>0</v>
      </c>
      <c r="N456" t="n">
        <v>0</v>
      </c>
      <c r="O456" t="n">
        <v>0</v>
      </c>
      <c r="P456" t="n">
        <v>0</v>
      </c>
      <c r="Q456" t="n">
        <v>0</v>
      </c>
      <c r="R456" s="2" t="inlineStr"/>
    </row>
    <row r="457" ht="15" customHeight="1">
      <c r="A457" t="inlineStr">
        <is>
          <t>A 31167-2024</t>
        </is>
      </c>
      <c r="B457" s="1" t="n">
        <v>45503.39758101852</v>
      </c>
      <c r="C457" s="1" t="n">
        <v>45931</v>
      </c>
      <c r="D457" t="inlineStr">
        <is>
          <t>VÄSTERBOTTENS LÄN</t>
        </is>
      </c>
      <c r="E457" t="inlineStr">
        <is>
          <t>SKELLEFTEÅ</t>
        </is>
      </c>
      <c r="F457" t="inlineStr">
        <is>
          <t>Holmen skog AB</t>
        </is>
      </c>
      <c r="G457" t="n">
        <v>3.2</v>
      </c>
      <c r="H457" t="n">
        <v>0</v>
      </c>
      <c r="I457" t="n">
        <v>0</v>
      </c>
      <c r="J457" t="n">
        <v>0</v>
      </c>
      <c r="K457" t="n">
        <v>0</v>
      </c>
      <c r="L457" t="n">
        <v>0</v>
      </c>
      <c r="M457" t="n">
        <v>0</v>
      </c>
      <c r="N457" t="n">
        <v>0</v>
      </c>
      <c r="O457" t="n">
        <v>0</v>
      </c>
      <c r="P457" t="n">
        <v>0</v>
      </c>
      <c r="Q457" t="n">
        <v>0</v>
      </c>
      <c r="R457" s="2" t="inlineStr"/>
    </row>
    <row r="458" ht="15" customHeight="1">
      <c r="A458" t="inlineStr">
        <is>
          <t>A 4104-2023</t>
        </is>
      </c>
      <c r="B458" s="1" t="n">
        <v>44952</v>
      </c>
      <c r="C458" s="1" t="n">
        <v>45931</v>
      </c>
      <c r="D458" t="inlineStr">
        <is>
          <t>VÄSTERBOTTENS LÄN</t>
        </is>
      </c>
      <c r="E458" t="inlineStr">
        <is>
          <t>SKELLEFTEÅ</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62504-2023</t>
        </is>
      </c>
      <c r="B459" s="1" t="n">
        <v>45268</v>
      </c>
      <c r="C459" s="1" t="n">
        <v>45931</v>
      </c>
      <c r="D459" t="inlineStr">
        <is>
          <t>VÄSTERBOTTENS LÄN</t>
        </is>
      </c>
      <c r="E459" t="inlineStr">
        <is>
          <t>SKELLEFTEÅ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17506-2024</t>
        </is>
      </c>
      <c r="B460" s="1" t="n">
        <v>45415</v>
      </c>
      <c r="C460" s="1" t="n">
        <v>45931</v>
      </c>
      <c r="D460" t="inlineStr">
        <is>
          <t>VÄSTERBOTTENS LÄN</t>
        </is>
      </c>
      <c r="E460" t="inlineStr">
        <is>
          <t>SKELLEFTEÅ</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6723-2024</t>
        </is>
      </c>
      <c r="B461" s="1" t="n">
        <v>45342.37591435185</v>
      </c>
      <c r="C461" s="1" t="n">
        <v>45931</v>
      </c>
      <c r="D461" t="inlineStr">
        <is>
          <t>VÄSTERBOTTENS LÄN</t>
        </is>
      </c>
      <c r="E461" t="inlineStr">
        <is>
          <t>SKELLEFTEÅ</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560-2025</t>
        </is>
      </c>
      <c r="B462" s="1" t="n">
        <v>45660</v>
      </c>
      <c r="C462" s="1" t="n">
        <v>45931</v>
      </c>
      <c r="D462" t="inlineStr">
        <is>
          <t>VÄSTERBOTTENS LÄN</t>
        </is>
      </c>
      <c r="E462" t="inlineStr">
        <is>
          <t>SKELLEFTEÅ</t>
        </is>
      </c>
      <c r="G462" t="n">
        <v>5</v>
      </c>
      <c r="H462" t="n">
        <v>0</v>
      </c>
      <c r="I462" t="n">
        <v>0</v>
      </c>
      <c r="J462" t="n">
        <v>0</v>
      </c>
      <c r="K462" t="n">
        <v>0</v>
      </c>
      <c r="L462" t="n">
        <v>0</v>
      </c>
      <c r="M462" t="n">
        <v>0</v>
      </c>
      <c r="N462" t="n">
        <v>0</v>
      </c>
      <c r="O462" t="n">
        <v>0</v>
      </c>
      <c r="P462" t="n">
        <v>0</v>
      </c>
      <c r="Q462" t="n">
        <v>0</v>
      </c>
      <c r="R462" s="2" t="inlineStr"/>
    </row>
    <row r="463" ht="15" customHeight="1">
      <c r="A463" t="inlineStr">
        <is>
          <t>A 11843-2025</t>
        </is>
      </c>
      <c r="B463" s="1" t="n">
        <v>45728</v>
      </c>
      <c r="C463" s="1" t="n">
        <v>45931</v>
      </c>
      <c r="D463" t="inlineStr">
        <is>
          <t>VÄSTERBOTTENS LÄN</t>
        </is>
      </c>
      <c r="E463" t="inlineStr">
        <is>
          <t>SKELLEFTEÅ</t>
        </is>
      </c>
      <c r="G463" t="n">
        <v>5.1</v>
      </c>
      <c r="H463" t="n">
        <v>0</v>
      </c>
      <c r="I463" t="n">
        <v>0</v>
      </c>
      <c r="J463" t="n">
        <v>0</v>
      </c>
      <c r="K463" t="n">
        <v>0</v>
      </c>
      <c r="L463" t="n">
        <v>0</v>
      </c>
      <c r="M463" t="n">
        <v>0</v>
      </c>
      <c r="N463" t="n">
        <v>0</v>
      </c>
      <c r="O463" t="n">
        <v>0</v>
      </c>
      <c r="P463" t="n">
        <v>0</v>
      </c>
      <c r="Q463" t="n">
        <v>0</v>
      </c>
      <c r="R463" s="2" t="inlineStr"/>
    </row>
    <row r="464" ht="15" customHeight="1">
      <c r="A464" t="inlineStr">
        <is>
          <t>A 52245-2024</t>
        </is>
      </c>
      <c r="B464" s="1" t="n">
        <v>45608.62322916667</v>
      </c>
      <c r="C464" s="1" t="n">
        <v>45931</v>
      </c>
      <c r="D464" t="inlineStr">
        <is>
          <t>VÄSTERBOTTENS LÄN</t>
        </is>
      </c>
      <c r="E464" t="inlineStr">
        <is>
          <t>SKELLEFTEÅ</t>
        </is>
      </c>
      <c r="G464" t="n">
        <v>6.5</v>
      </c>
      <c r="H464" t="n">
        <v>0</v>
      </c>
      <c r="I464" t="n">
        <v>0</v>
      </c>
      <c r="J464" t="n">
        <v>0</v>
      </c>
      <c r="K464" t="n">
        <v>0</v>
      </c>
      <c r="L464" t="n">
        <v>0</v>
      </c>
      <c r="M464" t="n">
        <v>0</v>
      </c>
      <c r="N464" t="n">
        <v>0</v>
      </c>
      <c r="O464" t="n">
        <v>0</v>
      </c>
      <c r="P464" t="n">
        <v>0</v>
      </c>
      <c r="Q464" t="n">
        <v>0</v>
      </c>
      <c r="R464" s="2" t="inlineStr"/>
    </row>
    <row r="465" ht="15" customHeight="1">
      <c r="A465" t="inlineStr">
        <is>
          <t>A 9448-2025</t>
        </is>
      </c>
      <c r="B465" s="1" t="n">
        <v>45715.42537037037</v>
      </c>
      <c r="C465" s="1" t="n">
        <v>45931</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30901-2024</t>
        </is>
      </c>
      <c r="B466" s="1" t="n">
        <v>45498</v>
      </c>
      <c r="C466" s="1" t="n">
        <v>45931</v>
      </c>
      <c r="D466" t="inlineStr">
        <is>
          <t>VÄSTERBOTTENS LÄN</t>
        </is>
      </c>
      <c r="E466" t="inlineStr">
        <is>
          <t>SKELLEFTEÅ</t>
        </is>
      </c>
      <c r="G466" t="n">
        <v>1.6</v>
      </c>
      <c r="H466" t="n">
        <v>0</v>
      </c>
      <c r="I466" t="n">
        <v>0</v>
      </c>
      <c r="J466" t="n">
        <v>0</v>
      </c>
      <c r="K466" t="n">
        <v>0</v>
      </c>
      <c r="L466" t="n">
        <v>0</v>
      </c>
      <c r="M466" t="n">
        <v>0</v>
      </c>
      <c r="N466" t="n">
        <v>0</v>
      </c>
      <c r="O466" t="n">
        <v>0</v>
      </c>
      <c r="P466" t="n">
        <v>0</v>
      </c>
      <c r="Q466" t="n">
        <v>0</v>
      </c>
      <c r="R466" s="2" t="inlineStr"/>
    </row>
    <row r="467" ht="15" customHeight="1">
      <c r="A467" t="inlineStr">
        <is>
          <t>A 50081-2023</t>
        </is>
      </c>
      <c r="B467" s="1" t="n">
        <v>45215.58771990741</v>
      </c>
      <c r="C467" s="1" t="n">
        <v>45931</v>
      </c>
      <c r="D467" t="inlineStr">
        <is>
          <t>VÄSTERBOTTENS LÄN</t>
        </is>
      </c>
      <c r="E467" t="inlineStr">
        <is>
          <t>SKELLEFTEÅ</t>
        </is>
      </c>
      <c r="F467" t="inlineStr">
        <is>
          <t>Holmen skog AB</t>
        </is>
      </c>
      <c r="G467" t="n">
        <v>2.6</v>
      </c>
      <c r="H467" t="n">
        <v>0</v>
      </c>
      <c r="I467" t="n">
        <v>0</v>
      </c>
      <c r="J467" t="n">
        <v>0</v>
      </c>
      <c r="K467" t="n">
        <v>0</v>
      </c>
      <c r="L467" t="n">
        <v>0</v>
      </c>
      <c r="M467" t="n">
        <v>0</v>
      </c>
      <c r="N467" t="n">
        <v>0</v>
      </c>
      <c r="O467" t="n">
        <v>0</v>
      </c>
      <c r="P467" t="n">
        <v>0</v>
      </c>
      <c r="Q467" t="n">
        <v>0</v>
      </c>
      <c r="R467" s="2" t="inlineStr"/>
    </row>
    <row r="468" ht="15" customHeight="1">
      <c r="A468" t="inlineStr">
        <is>
          <t>A 8911-2021</t>
        </is>
      </c>
      <c r="B468" s="1" t="n">
        <v>44245</v>
      </c>
      <c r="C468" s="1" t="n">
        <v>45931</v>
      </c>
      <c r="D468" t="inlineStr">
        <is>
          <t>VÄSTERBOTTENS LÄN</t>
        </is>
      </c>
      <c r="E468" t="inlineStr">
        <is>
          <t>SKELLEFTEÅ</t>
        </is>
      </c>
      <c r="G468" t="n">
        <v>4.5</v>
      </c>
      <c r="H468" t="n">
        <v>0</v>
      </c>
      <c r="I468" t="n">
        <v>0</v>
      </c>
      <c r="J468" t="n">
        <v>0</v>
      </c>
      <c r="K468" t="n">
        <v>0</v>
      </c>
      <c r="L468" t="n">
        <v>0</v>
      </c>
      <c r="M468" t="n">
        <v>0</v>
      </c>
      <c r="N468" t="n">
        <v>0</v>
      </c>
      <c r="O468" t="n">
        <v>0</v>
      </c>
      <c r="P468" t="n">
        <v>0</v>
      </c>
      <c r="Q468" t="n">
        <v>0</v>
      </c>
      <c r="R468" s="2" t="inlineStr"/>
    </row>
    <row r="469" ht="15" customHeight="1">
      <c r="A469" t="inlineStr">
        <is>
          <t>A 33529-2022</t>
        </is>
      </c>
      <c r="B469" s="1" t="n">
        <v>44789.33445601852</v>
      </c>
      <c r="C469" s="1" t="n">
        <v>45931</v>
      </c>
      <c r="D469" t="inlineStr">
        <is>
          <t>VÄSTERBOTTENS LÄN</t>
        </is>
      </c>
      <c r="E469" t="inlineStr">
        <is>
          <t>SKELLEFTEÅ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49356-2024</t>
        </is>
      </c>
      <c r="B470" s="1" t="n">
        <v>45595</v>
      </c>
      <c r="C470" s="1" t="n">
        <v>45931</v>
      </c>
      <c r="D470" t="inlineStr">
        <is>
          <t>VÄSTERBOTTENS LÄN</t>
        </is>
      </c>
      <c r="E470" t="inlineStr">
        <is>
          <t>SKELLEFTEÅ</t>
        </is>
      </c>
      <c r="F470" t="inlineStr">
        <is>
          <t>Sveaskog</t>
        </is>
      </c>
      <c r="G470" t="n">
        <v>12.8</v>
      </c>
      <c r="H470" t="n">
        <v>0</v>
      </c>
      <c r="I470" t="n">
        <v>0</v>
      </c>
      <c r="J470" t="n">
        <v>0</v>
      </c>
      <c r="K470" t="n">
        <v>0</v>
      </c>
      <c r="L470" t="n">
        <v>0</v>
      </c>
      <c r="M470" t="n">
        <v>0</v>
      </c>
      <c r="N470" t="n">
        <v>0</v>
      </c>
      <c r="O470" t="n">
        <v>0</v>
      </c>
      <c r="P470" t="n">
        <v>0</v>
      </c>
      <c r="Q470" t="n">
        <v>0</v>
      </c>
      <c r="R470" s="2" t="inlineStr"/>
    </row>
    <row r="471" ht="15" customHeight="1">
      <c r="A471" t="inlineStr">
        <is>
          <t>A 63010-2023</t>
        </is>
      </c>
      <c r="B471" s="1" t="n">
        <v>45272</v>
      </c>
      <c r="C471" s="1" t="n">
        <v>45931</v>
      </c>
      <c r="D471" t="inlineStr">
        <is>
          <t>VÄSTERBOTTENS LÄN</t>
        </is>
      </c>
      <c r="E471" t="inlineStr">
        <is>
          <t>SKELLEFTEÅ</t>
        </is>
      </c>
      <c r="G471" t="n">
        <v>16</v>
      </c>
      <c r="H471" t="n">
        <v>0</v>
      </c>
      <c r="I471" t="n">
        <v>0</v>
      </c>
      <c r="J471" t="n">
        <v>0</v>
      </c>
      <c r="K471" t="n">
        <v>0</v>
      </c>
      <c r="L471" t="n">
        <v>0</v>
      </c>
      <c r="M471" t="n">
        <v>0</v>
      </c>
      <c r="N471" t="n">
        <v>0</v>
      </c>
      <c r="O471" t="n">
        <v>0</v>
      </c>
      <c r="P471" t="n">
        <v>0</v>
      </c>
      <c r="Q471" t="n">
        <v>0</v>
      </c>
      <c r="R471" s="2" t="inlineStr"/>
    </row>
    <row r="472" ht="15" customHeight="1">
      <c r="A472" t="inlineStr">
        <is>
          <t>A 27322-2023</t>
        </is>
      </c>
      <c r="B472" s="1" t="n">
        <v>45096</v>
      </c>
      <c r="C472" s="1" t="n">
        <v>45931</v>
      </c>
      <c r="D472" t="inlineStr">
        <is>
          <t>VÄSTERBOTTENS LÄN</t>
        </is>
      </c>
      <c r="E472" t="inlineStr">
        <is>
          <t>SKELLEFTEÅ</t>
        </is>
      </c>
      <c r="G472" t="n">
        <v>0.9</v>
      </c>
      <c r="H472" t="n">
        <v>0</v>
      </c>
      <c r="I472" t="n">
        <v>0</v>
      </c>
      <c r="J472" t="n">
        <v>0</v>
      </c>
      <c r="K472" t="n">
        <v>0</v>
      </c>
      <c r="L472" t="n">
        <v>0</v>
      </c>
      <c r="M472" t="n">
        <v>0</v>
      </c>
      <c r="N472" t="n">
        <v>0</v>
      </c>
      <c r="O472" t="n">
        <v>0</v>
      </c>
      <c r="P472" t="n">
        <v>0</v>
      </c>
      <c r="Q472" t="n">
        <v>0</v>
      </c>
      <c r="R472" s="2" t="inlineStr"/>
    </row>
    <row r="473" ht="15" customHeight="1">
      <c r="A473" t="inlineStr">
        <is>
          <t>A 2087-2025</t>
        </is>
      </c>
      <c r="B473" s="1" t="n">
        <v>45672.59090277777</v>
      </c>
      <c r="C473" s="1" t="n">
        <v>45931</v>
      </c>
      <c r="D473" t="inlineStr">
        <is>
          <t>VÄSTERBOTTENS LÄN</t>
        </is>
      </c>
      <c r="E473" t="inlineStr">
        <is>
          <t>SKELLEFTEÅ</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33771-2023</t>
        </is>
      </c>
      <c r="B474" s="1" t="n">
        <v>45133.49151620371</v>
      </c>
      <c r="C474" s="1" t="n">
        <v>45931</v>
      </c>
      <c r="D474" t="inlineStr">
        <is>
          <t>VÄSTERBOTTENS LÄN</t>
        </is>
      </c>
      <c r="E474" t="inlineStr">
        <is>
          <t>SKELLEFTEÅ</t>
        </is>
      </c>
      <c r="F474" t="inlineStr">
        <is>
          <t>Holmen skog AB</t>
        </is>
      </c>
      <c r="G474" t="n">
        <v>2.6</v>
      </c>
      <c r="H474" t="n">
        <v>0</v>
      </c>
      <c r="I474" t="n">
        <v>0</v>
      </c>
      <c r="J474" t="n">
        <v>0</v>
      </c>
      <c r="K474" t="n">
        <v>0</v>
      </c>
      <c r="L474" t="n">
        <v>0</v>
      </c>
      <c r="M474" t="n">
        <v>0</v>
      </c>
      <c r="N474" t="n">
        <v>0</v>
      </c>
      <c r="O474" t="n">
        <v>0</v>
      </c>
      <c r="P474" t="n">
        <v>0</v>
      </c>
      <c r="Q474" t="n">
        <v>0</v>
      </c>
      <c r="R474" s="2" t="inlineStr"/>
    </row>
    <row r="475" ht="15" customHeight="1">
      <c r="A475" t="inlineStr">
        <is>
          <t>A 38590-2025</t>
        </is>
      </c>
      <c r="B475" s="1" t="n">
        <v>45884.47512731481</v>
      </c>
      <c r="C475" s="1" t="n">
        <v>45931</v>
      </c>
      <c r="D475" t="inlineStr">
        <is>
          <t>VÄSTERBOTTENS LÄN</t>
        </is>
      </c>
      <c r="E475" t="inlineStr">
        <is>
          <t>SKELLEFTEÅ</t>
        </is>
      </c>
      <c r="G475" t="n">
        <v>2.1</v>
      </c>
      <c r="H475" t="n">
        <v>0</v>
      </c>
      <c r="I475" t="n">
        <v>0</v>
      </c>
      <c r="J475" t="n">
        <v>0</v>
      </c>
      <c r="K475" t="n">
        <v>0</v>
      </c>
      <c r="L475" t="n">
        <v>0</v>
      </c>
      <c r="M475" t="n">
        <v>0</v>
      </c>
      <c r="N475" t="n">
        <v>0</v>
      </c>
      <c r="O475" t="n">
        <v>0</v>
      </c>
      <c r="P475" t="n">
        <v>0</v>
      </c>
      <c r="Q475" t="n">
        <v>0</v>
      </c>
      <c r="R475" s="2" t="inlineStr"/>
    </row>
    <row r="476" ht="15" customHeight="1">
      <c r="A476" t="inlineStr">
        <is>
          <t>A 47014-2024</t>
        </is>
      </c>
      <c r="B476" s="1" t="n">
        <v>45586.38862268518</v>
      </c>
      <c r="C476" s="1" t="n">
        <v>45931</v>
      </c>
      <c r="D476" t="inlineStr">
        <is>
          <t>VÄSTERBOTTENS LÄN</t>
        </is>
      </c>
      <c r="E476" t="inlineStr">
        <is>
          <t>SKELLEFTEÅ</t>
        </is>
      </c>
      <c r="G476" t="n">
        <v>14.7</v>
      </c>
      <c r="H476" t="n">
        <v>0</v>
      </c>
      <c r="I476" t="n">
        <v>0</v>
      </c>
      <c r="J476" t="n">
        <v>0</v>
      </c>
      <c r="K476" t="n">
        <v>0</v>
      </c>
      <c r="L476" t="n">
        <v>0</v>
      </c>
      <c r="M476" t="n">
        <v>0</v>
      </c>
      <c r="N476" t="n">
        <v>0</v>
      </c>
      <c r="O476" t="n">
        <v>0</v>
      </c>
      <c r="P476" t="n">
        <v>0</v>
      </c>
      <c r="Q476" t="n">
        <v>0</v>
      </c>
      <c r="R476" s="2" t="inlineStr"/>
    </row>
    <row r="477" ht="15" customHeight="1">
      <c r="A477" t="inlineStr">
        <is>
          <t>A 19795-2025</t>
        </is>
      </c>
      <c r="B477" s="1" t="n">
        <v>45771.44666666666</v>
      </c>
      <c r="C477" s="1" t="n">
        <v>45931</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7052-2022</t>
        </is>
      </c>
      <c r="B478" s="1" t="n">
        <v>44603</v>
      </c>
      <c r="C478" s="1" t="n">
        <v>45931</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29125-2024</t>
        </is>
      </c>
      <c r="B479" s="1" t="n">
        <v>45481</v>
      </c>
      <c r="C479" s="1" t="n">
        <v>45931</v>
      </c>
      <c r="D479" t="inlineStr">
        <is>
          <t>VÄSTERBOTTENS LÄN</t>
        </is>
      </c>
      <c r="E479" t="inlineStr">
        <is>
          <t>SKELLEFTEÅ</t>
        </is>
      </c>
      <c r="G479" t="n">
        <v>1.2</v>
      </c>
      <c r="H479" t="n">
        <v>0</v>
      </c>
      <c r="I479" t="n">
        <v>0</v>
      </c>
      <c r="J479" t="n">
        <v>0</v>
      </c>
      <c r="K479" t="n">
        <v>0</v>
      </c>
      <c r="L479" t="n">
        <v>0</v>
      </c>
      <c r="M479" t="n">
        <v>0</v>
      </c>
      <c r="N479" t="n">
        <v>0</v>
      </c>
      <c r="O479" t="n">
        <v>0</v>
      </c>
      <c r="P479" t="n">
        <v>0</v>
      </c>
      <c r="Q479" t="n">
        <v>0</v>
      </c>
      <c r="R479" s="2" t="inlineStr"/>
    </row>
    <row r="480" ht="15" customHeight="1">
      <c r="A480" t="inlineStr">
        <is>
          <t>A 12112-2024</t>
        </is>
      </c>
      <c r="B480" s="1" t="n">
        <v>45376</v>
      </c>
      <c r="C480" s="1" t="n">
        <v>45931</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38578-2022</t>
        </is>
      </c>
      <c r="B481" s="1" t="n">
        <v>44813.48444444445</v>
      </c>
      <c r="C481" s="1" t="n">
        <v>45931</v>
      </c>
      <c r="D481" t="inlineStr">
        <is>
          <t>VÄSTERBOTTENS LÄN</t>
        </is>
      </c>
      <c r="E481" t="inlineStr">
        <is>
          <t>SKELLEFTEÅ</t>
        </is>
      </c>
      <c r="F481" t="inlineStr">
        <is>
          <t>Holmen skog AB</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60356-2022</t>
        </is>
      </c>
      <c r="B482" s="1" t="n">
        <v>44904</v>
      </c>
      <c r="C482" s="1" t="n">
        <v>45931</v>
      </c>
      <c r="D482" t="inlineStr">
        <is>
          <t>VÄSTERBOTTENS LÄN</t>
        </is>
      </c>
      <c r="E482" t="inlineStr">
        <is>
          <t>SKELLEFTEÅ</t>
        </is>
      </c>
      <c r="G482" t="n">
        <v>3</v>
      </c>
      <c r="H482" t="n">
        <v>0</v>
      </c>
      <c r="I482" t="n">
        <v>0</v>
      </c>
      <c r="J482" t="n">
        <v>0</v>
      </c>
      <c r="K482" t="n">
        <v>0</v>
      </c>
      <c r="L482" t="n">
        <v>0</v>
      </c>
      <c r="M482" t="n">
        <v>0</v>
      </c>
      <c r="N482" t="n">
        <v>0</v>
      </c>
      <c r="O482" t="n">
        <v>0</v>
      </c>
      <c r="P482" t="n">
        <v>0</v>
      </c>
      <c r="Q482" t="n">
        <v>0</v>
      </c>
      <c r="R482" s="2" t="inlineStr"/>
    </row>
    <row r="483" ht="15" customHeight="1">
      <c r="A483" t="inlineStr">
        <is>
          <t>A 38694-2025</t>
        </is>
      </c>
      <c r="B483" s="1" t="n">
        <v>45884.71439814815</v>
      </c>
      <c r="C483" s="1" t="n">
        <v>45931</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43544-2022</t>
        </is>
      </c>
      <c r="B484" s="1" t="n">
        <v>44837.42186342592</v>
      </c>
      <c r="C484" s="1" t="n">
        <v>45931</v>
      </c>
      <c r="D484" t="inlineStr">
        <is>
          <t>VÄSTERBOTTENS LÄN</t>
        </is>
      </c>
      <c r="E484" t="inlineStr">
        <is>
          <t>SKELLEFTEÅ</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60785-2022</t>
        </is>
      </c>
      <c r="B485" s="1" t="n">
        <v>44907</v>
      </c>
      <c r="C485" s="1" t="n">
        <v>45931</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16706-2025</t>
        </is>
      </c>
      <c r="B486" s="1" t="n">
        <v>45751</v>
      </c>
      <c r="C486" s="1" t="n">
        <v>45931</v>
      </c>
      <c r="D486" t="inlineStr">
        <is>
          <t>VÄSTERBOTTENS LÄN</t>
        </is>
      </c>
      <c r="E486" t="inlineStr">
        <is>
          <t>SKELLEFTEÅ</t>
        </is>
      </c>
      <c r="G486" t="n">
        <v>3.4</v>
      </c>
      <c r="H486" t="n">
        <v>0</v>
      </c>
      <c r="I486" t="n">
        <v>0</v>
      </c>
      <c r="J486" t="n">
        <v>0</v>
      </c>
      <c r="K486" t="n">
        <v>0</v>
      </c>
      <c r="L486" t="n">
        <v>0</v>
      </c>
      <c r="M486" t="n">
        <v>0</v>
      </c>
      <c r="N486" t="n">
        <v>0</v>
      </c>
      <c r="O486" t="n">
        <v>0</v>
      </c>
      <c r="P486" t="n">
        <v>0</v>
      </c>
      <c r="Q486" t="n">
        <v>0</v>
      </c>
      <c r="R486" s="2" t="inlineStr"/>
    </row>
    <row r="487" ht="15" customHeight="1">
      <c r="A487" t="inlineStr">
        <is>
          <t>A 16707-2025</t>
        </is>
      </c>
      <c r="B487" s="1" t="n">
        <v>45751</v>
      </c>
      <c r="C487" s="1" t="n">
        <v>45931</v>
      </c>
      <c r="D487" t="inlineStr">
        <is>
          <t>VÄSTERBOTTENS LÄN</t>
        </is>
      </c>
      <c r="E487" t="inlineStr">
        <is>
          <t>SKELLEFTEÅ</t>
        </is>
      </c>
      <c r="G487" t="n">
        <v>1</v>
      </c>
      <c r="H487" t="n">
        <v>0</v>
      </c>
      <c r="I487" t="n">
        <v>0</v>
      </c>
      <c r="J487" t="n">
        <v>0</v>
      </c>
      <c r="K487" t="n">
        <v>0</v>
      </c>
      <c r="L487" t="n">
        <v>0</v>
      </c>
      <c r="M487" t="n">
        <v>0</v>
      </c>
      <c r="N487" t="n">
        <v>0</v>
      </c>
      <c r="O487" t="n">
        <v>0</v>
      </c>
      <c r="P487" t="n">
        <v>0</v>
      </c>
      <c r="Q487" t="n">
        <v>0</v>
      </c>
      <c r="R487" s="2" t="inlineStr"/>
    </row>
    <row r="488" ht="15" customHeight="1">
      <c r="A488" t="inlineStr">
        <is>
          <t>A 19293-2025</t>
        </is>
      </c>
      <c r="B488" s="1" t="n">
        <v>45769.56047453704</v>
      </c>
      <c r="C488" s="1" t="n">
        <v>45931</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60585-2022</t>
        </is>
      </c>
      <c r="B489" s="1" t="n">
        <v>44911.58148148148</v>
      </c>
      <c r="C489" s="1" t="n">
        <v>45931</v>
      </c>
      <c r="D489" t="inlineStr">
        <is>
          <t>VÄSTERBOTTENS LÄN</t>
        </is>
      </c>
      <c r="E489" t="inlineStr">
        <is>
          <t>SKELLEFTEÅ</t>
        </is>
      </c>
      <c r="F489" t="inlineStr">
        <is>
          <t>Sveaskog</t>
        </is>
      </c>
      <c r="G489" t="n">
        <v>6.1</v>
      </c>
      <c r="H489" t="n">
        <v>0</v>
      </c>
      <c r="I489" t="n">
        <v>0</v>
      </c>
      <c r="J489" t="n">
        <v>0</v>
      </c>
      <c r="K489" t="n">
        <v>0</v>
      </c>
      <c r="L489" t="n">
        <v>0</v>
      </c>
      <c r="M489" t="n">
        <v>0</v>
      </c>
      <c r="N489" t="n">
        <v>0</v>
      </c>
      <c r="O489" t="n">
        <v>0</v>
      </c>
      <c r="P489" t="n">
        <v>0</v>
      </c>
      <c r="Q489" t="n">
        <v>0</v>
      </c>
      <c r="R489" s="2" t="inlineStr"/>
    </row>
    <row r="490" ht="15" customHeight="1">
      <c r="A490" t="inlineStr">
        <is>
          <t>A 57899-2022</t>
        </is>
      </c>
      <c r="B490" s="1" t="n">
        <v>44900</v>
      </c>
      <c r="C490" s="1" t="n">
        <v>45931</v>
      </c>
      <c r="D490" t="inlineStr">
        <is>
          <t>VÄSTERBOTTENS LÄN</t>
        </is>
      </c>
      <c r="E490" t="inlineStr">
        <is>
          <t>SKELLEFTEÅ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16239-2023</t>
        </is>
      </c>
      <c r="B491" s="1" t="n">
        <v>45028</v>
      </c>
      <c r="C491" s="1" t="n">
        <v>45931</v>
      </c>
      <c r="D491" t="inlineStr">
        <is>
          <t>VÄSTERBOTTENS LÄN</t>
        </is>
      </c>
      <c r="E491" t="inlineStr">
        <is>
          <t>SKELLEFTEÅ</t>
        </is>
      </c>
      <c r="G491" t="n">
        <v>0.3</v>
      </c>
      <c r="H491" t="n">
        <v>0</v>
      </c>
      <c r="I491" t="n">
        <v>0</v>
      </c>
      <c r="J491" t="n">
        <v>0</v>
      </c>
      <c r="K491" t="n">
        <v>0</v>
      </c>
      <c r="L491" t="n">
        <v>0</v>
      </c>
      <c r="M491" t="n">
        <v>0</v>
      </c>
      <c r="N491" t="n">
        <v>0</v>
      </c>
      <c r="O491" t="n">
        <v>0</v>
      </c>
      <c r="P491" t="n">
        <v>0</v>
      </c>
      <c r="Q491" t="n">
        <v>0</v>
      </c>
      <c r="R491" s="2" t="inlineStr"/>
    </row>
    <row r="492" ht="15" customHeight="1">
      <c r="A492" t="inlineStr">
        <is>
          <t>A 58993-2024</t>
        </is>
      </c>
      <c r="B492" s="1" t="n">
        <v>45636.63711805556</v>
      </c>
      <c r="C492" s="1" t="n">
        <v>45931</v>
      </c>
      <c r="D492" t="inlineStr">
        <is>
          <t>VÄSTERBOTTENS LÄN</t>
        </is>
      </c>
      <c r="E492" t="inlineStr">
        <is>
          <t>SKELLEFTEÅ</t>
        </is>
      </c>
      <c r="G492" t="n">
        <v>0.8</v>
      </c>
      <c r="H492" t="n">
        <v>0</v>
      </c>
      <c r="I492" t="n">
        <v>0</v>
      </c>
      <c r="J492" t="n">
        <v>0</v>
      </c>
      <c r="K492" t="n">
        <v>0</v>
      </c>
      <c r="L492" t="n">
        <v>0</v>
      </c>
      <c r="M492" t="n">
        <v>0</v>
      </c>
      <c r="N492" t="n">
        <v>0</v>
      </c>
      <c r="O492" t="n">
        <v>0</v>
      </c>
      <c r="P492" t="n">
        <v>0</v>
      </c>
      <c r="Q492" t="n">
        <v>0</v>
      </c>
      <c r="R492" s="2" t="inlineStr"/>
    </row>
    <row r="493" ht="15" customHeight="1">
      <c r="A493" t="inlineStr">
        <is>
          <t>A 1206-2023</t>
        </is>
      </c>
      <c r="B493" s="1" t="n">
        <v>44930</v>
      </c>
      <c r="C493" s="1" t="n">
        <v>45931</v>
      </c>
      <c r="D493" t="inlineStr">
        <is>
          <t>VÄSTERBOTTENS LÄN</t>
        </is>
      </c>
      <c r="E493" t="inlineStr">
        <is>
          <t>SKELLEFTEÅ</t>
        </is>
      </c>
      <c r="G493" t="n">
        <v>2</v>
      </c>
      <c r="H493" t="n">
        <v>0</v>
      </c>
      <c r="I493" t="n">
        <v>0</v>
      </c>
      <c r="J493" t="n">
        <v>0</v>
      </c>
      <c r="K493" t="n">
        <v>0</v>
      </c>
      <c r="L493" t="n">
        <v>0</v>
      </c>
      <c r="M493" t="n">
        <v>0</v>
      </c>
      <c r="N493" t="n">
        <v>0</v>
      </c>
      <c r="O493" t="n">
        <v>0</v>
      </c>
      <c r="P493" t="n">
        <v>0</v>
      </c>
      <c r="Q493" t="n">
        <v>0</v>
      </c>
      <c r="R493" s="2" t="inlineStr"/>
    </row>
    <row r="494" ht="15" customHeight="1">
      <c r="A494" t="inlineStr">
        <is>
          <t>A 904-2023</t>
        </is>
      </c>
      <c r="B494" s="1" t="n">
        <v>44931</v>
      </c>
      <c r="C494" s="1" t="n">
        <v>45931</v>
      </c>
      <c r="D494" t="inlineStr">
        <is>
          <t>VÄSTERBOTTENS LÄN</t>
        </is>
      </c>
      <c r="E494" t="inlineStr">
        <is>
          <t>SKELLEFTEÅ</t>
        </is>
      </c>
      <c r="G494" t="n">
        <v>22.2</v>
      </c>
      <c r="H494" t="n">
        <v>0</v>
      </c>
      <c r="I494" t="n">
        <v>0</v>
      </c>
      <c r="J494" t="n">
        <v>0</v>
      </c>
      <c r="K494" t="n">
        <v>0</v>
      </c>
      <c r="L494" t="n">
        <v>0</v>
      </c>
      <c r="M494" t="n">
        <v>0</v>
      </c>
      <c r="N494" t="n">
        <v>0</v>
      </c>
      <c r="O494" t="n">
        <v>0</v>
      </c>
      <c r="P494" t="n">
        <v>0</v>
      </c>
      <c r="Q494" t="n">
        <v>0</v>
      </c>
      <c r="R494" s="2" t="inlineStr"/>
    </row>
    <row r="495" ht="15" customHeight="1">
      <c r="A495" t="inlineStr">
        <is>
          <t>A 10051-2021</t>
        </is>
      </c>
      <c r="B495" s="1" t="n">
        <v>44256</v>
      </c>
      <c r="C495" s="1" t="n">
        <v>45931</v>
      </c>
      <c r="D495" t="inlineStr">
        <is>
          <t>VÄSTERBOTTENS LÄN</t>
        </is>
      </c>
      <c r="E495" t="inlineStr">
        <is>
          <t>SKELLEFTEÅ</t>
        </is>
      </c>
      <c r="G495" t="n">
        <v>1.6</v>
      </c>
      <c r="H495" t="n">
        <v>0</v>
      </c>
      <c r="I495" t="n">
        <v>0</v>
      </c>
      <c r="J495" t="n">
        <v>0</v>
      </c>
      <c r="K495" t="n">
        <v>0</v>
      </c>
      <c r="L495" t="n">
        <v>0</v>
      </c>
      <c r="M495" t="n">
        <v>0</v>
      </c>
      <c r="N495" t="n">
        <v>0</v>
      </c>
      <c r="O495" t="n">
        <v>0</v>
      </c>
      <c r="P495" t="n">
        <v>0</v>
      </c>
      <c r="Q495" t="n">
        <v>0</v>
      </c>
      <c r="R495" s="2" t="inlineStr"/>
    </row>
    <row r="496" ht="15" customHeight="1">
      <c r="A496" t="inlineStr">
        <is>
          <t>A 35558-2022</t>
        </is>
      </c>
      <c r="B496" s="1" t="n">
        <v>44799.38560185185</v>
      </c>
      <c r="C496" s="1" t="n">
        <v>45931</v>
      </c>
      <c r="D496" t="inlineStr">
        <is>
          <t>VÄSTERBOTTENS LÄN</t>
        </is>
      </c>
      <c r="E496" t="inlineStr">
        <is>
          <t>SKELLEFTEÅ</t>
        </is>
      </c>
      <c r="F496" t="inlineStr">
        <is>
          <t>Sveaskog</t>
        </is>
      </c>
      <c r="G496" t="n">
        <v>21.8</v>
      </c>
      <c r="H496" t="n">
        <v>0</v>
      </c>
      <c r="I496" t="n">
        <v>0</v>
      </c>
      <c r="J496" t="n">
        <v>0</v>
      </c>
      <c r="K496" t="n">
        <v>0</v>
      </c>
      <c r="L496" t="n">
        <v>0</v>
      </c>
      <c r="M496" t="n">
        <v>0</v>
      </c>
      <c r="N496" t="n">
        <v>0</v>
      </c>
      <c r="O496" t="n">
        <v>0</v>
      </c>
      <c r="P496" t="n">
        <v>0</v>
      </c>
      <c r="Q496" t="n">
        <v>0</v>
      </c>
      <c r="R496" s="2" t="inlineStr"/>
    </row>
    <row r="497" ht="15" customHeight="1">
      <c r="A497" t="inlineStr">
        <is>
          <t>A 61569-2022</t>
        </is>
      </c>
      <c r="B497" s="1" t="n">
        <v>44916</v>
      </c>
      <c r="C497" s="1" t="n">
        <v>45931</v>
      </c>
      <c r="D497" t="inlineStr">
        <is>
          <t>VÄSTERBOTTENS LÄN</t>
        </is>
      </c>
      <c r="E497" t="inlineStr">
        <is>
          <t>SKELLEFTEÅ</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18700-2025</t>
        </is>
      </c>
      <c r="B498" s="1" t="n">
        <v>45763.62945601852</v>
      </c>
      <c r="C498" s="1" t="n">
        <v>45931</v>
      </c>
      <c r="D498" t="inlineStr">
        <is>
          <t>VÄSTERBOTTENS LÄN</t>
        </is>
      </c>
      <c r="E498" t="inlineStr">
        <is>
          <t>SKELLEFTEÅ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58575-2023</t>
        </is>
      </c>
      <c r="B499" s="1" t="n">
        <v>45251.44665509259</v>
      </c>
      <c r="C499" s="1" t="n">
        <v>45931</v>
      </c>
      <c r="D499" t="inlineStr">
        <is>
          <t>VÄSTERBOTTENS LÄN</t>
        </is>
      </c>
      <c r="E499" t="inlineStr">
        <is>
          <t>SKELLEFTEÅ</t>
        </is>
      </c>
      <c r="G499" t="n">
        <v>1.2</v>
      </c>
      <c r="H499" t="n">
        <v>0</v>
      </c>
      <c r="I499" t="n">
        <v>0</v>
      </c>
      <c r="J499" t="n">
        <v>0</v>
      </c>
      <c r="K499" t="n">
        <v>0</v>
      </c>
      <c r="L499" t="n">
        <v>0</v>
      </c>
      <c r="M499" t="n">
        <v>0</v>
      </c>
      <c r="N499" t="n">
        <v>0</v>
      </c>
      <c r="O499" t="n">
        <v>0</v>
      </c>
      <c r="P499" t="n">
        <v>0</v>
      </c>
      <c r="Q499" t="n">
        <v>0</v>
      </c>
      <c r="R499" s="2" t="inlineStr"/>
    </row>
    <row r="500" ht="15" customHeight="1">
      <c r="A500" t="inlineStr">
        <is>
          <t>A 50821-2023</t>
        </is>
      </c>
      <c r="B500" s="1" t="n">
        <v>45217.92206018518</v>
      </c>
      <c r="C500" s="1" t="n">
        <v>45931</v>
      </c>
      <c r="D500" t="inlineStr">
        <is>
          <t>VÄSTERBOTTENS LÄN</t>
        </is>
      </c>
      <c r="E500" t="inlineStr">
        <is>
          <t>SKELLEFTEÅ</t>
        </is>
      </c>
      <c r="G500" t="n">
        <v>19.3</v>
      </c>
      <c r="H500" t="n">
        <v>0</v>
      </c>
      <c r="I500" t="n">
        <v>0</v>
      </c>
      <c r="J500" t="n">
        <v>0</v>
      </c>
      <c r="K500" t="n">
        <v>0</v>
      </c>
      <c r="L500" t="n">
        <v>0</v>
      </c>
      <c r="M500" t="n">
        <v>0</v>
      </c>
      <c r="N500" t="n">
        <v>0</v>
      </c>
      <c r="O500" t="n">
        <v>0</v>
      </c>
      <c r="P500" t="n">
        <v>0</v>
      </c>
      <c r="Q500" t="n">
        <v>0</v>
      </c>
      <c r="R500" s="2" t="inlineStr"/>
    </row>
    <row r="501" ht="15" customHeight="1">
      <c r="A501" t="inlineStr">
        <is>
          <t>A 32919-2024</t>
        </is>
      </c>
      <c r="B501" s="1" t="n">
        <v>45516.95201388889</v>
      </c>
      <c r="C501" s="1" t="n">
        <v>45931</v>
      </c>
      <c r="D501" t="inlineStr">
        <is>
          <t>VÄSTERBOTTENS LÄN</t>
        </is>
      </c>
      <c r="E501" t="inlineStr">
        <is>
          <t>SKELLEFTEÅ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17015-2025</t>
        </is>
      </c>
      <c r="B502" s="1" t="n">
        <v>45755.55318287037</v>
      </c>
      <c r="C502" s="1" t="n">
        <v>45931</v>
      </c>
      <c r="D502" t="inlineStr">
        <is>
          <t>VÄSTERBOTTENS LÄN</t>
        </is>
      </c>
      <c r="E502" t="inlineStr">
        <is>
          <t>SKELLEFTEÅ</t>
        </is>
      </c>
      <c r="G502" t="n">
        <v>4.1</v>
      </c>
      <c r="H502" t="n">
        <v>0</v>
      </c>
      <c r="I502" t="n">
        <v>0</v>
      </c>
      <c r="J502" t="n">
        <v>0</v>
      </c>
      <c r="K502" t="n">
        <v>0</v>
      </c>
      <c r="L502" t="n">
        <v>0</v>
      </c>
      <c r="M502" t="n">
        <v>0</v>
      </c>
      <c r="N502" t="n">
        <v>0</v>
      </c>
      <c r="O502" t="n">
        <v>0</v>
      </c>
      <c r="P502" t="n">
        <v>0</v>
      </c>
      <c r="Q502" t="n">
        <v>0</v>
      </c>
      <c r="R502" s="2" t="inlineStr"/>
    </row>
    <row r="503" ht="15" customHeight="1">
      <c r="A503" t="inlineStr">
        <is>
          <t>A 18023-2025</t>
        </is>
      </c>
      <c r="B503" s="1" t="n">
        <v>45761.44642361111</v>
      </c>
      <c r="C503" s="1" t="n">
        <v>45931</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30369-2023</t>
        </is>
      </c>
      <c r="B504" s="1" t="n">
        <v>45111</v>
      </c>
      <c r="C504" s="1" t="n">
        <v>45931</v>
      </c>
      <c r="D504" t="inlineStr">
        <is>
          <t>VÄSTERBOTTENS LÄN</t>
        </is>
      </c>
      <c r="E504" t="inlineStr">
        <is>
          <t>SKELLEFTEÅ</t>
        </is>
      </c>
      <c r="F504" t="inlineStr">
        <is>
          <t>Holmen skog AB</t>
        </is>
      </c>
      <c r="G504" t="n">
        <v>8</v>
      </c>
      <c r="H504" t="n">
        <v>0</v>
      </c>
      <c r="I504" t="n">
        <v>0</v>
      </c>
      <c r="J504" t="n">
        <v>0</v>
      </c>
      <c r="K504" t="n">
        <v>0</v>
      </c>
      <c r="L504" t="n">
        <v>0</v>
      </c>
      <c r="M504" t="n">
        <v>0</v>
      </c>
      <c r="N504" t="n">
        <v>0</v>
      </c>
      <c r="O504" t="n">
        <v>0</v>
      </c>
      <c r="P504" t="n">
        <v>0</v>
      </c>
      <c r="Q504" t="n">
        <v>0</v>
      </c>
      <c r="R504" s="2" t="inlineStr"/>
    </row>
    <row r="505" ht="15" customHeight="1">
      <c r="A505" t="inlineStr">
        <is>
          <t>A 53642-2022</t>
        </is>
      </c>
      <c r="B505" s="1" t="n">
        <v>44879</v>
      </c>
      <c r="C505" s="1" t="n">
        <v>45931</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22020-2023</t>
        </is>
      </c>
      <c r="B506" s="1" t="n">
        <v>45069</v>
      </c>
      <c r="C506" s="1" t="n">
        <v>45931</v>
      </c>
      <c r="D506" t="inlineStr">
        <is>
          <t>VÄSTERBOTTENS LÄN</t>
        </is>
      </c>
      <c r="E506" t="inlineStr">
        <is>
          <t>SKELLEFTEÅ</t>
        </is>
      </c>
      <c r="G506" t="n">
        <v>4</v>
      </c>
      <c r="H506" t="n">
        <v>0</v>
      </c>
      <c r="I506" t="n">
        <v>0</v>
      </c>
      <c r="J506" t="n">
        <v>0</v>
      </c>
      <c r="K506" t="n">
        <v>0</v>
      </c>
      <c r="L506" t="n">
        <v>0</v>
      </c>
      <c r="M506" t="n">
        <v>0</v>
      </c>
      <c r="N506" t="n">
        <v>0</v>
      </c>
      <c r="O506" t="n">
        <v>0</v>
      </c>
      <c r="P506" t="n">
        <v>0</v>
      </c>
      <c r="Q506" t="n">
        <v>0</v>
      </c>
      <c r="R506" s="2" t="inlineStr"/>
    </row>
    <row r="507" ht="15" customHeight="1">
      <c r="A507" t="inlineStr">
        <is>
          <t>A 54662-2020</t>
        </is>
      </c>
      <c r="B507" s="1" t="n">
        <v>44127</v>
      </c>
      <c r="C507" s="1" t="n">
        <v>45931</v>
      </c>
      <c r="D507" t="inlineStr">
        <is>
          <t>VÄSTERBOTTENS LÄN</t>
        </is>
      </c>
      <c r="E507" t="inlineStr">
        <is>
          <t>SKELLEFTEÅ</t>
        </is>
      </c>
      <c r="F507" t="inlineStr">
        <is>
          <t>Holmen skog AB</t>
        </is>
      </c>
      <c r="G507" t="n">
        <v>13.4</v>
      </c>
      <c r="H507" t="n">
        <v>0</v>
      </c>
      <c r="I507" t="n">
        <v>0</v>
      </c>
      <c r="J507" t="n">
        <v>0</v>
      </c>
      <c r="K507" t="n">
        <v>0</v>
      </c>
      <c r="L507" t="n">
        <v>0</v>
      </c>
      <c r="M507" t="n">
        <v>0</v>
      </c>
      <c r="N507" t="n">
        <v>0</v>
      </c>
      <c r="O507" t="n">
        <v>0</v>
      </c>
      <c r="P507" t="n">
        <v>0</v>
      </c>
      <c r="Q507" t="n">
        <v>0</v>
      </c>
      <c r="R507" s="2" t="inlineStr"/>
    </row>
    <row r="508" ht="15" customHeight="1">
      <c r="A508" t="inlineStr">
        <is>
          <t>A 16959-2024</t>
        </is>
      </c>
      <c r="B508" s="1" t="n">
        <v>45411</v>
      </c>
      <c r="C508" s="1" t="n">
        <v>45931</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61242-2023</t>
        </is>
      </c>
      <c r="B509" s="1" t="n">
        <v>45264.46740740741</v>
      </c>
      <c r="C509" s="1" t="n">
        <v>45931</v>
      </c>
      <c r="D509" t="inlineStr">
        <is>
          <t>VÄSTERBOTTENS LÄN</t>
        </is>
      </c>
      <c r="E509" t="inlineStr">
        <is>
          <t>SKELLEFTEÅ</t>
        </is>
      </c>
      <c r="F509" t="inlineStr">
        <is>
          <t>Holmen skog AB</t>
        </is>
      </c>
      <c r="G509" t="n">
        <v>4.8</v>
      </c>
      <c r="H509" t="n">
        <v>0</v>
      </c>
      <c r="I509" t="n">
        <v>0</v>
      </c>
      <c r="J509" t="n">
        <v>0</v>
      </c>
      <c r="K509" t="n">
        <v>0</v>
      </c>
      <c r="L509" t="n">
        <v>0</v>
      </c>
      <c r="M509" t="n">
        <v>0</v>
      </c>
      <c r="N509" t="n">
        <v>0</v>
      </c>
      <c r="O509" t="n">
        <v>0</v>
      </c>
      <c r="P509" t="n">
        <v>0</v>
      </c>
      <c r="Q509" t="n">
        <v>0</v>
      </c>
      <c r="R509" s="2" t="inlineStr"/>
    </row>
    <row r="510" ht="15" customHeight="1">
      <c r="A510" t="inlineStr">
        <is>
          <t>A 38301-2023</t>
        </is>
      </c>
      <c r="B510" s="1" t="n">
        <v>45160</v>
      </c>
      <c r="C510" s="1" t="n">
        <v>45931</v>
      </c>
      <c r="D510" t="inlineStr">
        <is>
          <t>VÄSTERBOTTENS LÄN</t>
        </is>
      </c>
      <c r="E510" t="inlineStr">
        <is>
          <t>SKELLEFTEÅ</t>
        </is>
      </c>
      <c r="G510" t="n">
        <v>12</v>
      </c>
      <c r="H510" t="n">
        <v>0</v>
      </c>
      <c r="I510" t="n">
        <v>0</v>
      </c>
      <c r="J510" t="n">
        <v>0</v>
      </c>
      <c r="K510" t="n">
        <v>0</v>
      </c>
      <c r="L510" t="n">
        <v>0</v>
      </c>
      <c r="M510" t="n">
        <v>0</v>
      </c>
      <c r="N510" t="n">
        <v>0</v>
      </c>
      <c r="O510" t="n">
        <v>0</v>
      </c>
      <c r="P510" t="n">
        <v>0</v>
      </c>
      <c r="Q510" t="n">
        <v>0</v>
      </c>
      <c r="R510" s="2" t="inlineStr"/>
    </row>
    <row r="511" ht="15" customHeight="1">
      <c r="A511" t="inlineStr">
        <is>
          <t>A 22760-2022</t>
        </is>
      </c>
      <c r="B511" s="1" t="n">
        <v>44714</v>
      </c>
      <c r="C511" s="1" t="n">
        <v>45931</v>
      </c>
      <c r="D511" t="inlineStr">
        <is>
          <t>VÄSTERBOTTENS LÄN</t>
        </is>
      </c>
      <c r="E511" t="inlineStr">
        <is>
          <t>SKELLEFTEÅ</t>
        </is>
      </c>
      <c r="G511" t="n">
        <v>12.2</v>
      </c>
      <c r="H511" t="n">
        <v>0</v>
      </c>
      <c r="I511" t="n">
        <v>0</v>
      </c>
      <c r="J511" t="n">
        <v>0</v>
      </c>
      <c r="K511" t="n">
        <v>0</v>
      </c>
      <c r="L511" t="n">
        <v>0</v>
      </c>
      <c r="M511" t="n">
        <v>0</v>
      </c>
      <c r="N511" t="n">
        <v>0</v>
      </c>
      <c r="O511" t="n">
        <v>0</v>
      </c>
      <c r="P511" t="n">
        <v>0</v>
      </c>
      <c r="Q511" t="n">
        <v>0</v>
      </c>
      <c r="R511" s="2" t="inlineStr"/>
    </row>
    <row r="512" ht="15" customHeight="1">
      <c r="A512" t="inlineStr">
        <is>
          <t>A 24430-2023</t>
        </is>
      </c>
      <c r="B512" s="1" t="n">
        <v>45076</v>
      </c>
      <c r="C512" s="1" t="n">
        <v>45931</v>
      </c>
      <c r="D512" t="inlineStr">
        <is>
          <t>VÄSTERBOTTENS LÄN</t>
        </is>
      </c>
      <c r="E512" t="inlineStr">
        <is>
          <t>SKELLEFTEÅ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49900-2023</t>
        </is>
      </c>
      <c r="B513" s="1" t="n">
        <v>45213.86512731481</v>
      </c>
      <c r="C513" s="1" t="n">
        <v>45931</v>
      </c>
      <c r="D513" t="inlineStr">
        <is>
          <t>VÄSTERBOTTENS LÄN</t>
        </is>
      </c>
      <c r="E513" t="inlineStr">
        <is>
          <t>SKELLEFTEÅ</t>
        </is>
      </c>
      <c r="G513" t="n">
        <v>1</v>
      </c>
      <c r="H513" t="n">
        <v>0</v>
      </c>
      <c r="I513" t="n">
        <v>0</v>
      </c>
      <c r="J513" t="n">
        <v>0</v>
      </c>
      <c r="K513" t="n">
        <v>0</v>
      </c>
      <c r="L513" t="n">
        <v>0</v>
      </c>
      <c r="M513" t="n">
        <v>0</v>
      </c>
      <c r="N513" t="n">
        <v>0</v>
      </c>
      <c r="O513" t="n">
        <v>0</v>
      </c>
      <c r="P513" t="n">
        <v>0</v>
      </c>
      <c r="Q513" t="n">
        <v>0</v>
      </c>
      <c r="R513" s="2" t="inlineStr"/>
    </row>
    <row r="514" ht="15" customHeight="1">
      <c r="A514" t="inlineStr">
        <is>
          <t>A 6012-2023</t>
        </is>
      </c>
      <c r="B514" s="1" t="n">
        <v>44959</v>
      </c>
      <c r="C514" s="1" t="n">
        <v>45931</v>
      </c>
      <c r="D514" t="inlineStr">
        <is>
          <t>VÄSTERBOTTENS LÄN</t>
        </is>
      </c>
      <c r="E514" t="inlineStr">
        <is>
          <t>SKELLEFTEÅ</t>
        </is>
      </c>
      <c r="G514" t="n">
        <v>0.3</v>
      </c>
      <c r="H514" t="n">
        <v>0</v>
      </c>
      <c r="I514" t="n">
        <v>0</v>
      </c>
      <c r="J514" t="n">
        <v>0</v>
      </c>
      <c r="K514" t="n">
        <v>0</v>
      </c>
      <c r="L514" t="n">
        <v>0</v>
      </c>
      <c r="M514" t="n">
        <v>0</v>
      </c>
      <c r="N514" t="n">
        <v>0</v>
      </c>
      <c r="O514" t="n">
        <v>0</v>
      </c>
      <c r="P514" t="n">
        <v>0</v>
      </c>
      <c r="Q514" t="n">
        <v>0</v>
      </c>
      <c r="R514" s="2" t="inlineStr"/>
    </row>
    <row r="515" ht="15" customHeight="1">
      <c r="A515" t="inlineStr">
        <is>
          <t>A 53641-2022</t>
        </is>
      </c>
      <c r="B515" s="1" t="n">
        <v>44879.93</v>
      </c>
      <c r="C515" s="1" t="n">
        <v>45931</v>
      </c>
      <c r="D515" t="inlineStr">
        <is>
          <t>VÄSTERBOTTENS LÄN</t>
        </is>
      </c>
      <c r="E515" t="inlineStr">
        <is>
          <t>SKELLEFTEÅ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46440-2023</t>
        </is>
      </c>
      <c r="B516" s="1" t="n">
        <v>45197.5899537037</v>
      </c>
      <c r="C516" s="1" t="n">
        <v>45931</v>
      </c>
      <c r="D516" t="inlineStr">
        <is>
          <t>VÄSTERBOTTENS LÄN</t>
        </is>
      </c>
      <c r="E516" t="inlineStr">
        <is>
          <t>SKELLEFTEÅ</t>
        </is>
      </c>
      <c r="G516" t="n">
        <v>1.8</v>
      </c>
      <c r="H516" t="n">
        <v>0</v>
      </c>
      <c r="I516" t="n">
        <v>0</v>
      </c>
      <c r="J516" t="n">
        <v>0</v>
      </c>
      <c r="K516" t="n">
        <v>0</v>
      </c>
      <c r="L516" t="n">
        <v>0</v>
      </c>
      <c r="M516" t="n">
        <v>0</v>
      </c>
      <c r="N516" t="n">
        <v>0</v>
      </c>
      <c r="O516" t="n">
        <v>0</v>
      </c>
      <c r="P516" t="n">
        <v>0</v>
      </c>
      <c r="Q516" t="n">
        <v>0</v>
      </c>
      <c r="R516" s="2" t="inlineStr"/>
    </row>
    <row r="517" ht="15" customHeight="1">
      <c r="A517" t="inlineStr">
        <is>
          <t>A 38940-2022</t>
        </is>
      </c>
      <c r="B517" s="1" t="n">
        <v>44816</v>
      </c>
      <c r="C517" s="1" t="n">
        <v>45931</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38214-2025</t>
        </is>
      </c>
      <c r="B518" s="1" t="n">
        <v>45883.27512731482</v>
      </c>
      <c r="C518" s="1" t="n">
        <v>45931</v>
      </c>
      <c r="D518" t="inlineStr">
        <is>
          <t>VÄSTERBOTTENS LÄN</t>
        </is>
      </c>
      <c r="E518" t="inlineStr">
        <is>
          <t>SKELLEFTEÅ</t>
        </is>
      </c>
      <c r="G518" t="n">
        <v>3.2</v>
      </c>
      <c r="H518" t="n">
        <v>0</v>
      </c>
      <c r="I518" t="n">
        <v>0</v>
      </c>
      <c r="J518" t="n">
        <v>0</v>
      </c>
      <c r="K518" t="n">
        <v>0</v>
      </c>
      <c r="L518" t="n">
        <v>0</v>
      </c>
      <c r="M518" t="n">
        <v>0</v>
      </c>
      <c r="N518" t="n">
        <v>0</v>
      </c>
      <c r="O518" t="n">
        <v>0</v>
      </c>
      <c r="P518" t="n">
        <v>0</v>
      </c>
      <c r="Q518" t="n">
        <v>0</v>
      </c>
      <c r="R518" s="2" t="inlineStr"/>
    </row>
    <row r="519" ht="15" customHeight="1">
      <c r="A519" t="inlineStr">
        <is>
          <t>A 23759-2023</t>
        </is>
      </c>
      <c r="B519" s="1" t="n">
        <v>45077</v>
      </c>
      <c r="C519" s="1" t="n">
        <v>45931</v>
      </c>
      <c r="D519" t="inlineStr">
        <is>
          <t>VÄSTERBOTTENS LÄN</t>
        </is>
      </c>
      <c r="E519" t="inlineStr">
        <is>
          <t>SKELLEFTEÅ</t>
        </is>
      </c>
      <c r="G519" t="n">
        <v>2.3</v>
      </c>
      <c r="H519" t="n">
        <v>0</v>
      </c>
      <c r="I519" t="n">
        <v>0</v>
      </c>
      <c r="J519" t="n">
        <v>0</v>
      </c>
      <c r="K519" t="n">
        <v>0</v>
      </c>
      <c r="L519" t="n">
        <v>0</v>
      </c>
      <c r="M519" t="n">
        <v>0</v>
      </c>
      <c r="N519" t="n">
        <v>0</v>
      </c>
      <c r="O519" t="n">
        <v>0</v>
      </c>
      <c r="P519" t="n">
        <v>0</v>
      </c>
      <c r="Q519" t="n">
        <v>0</v>
      </c>
      <c r="R519" s="2" t="inlineStr"/>
    </row>
    <row r="520" ht="15" customHeight="1">
      <c r="A520" t="inlineStr">
        <is>
          <t>A 47534-2023</t>
        </is>
      </c>
      <c r="B520" s="1" t="n">
        <v>45203.36484953704</v>
      </c>
      <c r="C520" s="1" t="n">
        <v>45931</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54024-2023</t>
        </is>
      </c>
      <c r="B521" s="1" t="n">
        <v>45231</v>
      </c>
      <c r="C521" s="1" t="n">
        <v>45931</v>
      </c>
      <c r="D521" t="inlineStr">
        <is>
          <t>VÄSTERBOTTENS LÄN</t>
        </is>
      </c>
      <c r="E521" t="inlineStr">
        <is>
          <t>SKELLEFTEÅ</t>
        </is>
      </c>
      <c r="G521" t="n">
        <v>3.5</v>
      </c>
      <c r="H521" t="n">
        <v>0</v>
      </c>
      <c r="I521" t="n">
        <v>0</v>
      </c>
      <c r="J521" t="n">
        <v>0</v>
      </c>
      <c r="K521" t="n">
        <v>0</v>
      </c>
      <c r="L521" t="n">
        <v>0</v>
      </c>
      <c r="M521" t="n">
        <v>0</v>
      </c>
      <c r="N521" t="n">
        <v>0</v>
      </c>
      <c r="O521" t="n">
        <v>0</v>
      </c>
      <c r="P521" t="n">
        <v>0</v>
      </c>
      <c r="Q521" t="n">
        <v>0</v>
      </c>
      <c r="R521" s="2" t="inlineStr"/>
    </row>
    <row r="522" ht="15" customHeight="1">
      <c r="A522" t="inlineStr">
        <is>
          <t>A 54113-2023</t>
        </is>
      </c>
      <c r="B522" s="1" t="n">
        <v>45232.39173611111</v>
      </c>
      <c r="C522" s="1" t="n">
        <v>45931</v>
      </c>
      <c r="D522" t="inlineStr">
        <is>
          <t>VÄSTERBOTTENS LÄN</t>
        </is>
      </c>
      <c r="E522" t="inlineStr">
        <is>
          <t>SKELLEFTEÅ</t>
        </is>
      </c>
      <c r="G522" t="n">
        <v>2.1</v>
      </c>
      <c r="H522" t="n">
        <v>0</v>
      </c>
      <c r="I522" t="n">
        <v>0</v>
      </c>
      <c r="J522" t="n">
        <v>0</v>
      </c>
      <c r="K522" t="n">
        <v>0</v>
      </c>
      <c r="L522" t="n">
        <v>0</v>
      </c>
      <c r="M522" t="n">
        <v>0</v>
      </c>
      <c r="N522" t="n">
        <v>0</v>
      </c>
      <c r="O522" t="n">
        <v>0</v>
      </c>
      <c r="P522" t="n">
        <v>0</v>
      </c>
      <c r="Q522" t="n">
        <v>0</v>
      </c>
      <c r="R522" s="2" t="inlineStr"/>
    </row>
    <row r="523" ht="15" customHeight="1">
      <c r="A523" t="inlineStr">
        <is>
          <t>A 18578-2024</t>
        </is>
      </c>
      <c r="B523" s="1" t="n">
        <v>45425</v>
      </c>
      <c r="C523" s="1" t="n">
        <v>45931</v>
      </c>
      <c r="D523" t="inlineStr">
        <is>
          <t>VÄSTERBOTTENS LÄN</t>
        </is>
      </c>
      <c r="E523" t="inlineStr">
        <is>
          <t>SKELLEFTEÅ</t>
        </is>
      </c>
      <c r="G523" t="n">
        <v>1.1</v>
      </c>
      <c r="H523" t="n">
        <v>0</v>
      </c>
      <c r="I523" t="n">
        <v>0</v>
      </c>
      <c r="J523" t="n">
        <v>0</v>
      </c>
      <c r="K523" t="n">
        <v>0</v>
      </c>
      <c r="L523" t="n">
        <v>0</v>
      </c>
      <c r="M523" t="n">
        <v>0</v>
      </c>
      <c r="N523" t="n">
        <v>0</v>
      </c>
      <c r="O523" t="n">
        <v>0</v>
      </c>
      <c r="P523" t="n">
        <v>0</v>
      </c>
      <c r="Q523" t="n">
        <v>0</v>
      </c>
      <c r="R523" s="2" t="inlineStr"/>
    </row>
    <row r="524" ht="15" customHeight="1">
      <c r="A524" t="inlineStr">
        <is>
          <t>A 54653-2024</t>
        </is>
      </c>
      <c r="B524" s="1" t="n">
        <v>45618.30525462963</v>
      </c>
      <c r="C524" s="1" t="n">
        <v>45931</v>
      </c>
      <c r="D524" t="inlineStr">
        <is>
          <t>VÄSTERBOTTENS LÄN</t>
        </is>
      </c>
      <c r="E524" t="inlineStr">
        <is>
          <t>SKELLEFTEÅ</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54660-2024</t>
        </is>
      </c>
      <c r="B525" s="1" t="n">
        <v>45618.3122337963</v>
      </c>
      <c r="C525" s="1" t="n">
        <v>45931</v>
      </c>
      <c r="D525" t="inlineStr">
        <is>
          <t>VÄSTERBOTTENS LÄN</t>
        </is>
      </c>
      <c r="E525" t="inlineStr">
        <is>
          <t>SKELLEFTEÅ</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9183-2025</t>
        </is>
      </c>
      <c r="B526" s="1" t="n">
        <v>45714</v>
      </c>
      <c r="C526" s="1" t="n">
        <v>45931</v>
      </c>
      <c r="D526" t="inlineStr">
        <is>
          <t>VÄSTERBOTTENS LÄN</t>
        </is>
      </c>
      <c r="E526" t="inlineStr">
        <is>
          <t>SKELLEFTEÅ</t>
        </is>
      </c>
      <c r="G526" t="n">
        <v>0.6</v>
      </c>
      <c r="H526" t="n">
        <v>0</v>
      </c>
      <c r="I526" t="n">
        <v>0</v>
      </c>
      <c r="J526" t="n">
        <v>0</v>
      </c>
      <c r="K526" t="n">
        <v>0</v>
      </c>
      <c r="L526" t="n">
        <v>0</v>
      </c>
      <c r="M526" t="n">
        <v>0</v>
      </c>
      <c r="N526" t="n">
        <v>0</v>
      </c>
      <c r="O526" t="n">
        <v>0</v>
      </c>
      <c r="P526" t="n">
        <v>0</v>
      </c>
      <c r="Q526" t="n">
        <v>0</v>
      </c>
      <c r="R526" s="2" t="inlineStr"/>
    </row>
    <row r="527" ht="15" customHeight="1">
      <c r="A527" t="inlineStr">
        <is>
          <t>A 48361-2023</t>
        </is>
      </c>
      <c r="B527" s="1" t="n">
        <v>45205.64600694444</v>
      </c>
      <c r="C527" s="1" t="n">
        <v>45931</v>
      </c>
      <c r="D527" t="inlineStr">
        <is>
          <t>VÄSTERBOTTENS LÄN</t>
        </is>
      </c>
      <c r="E527" t="inlineStr">
        <is>
          <t>SKELLEFTEÅ</t>
        </is>
      </c>
      <c r="G527" t="n">
        <v>0.8</v>
      </c>
      <c r="H527" t="n">
        <v>0</v>
      </c>
      <c r="I527" t="n">
        <v>0</v>
      </c>
      <c r="J527" t="n">
        <v>0</v>
      </c>
      <c r="K527" t="n">
        <v>0</v>
      </c>
      <c r="L527" t="n">
        <v>0</v>
      </c>
      <c r="M527" t="n">
        <v>0</v>
      </c>
      <c r="N527" t="n">
        <v>0</v>
      </c>
      <c r="O527" t="n">
        <v>0</v>
      </c>
      <c r="P527" t="n">
        <v>0</v>
      </c>
      <c r="Q527" t="n">
        <v>0</v>
      </c>
      <c r="R527" s="2" t="inlineStr"/>
    </row>
    <row r="528" ht="15" customHeight="1">
      <c r="A528" t="inlineStr">
        <is>
          <t>A 56923-2024</t>
        </is>
      </c>
      <c r="B528" s="1" t="n">
        <v>45628.60170138889</v>
      </c>
      <c r="C528" s="1" t="n">
        <v>45931</v>
      </c>
      <c r="D528" t="inlineStr">
        <is>
          <t>VÄSTERBOTTENS LÄN</t>
        </is>
      </c>
      <c r="E528" t="inlineStr">
        <is>
          <t>SKELLEFTEÅ</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16708-2025</t>
        </is>
      </c>
      <c r="B529" s="1" t="n">
        <v>45751</v>
      </c>
      <c r="C529" s="1" t="n">
        <v>45931</v>
      </c>
      <c r="D529" t="inlineStr">
        <is>
          <t>VÄSTERBOTTENS LÄN</t>
        </is>
      </c>
      <c r="E529" t="inlineStr">
        <is>
          <t>SKELLEFTEÅ</t>
        </is>
      </c>
      <c r="G529" t="n">
        <v>2.3</v>
      </c>
      <c r="H529" t="n">
        <v>0</v>
      </c>
      <c r="I529" t="n">
        <v>0</v>
      </c>
      <c r="J529" t="n">
        <v>0</v>
      </c>
      <c r="K529" t="n">
        <v>0</v>
      </c>
      <c r="L529" t="n">
        <v>0</v>
      </c>
      <c r="M529" t="n">
        <v>0</v>
      </c>
      <c r="N529" t="n">
        <v>0</v>
      </c>
      <c r="O529" t="n">
        <v>0</v>
      </c>
      <c r="P529" t="n">
        <v>0</v>
      </c>
      <c r="Q529" t="n">
        <v>0</v>
      </c>
      <c r="R529" s="2" t="inlineStr"/>
    </row>
    <row r="530" ht="15" customHeight="1">
      <c r="A530" t="inlineStr">
        <is>
          <t>A 19160-2025</t>
        </is>
      </c>
      <c r="B530" s="1" t="n">
        <v>45769.36587962963</v>
      </c>
      <c r="C530" s="1" t="n">
        <v>45931</v>
      </c>
      <c r="D530" t="inlineStr">
        <is>
          <t>VÄSTERBOTTENS LÄN</t>
        </is>
      </c>
      <c r="E530" t="inlineStr">
        <is>
          <t>SKELLEFTEÅ</t>
        </is>
      </c>
      <c r="G530" t="n">
        <v>3.6</v>
      </c>
      <c r="H530" t="n">
        <v>0</v>
      </c>
      <c r="I530" t="n">
        <v>0</v>
      </c>
      <c r="J530" t="n">
        <v>0</v>
      </c>
      <c r="K530" t="n">
        <v>0</v>
      </c>
      <c r="L530" t="n">
        <v>0</v>
      </c>
      <c r="M530" t="n">
        <v>0</v>
      </c>
      <c r="N530" t="n">
        <v>0</v>
      </c>
      <c r="O530" t="n">
        <v>0</v>
      </c>
      <c r="P530" t="n">
        <v>0</v>
      </c>
      <c r="Q530" t="n">
        <v>0</v>
      </c>
      <c r="R530" s="2" t="inlineStr"/>
    </row>
    <row r="531" ht="15" customHeight="1">
      <c r="A531" t="inlineStr">
        <is>
          <t>A 24238-2021</t>
        </is>
      </c>
      <c r="B531" s="1" t="n">
        <v>44336.9187962963</v>
      </c>
      <c r="C531" s="1" t="n">
        <v>45931</v>
      </c>
      <c r="D531" t="inlineStr">
        <is>
          <t>VÄSTERBOTTENS LÄN</t>
        </is>
      </c>
      <c r="E531" t="inlineStr">
        <is>
          <t>SKELLEFTEÅ</t>
        </is>
      </c>
      <c r="G531" t="n">
        <v>2.3</v>
      </c>
      <c r="H531" t="n">
        <v>0</v>
      </c>
      <c r="I531" t="n">
        <v>0</v>
      </c>
      <c r="J531" t="n">
        <v>0</v>
      </c>
      <c r="K531" t="n">
        <v>0</v>
      </c>
      <c r="L531" t="n">
        <v>0</v>
      </c>
      <c r="M531" t="n">
        <v>0</v>
      </c>
      <c r="N531" t="n">
        <v>0</v>
      </c>
      <c r="O531" t="n">
        <v>0</v>
      </c>
      <c r="P531" t="n">
        <v>0</v>
      </c>
      <c r="Q531" t="n">
        <v>0</v>
      </c>
      <c r="R531" s="2" t="inlineStr"/>
    </row>
    <row r="532" ht="15" customHeight="1">
      <c r="A532" t="inlineStr">
        <is>
          <t>A 24303-2021</t>
        </is>
      </c>
      <c r="B532" s="1" t="n">
        <v>44337.33520833333</v>
      </c>
      <c r="C532" s="1" t="n">
        <v>45931</v>
      </c>
      <c r="D532" t="inlineStr">
        <is>
          <t>VÄSTERBOTTENS LÄN</t>
        </is>
      </c>
      <c r="E532" t="inlineStr">
        <is>
          <t>SKELLEFTEÅ</t>
        </is>
      </c>
      <c r="G532" t="n">
        <v>6.1</v>
      </c>
      <c r="H532" t="n">
        <v>0</v>
      </c>
      <c r="I532" t="n">
        <v>0</v>
      </c>
      <c r="J532" t="n">
        <v>0</v>
      </c>
      <c r="K532" t="n">
        <v>0</v>
      </c>
      <c r="L532" t="n">
        <v>0</v>
      </c>
      <c r="M532" t="n">
        <v>0</v>
      </c>
      <c r="N532" t="n">
        <v>0</v>
      </c>
      <c r="O532" t="n">
        <v>0</v>
      </c>
      <c r="P532" t="n">
        <v>0</v>
      </c>
      <c r="Q532" t="n">
        <v>0</v>
      </c>
      <c r="R532" s="2" t="inlineStr"/>
    </row>
    <row r="533" ht="15" customHeight="1">
      <c r="A533" t="inlineStr">
        <is>
          <t>A 38450-2023</t>
        </is>
      </c>
      <c r="B533" s="1" t="n">
        <v>45162</v>
      </c>
      <c r="C533" s="1" t="n">
        <v>45931</v>
      </c>
      <c r="D533" t="inlineStr">
        <is>
          <t>VÄSTERBOTTENS LÄN</t>
        </is>
      </c>
      <c r="E533" t="inlineStr">
        <is>
          <t>SKELLEFTEÅ</t>
        </is>
      </c>
      <c r="G533" t="n">
        <v>5.2</v>
      </c>
      <c r="H533" t="n">
        <v>0</v>
      </c>
      <c r="I533" t="n">
        <v>0</v>
      </c>
      <c r="J533" t="n">
        <v>0</v>
      </c>
      <c r="K533" t="n">
        <v>0</v>
      </c>
      <c r="L533" t="n">
        <v>0</v>
      </c>
      <c r="M533" t="n">
        <v>0</v>
      </c>
      <c r="N533" t="n">
        <v>0</v>
      </c>
      <c r="O533" t="n">
        <v>0</v>
      </c>
      <c r="P533" t="n">
        <v>0</v>
      </c>
      <c r="Q533" t="n">
        <v>0</v>
      </c>
      <c r="R533" s="2" t="inlineStr"/>
    </row>
    <row r="534" ht="15" customHeight="1">
      <c r="A534" t="inlineStr">
        <is>
          <t>A 48133-2022</t>
        </is>
      </c>
      <c r="B534" s="1" t="n">
        <v>44857</v>
      </c>
      <c r="C534" s="1" t="n">
        <v>45931</v>
      </c>
      <c r="D534" t="inlineStr">
        <is>
          <t>VÄSTERBOTTENS LÄN</t>
        </is>
      </c>
      <c r="E534" t="inlineStr">
        <is>
          <t>SKELLEFTEÅ</t>
        </is>
      </c>
      <c r="F534" t="inlineStr">
        <is>
          <t>Sveaskog</t>
        </is>
      </c>
      <c r="G534" t="n">
        <v>18.3</v>
      </c>
      <c r="H534" t="n">
        <v>0</v>
      </c>
      <c r="I534" t="n">
        <v>0</v>
      </c>
      <c r="J534" t="n">
        <v>0</v>
      </c>
      <c r="K534" t="n">
        <v>0</v>
      </c>
      <c r="L534" t="n">
        <v>0</v>
      </c>
      <c r="M534" t="n">
        <v>0</v>
      </c>
      <c r="N534" t="n">
        <v>0</v>
      </c>
      <c r="O534" t="n">
        <v>0</v>
      </c>
      <c r="P534" t="n">
        <v>0</v>
      </c>
      <c r="Q534" t="n">
        <v>0</v>
      </c>
      <c r="R534" s="2" t="inlineStr"/>
    </row>
    <row r="535" ht="15" customHeight="1">
      <c r="A535" t="inlineStr">
        <is>
          <t>A 46480-2025</t>
        </is>
      </c>
      <c r="B535" s="1" t="n">
        <v>45925.6988425926</v>
      </c>
      <c r="C535" s="1" t="n">
        <v>45931</v>
      </c>
      <c r="D535" t="inlineStr">
        <is>
          <t>VÄSTERBOTTENS LÄN</t>
        </is>
      </c>
      <c r="E535" t="inlineStr">
        <is>
          <t>SKELLEFTEÅ</t>
        </is>
      </c>
      <c r="F535" t="inlineStr">
        <is>
          <t>Sveaskog</t>
        </is>
      </c>
      <c r="G535" t="n">
        <v>13.8</v>
      </c>
      <c r="H535" t="n">
        <v>0</v>
      </c>
      <c r="I535" t="n">
        <v>0</v>
      </c>
      <c r="J535" t="n">
        <v>0</v>
      </c>
      <c r="K535" t="n">
        <v>0</v>
      </c>
      <c r="L535" t="n">
        <v>0</v>
      </c>
      <c r="M535" t="n">
        <v>0</v>
      </c>
      <c r="N535" t="n">
        <v>0</v>
      </c>
      <c r="O535" t="n">
        <v>0</v>
      </c>
      <c r="P535" t="n">
        <v>0</v>
      </c>
      <c r="Q535" t="n">
        <v>0</v>
      </c>
      <c r="R535" s="2" t="inlineStr"/>
    </row>
    <row r="536" ht="15" customHeight="1">
      <c r="A536" t="inlineStr">
        <is>
          <t>A 45389-2021</t>
        </is>
      </c>
      <c r="B536" s="1" t="n">
        <v>44440</v>
      </c>
      <c r="C536" s="1" t="n">
        <v>45931</v>
      </c>
      <c r="D536" t="inlineStr">
        <is>
          <t>VÄSTERBOTTENS LÄN</t>
        </is>
      </c>
      <c r="E536" t="inlineStr">
        <is>
          <t>SKELLEFTEÅ</t>
        </is>
      </c>
      <c r="G536" t="n">
        <v>0.3</v>
      </c>
      <c r="H536" t="n">
        <v>0</v>
      </c>
      <c r="I536" t="n">
        <v>0</v>
      </c>
      <c r="J536" t="n">
        <v>0</v>
      </c>
      <c r="K536" t="n">
        <v>0</v>
      </c>
      <c r="L536" t="n">
        <v>0</v>
      </c>
      <c r="M536" t="n">
        <v>0</v>
      </c>
      <c r="N536" t="n">
        <v>0</v>
      </c>
      <c r="O536" t="n">
        <v>0</v>
      </c>
      <c r="P536" t="n">
        <v>0</v>
      </c>
      <c r="Q536" t="n">
        <v>0</v>
      </c>
      <c r="R536" s="2" t="inlineStr"/>
    </row>
    <row r="537" ht="15" customHeight="1">
      <c r="A537" t="inlineStr">
        <is>
          <t>A 54411-2023</t>
        </is>
      </c>
      <c r="B537" s="1" t="n">
        <v>45226</v>
      </c>
      <c r="C537" s="1" t="n">
        <v>45931</v>
      </c>
      <c r="D537" t="inlineStr">
        <is>
          <t>VÄSTERBOTTENS LÄN</t>
        </is>
      </c>
      <c r="E537" t="inlineStr">
        <is>
          <t>SKELLEFTEÅ</t>
        </is>
      </c>
      <c r="G537" t="n">
        <v>2</v>
      </c>
      <c r="H537" t="n">
        <v>0</v>
      </c>
      <c r="I537" t="n">
        <v>0</v>
      </c>
      <c r="J537" t="n">
        <v>0</v>
      </c>
      <c r="K537" t="n">
        <v>0</v>
      </c>
      <c r="L537" t="n">
        <v>0</v>
      </c>
      <c r="M537" t="n">
        <v>0</v>
      </c>
      <c r="N537" t="n">
        <v>0</v>
      </c>
      <c r="O537" t="n">
        <v>0</v>
      </c>
      <c r="P537" t="n">
        <v>0</v>
      </c>
      <c r="Q537" t="n">
        <v>0</v>
      </c>
      <c r="R537" s="2" t="inlineStr"/>
    </row>
    <row r="538" ht="15" customHeight="1">
      <c r="A538" t="inlineStr">
        <is>
          <t>A 50531-2022</t>
        </is>
      </c>
      <c r="B538" s="1" t="n">
        <v>44866.57714120371</v>
      </c>
      <c r="C538" s="1" t="n">
        <v>45931</v>
      </c>
      <c r="D538" t="inlineStr">
        <is>
          <t>VÄSTERBOTTENS LÄN</t>
        </is>
      </c>
      <c r="E538" t="inlineStr">
        <is>
          <t>SKELLEFTEÅ</t>
        </is>
      </c>
      <c r="G538" t="n">
        <v>8.1</v>
      </c>
      <c r="H538" t="n">
        <v>0</v>
      </c>
      <c r="I538" t="n">
        <v>0</v>
      </c>
      <c r="J538" t="n">
        <v>0</v>
      </c>
      <c r="K538" t="n">
        <v>0</v>
      </c>
      <c r="L538" t="n">
        <v>0</v>
      </c>
      <c r="M538" t="n">
        <v>0</v>
      </c>
      <c r="N538" t="n">
        <v>0</v>
      </c>
      <c r="O538" t="n">
        <v>0</v>
      </c>
      <c r="P538" t="n">
        <v>0</v>
      </c>
      <c r="Q538" t="n">
        <v>0</v>
      </c>
      <c r="R538" s="2" t="inlineStr"/>
    </row>
    <row r="539" ht="15" customHeight="1">
      <c r="A539" t="inlineStr">
        <is>
          <t>A 36779-2024</t>
        </is>
      </c>
      <c r="B539" s="1" t="n">
        <v>45538.41059027778</v>
      </c>
      <c r="C539" s="1" t="n">
        <v>45931</v>
      </c>
      <c r="D539" t="inlineStr">
        <is>
          <t>VÄSTERBOTTENS LÄN</t>
        </is>
      </c>
      <c r="E539" t="inlineStr">
        <is>
          <t>SKELLEFTEÅ</t>
        </is>
      </c>
      <c r="F539" t="inlineStr">
        <is>
          <t>Holmen skog AB</t>
        </is>
      </c>
      <c r="G539" t="n">
        <v>2.7</v>
      </c>
      <c r="H539" t="n">
        <v>0</v>
      </c>
      <c r="I539" t="n">
        <v>0</v>
      </c>
      <c r="J539" t="n">
        <v>0</v>
      </c>
      <c r="K539" t="n">
        <v>0</v>
      </c>
      <c r="L539" t="n">
        <v>0</v>
      </c>
      <c r="M539" t="n">
        <v>0</v>
      </c>
      <c r="N539" t="n">
        <v>0</v>
      </c>
      <c r="O539" t="n">
        <v>0</v>
      </c>
      <c r="P539" t="n">
        <v>0</v>
      </c>
      <c r="Q539" t="n">
        <v>0</v>
      </c>
      <c r="R539" s="2" t="inlineStr"/>
    </row>
    <row r="540" ht="15" customHeight="1">
      <c r="A540" t="inlineStr">
        <is>
          <t>A 60896-2023</t>
        </is>
      </c>
      <c r="B540" s="1" t="n">
        <v>45261</v>
      </c>
      <c r="C540" s="1" t="n">
        <v>45931</v>
      </c>
      <c r="D540" t="inlineStr">
        <is>
          <t>VÄSTERBOTTENS LÄN</t>
        </is>
      </c>
      <c r="E540" t="inlineStr">
        <is>
          <t>SKELLEFTEÅ</t>
        </is>
      </c>
      <c r="G540" t="n">
        <v>1.6</v>
      </c>
      <c r="H540" t="n">
        <v>0</v>
      </c>
      <c r="I540" t="n">
        <v>0</v>
      </c>
      <c r="J540" t="n">
        <v>0</v>
      </c>
      <c r="K540" t="n">
        <v>0</v>
      </c>
      <c r="L540" t="n">
        <v>0</v>
      </c>
      <c r="M540" t="n">
        <v>0</v>
      </c>
      <c r="N540" t="n">
        <v>0</v>
      </c>
      <c r="O540" t="n">
        <v>0</v>
      </c>
      <c r="P540" t="n">
        <v>0</v>
      </c>
      <c r="Q540" t="n">
        <v>0</v>
      </c>
      <c r="R540" s="2" t="inlineStr"/>
    </row>
    <row r="541" ht="15" customHeight="1">
      <c r="A541" t="inlineStr">
        <is>
          <t>A 60898-2023</t>
        </is>
      </c>
      <c r="B541" s="1" t="n">
        <v>45261.35170138889</v>
      </c>
      <c r="C541" s="1" t="n">
        <v>45931</v>
      </c>
      <c r="D541" t="inlineStr">
        <is>
          <t>VÄSTERBOTTENS LÄN</t>
        </is>
      </c>
      <c r="E541" t="inlineStr">
        <is>
          <t>SKELLEFTEÅ</t>
        </is>
      </c>
      <c r="G541" t="n">
        <v>1.2</v>
      </c>
      <c r="H541" t="n">
        <v>0</v>
      </c>
      <c r="I541" t="n">
        <v>0</v>
      </c>
      <c r="J541" t="n">
        <v>0</v>
      </c>
      <c r="K541" t="n">
        <v>0</v>
      </c>
      <c r="L541" t="n">
        <v>0</v>
      </c>
      <c r="M541" t="n">
        <v>0</v>
      </c>
      <c r="N541" t="n">
        <v>0</v>
      </c>
      <c r="O541" t="n">
        <v>0</v>
      </c>
      <c r="P541" t="n">
        <v>0</v>
      </c>
      <c r="Q541" t="n">
        <v>0</v>
      </c>
      <c r="R541" s="2" t="inlineStr"/>
    </row>
    <row r="542" ht="15" customHeight="1">
      <c r="A542" t="inlineStr">
        <is>
          <t>A 56627-2021</t>
        </is>
      </c>
      <c r="B542" s="1" t="n">
        <v>44480.84313657408</v>
      </c>
      <c r="C542" s="1" t="n">
        <v>45931</v>
      </c>
      <c r="D542" t="inlineStr">
        <is>
          <t>VÄSTERBOTTENS LÄN</t>
        </is>
      </c>
      <c r="E542" t="inlineStr">
        <is>
          <t>SKELLEFTEÅ</t>
        </is>
      </c>
      <c r="F542" t="inlineStr">
        <is>
          <t>Sveaskog</t>
        </is>
      </c>
      <c r="G542" t="n">
        <v>20.1</v>
      </c>
      <c r="H542" t="n">
        <v>0</v>
      </c>
      <c r="I542" t="n">
        <v>0</v>
      </c>
      <c r="J542" t="n">
        <v>0</v>
      </c>
      <c r="K542" t="n">
        <v>0</v>
      </c>
      <c r="L542" t="n">
        <v>0</v>
      </c>
      <c r="M542" t="n">
        <v>0</v>
      </c>
      <c r="N542" t="n">
        <v>0</v>
      </c>
      <c r="O542" t="n">
        <v>0</v>
      </c>
      <c r="P542" t="n">
        <v>0</v>
      </c>
      <c r="Q542" t="n">
        <v>0</v>
      </c>
      <c r="R542" s="2" t="inlineStr"/>
    </row>
    <row r="543" ht="15" customHeight="1">
      <c r="A543" t="inlineStr">
        <is>
          <t>A 52119-2020</t>
        </is>
      </c>
      <c r="B543" s="1" t="n">
        <v>44110</v>
      </c>
      <c r="C543" s="1" t="n">
        <v>45931</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34035-2023</t>
        </is>
      </c>
      <c r="B544" s="1" t="n">
        <v>45135.41648148148</v>
      </c>
      <c r="C544" s="1" t="n">
        <v>45931</v>
      </c>
      <c r="D544" t="inlineStr">
        <is>
          <t>VÄSTERBOTTENS LÄN</t>
        </is>
      </c>
      <c r="E544" t="inlineStr">
        <is>
          <t>SKELLEFTEÅ</t>
        </is>
      </c>
      <c r="F544" t="inlineStr">
        <is>
          <t>Holmen skog AB</t>
        </is>
      </c>
      <c r="G544" t="n">
        <v>2.6</v>
      </c>
      <c r="H544" t="n">
        <v>0</v>
      </c>
      <c r="I544" t="n">
        <v>0</v>
      </c>
      <c r="J544" t="n">
        <v>0</v>
      </c>
      <c r="K544" t="n">
        <v>0</v>
      </c>
      <c r="L544" t="n">
        <v>0</v>
      </c>
      <c r="M544" t="n">
        <v>0</v>
      </c>
      <c r="N544" t="n">
        <v>0</v>
      </c>
      <c r="O544" t="n">
        <v>0</v>
      </c>
      <c r="P544" t="n">
        <v>0</v>
      </c>
      <c r="Q544" t="n">
        <v>0</v>
      </c>
      <c r="R544" s="2" t="inlineStr"/>
    </row>
    <row r="545" ht="15" customHeight="1">
      <c r="A545" t="inlineStr">
        <is>
          <t>A 2279-2025</t>
        </is>
      </c>
      <c r="B545" s="1" t="n">
        <v>45673.56776620371</v>
      </c>
      <c r="C545" s="1" t="n">
        <v>45931</v>
      </c>
      <c r="D545" t="inlineStr">
        <is>
          <t>VÄSTERBOTTENS LÄN</t>
        </is>
      </c>
      <c r="E545" t="inlineStr">
        <is>
          <t>SKELLEFTEÅ</t>
        </is>
      </c>
      <c r="F545" t="inlineStr">
        <is>
          <t>Holmen skog AB</t>
        </is>
      </c>
      <c r="G545" t="n">
        <v>5</v>
      </c>
      <c r="H545" t="n">
        <v>0</v>
      </c>
      <c r="I545" t="n">
        <v>0</v>
      </c>
      <c r="J545" t="n">
        <v>0</v>
      </c>
      <c r="K545" t="n">
        <v>0</v>
      </c>
      <c r="L545" t="n">
        <v>0</v>
      </c>
      <c r="M545" t="n">
        <v>0</v>
      </c>
      <c r="N545" t="n">
        <v>0</v>
      </c>
      <c r="O545" t="n">
        <v>0</v>
      </c>
      <c r="P545" t="n">
        <v>0</v>
      </c>
      <c r="Q545" t="n">
        <v>0</v>
      </c>
      <c r="R545" s="2" t="inlineStr"/>
    </row>
    <row r="546" ht="15" customHeight="1">
      <c r="A546" t="inlineStr">
        <is>
          <t>A 10719-2024</t>
        </is>
      </c>
      <c r="B546" s="1" t="n">
        <v>45369</v>
      </c>
      <c r="C546" s="1" t="n">
        <v>45931</v>
      </c>
      <c r="D546" t="inlineStr">
        <is>
          <t>VÄSTERBOTTENS LÄN</t>
        </is>
      </c>
      <c r="E546" t="inlineStr">
        <is>
          <t>SKELLEFTEÅ</t>
        </is>
      </c>
      <c r="G546" t="n">
        <v>0.5</v>
      </c>
      <c r="H546" t="n">
        <v>0</v>
      </c>
      <c r="I546" t="n">
        <v>0</v>
      </c>
      <c r="J546" t="n">
        <v>0</v>
      </c>
      <c r="K546" t="n">
        <v>0</v>
      </c>
      <c r="L546" t="n">
        <v>0</v>
      </c>
      <c r="M546" t="n">
        <v>0</v>
      </c>
      <c r="N546" t="n">
        <v>0</v>
      </c>
      <c r="O546" t="n">
        <v>0</v>
      </c>
      <c r="P546" t="n">
        <v>0</v>
      </c>
      <c r="Q546" t="n">
        <v>0</v>
      </c>
      <c r="R546" s="2" t="inlineStr"/>
    </row>
    <row r="547" ht="15" customHeight="1">
      <c r="A547" t="inlineStr">
        <is>
          <t>A 38493-2024</t>
        </is>
      </c>
      <c r="B547" s="1" t="n">
        <v>45546</v>
      </c>
      <c r="C547" s="1" t="n">
        <v>45931</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61188-2023</t>
        </is>
      </c>
      <c r="B548" s="1" t="n">
        <v>45264</v>
      </c>
      <c r="C548" s="1" t="n">
        <v>45931</v>
      </c>
      <c r="D548" t="inlineStr">
        <is>
          <t>VÄSTERBOTTENS LÄN</t>
        </is>
      </c>
      <c r="E548" t="inlineStr">
        <is>
          <t>SKELLEFTEÅ</t>
        </is>
      </c>
      <c r="F548" t="inlineStr">
        <is>
          <t>Sveaskog</t>
        </is>
      </c>
      <c r="G548" t="n">
        <v>7.3</v>
      </c>
      <c r="H548" t="n">
        <v>0</v>
      </c>
      <c r="I548" t="n">
        <v>0</v>
      </c>
      <c r="J548" t="n">
        <v>0</v>
      </c>
      <c r="K548" t="n">
        <v>0</v>
      </c>
      <c r="L548" t="n">
        <v>0</v>
      </c>
      <c r="M548" t="n">
        <v>0</v>
      </c>
      <c r="N548" t="n">
        <v>0</v>
      </c>
      <c r="O548" t="n">
        <v>0</v>
      </c>
      <c r="P548" t="n">
        <v>0</v>
      </c>
      <c r="Q548" t="n">
        <v>0</v>
      </c>
      <c r="R548" s="2" t="inlineStr"/>
    </row>
    <row r="549" ht="15" customHeight="1">
      <c r="A549" t="inlineStr">
        <is>
          <t>A 17483-2023</t>
        </is>
      </c>
      <c r="B549" s="1" t="n">
        <v>45034</v>
      </c>
      <c r="C549" s="1" t="n">
        <v>45931</v>
      </c>
      <c r="D549" t="inlineStr">
        <is>
          <t>VÄSTERBOTTENS LÄN</t>
        </is>
      </c>
      <c r="E549" t="inlineStr">
        <is>
          <t>SKELLEFTEÅ</t>
        </is>
      </c>
      <c r="G549" t="n">
        <v>3.7</v>
      </c>
      <c r="H549" t="n">
        <v>0</v>
      </c>
      <c r="I549" t="n">
        <v>0</v>
      </c>
      <c r="J549" t="n">
        <v>0</v>
      </c>
      <c r="K549" t="n">
        <v>0</v>
      </c>
      <c r="L549" t="n">
        <v>0</v>
      </c>
      <c r="M549" t="n">
        <v>0</v>
      </c>
      <c r="N549" t="n">
        <v>0</v>
      </c>
      <c r="O549" t="n">
        <v>0</v>
      </c>
      <c r="P549" t="n">
        <v>0</v>
      </c>
      <c r="Q549" t="n">
        <v>0</v>
      </c>
      <c r="R549" s="2" t="inlineStr"/>
    </row>
    <row r="550" ht="15" customHeight="1">
      <c r="A550" t="inlineStr">
        <is>
          <t>A 11644-2025</t>
        </is>
      </c>
      <c r="B550" s="1" t="n">
        <v>45727.47341435185</v>
      </c>
      <c r="C550" s="1" t="n">
        <v>45931</v>
      </c>
      <c r="D550" t="inlineStr">
        <is>
          <t>VÄSTERBOTTENS LÄN</t>
        </is>
      </c>
      <c r="E550" t="inlineStr">
        <is>
          <t>SKELLEFTEÅ</t>
        </is>
      </c>
      <c r="G550" t="n">
        <v>3.2</v>
      </c>
      <c r="H550" t="n">
        <v>0</v>
      </c>
      <c r="I550" t="n">
        <v>0</v>
      </c>
      <c r="J550" t="n">
        <v>0</v>
      </c>
      <c r="K550" t="n">
        <v>0</v>
      </c>
      <c r="L550" t="n">
        <v>0</v>
      </c>
      <c r="M550" t="n">
        <v>0</v>
      </c>
      <c r="N550" t="n">
        <v>0</v>
      </c>
      <c r="O550" t="n">
        <v>0</v>
      </c>
      <c r="P550" t="n">
        <v>0</v>
      </c>
      <c r="Q550" t="n">
        <v>0</v>
      </c>
      <c r="R550" s="2" t="inlineStr"/>
    </row>
    <row r="551" ht="15" customHeight="1">
      <c r="A551" t="inlineStr">
        <is>
          <t>A 60506-2022</t>
        </is>
      </c>
      <c r="B551" s="1" t="n">
        <v>44911.44916666667</v>
      </c>
      <c r="C551" s="1" t="n">
        <v>45931</v>
      </c>
      <c r="D551" t="inlineStr">
        <is>
          <t>VÄSTERBOTTENS LÄN</t>
        </is>
      </c>
      <c r="E551" t="inlineStr">
        <is>
          <t>SKELLEFTEÅ</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18979-2024</t>
        </is>
      </c>
      <c r="B552" s="1" t="n">
        <v>45427</v>
      </c>
      <c r="C552" s="1" t="n">
        <v>45931</v>
      </c>
      <c r="D552" t="inlineStr">
        <is>
          <t>VÄSTERBOTTENS LÄN</t>
        </is>
      </c>
      <c r="E552" t="inlineStr">
        <is>
          <t>SKELLEFTEÅ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15138-2025</t>
        </is>
      </c>
      <c r="B553" s="1" t="n">
        <v>45744.38621527778</v>
      </c>
      <c r="C553" s="1" t="n">
        <v>45931</v>
      </c>
      <c r="D553" t="inlineStr">
        <is>
          <t>VÄSTERBOTTENS LÄN</t>
        </is>
      </c>
      <c r="E553" t="inlineStr">
        <is>
          <t>SKELLEFTEÅ</t>
        </is>
      </c>
      <c r="G553" t="n">
        <v>1.9</v>
      </c>
      <c r="H553" t="n">
        <v>0</v>
      </c>
      <c r="I553" t="n">
        <v>0</v>
      </c>
      <c r="J553" t="n">
        <v>0</v>
      </c>
      <c r="K553" t="n">
        <v>0</v>
      </c>
      <c r="L553" t="n">
        <v>0</v>
      </c>
      <c r="M553" t="n">
        <v>0</v>
      </c>
      <c r="N553" t="n">
        <v>0</v>
      </c>
      <c r="O553" t="n">
        <v>0</v>
      </c>
      <c r="P553" t="n">
        <v>0</v>
      </c>
      <c r="Q553" t="n">
        <v>0</v>
      </c>
      <c r="R553" s="2" t="inlineStr"/>
    </row>
    <row r="554" ht="15" customHeight="1">
      <c r="A554" t="inlineStr">
        <is>
          <t>A 26920-2024</t>
        </is>
      </c>
      <c r="B554" s="1" t="n">
        <v>45470.9305787037</v>
      </c>
      <c r="C554" s="1" t="n">
        <v>45931</v>
      </c>
      <c r="D554" t="inlineStr">
        <is>
          <t>VÄSTERBOTTENS LÄN</t>
        </is>
      </c>
      <c r="E554" t="inlineStr">
        <is>
          <t>SKELLEFTEÅ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40898-2021</t>
        </is>
      </c>
      <c r="B555" s="1" t="n">
        <v>44421.48540509259</v>
      </c>
      <c r="C555" s="1" t="n">
        <v>45931</v>
      </c>
      <c r="D555" t="inlineStr">
        <is>
          <t>VÄSTERBOTTENS LÄN</t>
        </is>
      </c>
      <c r="E555" t="inlineStr">
        <is>
          <t>SKELLEFTEÅ</t>
        </is>
      </c>
      <c r="G555" t="n">
        <v>5.3</v>
      </c>
      <c r="H555" t="n">
        <v>0</v>
      </c>
      <c r="I555" t="n">
        <v>0</v>
      </c>
      <c r="J555" t="n">
        <v>0</v>
      </c>
      <c r="K555" t="n">
        <v>0</v>
      </c>
      <c r="L555" t="n">
        <v>0</v>
      </c>
      <c r="M555" t="n">
        <v>0</v>
      </c>
      <c r="N555" t="n">
        <v>0</v>
      </c>
      <c r="O555" t="n">
        <v>0</v>
      </c>
      <c r="P555" t="n">
        <v>0</v>
      </c>
      <c r="Q555" t="n">
        <v>0</v>
      </c>
      <c r="R555" s="2" t="inlineStr"/>
    </row>
    <row r="556" ht="15" customHeight="1">
      <c r="A556" t="inlineStr">
        <is>
          <t>A 11525-2024</t>
        </is>
      </c>
      <c r="B556" s="1" t="n">
        <v>45372</v>
      </c>
      <c r="C556" s="1" t="n">
        <v>45931</v>
      </c>
      <c r="D556" t="inlineStr">
        <is>
          <t>VÄSTERBOTTENS LÄN</t>
        </is>
      </c>
      <c r="E556" t="inlineStr">
        <is>
          <t>SKELLEFTEÅ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28203-2023</t>
        </is>
      </c>
      <c r="B557" s="1" t="n">
        <v>45096</v>
      </c>
      <c r="C557" s="1" t="n">
        <v>45931</v>
      </c>
      <c r="D557" t="inlineStr">
        <is>
          <t>VÄSTERBOTTENS LÄN</t>
        </is>
      </c>
      <c r="E557" t="inlineStr">
        <is>
          <t>SKELLEFTEÅ</t>
        </is>
      </c>
      <c r="G557" t="n">
        <v>1.3</v>
      </c>
      <c r="H557" t="n">
        <v>0</v>
      </c>
      <c r="I557" t="n">
        <v>0</v>
      </c>
      <c r="J557" t="n">
        <v>0</v>
      </c>
      <c r="K557" t="n">
        <v>0</v>
      </c>
      <c r="L557" t="n">
        <v>0</v>
      </c>
      <c r="M557" t="n">
        <v>0</v>
      </c>
      <c r="N557" t="n">
        <v>0</v>
      </c>
      <c r="O557" t="n">
        <v>0</v>
      </c>
      <c r="P557" t="n">
        <v>0</v>
      </c>
      <c r="Q557" t="n">
        <v>0</v>
      </c>
      <c r="R557" s="2" t="inlineStr"/>
    </row>
    <row r="558" ht="15" customHeight="1">
      <c r="A558" t="inlineStr">
        <is>
          <t>A 9425-2024</t>
        </is>
      </c>
      <c r="B558" s="1" t="n">
        <v>45359</v>
      </c>
      <c r="C558" s="1" t="n">
        <v>45931</v>
      </c>
      <c r="D558" t="inlineStr">
        <is>
          <t>VÄSTERBOTTENS LÄN</t>
        </is>
      </c>
      <c r="E558" t="inlineStr">
        <is>
          <t>SKELLEFTEÅ</t>
        </is>
      </c>
      <c r="G558" t="n">
        <v>2.1</v>
      </c>
      <c r="H558" t="n">
        <v>0</v>
      </c>
      <c r="I558" t="n">
        <v>0</v>
      </c>
      <c r="J558" t="n">
        <v>0</v>
      </c>
      <c r="K558" t="n">
        <v>0</v>
      </c>
      <c r="L558" t="n">
        <v>0</v>
      </c>
      <c r="M558" t="n">
        <v>0</v>
      </c>
      <c r="N558" t="n">
        <v>0</v>
      </c>
      <c r="O558" t="n">
        <v>0</v>
      </c>
      <c r="P558" t="n">
        <v>0</v>
      </c>
      <c r="Q558" t="n">
        <v>0</v>
      </c>
      <c r="R558" s="2" t="inlineStr"/>
    </row>
    <row r="559" ht="15" customHeight="1">
      <c r="A559" t="inlineStr">
        <is>
          <t>A 42764-2024</t>
        </is>
      </c>
      <c r="B559" s="1" t="n">
        <v>45566.50524305556</v>
      </c>
      <c r="C559" s="1" t="n">
        <v>45931</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9035-2021</t>
        </is>
      </c>
      <c r="B560" s="1" t="n">
        <v>44249</v>
      </c>
      <c r="C560" s="1" t="n">
        <v>45931</v>
      </c>
      <c r="D560" t="inlineStr">
        <is>
          <t>VÄSTERBOTTENS LÄN</t>
        </is>
      </c>
      <c r="E560" t="inlineStr">
        <is>
          <t>SKELLEFTEÅ</t>
        </is>
      </c>
      <c r="G560" t="n">
        <v>6.7</v>
      </c>
      <c r="H560" t="n">
        <v>0</v>
      </c>
      <c r="I560" t="n">
        <v>0</v>
      </c>
      <c r="J560" t="n">
        <v>0</v>
      </c>
      <c r="K560" t="n">
        <v>0</v>
      </c>
      <c r="L560" t="n">
        <v>0</v>
      </c>
      <c r="M560" t="n">
        <v>0</v>
      </c>
      <c r="N560" t="n">
        <v>0</v>
      </c>
      <c r="O560" t="n">
        <v>0</v>
      </c>
      <c r="P560" t="n">
        <v>0</v>
      </c>
      <c r="Q560" t="n">
        <v>0</v>
      </c>
      <c r="R560" s="2" t="inlineStr"/>
    </row>
    <row r="561" ht="15" customHeight="1">
      <c r="A561" t="inlineStr">
        <is>
          <t>A 40828-2021</t>
        </is>
      </c>
      <c r="B561" s="1" t="n">
        <v>44421.39377314815</v>
      </c>
      <c r="C561" s="1" t="n">
        <v>45931</v>
      </c>
      <c r="D561" t="inlineStr">
        <is>
          <t>VÄSTERBOTTENS LÄN</t>
        </is>
      </c>
      <c r="E561" t="inlineStr">
        <is>
          <t>SKELLEFTEÅ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53753-2022</t>
        </is>
      </c>
      <c r="B562" s="1" t="n">
        <v>44872</v>
      </c>
      <c r="C562" s="1" t="n">
        <v>45931</v>
      </c>
      <c r="D562" t="inlineStr">
        <is>
          <t>VÄSTERBOTTENS LÄN</t>
        </is>
      </c>
      <c r="E562" t="inlineStr">
        <is>
          <t>SKELLEFTEÅ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47312-2023</t>
        </is>
      </c>
      <c r="B563" s="1" t="n">
        <v>45202</v>
      </c>
      <c r="C563" s="1" t="n">
        <v>45931</v>
      </c>
      <c r="D563" t="inlineStr">
        <is>
          <t>VÄSTERBOTTENS LÄN</t>
        </is>
      </c>
      <c r="E563" t="inlineStr">
        <is>
          <t>SKELLEFTEÅ</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25491-2021</t>
        </is>
      </c>
      <c r="B564" s="1" t="n">
        <v>44342</v>
      </c>
      <c r="C564" s="1" t="n">
        <v>45931</v>
      </c>
      <c r="D564" t="inlineStr">
        <is>
          <t>VÄSTERBOTTENS LÄN</t>
        </is>
      </c>
      <c r="E564" t="inlineStr">
        <is>
          <t>SKELLEFTEÅ</t>
        </is>
      </c>
      <c r="G564" t="n">
        <v>2.9</v>
      </c>
      <c r="H564" t="n">
        <v>0</v>
      </c>
      <c r="I564" t="n">
        <v>0</v>
      </c>
      <c r="J564" t="n">
        <v>0</v>
      </c>
      <c r="K564" t="n">
        <v>0</v>
      </c>
      <c r="L564" t="n">
        <v>0</v>
      </c>
      <c r="M564" t="n">
        <v>0</v>
      </c>
      <c r="N564" t="n">
        <v>0</v>
      </c>
      <c r="O564" t="n">
        <v>0</v>
      </c>
      <c r="P564" t="n">
        <v>0</v>
      </c>
      <c r="Q564" t="n">
        <v>0</v>
      </c>
      <c r="R564" s="2" t="inlineStr"/>
    </row>
    <row r="565" ht="15" customHeight="1">
      <c r="A565" t="inlineStr">
        <is>
          <t>A 20723-2024</t>
        </is>
      </c>
      <c r="B565" s="1" t="n">
        <v>45436.65041666666</v>
      </c>
      <c r="C565" s="1" t="n">
        <v>45931</v>
      </c>
      <c r="D565" t="inlineStr">
        <is>
          <t>VÄSTERBOTTENS LÄN</t>
        </is>
      </c>
      <c r="E565" t="inlineStr">
        <is>
          <t>SKELLEFTEÅ</t>
        </is>
      </c>
      <c r="F565" t="inlineStr">
        <is>
          <t>Holmen skog AB</t>
        </is>
      </c>
      <c r="G565" t="n">
        <v>4.2</v>
      </c>
      <c r="H565" t="n">
        <v>0</v>
      </c>
      <c r="I565" t="n">
        <v>0</v>
      </c>
      <c r="J565" t="n">
        <v>0</v>
      </c>
      <c r="K565" t="n">
        <v>0</v>
      </c>
      <c r="L565" t="n">
        <v>0</v>
      </c>
      <c r="M565" t="n">
        <v>0</v>
      </c>
      <c r="N565" t="n">
        <v>0</v>
      </c>
      <c r="O565" t="n">
        <v>0</v>
      </c>
      <c r="P565" t="n">
        <v>0</v>
      </c>
      <c r="Q565" t="n">
        <v>0</v>
      </c>
      <c r="R565" s="2" t="inlineStr"/>
    </row>
    <row r="566" ht="15" customHeight="1">
      <c r="A566" t="inlineStr">
        <is>
          <t>A 33841-2021</t>
        </is>
      </c>
      <c r="B566" s="1" t="n">
        <v>44378</v>
      </c>
      <c r="C566" s="1" t="n">
        <v>45931</v>
      </c>
      <c r="D566" t="inlineStr">
        <is>
          <t>VÄSTERBOTTENS LÄN</t>
        </is>
      </c>
      <c r="E566" t="inlineStr">
        <is>
          <t>SKELLEFTEÅ</t>
        </is>
      </c>
      <c r="G566" t="n">
        <v>1.3</v>
      </c>
      <c r="H566" t="n">
        <v>0</v>
      </c>
      <c r="I566" t="n">
        <v>0</v>
      </c>
      <c r="J566" t="n">
        <v>0</v>
      </c>
      <c r="K566" t="n">
        <v>0</v>
      </c>
      <c r="L566" t="n">
        <v>0</v>
      </c>
      <c r="M566" t="n">
        <v>0</v>
      </c>
      <c r="N566" t="n">
        <v>0</v>
      </c>
      <c r="O566" t="n">
        <v>0</v>
      </c>
      <c r="P566" t="n">
        <v>0</v>
      </c>
      <c r="Q566" t="n">
        <v>0</v>
      </c>
      <c r="R566" s="2" t="inlineStr"/>
    </row>
    <row r="567" ht="15" customHeight="1">
      <c r="A567" t="inlineStr">
        <is>
          <t>A 7916-2025</t>
        </is>
      </c>
      <c r="B567" s="1" t="n">
        <v>45707.35113425926</v>
      </c>
      <c r="C567" s="1" t="n">
        <v>45931</v>
      </c>
      <c r="D567" t="inlineStr">
        <is>
          <t>VÄSTERBOTTENS LÄN</t>
        </is>
      </c>
      <c r="E567" t="inlineStr">
        <is>
          <t>SKELLEFTEÅ</t>
        </is>
      </c>
      <c r="G567" t="n">
        <v>1.2</v>
      </c>
      <c r="H567" t="n">
        <v>0</v>
      </c>
      <c r="I567" t="n">
        <v>0</v>
      </c>
      <c r="J567" t="n">
        <v>0</v>
      </c>
      <c r="K567" t="n">
        <v>0</v>
      </c>
      <c r="L567" t="n">
        <v>0</v>
      </c>
      <c r="M567" t="n">
        <v>0</v>
      </c>
      <c r="N567" t="n">
        <v>0</v>
      </c>
      <c r="O567" t="n">
        <v>0</v>
      </c>
      <c r="P567" t="n">
        <v>0</v>
      </c>
      <c r="Q567" t="n">
        <v>0</v>
      </c>
      <c r="R567" s="2" t="inlineStr"/>
    </row>
    <row r="568" ht="15" customHeight="1">
      <c r="A568" t="inlineStr">
        <is>
          <t>A 1627-2025</t>
        </is>
      </c>
      <c r="B568" s="1" t="n">
        <v>45670.6259375</v>
      </c>
      <c r="C568" s="1" t="n">
        <v>45931</v>
      </c>
      <c r="D568" t="inlineStr">
        <is>
          <t>VÄSTERBOTTENS LÄN</t>
        </is>
      </c>
      <c r="E568" t="inlineStr">
        <is>
          <t>SKELLEFTEÅ</t>
        </is>
      </c>
      <c r="G568" t="n">
        <v>1.6</v>
      </c>
      <c r="H568" t="n">
        <v>0</v>
      </c>
      <c r="I568" t="n">
        <v>0</v>
      </c>
      <c r="J568" t="n">
        <v>0</v>
      </c>
      <c r="K568" t="n">
        <v>0</v>
      </c>
      <c r="L568" t="n">
        <v>0</v>
      </c>
      <c r="M568" t="n">
        <v>0</v>
      </c>
      <c r="N568" t="n">
        <v>0</v>
      </c>
      <c r="O568" t="n">
        <v>0</v>
      </c>
      <c r="P568" t="n">
        <v>0</v>
      </c>
      <c r="Q568" t="n">
        <v>0</v>
      </c>
      <c r="R568" s="2" t="inlineStr"/>
    </row>
    <row r="569" ht="15" customHeight="1">
      <c r="A569" t="inlineStr">
        <is>
          <t>A 38026-2021</t>
        </is>
      </c>
      <c r="B569" s="1" t="n">
        <v>44404</v>
      </c>
      <c r="C569" s="1" t="n">
        <v>45931</v>
      </c>
      <c r="D569" t="inlineStr">
        <is>
          <t>VÄSTERBOTTENS LÄN</t>
        </is>
      </c>
      <c r="E569" t="inlineStr">
        <is>
          <t>SKELLEFTEÅ</t>
        </is>
      </c>
      <c r="F569" t="inlineStr">
        <is>
          <t>Holmen skog AB</t>
        </is>
      </c>
      <c r="G569" t="n">
        <v>7.8</v>
      </c>
      <c r="H569" t="n">
        <v>0</v>
      </c>
      <c r="I569" t="n">
        <v>0</v>
      </c>
      <c r="J569" t="n">
        <v>0</v>
      </c>
      <c r="K569" t="n">
        <v>0</v>
      </c>
      <c r="L569" t="n">
        <v>0</v>
      </c>
      <c r="M569" t="n">
        <v>0</v>
      </c>
      <c r="N569" t="n">
        <v>0</v>
      </c>
      <c r="O569" t="n">
        <v>0</v>
      </c>
      <c r="P569" t="n">
        <v>0</v>
      </c>
      <c r="Q569" t="n">
        <v>0</v>
      </c>
      <c r="R569" s="2" t="inlineStr"/>
    </row>
    <row r="570" ht="15" customHeight="1">
      <c r="A570" t="inlineStr">
        <is>
          <t>A 53311-2023</t>
        </is>
      </c>
      <c r="B570" s="1" t="n">
        <v>45229.59980324074</v>
      </c>
      <c r="C570" s="1" t="n">
        <v>45931</v>
      </c>
      <c r="D570" t="inlineStr">
        <is>
          <t>VÄSTERBOTTENS LÄN</t>
        </is>
      </c>
      <c r="E570" t="inlineStr">
        <is>
          <t>SKELLEFTEÅ</t>
        </is>
      </c>
      <c r="F570" t="inlineStr">
        <is>
          <t>Holmen skog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64761-2021</t>
        </is>
      </c>
      <c r="B571" s="1" t="n">
        <v>44511</v>
      </c>
      <c r="C571" s="1" t="n">
        <v>45931</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11945-2023</t>
        </is>
      </c>
      <c r="B572" s="1" t="n">
        <v>44995</v>
      </c>
      <c r="C572" s="1" t="n">
        <v>45931</v>
      </c>
      <c r="D572" t="inlineStr">
        <is>
          <t>VÄSTERBOTTENS LÄN</t>
        </is>
      </c>
      <c r="E572" t="inlineStr">
        <is>
          <t>SKELLEFTEÅ</t>
        </is>
      </c>
      <c r="F572" t="inlineStr">
        <is>
          <t>Sveaskog</t>
        </is>
      </c>
      <c r="G572" t="n">
        <v>2.6</v>
      </c>
      <c r="H572" t="n">
        <v>0</v>
      </c>
      <c r="I572" t="n">
        <v>0</v>
      </c>
      <c r="J572" t="n">
        <v>0</v>
      </c>
      <c r="K572" t="n">
        <v>0</v>
      </c>
      <c r="L572" t="n">
        <v>0</v>
      </c>
      <c r="M572" t="n">
        <v>0</v>
      </c>
      <c r="N572" t="n">
        <v>0</v>
      </c>
      <c r="O572" t="n">
        <v>0</v>
      </c>
      <c r="P572" t="n">
        <v>0</v>
      </c>
      <c r="Q572" t="n">
        <v>0</v>
      </c>
      <c r="R572" s="2" t="inlineStr"/>
    </row>
    <row r="573" ht="15" customHeight="1">
      <c r="A573" t="inlineStr">
        <is>
          <t>A 47039-2021</t>
        </is>
      </c>
      <c r="B573" s="1" t="n">
        <v>44446</v>
      </c>
      <c r="C573" s="1" t="n">
        <v>45931</v>
      </c>
      <c r="D573" t="inlineStr">
        <is>
          <t>VÄSTERBOTTENS LÄN</t>
        </is>
      </c>
      <c r="E573" t="inlineStr">
        <is>
          <t>SKELLEFTEÅ</t>
        </is>
      </c>
      <c r="G573" t="n">
        <v>0.6</v>
      </c>
      <c r="H573" t="n">
        <v>0</v>
      </c>
      <c r="I573" t="n">
        <v>0</v>
      </c>
      <c r="J573" t="n">
        <v>0</v>
      </c>
      <c r="K573" t="n">
        <v>0</v>
      </c>
      <c r="L573" t="n">
        <v>0</v>
      </c>
      <c r="M573" t="n">
        <v>0</v>
      </c>
      <c r="N573" t="n">
        <v>0</v>
      </c>
      <c r="O573" t="n">
        <v>0</v>
      </c>
      <c r="P573" t="n">
        <v>0</v>
      </c>
      <c r="Q573" t="n">
        <v>0</v>
      </c>
      <c r="R573" s="2" t="inlineStr"/>
    </row>
    <row r="574" ht="15" customHeight="1">
      <c r="A574" t="inlineStr">
        <is>
          <t>A 41992-2025</t>
        </is>
      </c>
      <c r="B574" s="1" t="n">
        <v>45903</v>
      </c>
      <c r="C574" s="1" t="n">
        <v>45931</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65096-2020</t>
        </is>
      </c>
      <c r="B575" s="1" t="n">
        <v>44167</v>
      </c>
      <c r="C575" s="1" t="n">
        <v>45931</v>
      </c>
      <c r="D575" t="inlineStr">
        <is>
          <t>VÄSTERBOTTENS LÄN</t>
        </is>
      </c>
      <c r="E575" t="inlineStr">
        <is>
          <t>SKELLEFTEÅ</t>
        </is>
      </c>
      <c r="G575" t="n">
        <v>3.2</v>
      </c>
      <c r="H575" t="n">
        <v>0</v>
      </c>
      <c r="I575" t="n">
        <v>0</v>
      </c>
      <c r="J575" t="n">
        <v>0</v>
      </c>
      <c r="K575" t="n">
        <v>0</v>
      </c>
      <c r="L575" t="n">
        <v>0</v>
      </c>
      <c r="M575" t="n">
        <v>0</v>
      </c>
      <c r="N575" t="n">
        <v>0</v>
      </c>
      <c r="O575" t="n">
        <v>0</v>
      </c>
      <c r="P575" t="n">
        <v>0</v>
      </c>
      <c r="Q575" t="n">
        <v>0</v>
      </c>
      <c r="R575" s="2" t="inlineStr"/>
    </row>
    <row r="576" ht="15" customHeight="1">
      <c r="A576" t="inlineStr">
        <is>
          <t>A 12137-2023</t>
        </is>
      </c>
      <c r="B576" s="1" t="n">
        <v>44995</v>
      </c>
      <c r="C576" s="1" t="n">
        <v>45931</v>
      </c>
      <c r="D576" t="inlineStr">
        <is>
          <t>VÄSTERBOTTENS LÄN</t>
        </is>
      </c>
      <c r="E576" t="inlineStr">
        <is>
          <t>SKELLEFTEÅ</t>
        </is>
      </c>
      <c r="G576" t="n">
        <v>2.4</v>
      </c>
      <c r="H576" t="n">
        <v>0</v>
      </c>
      <c r="I576" t="n">
        <v>0</v>
      </c>
      <c r="J576" t="n">
        <v>0</v>
      </c>
      <c r="K576" t="n">
        <v>0</v>
      </c>
      <c r="L576" t="n">
        <v>0</v>
      </c>
      <c r="M576" t="n">
        <v>0</v>
      </c>
      <c r="N576" t="n">
        <v>0</v>
      </c>
      <c r="O576" t="n">
        <v>0</v>
      </c>
      <c r="P576" t="n">
        <v>0</v>
      </c>
      <c r="Q576" t="n">
        <v>0</v>
      </c>
      <c r="R576" s="2" t="inlineStr"/>
    </row>
    <row r="577" ht="15" customHeight="1">
      <c r="A577" t="inlineStr">
        <is>
          <t>A 46276-2025</t>
        </is>
      </c>
      <c r="B577" s="1" t="n">
        <v>45925.37224537037</v>
      </c>
      <c r="C577" s="1" t="n">
        <v>45931</v>
      </c>
      <c r="D577" t="inlineStr">
        <is>
          <t>VÄSTERBOTTENS LÄN</t>
        </is>
      </c>
      <c r="E577" t="inlineStr">
        <is>
          <t>SKELLEFTEÅ</t>
        </is>
      </c>
      <c r="G577" t="n">
        <v>0.7</v>
      </c>
      <c r="H577" t="n">
        <v>0</v>
      </c>
      <c r="I577" t="n">
        <v>0</v>
      </c>
      <c r="J577" t="n">
        <v>0</v>
      </c>
      <c r="K577" t="n">
        <v>0</v>
      </c>
      <c r="L577" t="n">
        <v>0</v>
      </c>
      <c r="M577" t="n">
        <v>0</v>
      </c>
      <c r="N577" t="n">
        <v>0</v>
      </c>
      <c r="O577" t="n">
        <v>0</v>
      </c>
      <c r="P577" t="n">
        <v>0</v>
      </c>
      <c r="Q577" t="n">
        <v>0</v>
      </c>
      <c r="R577" s="2" t="inlineStr"/>
    </row>
    <row r="578" ht="15" customHeight="1">
      <c r="A578" t="inlineStr">
        <is>
          <t>A 46278-2025</t>
        </is>
      </c>
      <c r="B578" s="1" t="n">
        <v>45925.37530092592</v>
      </c>
      <c r="C578" s="1" t="n">
        <v>45931</v>
      </c>
      <c r="D578" t="inlineStr">
        <is>
          <t>VÄSTERBOTTENS LÄN</t>
        </is>
      </c>
      <c r="E578" t="inlineStr">
        <is>
          <t>SKELLEFTEÅ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37796-2023</t>
        </is>
      </c>
      <c r="B579" s="1" t="n">
        <v>45159.92447916666</v>
      </c>
      <c r="C579" s="1" t="n">
        <v>45931</v>
      </c>
      <c r="D579" t="inlineStr">
        <is>
          <t>VÄSTERBOTTENS LÄN</t>
        </is>
      </c>
      <c r="E579" t="inlineStr">
        <is>
          <t>SKELLEFTEÅ</t>
        </is>
      </c>
      <c r="G579" t="n">
        <v>3.3</v>
      </c>
      <c r="H579" t="n">
        <v>0</v>
      </c>
      <c r="I579" t="n">
        <v>0</v>
      </c>
      <c r="J579" t="n">
        <v>0</v>
      </c>
      <c r="K579" t="n">
        <v>0</v>
      </c>
      <c r="L579" t="n">
        <v>0</v>
      </c>
      <c r="M579" t="n">
        <v>0</v>
      </c>
      <c r="N579" t="n">
        <v>0</v>
      </c>
      <c r="O579" t="n">
        <v>0</v>
      </c>
      <c r="P579" t="n">
        <v>0</v>
      </c>
      <c r="Q579" t="n">
        <v>0</v>
      </c>
      <c r="R579" s="2" t="inlineStr"/>
    </row>
    <row r="580" ht="15" customHeight="1">
      <c r="A580" t="inlineStr">
        <is>
          <t>A 51664-2023</t>
        </is>
      </c>
      <c r="B580" s="1" t="n">
        <v>45215</v>
      </c>
      <c r="C580" s="1" t="n">
        <v>45931</v>
      </c>
      <c r="D580" t="inlineStr">
        <is>
          <t>VÄSTERBOTTENS LÄN</t>
        </is>
      </c>
      <c r="E580" t="inlineStr">
        <is>
          <t>SKELLEFTEÅ</t>
        </is>
      </c>
      <c r="G580" t="n">
        <v>1</v>
      </c>
      <c r="H580" t="n">
        <v>0</v>
      </c>
      <c r="I580" t="n">
        <v>0</v>
      </c>
      <c r="J580" t="n">
        <v>0</v>
      </c>
      <c r="K580" t="n">
        <v>0</v>
      </c>
      <c r="L580" t="n">
        <v>0</v>
      </c>
      <c r="M580" t="n">
        <v>0</v>
      </c>
      <c r="N580" t="n">
        <v>0</v>
      </c>
      <c r="O580" t="n">
        <v>0</v>
      </c>
      <c r="P580" t="n">
        <v>0</v>
      </c>
      <c r="Q580" t="n">
        <v>0</v>
      </c>
      <c r="R580" s="2" t="inlineStr"/>
    </row>
    <row r="581" ht="15" customHeight="1">
      <c r="A581" t="inlineStr">
        <is>
          <t>A 36895-2024</t>
        </is>
      </c>
      <c r="B581" s="1" t="n">
        <v>45538.61855324074</v>
      </c>
      <c r="C581" s="1" t="n">
        <v>45931</v>
      </c>
      <c r="D581" t="inlineStr">
        <is>
          <t>VÄSTERBOTTENS LÄN</t>
        </is>
      </c>
      <c r="E581" t="inlineStr">
        <is>
          <t>SKELLEFTEÅ</t>
        </is>
      </c>
      <c r="F581" t="inlineStr">
        <is>
          <t>Holmen skog AB</t>
        </is>
      </c>
      <c r="G581" t="n">
        <v>2.2</v>
      </c>
      <c r="H581" t="n">
        <v>0</v>
      </c>
      <c r="I581" t="n">
        <v>0</v>
      </c>
      <c r="J581" t="n">
        <v>0</v>
      </c>
      <c r="K581" t="n">
        <v>0</v>
      </c>
      <c r="L581" t="n">
        <v>0</v>
      </c>
      <c r="M581" t="n">
        <v>0</v>
      </c>
      <c r="N581" t="n">
        <v>0</v>
      </c>
      <c r="O581" t="n">
        <v>0</v>
      </c>
      <c r="P581" t="n">
        <v>0</v>
      </c>
      <c r="Q581" t="n">
        <v>0</v>
      </c>
      <c r="R581" s="2" t="inlineStr"/>
    </row>
    <row r="582" ht="15" customHeight="1">
      <c r="A582" t="inlineStr">
        <is>
          <t>A 28666-2021</t>
        </is>
      </c>
      <c r="B582" s="1" t="n">
        <v>44357</v>
      </c>
      <c r="C582" s="1" t="n">
        <v>45931</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23445-2024</t>
        </is>
      </c>
      <c r="B583" s="1" t="n">
        <v>45453</v>
      </c>
      <c r="C583" s="1" t="n">
        <v>45931</v>
      </c>
      <c r="D583" t="inlineStr">
        <is>
          <t>VÄSTERBOTTENS LÄN</t>
        </is>
      </c>
      <c r="E583" t="inlineStr">
        <is>
          <t>SKELLEFTEÅ</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36882-2025</t>
        </is>
      </c>
      <c r="B584" s="1" t="n">
        <v>45874</v>
      </c>
      <c r="C584" s="1" t="n">
        <v>45931</v>
      </c>
      <c r="D584" t="inlineStr">
        <is>
          <t>VÄSTERBOTTENS LÄN</t>
        </is>
      </c>
      <c r="E584" t="inlineStr">
        <is>
          <t>SKELLEFTEÅ</t>
        </is>
      </c>
      <c r="G584" t="n">
        <v>0.6</v>
      </c>
      <c r="H584" t="n">
        <v>0</v>
      </c>
      <c r="I584" t="n">
        <v>0</v>
      </c>
      <c r="J584" t="n">
        <v>0</v>
      </c>
      <c r="K584" t="n">
        <v>0</v>
      </c>
      <c r="L584" t="n">
        <v>0</v>
      </c>
      <c r="M584" t="n">
        <v>0</v>
      </c>
      <c r="N584" t="n">
        <v>0</v>
      </c>
      <c r="O584" t="n">
        <v>0</v>
      </c>
      <c r="P584" t="n">
        <v>0</v>
      </c>
      <c r="Q584" t="n">
        <v>0</v>
      </c>
      <c r="R584" s="2" t="inlineStr"/>
    </row>
    <row r="585" ht="15" customHeight="1">
      <c r="A585" t="inlineStr">
        <is>
          <t>A 21495-2024</t>
        </is>
      </c>
      <c r="B585" s="1" t="n">
        <v>45441</v>
      </c>
      <c r="C585" s="1" t="n">
        <v>45931</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51526-2023</t>
        </is>
      </c>
      <c r="B586" s="1" t="n">
        <v>45222</v>
      </c>
      <c r="C586" s="1" t="n">
        <v>45931</v>
      </c>
      <c r="D586" t="inlineStr">
        <is>
          <t>VÄSTERBOTTENS LÄN</t>
        </is>
      </c>
      <c r="E586" t="inlineStr">
        <is>
          <t>SKELLEFTEÅ</t>
        </is>
      </c>
      <c r="F586" t="inlineStr">
        <is>
          <t>Holmen skog AB</t>
        </is>
      </c>
      <c r="G586" t="n">
        <v>14.1</v>
      </c>
      <c r="H586" t="n">
        <v>0</v>
      </c>
      <c r="I586" t="n">
        <v>0</v>
      </c>
      <c r="J586" t="n">
        <v>0</v>
      </c>
      <c r="K586" t="n">
        <v>0</v>
      </c>
      <c r="L586" t="n">
        <v>0</v>
      </c>
      <c r="M586" t="n">
        <v>0</v>
      </c>
      <c r="N586" t="n">
        <v>0</v>
      </c>
      <c r="O586" t="n">
        <v>0</v>
      </c>
      <c r="P586" t="n">
        <v>0</v>
      </c>
      <c r="Q586" t="n">
        <v>0</v>
      </c>
      <c r="R586" s="2" t="inlineStr"/>
    </row>
    <row r="587" ht="15" customHeight="1">
      <c r="A587" t="inlineStr">
        <is>
          <t>A 43723-2024</t>
        </is>
      </c>
      <c r="B587" s="1" t="n">
        <v>45569.63114583334</v>
      </c>
      <c r="C587" s="1" t="n">
        <v>45931</v>
      </c>
      <c r="D587" t="inlineStr">
        <is>
          <t>VÄSTERBOTTENS LÄN</t>
        </is>
      </c>
      <c r="E587" t="inlineStr">
        <is>
          <t>SKELLEFTEÅ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17842-2023</t>
        </is>
      </c>
      <c r="B588" s="1" t="n">
        <v>45037.65628472222</v>
      </c>
      <c r="C588" s="1" t="n">
        <v>45931</v>
      </c>
      <c r="D588" t="inlineStr">
        <is>
          <t>VÄSTERBOTTENS LÄN</t>
        </is>
      </c>
      <c r="E588" t="inlineStr">
        <is>
          <t>SKELLEFTEÅ</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18357-2023</t>
        </is>
      </c>
      <c r="B589" s="1" t="n">
        <v>45041</v>
      </c>
      <c r="C589" s="1" t="n">
        <v>45931</v>
      </c>
      <c r="D589" t="inlineStr">
        <is>
          <t>VÄSTERBOTTENS LÄN</t>
        </is>
      </c>
      <c r="E589" t="inlineStr">
        <is>
          <t>SKELLEFTEÅ</t>
        </is>
      </c>
      <c r="G589" t="n">
        <v>11.2</v>
      </c>
      <c r="H589" t="n">
        <v>0</v>
      </c>
      <c r="I589" t="n">
        <v>0</v>
      </c>
      <c r="J589" t="n">
        <v>0</v>
      </c>
      <c r="K589" t="n">
        <v>0</v>
      </c>
      <c r="L589" t="n">
        <v>0</v>
      </c>
      <c r="M589" t="n">
        <v>0</v>
      </c>
      <c r="N589" t="n">
        <v>0</v>
      </c>
      <c r="O589" t="n">
        <v>0</v>
      </c>
      <c r="P589" t="n">
        <v>0</v>
      </c>
      <c r="Q589" t="n">
        <v>0</v>
      </c>
      <c r="R589" s="2" t="inlineStr"/>
    </row>
    <row r="590" ht="15" customHeight="1">
      <c r="A590" t="inlineStr">
        <is>
          <t>A 56299-2022</t>
        </is>
      </c>
      <c r="B590" s="1" t="n">
        <v>44887</v>
      </c>
      <c r="C590" s="1" t="n">
        <v>45931</v>
      </c>
      <c r="D590" t="inlineStr">
        <is>
          <t>VÄSTERBOTTENS LÄN</t>
        </is>
      </c>
      <c r="E590" t="inlineStr">
        <is>
          <t>SKELLEFTEÅ</t>
        </is>
      </c>
      <c r="G590" t="n">
        <v>4.1</v>
      </c>
      <c r="H590" t="n">
        <v>0</v>
      </c>
      <c r="I590" t="n">
        <v>0</v>
      </c>
      <c r="J590" t="n">
        <v>0</v>
      </c>
      <c r="K590" t="n">
        <v>0</v>
      </c>
      <c r="L590" t="n">
        <v>0</v>
      </c>
      <c r="M590" t="n">
        <v>0</v>
      </c>
      <c r="N590" t="n">
        <v>0</v>
      </c>
      <c r="O590" t="n">
        <v>0</v>
      </c>
      <c r="P590" t="n">
        <v>0</v>
      </c>
      <c r="Q590" t="n">
        <v>0</v>
      </c>
      <c r="R590" s="2" t="inlineStr"/>
    </row>
    <row r="591" ht="15" customHeight="1">
      <c r="A591" t="inlineStr">
        <is>
          <t>A 66463-2021</t>
        </is>
      </c>
      <c r="B591" s="1" t="n">
        <v>44518</v>
      </c>
      <c r="C591" s="1" t="n">
        <v>45931</v>
      </c>
      <c r="D591" t="inlineStr">
        <is>
          <t>VÄSTERBOTTENS LÄN</t>
        </is>
      </c>
      <c r="E591" t="inlineStr">
        <is>
          <t>SKELLEFTEÅ</t>
        </is>
      </c>
      <c r="G591" t="n">
        <v>3.9</v>
      </c>
      <c r="H591" t="n">
        <v>0</v>
      </c>
      <c r="I591" t="n">
        <v>0</v>
      </c>
      <c r="J591" t="n">
        <v>0</v>
      </c>
      <c r="K591" t="n">
        <v>0</v>
      </c>
      <c r="L591" t="n">
        <v>0</v>
      </c>
      <c r="M591" t="n">
        <v>0</v>
      </c>
      <c r="N591" t="n">
        <v>0</v>
      </c>
      <c r="O591" t="n">
        <v>0</v>
      </c>
      <c r="P591" t="n">
        <v>0</v>
      </c>
      <c r="Q591" t="n">
        <v>0</v>
      </c>
      <c r="R591" s="2" t="inlineStr"/>
    </row>
    <row r="592" ht="15" customHeight="1">
      <c r="A592" t="inlineStr">
        <is>
          <t>A 11076-2024</t>
        </is>
      </c>
      <c r="B592" s="1" t="n">
        <v>45370</v>
      </c>
      <c r="C592" s="1" t="n">
        <v>45931</v>
      </c>
      <c r="D592" t="inlineStr">
        <is>
          <t>VÄSTERBOTTENS LÄN</t>
        </is>
      </c>
      <c r="E592" t="inlineStr">
        <is>
          <t>SKELLEFTEÅ</t>
        </is>
      </c>
      <c r="G592" t="n">
        <v>2.1</v>
      </c>
      <c r="H592" t="n">
        <v>0</v>
      </c>
      <c r="I592" t="n">
        <v>0</v>
      </c>
      <c r="J592" t="n">
        <v>0</v>
      </c>
      <c r="K592" t="n">
        <v>0</v>
      </c>
      <c r="L592" t="n">
        <v>0</v>
      </c>
      <c r="M592" t="n">
        <v>0</v>
      </c>
      <c r="N592" t="n">
        <v>0</v>
      </c>
      <c r="O592" t="n">
        <v>0</v>
      </c>
      <c r="P592" t="n">
        <v>0</v>
      </c>
      <c r="Q592" t="n">
        <v>0</v>
      </c>
      <c r="R592" s="2" t="inlineStr"/>
    </row>
    <row r="593" ht="15" customHeight="1">
      <c r="A593" t="inlineStr">
        <is>
          <t>A 12759-2024</t>
        </is>
      </c>
      <c r="B593" s="1" t="n">
        <v>45384</v>
      </c>
      <c r="C593" s="1" t="n">
        <v>45931</v>
      </c>
      <c r="D593" t="inlineStr">
        <is>
          <t>VÄSTERBOTTENS LÄN</t>
        </is>
      </c>
      <c r="E593" t="inlineStr">
        <is>
          <t>SKELLEFTEÅ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61559-2024</t>
        </is>
      </c>
      <c r="B594" s="1" t="n">
        <v>45646.61180555556</v>
      </c>
      <c r="C594" s="1" t="n">
        <v>45931</v>
      </c>
      <c r="D594" t="inlineStr">
        <is>
          <t>VÄSTERBOTTENS LÄN</t>
        </is>
      </c>
      <c r="E594" t="inlineStr">
        <is>
          <t>SKELLEFTEÅ</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54037-2024</t>
        </is>
      </c>
      <c r="B595" s="1" t="n">
        <v>45616.42424768519</v>
      </c>
      <c r="C595" s="1" t="n">
        <v>45931</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29164-2022</t>
        </is>
      </c>
      <c r="B596" s="1" t="n">
        <v>44750.49505787037</v>
      </c>
      <c r="C596" s="1" t="n">
        <v>45931</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29579-2024</t>
        </is>
      </c>
      <c r="B597" s="1" t="n">
        <v>45484.57260416666</v>
      </c>
      <c r="C597" s="1" t="n">
        <v>45931</v>
      </c>
      <c r="D597" t="inlineStr">
        <is>
          <t>VÄSTERBOTTENS LÄN</t>
        </is>
      </c>
      <c r="E597" t="inlineStr">
        <is>
          <t>SKELLEFTEÅ</t>
        </is>
      </c>
      <c r="F597" t="inlineStr">
        <is>
          <t>Holmen skog AB</t>
        </is>
      </c>
      <c r="G597" t="n">
        <v>10.1</v>
      </c>
      <c r="H597" t="n">
        <v>0</v>
      </c>
      <c r="I597" t="n">
        <v>0</v>
      </c>
      <c r="J597" t="n">
        <v>0</v>
      </c>
      <c r="K597" t="n">
        <v>0</v>
      </c>
      <c r="L597" t="n">
        <v>0</v>
      </c>
      <c r="M597" t="n">
        <v>0</v>
      </c>
      <c r="N597" t="n">
        <v>0</v>
      </c>
      <c r="O597" t="n">
        <v>0</v>
      </c>
      <c r="P597" t="n">
        <v>0</v>
      </c>
      <c r="Q597" t="n">
        <v>0</v>
      </c>
      <c r="R597" s="2" t="inlineStr"/>
    </row>
    <row r="598" ht="15" customHeight="1">
      <c r="A598" t="inlineStr">
        <is>
          <t>A 24832-2022</t>
        </is>
      </c>
      <c r="B598" s="1" t="n">
        <v>44728</v>
      </c>
      <c r="C598" s="1" t="n">
        <v>45931</v>
      </c>
      <c r="D598" t="inlineStr">
        <is>
          <t>VÄSTERBOTTENS LÄN</t>
        </is>
      </c>
      <c r="E598" t="inlineStr">
        <is>
          <t>SKELLEFTEÅ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26462-2023</t>
        </is>
      </c>
      <c r="B599" s="1" t="n">
        <v>45092.4658449074</v>
      </c>
      <c r="C599" s="1" t="n">
        <v>45931</v>
      </c>
      <c r="D599" t="inlineStr">
        <is>
          <t>VÄSTERBOTTENS LÄN</t>
        </is>
      </c>
      <c r="E599" t="inlineStr">
        <is>
          <t>SKELLEFTEÅ</t>
        </is>
      </c>
      <c r="F599" t="inlineStr">
        <is>
          <t>Holmen skog AB</t>
        </is>
      </c>
      <c r="G599" t="n">
        <v>4.4</v>
      </c>
      <c r="H599" t="n">
        <v>0</v>
      </c>
      <c r="I599" t="n">
        <v>0</v>
      </c>
      <c r="J599" t="n">
        <v>0</v>
      </c>
      <c r="K599" t="n">
        <v>0</v>
      </c>
      <c r="L599" t="n">
        <v>0</v>
      </c>
      <c r="M599" t="n">
        <v>0</v>
      </c>
      <c r="N599" t="n">
        <v>0</v>
      </c>
      <c r="O599" t="n">
        <v>0</v>
      </c>
      <c r="P599" t="n">
        <v>0</v>
      </c>
      <c r="Q599" t="n">
        <v>0</v>
      </c>
      <c r="R599" s="2" t="inlineStr"/>
    </row>
    <row r="600" ht="15" customHeight="1">
      <c r="A600" t="inlineStr">
        <is>
          <t>A 54264-2024</t>
        </is>
      </c>
      <c r="B600" s="1" t="n">
        <v>45616</v>
      </c>
      <c r="C600" s="1" t="n">
        <v>45931</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59406-2020</t>
        </is>
      </c>
      <c r="B601" s="1" t="n">
        <v>44147</v>
      </c>
      <c r="C601" s="1" t="n">
        <v>45931</v>
      </c>
      <c r="D601" t="inlineStr">
        <is>
          <t>VÄSTERBOTTENS LÄN</t>
        </is>
      </c>
      <c r="E601" t="inlineStr">
        <is>
          <t>SKELLEFTEÅ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55063-2022</t>
        </is>
      </c>
      <c r="B602" s="1" t="n">
        <v>44886</v>
      </c>
      <c r="C602" s="1" t="n">
        <v>45931</v>
      </c>
      <c r="D602" t="inlineStr">
        <is>
          <t>VÄSTERBOTTENS LÄN</t>
        </is>
      </c>
      <c r="E602" t="inlineStr">
        <is>
          <t>SKELLEFTEÅ</t>
        </is>
      </c>
      <c r="G602" t="n">
        <v>3</v>
      </c>
      <c r="H602" t="n">
        <v>0</v>
      </c>
      <c r="I602" t="n">
        <v>0</v>
      </c>
      <c r="J602" t="n">
        <v>0</v>
      </c>
      <c r="K602" t="n">
        <v>0</v>
      </c>
      <c r="L602" t="n">
        <v>0</v>
      </c>
      <c r="M602" t="n">
        <v>0</v>
      </c>
      <c r="N602" t="n">
        <v>0</v>
      </c>
      <c r="O602" t="n">
        <v>0</v>
      </c>
      <c r="P602" t="n">
        <v>0</v>
      </c>
      <c r="Q602" t="n">
        <v>0</v>
      </c>
      <c r="R602" s="2" t="inlineStr"/>
    </row>
    <row r="603" ht="15" customHeight="1">
      <c r="A603" t="inlineStr">
        <is>
          <t>A 54476-2023</t>
        </is>
      </c>
      <c r="B603" s="1" t="n">
        <v>45233.47082175926</v>
      </c>
      <c r="C603" s="1" t="n">
        <v>45931</v>
      </c>
      <c r="D603" t="inlineStr">
        <is>
          <t>VÄSTERBOTTENS LÄN</t>
        </is>
      </c>
      <c r="E603" t="inlineStr">
        <is>
          <t>SKELLEFTEÅ</t>
        </is>
      </c>
      <c r="G603" t="n">
        <v>11.3</v>
      </c>
      <c r="H603" t="n">
        <v>0</v>
      </c>
      <c r="I603" t="n">
        <v>0</v>
      </c>
      <c r="J603" t="n">
        <v>0</v>
      </c>
      <c r="K603" t="n">
        <v>0</v>
      </c>
      <c r="L603" t="n">
        <v>0</v>
      </c>
      <c r="M603" t="n">
        <v>0</v>
      </c>
      <c r="N603" t="n">
        <v>0</v>
      </c>
      <c r="O603" t="n">
        <v>0</v>
      </c>
      <c r="P603" t="n">
        <v>0</v>
      </c>
      <c r="Q603" t="n">
        <v>0</v>
      </c>
      <c r="R603" s="2" t="inlineStr"/>
    </row>
    <row r="604" ht="15" customHeight="1">
      <c r="A604" t="inlineStr">
        <is>
          <t>A 25626-2023</t>
        </is>
      </c>
      <c r="B604" s="1" t="n">
        <v>45084</v>
      </c>
      <c r="C604" s="1" t="n">
        <v>45931</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4403-2025</t>
        </is>
      </c>
      <c r="B605" s="1" t="n">
        <v>45686.43848379629</v>
      </c>
      <c r="C605" s="1" t="n">
        <v>45931</v>
      </c>
      <c r="D605" t="inlineStr">
        <is>
          <t>VÄSTERBOTTENS LÄN</t>
        </is>
      </c>
      <c r="E605" t="inlineStr">
        <is>
          <t>SKELLEFTEÅ</t>
        </is>
      </c>
      <c r="G605" t="n">
        <v>5.8</v>
      </c>
      <c r="H605" t="n">
        <v>0</v>
      </c>
      <c r="I605" t="n">
        <v>0</v>
      </c>
      <c r="J605" t="n">
        <v>0</v>
      </c>
      <c r="K605" t="n">
        <v>0</v>
      </c>
      <c r="L605" t="n">
        <v>0</v>
      </c>
      <c r="M605" t="n">
        <v>0</v>
      </c>
      <c r="N605" t="n">
        <v>0</v>
      </c>
      <c r="O605" t="n">
        <v>0</v>
      </c>
      <c r="P605" t="n">
        <v>0</v>
      </c>
      <c r="Q605" t="n">
        <v>0</v>
      </c>
      <c r="R605" s="2" t="inlineStr"/>
    </row>
    <row r="606" ht="15" customHeight="1">
      <c r="A606" t="inlineStr">
        <is>
          <t>A 41297-2024</t>
        </is>
      </c>
      <c r="B606" s="1" t="n">
        <v>45559.61015046296</v>
      </c>
      <c r="C606" s="1" t="n">
        <v>45931</v>
      </c>
      <c r="D606" t="inlineStr">
        <is>
          <t>VÄSTERBOTTENS LÄN</t>
        </is>
      </c>
      <c r="E606" t="inlineStr">
        <is>
          <t>SKELLEFTEÅ</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48516-2023</t>
        </is>
      </c>
      <c r="B607" s="1" t="n">
        <v>45208.32671296296</v>
      </c>
      <c r="C607" s="1" t="n">
        <v>45931</v>
      </c>
      <c r="D607" t="inlineStr">
        <is>
          <t>VÄSTERBOTTENS LÄN</t>
        </is>
      </c>
      <c r="E607" t="inlineStr">
        <is>
          <t>SKELLEFTEÅ</t>
        </is>
      </c>
      <c r="G607" t="n">
        <v>4.8</v>
      </c>
      <c r="H607" t="n">
        <v>0</v>
      </c>
      <c r="I607" t="n">
        <v>0</v>
      </c>
      <c r="J607" t="n">
        <v>0</v>
      </c>
      <c r="K607" t="n">
        <v>0</v>
      </c>
      <c r="L607" t="n">
        <v>0</v>
      </c>
      <c r="M607" t="n">
        <v>0</v>
      </c>
      <c r="N607" t="n">
        <v>0</v>
      </c>
      <c r="O607" t="n">
        <v>0</v>
      </c>
      <c r="P607" t="n">
        <v>0</v>
      </c>
      <c r="Q607" t="n">
        <v>0</v>
      </c>
      <c r="R607" s="2" t="inlineStr"/>
    </row>
    <row r="608" ht="15" customHeight="1">
      <c r="A608" t="inlineStr">
        <is>
          <t>A 4509-2025</t>
        </is>
      </c>
      <c r="B608" s="1" t="n">
        <v>45686</v>
      </c>
      <c r="C608" s="1" t="n">
        <v>45931</v>
      </c>
      <c r="D608" t="inlineStr">
        <is>
          <t>VÄSTERBOTTENS LÄN</t>
        </is>
      </c>
      <c r="E608" t="inlineStr">
        <is>
          <t>SKELLEFTEÅ</t>
        </is>
      </c>
      <c r="G608" t="n">
        <v>0.6</v>
      </c>
      <c r="H608" t="n">
        <v>0</v>
      </c>
      <c r="I608" t="n">
        <v>0</v>
      </c>
      <c r="J608" t="n">
        <v>0</v>
      </c>
      <c r="K608" t="n">
        <v>0</v>
      </c>
      <c r="L608" t="n">
        <v>0</v>
      </c>
      <c r="M608" t="n">
        <v>0</v>
      </c>
      <c r="N608" t="n">
        <v>0</v>
      </c>
      <c r="O608" t="n">
        <v>0</v>
      </c>
      <c r="P608" t="n">
        <v>0</v>
      </c>
      <c r="Q608" t="n">
        <v>0</v>
      </c>
      <c r="R608" s="2" t="inlineStr"/>
    </row>
    <row r="609" ht="15" customHeight="1">
      <c r="A609" t="inlineStr">
        <is>
          <t>A 34587-2024</t>
        </is>
      </c>
      <c r="B609" s="1" t="n">
        <v>45526</v>
      </c>
      <c r="C609" s="1" t="n">
        <v>45931</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53083-2022</t>
        </is>
      </c>
      <c r="B610" s="1" t="n">
        <v>44876</v>
      </c>
      <c r="C610" s="1" t="n">
        <v>45931</v>
      </c>
      <c r="D610" t="inlineStr">
        <is>
          <t>VÄSTERBOTTENS LÄN</t>
        </is>
      </c>
      <c r="E610" t="inlineStr">
        <is>
          <t>SKELLEFTEÅ</t>
        </is>
      </c>
      <c r="G610" t="n">
        <v>4.2</v>
      </c>
      <c r="H610" t="n">
        <v>0</v>
      </c>
      <c r="I610" t="n">
        <v>0</v>
      </c>
      <c r="J610" t="n">
        <v>0</v>
      </c>
      <c r="K610" t="n">
        <v>0</v>
      </c>
      <c r="L610" t="n">
        <v>0</v>
      </c>
      <c r="M610" t="n">
        <v>0</v>
      </c>
      <c r="N610" t="n">
        <v>0</v>
      </c>
      <c r="O610" t="n">
        <v>0</v>
      </c>
      <c r="P610" t="n">
        <v>0</v>
      </c>
      <c r="Q610" t="n">
        <v>0</v>
      </c>
      <c r="R610" s="2" t="inlineStr"/>
    </row>
    <row r="611" ht="15" customHeight="1">
      <c r="A611" t="inlineStr">
        <is>
          <t>A 51734-2021</t>
        </is>
      </c>
      <c r="B611" s="1" t="n">
        <v>44461</v>
      </c>
      <c r="C611" s="1" t="n">
        <v>45931</v>
      </c>
      <c r="D611" t="inlineStr">
        <is>
          <t>VÄSTERBOTTENS LÄN</t>
        </is>
      </c>
      <c r="E611" t="inlineStr">
        <is>
          <t>SKELLEFTEÅ</t>
        </is>
      </c>
      <c r="G611" t="n">
        <v>3.5</v>
      </c>
      <c r="H611" t="n">
        <v>0</v>
      </c>
      <c r="I611" t="n">
        <v>0</v>
      </c>
      <c r="J611" t="n">
        <v>0</v>
      </c>
      <c r="K611" t="n">
        <v>0</v>
      </c>
      <c r="L611" t="n">
        <v>0</v>
      </c>
      <c r="M611" t="n">
        <v>0</v>
      </c>
      <c r="N611" t="n">
        <v>0</v>
      </c>
      <c r="O611" t="n">
        <v>0</v>
      </c>
      <c r="P611" t="n">
        <v>0</v>
      </c>
      <c r="Q611" t="n">
        <v>0</v>
      </c>
      <c r="R611" s="2" t="inlineStr"/>
    </row>
    <row r="612" ht="15" customHeight="1">
      <c r="A612" t="inlineStr">
        <is>
          <t>A 41112-2024</t>
        </is>
      </c>
      <c r="B612" s="1" t="n">
        <v>45559.45047453704</v>
      </c>
      <c r="C612" s="1" t="n">
        <v>45931</v>
      </c>
      <c r="D612" t="inlineStr">
        <is>
          <t>VÄSTERBOTTENS LÄN</t>
        </is>
      </c>
      <c r="E612" t="inlineStr">
        <is>
          <t>SKELLEFTEÅ</t>
        </is>
      </c>
      <c r="F612" t="inlineStr">
        <is>
          <t>Holmen skog AB</t>
        </is>
      </c>
      <c r="G612" t="n">
        <v>5.3</v>
      </c>
      <c r="H612" t="n">
        <v>0</v>
      </c>
      <c r="I612" t="n">
        <v>0</v>
      </c>
      <c r="J612" t="n">
        <v>0</v>
      </c>
      <c r="K612" t="n">
        <v>0</v>
      </c>
      <c r="L612" t="n">
        <v>0</v>
      </c>
      <c r="M612" t="n">
        <v>0</v>
      </c>
      <c r="N612" t="n">
        <v>0</v>
      </c>
      <c r="O612" t="n">
        <v>0</v>
      </c>
      <c r="P612" t="n">
        <v>0</v>
      </c>
      <c r="Q612" t="n">
        <v>0</v>
      </c>
      <c r="R612" s="2" t="inlineStr"/>
    </row>
    <row r="613" ht="15" customHeight="1">
      <c r="A613" t="inlineStr">
        <is>
          <t>A 3373-2025</t>
        </is>
      </c>
      <c r="B613" s="1" t="n">
        <v>45680.30523148148</v>
      </c>
      <c r="C613" s="1" t="n">
        <v>45931</v>
      </c>
      <c r="D613" t="inlineStr">
        <is>
          <t>VÄSTERBOTTENS LÄN</t>
        </is>
      </c>
      <c r="E613" t="inlineStr">
        <is>
          <t>SKELLEFTEÅ</t>
        </is>
      </c>
      <c r="G613" t="n">
        <v>8</v>
      </c>
      <c r="H613" t="n">
        <v>0</v>
      </c>
      <c r="I613" t="n">
        <v>0</v>
      </c>
      <c r="J613" t="n">
        <v>0</v>
      </c>
      <c r="K613" t="n">
        <v>0</v>
      </c>
      <c r="L613" t="n">
        <v>0</v>
      </c>
      <c r="M613" t="n">
        <v>0</v>
      </c>
      <c r="N613" t="n">
        <v>0</v>
      </c>
      <c r="O613" t="n">
        <v>0</v>
      </c>
      <c r="P613" t="n">
        <v>0</v>
      </c>
      <c r="Q613" t="n">
        <v>0</v>
      </c>
      <c r="R613" s="2" t="inlineStr"/>
    </row>
    <row r="614" ht="15" customHeight="1">
      <c r="A614" t="inlineStr">
        <is>
          <t>A 4102-2023</t>
        </is>
      </c>
      <c r="B614" s="1" t="n">
        <v>44952</v>
      </c>
      <c r="C614" s="1" t="n">
        <v>45931</v>
      </c>
      <c r="D614" t="inlineStr">
        <is>
          <t>VÄSTERBOTTENS LÄN</t>
        </is>
      </c>
      <c r="E614" t="inlineStr">
        <is>
          <t>SKELLEFTEÅ</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46613-2025</t>
        </is>
      </c>
      <c r="B615" s="1" t="n">
        <v>45926.42726851852</v>
      </c>
      <c r="C615" s="1" t="n">
        <v>45931</v>
      </c>
      <c r="D615" t="inlineStr">
        <is>
          <t>VÄSTERBOTTENS LÄN</t>
        </is>
      </c>
      <c r="E615" t="inlineStr">
        <is>
          <t>SKELLEFTEÅ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2579-2024</t>
        </is>
      </c>
      <c r="B616" s="1" t="n">
        <v>45313.64712962963</v>
      </c>
      <c r="C616" s="1" t="n">
        <v>45931</v>
      </c>
      <c r="D616" t="inlineStr">
        <is>
          <t>VÄSTERBOTTENS LÄN</t>
        </is>
      </c>
      <c r="E616" t="inlineStr">
        <is>
          <t>SKELLEFTEÅ</t>
        </is>
      </c>
      <c r="G616" t="n">
        <v>1</v>
      </c>
      <c r="H616" t="n">
        <v>0</v>
      </c>
      <c r="I616" t="n">
        <v>0</v>
      </c>
      <c r="J616" t="n">
        <v>0</v>
      </c>
      <c r="K616" t="n">
        <v>0</v>
      </c>
      <c r="L616" t="n">
        <v>0</v>
      </c>
      <c r="M616" t="n">
        <v>0</v>
      </c>
      <c r="N616" t="n">
        <v>0</v>
      </c>
      <c r="O616" t="n">
        <v>0</v>
      </c>
      <c r="P616" t="n">
        <v>0</v>
      </c>
      <c r="Q616" t="n">
        <v>0</v>
      </c>
      <c r="R616" s="2" t="inlineStr"/>
    </row>
    <row r="617" ht="15" customHeight="1">
      <c r="A617" t="inlineStr">
        <is>
          <t>A 24604-2024</t>
        </is>
      </c>
      <c r="B617" s="1" t="n">
        <v>45460</v>
      </c>
      <c r="C617" s="1" t="n">
        <v>45931</v>
      </c>
      <c r="D617" t="inlineStr">
        <is>
          <t>VÄSTERBOTTENS LÄN</t>
        </is>
      </c>
      <c r="E617" t="inlineStr">
        <is>
          <t>SKELLEFTEÅ</t>
        </is>
      </c>
      <c r="G617" t="n">
        <v>3.6</v>
      </c>
      <c r="H617" t="n">
        <v>0</v>
      </c>
      <c r="I617" t="n">
        <v>0</v>
      </c>
      <c r="J617" t="n">
        <v>0</v>
      </c>
      <c r="K617" t="n">
        <v>0</v>
      </c>
      <c r="L617" t="n">
        <v>0</v>
      </c>
      <c r="M617" t="n">
        <v>0</v>
      </c>
      <c r="N617" t="n">
        <v>0</v>
      </c>
      <c r="O617" t="n">
        <v>0</v>
      </c>
      <c r="P617" t="n">
        <v>0</v>
      </c>
      <c r="Q617" t="n">
        <v>0</v>
      </c>
      <c r="R617" s="2" t="inlineStr"/>
    </row>
    <row r="618" ht="15" customHeight="1">
      <c r="A618" t="inlineStr">
        <is>
          <t>A 1256-2024</t>
        </is>
      </c>
      <c r="B618" s="1" t="n">
        <v>45302</v>
      </c>
      <c r="C618" s="1" t="n">
        <v>45931</v>
      </c>
      <c r="D618" t="inlineStr">
        <is>
          <t>VÄSTERBOTTENS LÄN</t>
        </is>
      </c>
      <c r="E618" t="inlineStr">
        <is>
          <t>SKELLEFTEÅ</t>
        </is>
      </c>
      <c r="G618" t="n">
        <v>1</v>
      </c>
      <c r="H618" t="n">
        <v>0</v>
      </c>
      <c r="I618" t="n">
        <v>0</v>
      </c>
      <c r="J618" t="n">
        <v>0</v>
      </c>
      <c r="K618" t="n">
        <v>0</v>
      </c>
      <c r="L618" t="n">
        <v>0</v>
      </c>
      <c r="M618" t="n">
        <v>0</v>
      </c>
      <c r="N618" t="n">
        <v>0</v>
      </c>
      <c r="O618" t="n">
        <v>0</v>
      </c>
      <c r="P618" t="n">
        <v>0</v>
      </c>
      <c r="Q618" t="n">
        <v>0</v>
      </c>
      <c r="R618" s="2" t="inlineStr"/>
    </row>
    <row r="619" ht="15" customHeight="1">
      <c r="A619" t="inlineStr">
        <is>
          <t>A 28158-2023</t>
        </is>
      </c>
      <c r="B619" s="1" t="n">
        <v>45096</v>
      </c>
      <c r="C619" s="1" t="n">
        <v>45931</v>
      </c>
      <c r="D619" t="inlineStr">
        <is>
          <t>VÄSTERBOTTENS LÄN</t>
        </is>
      </c>
      <c r="E619" t="inlineStr">
        <is>
          <t>SKELLEFTEÅ</t>
        </is>
      </c>
      <c r="G619" t="n">
        <v>2.3</v>
      </c>
      <c r="H619" t="n">
        <v>0</v>
      </c>
      <c r="I619" t="n">
        <v>0</v>
      </c>
      <c r="J619" t="n">
        <v>0</v>
      </c>
      <c r="K619" t="n">
        <v>0</v>
      </c>
      <c r="L619" t="n">
        <v>0</v>
      </c>
      <c r="M619" t="n">
        <v>0</v>
      </c>
      <c r="N619" t="n">
        <v>0</v>
      </c>
      <c r="O619" t="n">
        <v>0</v>
      </c>
      <c r="P619" t="n">
        <v>0</v>
      </c>
      <c r="Q619" t="n">
        <v>0</v>
      </c>
      <c r="R619" s="2" t="inlineStr"/>
    </row>
    <row r="620" ht="15" customHeight="1">
      <c r="A620" t="inlineStr">
        <is>
          <t>A 28192-2023</t>
        </is>
      </c>
      <c r="B620" s="1" t="n">
        <v>45096</v>
      </c>
      <c r="C620" s="1" t="n">
        <v>45931</v>
      </c>
      <c r="D620" t="inlineStr">
        <is>
          <t>VÄSTERBOTTENS LÄN</t>
        </is>
      </c>
      <c r="E620" t="inlineStr">
        <is>
          <t>SKELLEFTEÅ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28160-2023</t>
        </is>
      </c>
      <c r="B621" s="1" t="n">
        <v>45099.49787037037</v>
      </c>
      <c r="C621" s="1" t="n">
        <v>45931</v>
      </c>
      <c r="D621" t="inlineStr">
        <is>
          <t>VÄSTERBOTTENS LÄN</t>
        </is>
      </c>
      <c r="E621" t="inlineStr">
        <is>
          <t>SKELLEFTEÅ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28171-2023</t>
        </is>
      </c>
      <c r="B622" s="1" t="n">
        <v>45096</v>
      </c>
      <c r="C622" s="1" t="n">
        <v>45931</v>
      </c>
      <c r="D622" t="inlineStr">
        <is>
          <t>VÄSTERBOTTENS LÄN</t>
        </is>
      </c>
      <c r="E622" t="inlineStr">
        <is>
          <t>SKELLEFTEÅ</t>
        </is>
      </c>
      <c r="G622" t="n">
        <v>1.1</v>
      </c>
      <c r="H622" t="n">
        <v>0</v>
      </c>
      <c r="I622" t="n">
        <v>0</v>
      </c>
      <c r="J622" t="n">
        <v>0</v>
      </c>
      <c r="K622" t="n">
        <v>0</v>
      </c>
      <c r="L622" t="n">
        <v>0</v>
      </c>
      <c r="M622" t="n">
        <v>0</v>
      </c>
      <c r="N622" t="n">
        <v>0</v>
      </c>
      <c r="O622" t="n">
        <v>0</v>
      </c>
      <c r="P622" t="n">
        <v>0</v>
      </c>
      <c r="Q622" t="n">
        <v>0</v>
      </c>
      <c r="R622" s="2" t="inlineStr"/>
    </row>
    <row r="623" ht="15" customHeight="1">
      <c r="A623" t="inlineStr">
        <is>
          <t>A 17168-2025</t>
        </is>
      </c>
      <c r="B623" s="1" t="n">
        <v>45755</v>
      </c>
      <c r="C623" s="1" t="n">
        <v>45931</v>
      </c>
      <c r="D623" t="inlineStr">
        <is>
          <t>VÄSTERBOTTENS LÄN</t>
        </is>
      </c>
      <c r="E623" t="inlineStr">
        <is>
          <t>SKELLEFTEÅ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12515-2024</t>
        </is>
      </c>
      <c r="B624" s="1" t="n">
        <v>45379</v>
      </c>
      <c r="C624" s="1" t="n">
        <v>45931</v>
      </c>
      <c r="D624" t="inlineStr">
        <is>
          <t>VÄSTERBOTTENS LÄN</t>
        </is>
      </c>
      <c r="E624" t="inlineStr">
        <is>
          <t>SKELLEFTEÅ</t>
        </is>
      </c>
      <c r="G624" t="n">
        <v>2.5</v>
      </c>
      <c r="H624" t="n">
        <v>0</v>
      </c>
      <c r="I624" t="n">
        <v>0</v>
      </c>
      <c r="J624" t="n">
        <v>0</v>
      </c>
      <c r="K624" t="n">
        <v>0</v>
      </c>
      <c r="L624" t="n">
        <v>0</v>
      </c>
      <c r="M624" t="n">
        <v>0</v>
      </c>
      <c r="N624" t="n">
        <v>0</v>
      </c>
      <c r="O624" t="n">
        <v>0</v>
      </c>
      <c r="P624" t="n">
        <v>0</v>
      </c>
      <c r="Q624" t="n">
        <v>0</v>
      </c>
      <c r="R624" s="2" t="inlineStr"/>
    </row>
    <row r="625" ht="15" customHeight="1">
      <c r="A625" t="inlineStr">
        <is>
          <t>A 59165-2023</t>
        </is>
      </c>
      <c r="B625" s="1" t="n">
        <v>45251</v>
      </c>
      <c r="C625" s="1" t="n">
        <v>45931</v>
      </c>
      <c r="D625" t="inlineStr">
        <is>
          <t>VÄSTERBOTTENS LÄN</t>
        </is>
      </c>
      <c r="E625" t="inlineStr">
        <is>
          <t>SKELLEFTEÅ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7943-2024</t>
        </is>
      </c>
      <c r="B626" s="1" t="n">
        <v>45350.53173611111</v>
      </c>
      <c r="C626" s="1" t="n">
        <v>45931</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61697-2022</t>
        </is>
      </c>
      <c r="B627" s="1" t="n">
        <v>44911</v>
      </c>
      <c r="C627" s="1" t="n">
        <v>45931</v>
      </c>
      <c r="D627" t="inlineStr">
        <is>
          <t>VÄSTERBOTTENS LÄN</t>
        </is>
      </c>
      <c r="E627" t="inlineStr">
        <is>
          <t>SKELLEFTEÅ</t>
        </is>
      </c>
      <c r="G627" t="n">
        <v>2.6</v>
      </c>
      <c r="H627" t="n">
        <v>0</v>
      </c>
      <c r="I627" t="n">
        <v>0</v>
      </c>
      <c r="J627" t="n">
        <v>0</v>
      </c>
      <c r="K627" t="n">
        <v>0</v>
      </c>
      <c r="L627" t="n">
        <v>0</v>
      </c>
      <c r="M627" t="n">
        <v>0</v>
      </c>
      <c r="N627" t="n">
        <v>0</v>
      </c>
      <c r="O627" t="n">
        <v>0</v>
      </c>
      <c r="P627" t="n">
        <v>0</v>
      </c>
      <c r="Q627" t="n">
        <v>0</v>
      </c>
      <c r="R627" s="2" t="inlineStr"/>
    </row>
    <row r="628" ht="15" customHeight="1">
      <c r="A628" t="inlineStr">
        <is>
          <t>A 16539-2025</t>
        </is>
      </c>
      <c r="B628" s="1" t="n">
        <v>45751.66283564815</v>
      </c>
      <c r="C628" s="1" t="n">
        <v>45931</v>
      </c>
      <c r="D628" t="inlineStr">
        <is>
          <t>VÄSTERBOTTENS LÄN</t>
        </is>
      </c>
      <c r="E628" t="inlineStr">
        <is>
          <t>SKELLEFTEÅ</t>
        </is>
      </c>
      <c r="G628" t="n">
        <v>1.1</v>
      </c>
      <c r="H628" t="n">
        <v>0</v>
      </c>
      <c r="I628" t="n">
        <v>0</v>
      </c>
      <c r="J628" t="n">
        <v>0</v>
      </c>
      <c r="K628" t="n">
        <v>0</v>
      </c>
      <c r="L628" t="n">
        <v>0</v>
      </c>
      <c r="M628" t="n">
        <v>0</v>
      </c>
      <c r="N628" t="n">
        <v>0</v>
      </c>
      <c r="O628" t="n">
        <v>0</v>
      </c>
      <c r="P628" t="n">
        <v>0</v>
      </c>
      <c r="Q628" t="n">
        <v>0</v>
      </c>
      <c r="R628" s="2" t="inlineStr"/>
    </row>
    <row r="629" ht="15" customHeight="1">
      <c r="A629" t="inlineStr">
        <is>
          <t>A 2177-2023</t>
        </is>
      </c>
      <c r="B629" s="1" t="n">
        <v>44942.29836805556</v>
      </c>
      <c r="C629" s="1" t="n">
        <v>45931</v>
      </c>
      <c r="D629" t="inlineStr">
        <is>
          <t>VÄSTERBOTTENS LÄN</t>
        </is>
      </c>
      <c r="E629" t="inlineStr">
        <is>
          <t>SKELLEFTEÅ</t>
        </is>
      </c>
      <c r="G629" t="n">
        <v>2.9</v>
      </c>
      <c r="H629" t="n">
        <v>0</v>
      </c>
      <c r="I629" t="n">
        <v>0</v>
      </c>
      <c r="J629" t="n">
        <v>0</v>
      </c>
      <c r="K629" t="n">
        <v>0</v>
      </c>
      <c r="L629" t="n">
        <v>0</v>
      </c>
      <c r="M629" t="n">
        <v>0</v>
      </c>
      <c r="N629" t="n">
        <v>0</v>
      </c>
      <c r="O629" t="n">
        <v>0</v>
      </c>
      <c r="P629" t="n">
        <v>0</v>
      </c>
      <c r="Q629" t="n">
        <v>0</v>
      </c>
      <c r="R629" s="2" t="inlineStr"/>
    </row>
    <row r="630" ht="15" customHeight="1">
      <c r="A630" t="inlineStr">
        <is>
          <t>A 44959-2022</t>
        </is>
      </c>
      <c r="B630" s="1" t="n">
        <v>44839</v>
      </c>
      <c r="C630" s="1" t="n">
        <v>45931</v>
      </c>
      <c r="D630" t="inlineStr">
        <is>
          <t>VÄSTERBOTTENS LÄN</t>
        </is>
      </c>
      <c r="E630" t="inlineStr">
        <is>
          <t>SKELLEFTEÅ</t>
        </is>
      </c>
      <c r="G630" t="n">
        <v>17.3</v>
      </c>
      <c r="H630" t="n">
        <v>0</v>
      </c>
      <c r="I630" t="n">
        <v>0</v>
      </c>
      <c r="J630" t="n">
        <v>0</v>
      </c>
      <c r="K630" t="n">
        <v>0</v>
      </c>
      <c r="L630" t="n">
        <v>0</v>
      </c>
      <c r="M630" t="n">
        <v>0</v>
      </c>
      <c r="N630" t="n">
        <v>0</v>
      </c>
      <c r="O630" t="n">
        <v>0</v>
      </c>
      <c r="P630" t="n">
        <v>0</v>
      </c>
      <c r="Q630" t="n">
        <v>0</v>
      </c>
      <c r="R630" s="2" t="inlineStr"/>
    </row>
    <row r="631" ht="15" customHeight="1">
      <c r="A631" t="inlineStr">
        <is>
          <t>A 642-2025</t>
        </is>
      </c>
      <c r="B631" s="1" t="n">
        <v>45660</v>
      </c>
      <c r="C631" s="1" t="n">
        <v>45931</v>
      </c>
      <c r="D631" t="inlineStr">
        <is>
          <t>VÄSTERBOTTENS LÄN</t>
        </is>
      </c>
      <c r="E631" t="inlineStr">
        <is>
          <t>SKELLEFTEÅ</t>
        </is>
      </c>
      <c r="G631" t="n">
        <v>6.2</v>
      </c>
      <c r="H631" t="n">
        <v>0</v>
      </c>
      <c r="I631" t="n">
        <v>0</v>
      </c>
      <c r="J631" t="n">
        <v>0</v>
      </c>
      <c r="K631" t="n">
        <v>0</v>
      </c>
      <c r="L631" t="n">
        <v>0</v>
      </c>
      <c r="M631" t="n">
        <v>0</v>
      </c>
      <c r="N631" t="n">
        <v>0</v>
      </c>
      <c r="O631" t="n">
        <v>0</v>
      </c>
      <c r="P631" t="n">
        <v>0</v>
      </c>
      <c r="Q631" t="n">
        <v>0</v>
      </c>
      <c r="R631" s="2" t="inlineStr"/>
    </row>
    <row r="632" ht="15" customHeight="1">
      <c r="A632" t="inlineStr">
        <is>
          <t>A 66366-2020</t>
        </is>
      </c>
      <c r="B632" s="1" t="n">
        <v>44176</v>
      </c>
      <c r="C632" s="1" t="n">
        <v>45931</v>
      </c>
      <c r="D632" t="inlineStr">
        <is>
          <t>VÄSTERBOTTENS LÄN</t>
        </is>
      </c>
      <c r="E632" t="inlineStr">
        <is>
          <t>SKELLEFTEÅ</t>
        </is>
      </c>
      <c r="G632" t="n">
        <v>7.5</v>
      </c>
      <c r="H632" t="n">
        <v>0</v>
      </c>
      <c r="I632" t="n">
        <v>0</v>
      </c>
      <c r="J632" t="n">
        <v>0</v>
      </c>
      <c r="K632" t="n">
        <v>0</v>
      </c>
      <c r="L632" t="n">
        <v>0</v>
      </c>
      <c r="M632" t="n">
        <v>0</v>
      </c>
      <c r="N632" t="n">
        <v>0</v>
      </c>
      <c r="O632" t="n">
        <v>0</v>
      </c>
      <c r="P632" t="n">
        <v>0</v>
      </c>
      <c r="Q632" t="n">
        <v>0</v>
      </c>
      <c r="R632" s="2" t="inlineStr"/>
    </row>
    <row r="633" ht="15" customHeight="1">
      <c r="A633" t="inlineStr">
        <is>
          <t>A 16355-2025</t>
        </is>
      </c>
      <c r="B633" s="1" t="n">
        <v>45751.38821759259</v>
      </c>
      <c r="C633" s="1" t="n">
        <v>45931</v>
      </c>
      <c r="D633" t="inlineStr">
        <is>
          <t>VÄSTERBOTTENS LÄN</t>
        </is>
      </c>
      <c r="E633" t="inlineStr">
        <is>
          <t>SKELLEFTEÅ</t>
        </is>
      </c>
      <c r="G633" t="n">
        <v>3.1</v>
      </c>
      <c r="H633" t="n">
        <v>0</v>
      </c>
      <c r="I633" t="n">
        <v>0</v>
      </c>
      <c r="J633" t="n">
        <v>0</v>
      </c>
      <c r="K633" t="n">
        <v>0</v>
      </c>
      <c r="L633" t="n">
        <v>0</v>
      </c>
      <c r="M633" t="n">
        <v>0</v>
      </c>
      <c r="N633" t="n">
        <v>0</v>
      </c>
      <c r="O633" t="n">
        <v>0</v>
      </c>
      <c r="P633" t="n">
        <v>0</v>
      </c>
      <c r="Q633" t="n">
        <v>0</v>
      </c>
      <c r="R633" s="2" t="inlineStr"/>
    </row>
    <row r="634" ht="15" customHeight="1">
      <c r="A634" t="inlineStr">
        <is>
          <t>A 32279-2022</t>
        </is>
      </c>
      <c r="B634" s="1" t="n">
        <v>44781</v>
      </c>
      <c r="C634" s="1" t="n">
        <v>45931</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38458-2025</t>
        </is>
      </c>
      <c r="B635" s="1" t="n">
        <v>45883.71289351852</v>
      </c>
      <c r="C635" s="1" t="n">
        <v>45931</v>
      </c>
      <c r="D635" t="inlineStr">
        <is>
          <t>VÄSTERBOTTENS LÄN</t>
        </is>
      </c>
      <c r="E635" t="inlineStr">
        <is>
          <t>SKELLEFTEÅ</t>
        </is>
      </c>
      <c r="G635" t="n">
        <v>7.2</v>
      </c>
      <c r="H635" t="n">
        <v>0</v>
      </c>
      <c r="I635" t="n">
        <v>0</v>
      </c>
      <c r="J635" t="n">
        <v>0</v>
      </c>
      <c r="K635" t="n">
        <v>0</v>
      </c>
      <c r="L635" t="n">
        <v>0</v>
      </c>
      <c r="M635" t="n">
        <v>0</v>
      </c>
      <c r="N635" t="n">
        <v>0</v>
      </c>
      <c r="O635" t="n">
        <v>0</v>
      </c>
      <c r="P635" t="n">
        <v>0</v>
      </c>
      <c r="Q635" t="n">
        <v>0</v>
      </c>
      <c r="R635" s="2" t="inlineStr"/>
    </row>
    <row r="636" ht="15" customHeight="1">
      <c r="A636" t="inlineStr">
        <is>
          <t>A 1321-2025</t>
        </is>
      </c>
      <c r="B636" s="1" t="n">
        <v>45667</v>
      </c>
      <c r="C636" s="1" t="n">
        <v>45931</v>
      </c>
      <c r="D636" t="inlineStr">
        <is>
          <t>VÄSTERBOTTENS LÄN</t>
        </is>
      </c>
      <c r="E636" t="inlineStr">
        <is>
          <t>SKELLEFTEÅ</t>
        </is>
      </c>
      <c r="F636" t="inlineStr">
        <is>
          <t>Holmen skog AB</t>
        </is>
      </c>
      <c r="G636" t="n">
        <v>6.2</v>
      </c>
      <c r="H636" t="n">
        <v>0</v>
      </c>
      <c r="I636" t="n">
        <v>0</v>
      </c>
      <c r="J636" t="n">
        <v>0</v>
      </c>
      <c r="K636" t="n">
        <v>0</v>
      </c>
      <c r="L636" t="n">
        <v>0</v>
      </c>
      <c r="M636" t="n">
        <v>0</v>
      </c>
      <c r="N636" t="n">
        <v>0</v>
      </c>
      <c r="O636" t="n">
        <v>0</v>
      </c>
      <c r="P636" t="n">
        <v>0</v>
      </c>
      <c r="Q636" t="n">
        <v>0</v>
      </c>
      <c r="R636" s="2" t="inlineStr"/>
    </row>
    <row r="637" ht="15" customHeight="1">
      <c r="A637" t="inlineStr">
        <is>
          <t>A 1362-2025</t>
        </is>
      </c>
      <c r="B637" s="1" t="n">
        <v>45667.63641203703</v>
      </c>
      <c r="C637" s="1" t="n">
        <v>45931</v>
      </c>
      <c r="D637" t="inlineStr">
        <is>
          <t>VÄSTERBOTTENS LÄN</t>
        </is>
      </c>
      <c r="E637" t="inlineStr">
        <is>
          <t>SKELLEFTEÅ</t>
        </is>
      </c>
      <c r="G637" t="n">
        <v>1.2</v>
      </c>
      <c r="H637" t="n">
        <v>0</v>
      </c>
      <c r="I637" t="n">
        <v>0</v>
      </c>
      <c r="J637" t="n">
        <v>0</v>
      </c>
      <c r="K637" t="n">
        <v>0</v>
      </c>
      <c r="L637" t="n">
        <v>0</v>
      </c>
      <c r="M637" t="n">
        <v>0</v>
      </c>
      <c r="N637" t="n">
        <v>0</v>
      </c>
      <c r="O637" t="n">
        <v>0</v>
      </c>
      <c r="P637" t="n">
        <v>0</v>
      </c>
      <c r="Q637" t="n">
        <v>0</v>
      </c>
      <c r="R637" s="2" t="inlineStr"/>
    </row>
    <row r="638" ht="15" customHeight="1">
      <c r="A638" t="inlineStr">
        <is>
          <t>A 1367-2025</t>
        </is>
      </c>
      <c r="B638" s="1" t="n">
        <v>45667.64177083333</v>
      </c>
      <c r="C638" s="1" t="n">
        <v>45931</v>
      </c>
      <c r="D638" t="inlineStr">
        <is>
          <t>VÄSTERBOTTENS LÄN</t>
        </is>
      </c>
      <c r="E638" t="inlineStr">
        <is>
          <t>SKELLEFTEÅ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46846-2024</t>
        </is>
      </c>
      <c r="B639" s="1" t="n">
        <v>45583</v>
      </c>
      <c r="C639" s="1" t="n">
        <v>45931</v>
      </c>
      <c r="D639" t="inlineStr">
        <is>
          <t>VÄSTERBOTTENS LÄN</t>
        </is>
      </c>
      <c r="E639" t="inlineStr">
        <is>
          <t>SKELLEFTEÅ</t>
        </is>
      </c>
      <c r="G639" t="n">
        <v>7.5</v>
      </c>
      <c r="H639" t="n">
        <v>0</v>
      </c>
      <c r="I639" t="n">
        <v>0</v>
      </c>
      <c r="J639" t="n">
        <v>0</v>
      </c>
      <c r="K639" t="n">
        <v>0</v>
      </c>
      <c r="L639" t="n">
        <v>0</v>
      </c>
      <c r="M639" t="n">
        <v>0</v>
      </c>
      <c r="N639" t="n">
        <v>0</v>
      </c>
      <c r="O639" t="n">
        <v>0</v>
      </c>
      <c r="P639" t="n">
        <v>0</v>
      </c>
      <c r="Q639" t="n">
        <v>0</v>
      </c>
      <c r="R639" s="2" t="inlineStr"/>
    </row>
    <row r="640" ht="15" customHeight="1">
      <c r="A640" t="inlineStr">
        <is>
          <t>A 52129-2022</t>
        </is>
      </c>
      <c r="B640" s="1" t="n">
        <v>44868</v>
      </c>
      <c r="C640" s="1" t="n">
        <v>45931</v>
      </c>
      <c r="D640" t="inlineStr">
        <is>
          <t>VÄSTERBOTTENS LÄN</t>
        </is>
      </c>
      <c r="E640" t="inlineStr">
        <is>
          <t>SKELLEFTEÅ</t>
        </is>
      </c>
      <c r="G640" t="n">
        <v>2.9</v>
      </c>
      <c r="H640" t="n">
        <v>0</v>
      </c>
      <c r="I640" t="n">
        <v>0</v>
      </c>
      <c r="J640" t="n">
        <v>0</v>
      </c>
      <c r="K640" t="n">
        <v>0</v>
      </c>
      <c r="L640" t="n">
        <v>0</v>
      </c>
      <c r="M640" t="n">
        <v>0</v>
      </c>
      <c r="N640" t="n">
        <v>0</v>
      </c>
      <c r="O640" t="n">
        <v>0</v>
      </c>
      <c r="P640" t="n">
        <v>0</v>
      </c>
      <c r="Q640" t="n">
        <v>0</v>
      </c>
      <c r="R640" s="2" t="inlineStr"/>
    </row>
    <row r="641" ht="15" customHeight="1">
      <c r="A641" t="inlineStr">
        <is>
          <t>A 39553-2021</t>
        </is>
      </c>
      <c r="B641" s="1" t="n">
        <v>44416</v>
      </c>
      <c r="C641" s="1" t="n">
        <v>45931</v>
      </c>
      <c r="D641" t="inlineStr">
        <is>
          <t>VÄSTERBOTTENS LÄN</t>
        </is>
      </c>
      <c r="E641" t="inlineStr">
        <is>
          <t>SKELLEFTEÅ</t>
        </is>
      </c>
      <c r="G641" t="n">
        <v>1.3</v>
      </c>
      <c r="H641" t="n">
        <v>0</v>
      </c>
      <c r="I641" t="n">
        <v>0</v>
      </c>
      <c r="J641" t="n">
        <v>0</v>
      </c>
      <c r="K641" t="n">
        <v>0</v>
      </c>
      <c r="L641" t="n">
        <v>0</v>
      </c>
      <c r="M641" t="n">
        <v>0</v>
      </c>
      <c r="N641" t="n">
        <v>0</v>
      </c>
      <c r="O641" t="n">
        <v>0</v>
      </c>
      <c r="P641" t="n">
        <v>0</v>
      </c>
      <c r="Q641" t="n">
        <v>0</v>
      </c>
      <c r="R641" s="2" t="inlineStr"/>
    </row>
    <row r="642" ht="15" customHeight="1">
      <c r="A642" t="inlineStr">
        <is>
          <t>A 1498-2024</t>
        </is>
      </c>
      <c r="B642" s="1" t="n">
        <v>45306</v>
      </c>
      <c r="C642" s="1" t="n">
        <v>45931</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35952-2023</t>
        </is>
      </c>
      <c r="B643" s="1" t="n">
        <v>45148</v>
      </c>
      <c r="C643" s="1" t="n">
        <v>45931</v>
      </c>
      <c r="D643" t="inlineStr">
        <is>
          <t>VÄSTERBOTTENS LÄN</t>
        </is>
      </c>
      <c r="E643" t="inlineStr">
        <is>
          <t>SKELLEFTEÅ</t>
        </is>
      </c>
      <c r="G643" t="n">
        <v>2.1</v>
      </c>
      <c r="H643" t="n">
        <v>0</v>
      </c>
      <c r="I643" t="n">
        <v>0</v>
      </c>
      <c r="J643" t="n">
        <v>0</v>
      </c>
      <c r="K643" t="n">
        <v>0</v>
      </c>
      <c r="L643" t="n">
        <v>0</v>
      </c>
      <c r="M643" t="n">
        <v>0</v>
      </c>
      <c r="N643" t="n">
        <v>0</v>
      </c>
      <c r="O643" t="n">
        <v>0</v>
      </c>
      <c r="P643" t="n">
        <v>0</v>
      </c>
      <c r="Q643" t="n">
        <v>0</v>
      </c>
      <c r="R643" s="2" t="inlineStr"/>
    </row>
    <row r="644" ht="15" customHeight="1">
      <c r="A644" t="inlineStr">
        <is>
          <t>A 42248-2024</t>
        </is>
      </c>
      <c r="B644" s="1" t="n">
        <v>45562.57457175926</v>
      </c>
      <c r="C644" s="1" t="n">
        <v>45931</v>
      </c>
      <c r="D644" t="inlineStr">
        <is>
          <t>VÄSTERBOTTENS LÄN</t>
        </is>
      </c>
      <c r="E644" t="inlineStr">
        <is>
          <t>SKELLEFTEÅ</t>
        </is>
      </c>
      <c r="G644" t="n">
        <v>1.2</v>
      </c>
      <c r="H644" t="n">
        <v>0</v>
      </c>
      <c r="I644" t="n">
        <v>0</v>
      </c>
      <c r="J644" t="n">
        <v>0</v>
      </c>
      <c r="K644" t="n">
        <v>0</v>
      </c>
      <c r="L644" t="n">
        <v>0</v>
      </c>
      <c r="M644" t="n">
        <v>0</v>
      </c>
      <c r="N644" t="n">
        <v>0</v>
      </c>
      <c r="O644" t="n">
        <v>0</v>
      </c>
      <c r="P644" t="n">
        <v>0</v>
      </c>
      <c r="Q644" t="n">
        <v>0</v>
      </c>
      <c r="R644" s="2" t="inlineStr"/>
    </row>
    <row r="645" ht="15" customHeight="1">
      <c r="A645" t="inlineStr">
        <is>
          <t>A 15332-2023</t>
        </is>
      </c>
      <c r="B645" s="1" t="n">
        <v>45016</v>
      </c>
      <c r="C645" s="1" t="n">
        <v>45931</v>
      </c>
      <c r="D645" t="inlineStr">
        <is>
          <t>VÄSTERBOTTENS LÄN</t>
        </is>
      </c>
      <c r="E645" t="inlineStr">
        <is>
          <t>SKELLEFTEÅ</t>
        </is>
      </c>
      <c r="G645" t="n">
        <v>0.3</v>
      </c>
      <c r="H645" t="n">
        <v>0</v>
      </c>
      <c r="I645" t="n">
        <v>0</v>
      </c>
      <c r="J645" t="n">
        <v>0</v>
      </c>
      <c r="K645" t="n">
        <v>0</v>
      </c>
      <c r="L645" t="n">
        <v>0</v>
      </c>
      <c r="M645" t="n">
        <v>0</v>
      </c>
      <c r="N645" t="n">
        <v>0</v>
      </c>
      <c r="O645" t="n">
        <v>0</v>
      </c>
      <c r="P645" t="n">
        <v>0</v>
      </c>
      <c r="Q645" t="n">
        <v>0</v>
      </c>
      <c r="R645" s="2" t="inlineStr"/>
    </row>
    <row r="646" ht="15" customHeight="1">
      <c r="A646" t="inlineStr">
        <is>
          <t>A 42109-2022</t>
        </is>
      </c>
      <c r="B646" s="1" t="n">
        <v>44827</v>
      </c>
      <c r="C646" s="1" t="n">
        <v>45931</v>
      </c>
      <c r="D646" t="inlineStr">
        <is>
          <t>VÄSTERBOTTENS LÄN</t>
        </is>
      </c>
      <c r="E646" t="inlineStr">
        <is>
          <t>SKELLEFTEÅ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12645-2025</t>
        </is>
      </c>
      <c r="B647" s="1" t="n">
        <v>45733.39303240741</v>
      </c>
      <c r="C647" s="1" t="n">
        <v>45931</v>
      </c>
      <c r="D647" t="inlineStr">
        <is>
          <t>VÄSTERBOTTENS LÄN</t>
        </is>
      </c>
      <c r="E647" t="inlineStr">
        <is>
          <t>SKELLEFTEÅ</t>
        </is>
      </c>
      <c r="G647" t="n">
        <v>5.9</v>
      </c>
      <c r="H647" t="n">
        <v>0</v>
      </c>
      <c r="I647" t="n">
        <v>0</v>
      </c>
      <c r="J647" t="n">
        <v>0</v>
      </c>
      <c r="K647" t="n">
        <v>0</v>
      </c>
      <c r="L647" t="n">
        <v>0</v>
      </c>
      <c r="M647" t="n">
        <v>0</v>
      </c>
      <c r="N647" t="n">
        <v>0</v>
      </c>
      <c r="O647" t="n">
        <v>0</v>
      </c>
      <c r="P647" t="n">
        <v>0</v>
      </c>
      <c r="Q647" t="n">
        <v>0</v>
      </c>
      <c r="R647" s="2" t="inlineStr"/>
    </row>
    <row r="648" ht="15" customHeight="1">
      <c r="A648" t="inlineStr">
        <is>
          <t>A 60601-2023</t>
        </is>
      </c>
      <c r="B648" s="1" t="n">
        <v>45260</v>
      </c>
      <c r="C648" s="1" t="n">
        <v>45931</v>
      </c>
      <c r="D648" t="inlineStr">
        <is>
          <t>VÄSTERBOTTENS LÄN</t>
        </is>
      </c>
      <c r="E648" t="inlineStr">
        <is>
          <t>SKELLEFTEÅ</t>
        </is>
      </c>
      <c r="G648" t="n">
        <v>0.5</v>
      </c>
      <c r="H648" t="n">
        <v>0</v>
      </c>
      <c r="I648" t="n">
        <v>0</v>
      </c>
      <c r="J648" t="n">
        <v>0</v>
      </c>
      <c r="K648" t="n">
        <v>0</v>
      </c>
      <c r="L648" t="n">
        <v>0</v>
      </c>
      <c r="M648" t="n">
        <v>0</v>
      </c>
      <c r="N648" t="n">
        <v>0</v>
      </c>
      <c r="O648" t="n">
        <v>0</v>
      </c>
      <c r="P648" t="n">
        <v>0</v>
      </c>
      <c r="Q648" t="n">
        <v>0</v>
      </c>
      <c r="R648" s="2" t="inlineStr"/>
    </row>
    <row r="649" ht="15" customHeight="1">
      <c r="A649" t="inlineStr">
        <is>
          <t>A 10079-2025</t>
        </is>
      </c>
      <c r="B649" s="1" t="n">
        <v>45719</v>
      </c>
      <c r="C649" s="1" t="n">
        <v>45931</v>
      </c>
      <c r="D649" t="inlineStr">
        <is>
          <t>VÄSTERBOTTENS LÄN</t>
        </is>
      </c>
      <c r="E649" t="inlineStr">
        <is>
          <t>SKELLEFTEÅ</t>
        </is>
      </c>
      <c r="G649" t="n">
        <v>3.1</v>
      </c>
      <c r="H649" t="n">
        <v>0</v>
      </c>
      <c r="I649" t="n">
        <v>0</v>
      </c>
      <c r="J649" t="n">
        <v>0</v>
      </c>
      <c r="K649" t="n">
        <v>0</v>
      </c>
      <c r="L649" t="n">
        <v>0</v>
      </c>
      <c r="M649" t="n">
        <v>0</v>
      </c>
      <c r="N649" t="n">
        <v>0</v>
      </c>
      <c r="O649" t="n">
        <v>0</v>
      </c>
      <c r="P649" t="n">
        <v>0</v>
      </c>
      <c r="Q649" t="n">
        <v>0</v>
      </c>
      <c r="R649" s="2" t="inlineStr"/>
    </row>
    <row r="650" ht="15" customHeight="1">
      <c r="A650" t="inlineStr">
        <is>
          <t>A 33521-2021</t>
        </is>
      </c>
      <c r="B650" s="1" t="n">
        <v>44377</v>
      </c>
      <c r="C650" s="1" t="n">
        <v>45931</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50338-2023</t>
        </is>
      </c>
      <c r="B651" s="1" t="n">
        <v>45216</v>
      </c>
      <c r="C651" s="1" t="n">
        <v>45931</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27631-2022</t>
        </is>
      </c>
      <c r="B652" s="1" t="n">
        <v>44743</v>
      </c>
      <c r="C652" s="1" t="n">
        <v>45931</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34242-2024</t>
        </is>
      </c>
      <c r="B653" s="1" t="n">
        <v>45524.58086805556</v>
      </c>
      <c r="C653" s="1" t="n">
        <v>45931</v>
      </c>
      <c r="D653" t="inlineStr">
        <is>
          <t>VÄSTERBOTTENS LÄN</t>
        </is>
      </c>
      <c r="E653" t="inlineStr">
        <is>
          <t>SKELLEFTEÅ</t>
        </is>
      </c>
      <c r="F653" t="inlineStr">
        <is>
          <t>Sveaskog</t>
        </is>
      </c>
      <c r="G653" t="n">
        <v>19.8</v>
      </c>
      <c r="H653" t="n">
        <v>0</v>
      </c>
      <c r="I653" t="n">
        <v>0</v>
      </c>
      <c r="J653" t="n">
        <v>0</v>
      </c>
      <c r="K653" t="n">
        <v>0</v>
      </c>
      <c r="L653" t="n">
        <v>0</v>
      </c>
      <c r="M653" t="n">
        <v>0</v>
      </c>
      <c r="N653" t="n">
        <v>0</v>
      </c>
      <c r="O653" t="n">
        <v>0</v>
      </c>
      <c r="P653" t="n">
        <v>0</v>
      </c>
      <c r="Q653" t="n">
        <v>0</v>
      </c>
      <c r="R653" s="2" t="inlineStr"/>
    </row>
    <row r="654" ht="15" customHeight="1">
      <c r="A654" t="inlineStr">
        <is>
          <t>A 59793-2023</t>
        </is>
      </c>
      <c r="B654" s="1" t="n">
        <v>45257.4577199074</v>
      </c>
      <c r="C654" s="1" t="n">
        <v>45931</v>
      </c>
      <c r="D654" t="inlineStr">
        <is>
          <t>VÄSTERBOTTENS LÄN</t>
        </is>
      </c>
      <c r="E654" t="inlineStr">
        <is>
          <t>SKELLEFTEÅ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55739-2023</t>
        </is>
      </c>
      <c r="B655" s="1" t="n">
        <v>45239</v>
      </c>
      <c r="C655" s="1" t="n">
        <v>45931</v>
      </c>
      <c r="D655" t="inlineStr">
        <is>
          <t>VÄSTERBOTTENS LÄN</t>
        </is>
      </c>
      <c r="E655" t="inlineStr">
        <is>
          <t>SKELLEFTEÅ</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55744-2023</t>
        </is>
      </c>
      <c r="B656" s="1" t="n">
        <v>45239.4444212963</v>
      </c>
      <c r="C656" s="1" t="n">
        <v>45931</v>
      </c>
      <c r="D656" t="inlineStr">
        <is>
          <t>VÄSTERBOTTENS LÄN</t>
        </is>
      </c>
      <c r="E656" t="inlineStr">
        <is>
          <t>SKELLEFTEÅ</t>
        </is>
      </c>
      <c r="G656" t="n">
        <v>12.4</v>
      </c>
      <c r="H656" t="n">
        <v>0</v>
      </c>
      <c r="I656" t="n">
        <v>0</v>
      </c>
      <c r="J656" t="n">
        <v>0</v>
      </c>
      <c r="K656" t="n">
        <v>0</v>
      </c>
      <c r="L656" t="n">
        <v>0</v>
      </c>
      <c r="M656" t="n">
        <v>0</v>
      </c>
      <c r="N656" t="n">
        <v>0</v>
      </c>
      <c r="O656" t="n">
        <v>0</v>
      </c>
      <c r="P656" t="n">
        <v>0</v>
      </c>
      <c r="Q656" t="n">
        <v>0</v>
      </c>
      <c r="R656" s="2" t="inlineStr"/>
    </row>
    <row r="657" ht="15" customHeight="1">
      <c r="A657" t="inlineStr">
        <is>
          <t>A 12763-2024</t>
        </is>
      </c>
      <c r="B657" s="1" t="n">
        <v>45384</v>
      </c>
      <c r="C657" s="1" t="n">
        <v>45931</v>
      </c>
      <c r="D657" t="inlineStr">
        <is>
          <t>VÄSTERBOTTENS LÄN</t>
        </is>
      </c>
      <c r="E657" t="inlineStr">
        <is>
          <t>SKELLEFTEÅ</t>
        </is>
      </c>
      <c r="G657" t="n">
        <v>2.1</v>
      </c>
      <c r="H657" t="n">
        <v>0</v>
      </c>
      <c r="I657" t="n">
        <v>0</v>
      </c>
      <c r="J657" t="n">
        <v>0</v>
      </c>
      <c r="K657" t="n">
        <v>0</v>
      </c>
      <c r="L657" t="n">
        <v>0</v>
      </c>
      <c r="M657" t="n">
        <v>0</v>
      </c>
      <c r="N657" t="n">
        <v>0</v>
      </c>
      <c r="O657" t="n">
        <v>0</v>
      </c>
      <c r="P657" t="n">
        <v>0</v>
      </c>
      <c r="Q657" t="n">
        <v>0</v>
      </c>
      <c r="R657" s="2" t="inlineStr"/>
    </row>
    <row r="658" ht="15" customHeight="1">
      <c r="A658" t="inlineStr">
        <is>
          <t>A 13330-2024</t>
        </is>
      </c>
      <c r="B658" s="1" t="n">
        <v>45386.89378472222</v>
      </c>
      <c r="C658" s="1" t="n">
        <v>45931</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42848-2024</t>
        </is>
      </c>
      <c r="B659" s="1" t="n">
        <v>45566.63563657407</v>
      </c>
      <c r="C659" s="1" t="n">
        <v>45931</v>
      </c>
      <c r="D659" t="inlineStr">
        <is>
          <t>VÄSTERBOTTENS LÄN</t>
        </is>
      </c>
      <c r="E659" t="inlineStr">
        <is>
          <t>SKELLEFTEÅ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42852-2024</t>
        </is>
      </c>
      <c r="B660" s="1" t="n">
        <v>45566.64449074074</v>
      </c>
      <c r="C660" s="1" t="n">
        <v>45931</v>
      </c>
      <c r="D660" t="inlineStr">
        <is>
          <t>VÄSTERBOTTENS LÄN</t>
        </is>
      </c>
      <c r="E660" t="inlineStr">
        <is>
          <t>SKELLEFTEÅ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27627-2024</t>
        </is>
      </c>
      <c r="B661" s="1" t="n">
        <v>45474.9281712963</v>
      </c>
      <c r="C661" s="1" t="n">
        <v>45931</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17961-2025</t>
        </is>
      </c>
      <c r="B662" s="1" t="n">
        <v>45761.32622685185</v>
      </c>
      <c r="C662" s="1" t="n">
        <v>45931</v>
      </c>
      <c r="D662" t="inlineStr">
        <is>
          <t>VÄSTERBOTTENS LÄN</t>
        </is>
      </c>
      <c r="E662" t="inlineStr">
        <is>
          <t>SKELLEFTEÅ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55907-2023</t>
        </is>
      </c>
      <c r="B663" s="1" t="n">
        <v>45239</v>
      </c>
      <c r="C663" s="1" t="n">
        <v>45931</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52462-2021</t>
        </is>
      </c>
      <c r="B664" s="1" t="n">
        <v>44463</v>
      </c>
      <c r="C664" s="1" t="n">
        <v>45931</v>
      </c>
      <c r="D664" t="inlineStr">
        <is>
          <t>VÄSTERBOTTENS LÄN</t>
        </is>
      </c>
      <c r="E664" t="inlineStr">
        <is>
          <t>SKELLEFTEÅ</t>
        </is>
      </c>
      <c r="G664" t="n">
        <v>3</v>
      </c>
      <c r="H664" t="n">
        <v>0</v>
      </c>
      <c r="I664" t="n">
        <v>0</v>
      </c>
      <c r="J664" t="n">
        <v>0</v>
      </c>
      <c r="K664" t="n">
        <v>0</v>
      </c>
      <c r="L664" t="n">
        <v>0</v>
      </c>
      <c r="M664" t="n">
        <v>0</v>
      </c>
      <c r="N664" t="n">
        <v>0</v>
      </c>
      <c r="O664" t="n">
        <v>0</v>
      </c>
      <c r="P664" t="n">
        <v>0</v>
      </c>
      <c r="Q664" t="n">
        <v>0</v>
      </c>
      <c r="R664" s="2" t="inlineStr"/>
    </row>
    <row r="665" ht="15" customHeight="1">
      <c r="A665" t="inlineStr">
        <is>
          <t>A 56974-2024</t>
        </is>
      </c>
      <c r="B665" s="1" t="n">
        <v>45628.67204861111</v>
      </c>
      <c r="C665" s="1" t="n">
        <v>45931</v>
      </c>
      <c r="D665" t="inlineStr">
        <is>
          <t>VÄSTERBOTTENS LÄN</t>
        </is>
      </c>
      <c r="E665" t="inlineStr">
        <is>
          <t>SKELLEFTEÅ</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46841-2024</t>
        </is>
      </c>
      <c r="B666" s="1" t="n">
        <v>45583</v>
      </c>
      <c r="C666" s="1" t="n">
        <v>45931</v>
      </c>
      <c r="D666" t="inlineStr">
        <is>
          <t>VÄSTERBOTTENS LÄN</t>
        </is>
      </c>
      <c r="E666" t="inlineStr">
        <is>
          <t>SKELLEFTEÅ</t>
        </is>
      </c>
      <c r="G666" t="n">
        <v>1.9</v>
      </c>
      <c r="H666" t="n">
        <v>0</v>
      </c>
      <c r="I666" t="n">
        <v>0</v>
      </c>
      <c r="J666" t="n">
        <v>0</v>
      </c>
      <c r="K666" t="n">
        <v>0</v>
      </c>
      <c r="L666" t="n">
        <v>0</v>
      </c>
      <c r="M666" t="n">
        <v>0</v>
      </c>
      <c r="N666" t="n">
        <v>0</v>
      </c>
      <c r="O666" t="n">
        <v>0</v>
      </c>
      <c r="P666" t="n">
        <v>0</v>
      </c>
      <c r="Q666" t="n">
        <v>0</v>
      </c>
      <c r="R666" s="2" t="inlineStr"/>
    </row>
    <row r="667" ht="15" customHeight="1">
      <c r="A667" t="inlineStr">
        <is>
          <t>A 27508-2023</t>
        </is>
      </c>
      <c r="B667" s="1" t="n">
        <v>45097</v>
      </c>
      <c r="C667" s="1" t="n">
        <v>45931</v>
      </c>
      <c r="D667" t="inlineStr">
        <is>
          <t>VÄSTERBOTTENS LÄN</t>
        </is>
      </c>
      <c r="E667" t="inlineStr">
        <is>
          <t>SKELLEFTEÅ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21238-2023</t>
        </is>
      </c>
      <c r="B668" s="1" t="n">
        <v>45058</v>
      </c>
      <c r="C668" s="1" t="n">
        <v>45931</v>
      </c>
      <c r="D668" t="inlineStr">
        <is>
          <t>VÄSTERBOTTENS LÄN</t>
        </is>
      </c>
      <c r="E668" t="inlineStr">
        <is>
          <t>SKELLEFTEÅ</t>
        </is>
      </c>
      <c r="G668" t="n">
        <v>6</v>
      </c>
      <c r="H668" t="n">
        <v>0</v>
      </c>
      <c r="I668" t="n">
        <v>0</v>
      </c>
      <c r="J668" t="n">
        <v>0</v>
      </c>
      <c r="K668" t="n">
        <v>0</v>
      </c>
      <c r="L668" t="n">
        <v>0</v>
      </c>
      <c r="M668" t="n">
        <v>0</v>
      </c>
      <c r="N668" t="n">
        <v>0</v>
      </c>
      <c r="O668" t="n">
        <v>0</v>
      </c>
      <c r="P668" t="n">
        <v>0</v>
      </c>
      <c r="Q668" t="n">
        <v>0</v>
      </c>
      <c r="R668" s="2" t="inlineStr"/>
    </row>
    <row r="669" ht="15" customHeight="1">
      <c r="A669" t="inlineStr">
        <is>
          <t>A 16461-2025</t>
        </is>
      </c>
      <c r="B669" s="1" t="n">
        <v>45750</v>
      </c>
      <c r="C669" s="1" t="n">
        <v>45931</v>
      </c>
      <c r="D669" t="inlineStr">
        <is>
          <t>VÄSTERBOTTENS LÄN</t>
        </is>
      </c>
      <c r="E669" t="inlineStr">
        <is>
          <t>SKELLEFTEÅ</t>
        </is>
      </c>
      <c r="G669" t="n">
        <v>7.3</v>
      </c>
      <c r="H669" t="n">
        <v>0</v>
      </c>
      <c r="I669" t="n">
        <v>0</v>
      </c>
      <c r="J669" t="n">
        <v>0</v>
      </c>
      <c r="K669" t="n">
        <v>0</v>
      </c>
      <c r="L669" t="n">
        <v>0</v>
      </c>
      <c r="M669" t="n">
        <v>0</v>
      </c>
      <c r="N669" t="n">
        <v>0</v>
      </c>
      <c r="O669" t="n">
        <v>0</v>
      </c>
      <c r="P669" t="n">
        <v>0</v>
      </c>
      <c r="Q669" t="n">
        <v>0</v>
      </c>
      <c r="R669" s="2" t="inlineStr"/>
    </row>
    <row r="670" ht="15" customHeight="1">
      <c r="A670" t="inlineStr">
        <is>
          <t>A 57770-2020</t>
        </is>
      </c>
      <c r="B670" s="1" t="n">
        <v>44141.33440972222</v>
      </c>
      <c r="C670" s="1" t="n">
        <v>45931</v>
      </c>
      <c r="D670" t="inlineStr">
        <is>
          <t>VÄSTERBOTTENS LÄN</t>
        </is>
      </c>
      <c r="E670" t="inlineStr">
        <is>
          <t>SKELLEFTEÅ</t>
        </is>
      </c>
      <c r="G670" t="n">
        <v>1.9</v>
      </c>
      <c r="H670" t="n">
        <v>0</v>
      </c>
      <c r="I670" t="n">
        <v>0</v>
      </c>
      <c r="J670" t="n">
        <v>0</v>
      </c>
      <c r="K670" t="n">
        <v>0</v>
      </c>
      <c r="L670" t="n">
        <v>0</v>
      </c>
      <c r="M670" t="n">
        <v>0</v>
      </c>
      <c r="N670" t="n">
        <v>0</v>
      </c>
      <c r="O670" t="n">
        <v>0</v>
      </c>
      <c r="P670" t="n">
        <v>0</v>
      </c>
      <c r="Q670" t="n">
        <v>0</v>
      </c>
      <c r="R670" s="2" t="inlineStr"/>
    </row>
    <row r="671" ht="15" customHeight="1">
      <c r="A671" t="inlineStr">
        <is>
          <t>A 18819-2023</t>
        </is>
      </c>
      <c r="B671" s="1" t="n">
        <v>45044</v>
      </c>
      <c r="C671" s="1" t="n">
        <v>45931</v>
      </c>
      <c r="D671" t="inlineStr">
        <is>
          <t>VÄSTERBOTTENS LÄN</t>
        </is>
      </c>
      <c r="E671" t="inlineStr">
        <is>
          <t>SKELLEFTEÅ</t>
        </is>
      </c>
      <c r="G671" t="n">
        <v>3.5</v>
      </c>
      <c r="H671" t="n">
        <v>0</v>
      </c>
      <c r="I671" t="n">
        <v>0</v>
      </c>
      <c r="J671" t="n">
        <v>0</v>
      </c>
      <c r="K671" t="n">
        <v>0</v>
      </c>
      <c r="L671" t="n">
        <v>0</v>
      </c>
      <c r="M671" t="n">
        <v>0</v>
      </c>
      <c r="N671" t="n">
        <v>0</v>
      </c>
      <c r="O671" t="n">
        <v>0</v>
      </c>
      <c r="P671" t="n">
        <v>0</v>
      </c>
      <c r="Q671" t="n">
        <v>0</v>
      </c>
      <c r="R671" s="2" t="inlineStr"/>
    </row>
    <row r="672" ht="15" customHeight="1">
      <c r="A672" t="inlineStr">
        <is>
          <t>A 55032-2021</t>
        </is>
      </c>
      <c r="B672" s="1" t="n">
        <v>44474.5962037037</v>
      </c>
      <c r="C672" s="1" t="n">
        <v>45931</v>
      </c>
      <c r="D672" t="inlineStr">
        <is>
          <t>VÄSTERBOTTENS LÄN</t>
        </is>
      </c>
      <c r="E672" t="inlineStr">
        <is>
          <t>SKELLEFTEÅ</t>
        </is>
      </c>
      <c r="G672" t="n">
        <v>5.2</v>
      </c>
      <c r="H672" t="n">
        <v>0</v>
      </c>
      <c r="I672" t="n">
        <v>0</v>
      </c>
      <c r="J672" t="n">
        <v>0</v>
      </c>
      <c r="K672" t="n">
        <v>0</v>
      </c>
      <c r="L672" t="n">
        <v>0</v>
      </c>
      <c r="M672" t="n">
        <v>0</v>
      </c>
      <c r="N672" t="n">
        <v>0</v>
      </c>
      <c r="O672" t="n">
        <v>0</v>
      </c>
      <c r="P672" t="n">
        <v>0</v>
      </c>
      <c r="Q672" t="n">
        <v>0</v>
      </c>
      <c r="R672" s="2" t="inlineStr"/>
    </row>
    <row r="673" ht="15" customHeight="1">
      <c r="A673" t="inlineStr">
        <is>
          <t>A 57849-2022</t>
        </is>
      </c>
      <c r="B673" s="1" t="n">
        <v>44898.00163194445</v>
      </c>
      <c r="C673" s="1" t="n">
        <v>45931</v>
      </c>
      <c r="D673" t="inlineStr">
        <is>
          <t>VÄSTERBOTTENS LÄN</t>
        </is>
      </c>
      <c r="E673" t="inlineStr">
        <is>
          <t>SKELLEFTEÅ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10978-2025</t>
        </is>
      </c>
      <c r="B674" s="1" t="n">
        <v>45723</v>
      </c>
      <c r="C674" s="1" t="n">
        <v>45931</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10980-2025</t>
        </is>
      </c>
      <c r="B675" s="1" t="n">
        <v>45723</v>
      </c>
      <c r="C675" s="1" t="n">
        <v>45931</v>
      </c>
      <c r="D675" t="inlineStr">
        <is>
          <t>VÄSTERBOTTENS LÄN</t>
        </is>
      </c>
      <c r="E675" t="inlineStr">
        <is>
          <t>SKELLEFTEÅ</t>
        </is>
      </c>
      <c r="G675" t="n">
        <v>0.2</v>
      </c>
      <c r="H675" t="n">
        <v>0</v>
      </c>
      <c r="I675" t="n">
        <v>0</v>
      </c>
      <c r="J675" t="n">
        <v>0</v>
      </c>
      <c r="K675" t="n">
        <v>0</v>
      </c>
      <c r="L675" t="n">
        <v>0</v>
      </c>
      <c r="M675" t="n">
        <v>0</v>
      </c>
      <c r="N675" t="n">
        <v>0</v>
      </c>
      <c r="O675" t="n">
        <v>0</v>
      </c>
      <c r="P675" t="n">
        <v>0</v>
      </c>
      <c r="Q675" t="n">
        <v>0</v>
      </c>
      <c r="R675" s="2" t="inlineStr"/>
    </row>
    <row r="676" ht="15" customHeight="1">
      <c r="A676" t="inlineStr">
        <is>
          <t>A 48204-2024</t>
        </is>
      </c>
      <c r="B676" s="1" t="n">
        <v>45589</v>
      </c>
      <c r="C676" s="1" t="n">
        <v>45931</v>
      </c>
      <c r="D676" t="inlineStr">
        <is>
          <t>VÄSTERBOTTENS LÄN</t>
        </is>
      </c>
      <c r="E676" t="inlineStr">
        <is>
          <t>SKELLEFTEÅ</t>
        </is>
      </c>
      <c r="G676" t="n">
        <v>4.1</v>
      </c>
      <c r="H676" t="n">
        <v>0</v>
      </c>
      <c r="I676" t="n">
        <v>0</v>
      </c>
      <c r="J676" t="n">
        <v>0</v>
      </c>
      <c r="K676" t="n">
        <v>0</v>
      </c>
      <c r="L676" t="n">
        <v>0</v>
      </c>
      <c r="M676" t="n">
        <v>0</v>
      </c>
      <c r="N676" t="n">
        <v>0</v>
      </c>
      <c r="O676" t="n">
        <v>0</v>
      </c>
      <c r="P676" t="n">
        <v>0</v>
      </c>
      <c r="Q676" t="n">
        <v>0</v>
      </c>
      <c r="R676" s="2" t="inlineStr"/>
    </row>
    <row r="677" ht="15" customHeight="1">
      <c r="A677" t="inlineStr">
        <is>
          <t>A 73159-2021</t>
        </is>
      </c>
      <c r="B677" s="1" t="n">
        <v>44550</v>
      </c>
      <c r="C677" s="1" t="n">
        <v>45931</v>
      </c>
      <c r="D677" t="inlineStr">
        <is>
          <t>VÄSTERBOTTENS LÄN</t>
        </is>
      </c>
      <c r="E677" t="inlineStr">
        <is>
          <t>SKELLEFTEÅ</t>
        </is>
      </c>
      <c r="G677" t="n">
        <v>8.5</v>
      </c>
      <c r="H677" t="n">
        <v>0</v>
      </c>
      <c r="I677" t="n">
        <v>0</v>
      </c>
      <c r="J677" t="n">
        <v>0</v>
      </c>
      <c r="K677" t="n">
        <v>0</v>
      </c>
      <c r="L677" t="n">
        <v>0</v>
      </c>
      <c r="M677" t="n">
        <v>0</v>
      </c>
      <c r="N677" t="n">
        <v>0</v>
      </c>
      <c r="O677" t="n">
        <v>0</v>
      </c>
      <c r="P677" t="n">
        <v>0</v>
      </c>
      <c r="Q677" t="n">
        <v>0</v>
      </c>
      <c r="R677" s="2" t="inlineStr"/>
    </row>
    <row r="678" ht="15" customHeight="1">
      <c r="A678" t="inlineStr">
        <is>
          <t>A 41064-2024</t>
        </is>
      </c>
      <c r="B678" s="1" t="n">
        <v>45559.38644675926</v>
      </c>
      <c r="C678" s="1" t="n">
        <v>45931</v>
      </c>
      <c r="D678" t="inlineStr">
        <is>
          <t>VÄSTERBOTTENS LÄN</t>
        </is>
      </c>
      <c r="E678" t="inlineStr">
        <is>
          <t>SKELLEFTEÅ</t>
        </is>
      </c>
      <c r="F678" t="inlineStr">
        <is>
          <t>Holmen skog AB</t>
        </is>
      </c>
      <c r="G678" t="n">
        <v>3.6</v>
      </c>
      <c r="H678" t="n">
        <v>0</v>
      </c>
      <c r="I678" t="n">
        <v>0</v>
      </c>
      <c r="J678" t="n">
        <v>0</v>
      </c>
      <c r="K678" t="n">
        <v>0</v>
      </c>
      <c r="L678" t="n">
        <v>0</v>
      </c>
      <c r="M678" t="n">
        <v>0</v>
      </c>
      <c r="N678" t="n">
        <v>0</v>
      </c>
      <c r="O678" t="n">
        <v>0</v>
      </c>
      <c r="P678" t="n">
        <v>0</v>
      </c>
      <c r="Q678" t="n">
        <v>0</v>
      </c>
      <c r="R678" s="2" t="inlineStr"/>
    </row>
    <row r="679" ht="15" customHeight="1">
      <c r="A679" t="inlineStr">
        <is>
          <t>A 14341-2023</t>
        </is>
      </c>
      <c r="B679" s="1" t="n">
        <v>45009</v>
      </c>
      <c r="C679" s="1" t="n">
        <v>45931</v>
      </c>
      <c r="D679" t="inlineStr">
        <is>
          <t>VÄSTERBOTTENS LÄN</t>
        </is>
      </c>
      <c r="E679" t="inlineStr">
        <is>
          <t>SKELLEFTEÅ</t>
        </is>
      </c>
      <c r="G679" t="n">
        <v>0.3</v>
      </c>
      <c r="H679" t="n">
        <v>0</v>
      </c>
      <c r="I679" t="n">
        <v>0</v>
      </c>
      <c r="J679" t="n">
        <v>0</v>
      </c>
      <c r="K679" t="n">
        <v>0</v>
      </c>
      <c r="L679" t="n">
        <v>0</v>
      </c>
      <c r="M679" t="n">
        <v>0</v>
      </c>
      <c r="N679" t="n">
        <v>0</v>
      </c>
      <c r="O679" t="n">
        <v>0</v>
      </c>
      <c r="P679" t="n">
        <v>0</v>
      </c>
      <c r="Q679" t="n">
        <v>0</v>
      </c>
      <c r="R679" s="2" t="inlineStr"/>
    </row>
    <row r="680" ht="15" customHeight="1">
      <c r="A680" t="inlineStr">
        <is>
          <t>A 5744-2023</t>
        </is>
      </c>
      <c r="B680" s="1" t="n">
        <v>44962.86746527778</v>
      </c>
      <c r="C680" s="1" t="n">
        <v>45931</v>
      </c>
      <c r="D680" t="inlineStr">
        <is>
          <t>VÄSTERBOTTENS LÄN</t>
        </is>
      </c>
      <c r="E680" t="inlineStr">
        <is>
          <t>SKELLEFTEÅ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28113-2023</t>
        </is>
      </c>
      <c r="B681" s="1" t="n">
        <v>45096</v>
      </c>
      <c r="C681" s="1" t="n">
        <v>45931</v>
      </c>
      <c r="D681" t="inlineStr">
        <is>
          <t>VÄSTERBOTTENS LÄN</t>
        </is>
      </c>
      <c r="E681" t="inlineStr">
        <is>
          <t>SKELLEFTEÅ</t>
        </is>
      </c>
      <c r="G681" t="n">
        <v>4.4</v>
      </c>
      <c r="H681" t="n">
        <v>0</v>
      </c>
      <c r="I681" t="n">
        <v>0</v>
      </c>
      <c r="J681" t="n">
        <v>0</v>
      </c>
      <c r="K681" t="n">
        <v>0</v>
      </c>
      <c r="L681" t="n">
        <v>0</v>
      </c>
      <c r="M681" t="n">
        <v>0</v>
      </c>
      <c r="N681" t="n">
        <v>0</v>
      </c>
      <c r="O681" t="n">
        <v>0</v>
      </c>
      <c r="P681" t="n">
        <v>0</v>
      </c>
      <c r="Q681" t="n">
        <v>0</v>
      </c>
      <c r="R681" s="2" t="inlineStr"/>
    </row>
    <row r="682" ht="15" customHeight="1">
      <c r="A682" t="inlineStr">
        <is>
          <t>A 46492-2023</t>
        </is>
      </c>
      <c r="B682" s="1" t="n">
        <v>45194</v>
      </c>
      <c r="C682" s="1" t="n">
        <v>45931</v>
      </c>
      <c r="D682" t="inlineStr">
        <is>
          <t>VÄSTERBOTTENS LÄN</t>
        </is>
      </c>
      <c r="E682" t="inlineStr">
        <is>
          <t>SKELLEFTEÅ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64598-2023</t>
        </is>
      </c>
      <c r="B683" s="1" t="n">
        <v>45281</v>
      </c>
      <c r="C683" s="1" t="n">
        <v>45931</v>
      </c>
      <c r="D683" t="inlineStr">
        <is>
          <t>VÄSTERBOTTENS LÄN</t>
        </is>
      </c>
      <c r="E683" t="inlineStr">
        <is>
          <t>SKELLEFTEÅ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53000-2024</t>
        </is>
      </c>
      <c r="B684" s="1" t="n">
        <v>45611.38673611111</v>
      </c>
      <c r="C684" s="1" t="n">
        <v>45931</v>
      </c>
      <c r="D684" t="inlineStr">
        <is>
          <t>VÄSTERBOTTENS LÄN</t>
        </is>
      </c>
      <c r="E684" t="inlineStr">
        <is>
          <t>SKELLEFTEÅ</t>
        </is>
      </c>
      <c r="G684" t="n">
        <v>7.2</v>
      </c>
      <c r="H684" t="n">
        <v>0</v>
      </c>
      <c r="I684" t="n">
        <v>0</v>
      </c>
      <c r="J684" t="n">
        <v>0</v>
      </c>
      <c r="K684" t="n">
        <v>0</v>
      </c>
      <c r="L684" t="n">
        <v>0</v>
      </c>
      <c r="M684" t="n">
        <v>0</v>
      </c>
      <c r="N684" t="n">
        <v>0</v>
      </c>
      <c r="O684" t="n">
        <v>0</v>
      </c>
      <c r="P684" t="n">
        <v>0</v>
      </c>
      <c r="Q684" t="n">
        <v>0</v>
      </c>
      <c r="R684" s="2" t="inlineStr"/>
    </row>
    <row r="685" ht="15" customHeight="1">
      <c r="A685" t="inlineStr">
        <is>
          <t>A 10655-2024</t>
        </is>
      </c>
      <c r="B685" s="1" t="n">
        <v>45368</v>
      </c>
      <c r="C685" s="1" t="n">
        <v>45931</v>
      </c>
      <c r="D685" t="inlineStr">
        <is>
          <t>VÄSTERBOTTENS LÄN</t>
        </is>
      </c>
      <c r="E685" t="inlineStr">
        <is>
          <t>SKELLEFTEÅ</t>
        </is>
      </c>
      <c r="G685" t="n">
        <v>3.4</v>
      </c>
      <c r="H685" t="n">
        <v>0</v>
      </c>
      <c r="I685" t="n">
        <v>0</v>
      </c>
      <c r="J685" t="n">
        <v>0</v>
      </c>
      <c r="K685" t="n">
        <v>0</v>
      </c>
      <c r="L685" t="n">
        <v>0</v>
      </c>
      <c r="M685" t="n">
        <v>0</v>
      </c>
      <c r="N685" t="n">
        <v>0</v>
      </c>
      <c r="O685" t="n">
        <v>0</v>
      </c>
      <c r="P685" t="n">
        <v>0</v>
      </c>
      <c r="Q685" t="n">
        <v>0</v>
      </c>
      <c r="R685" s="2" t="inlineStr"/>
    </row>
    <row r="686" ht="15" customHeight="1">
      <c r="A686" t="inlineStr">
        <is>
          <t>A 34614-2024</t>
        </is>
      </c>
      <c r="B686" s="1" t="n">
        <v>45526</v>
      </c>
      <c r="C686" s="1" t="n">
        <v>45931</v>
      </c>
      <c r="D686" t="inlineStr">
        <is>
          <t>VÄSTERBOTTENS LÄN</t>
        </is>
      </c>
      <c r="E686" t="inlineStr">
        <is>
          <t>SKELLEFTEÅ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25632-2023</t>
        </is>
      </c>
      <c r="B687" s="1" t="n">
        <v>45084</v>
      </c>
      <c r="C687" s="1" t="n">
        <v>45931</v>
      </c>
      <c r="D687" t="inlineStr">
        <is>
          <t>VÄSTERBOTTENS LÄN</t>
        </is>
      </c>
      <c r="E687" t="inlineStr">
        <is>
          <t>SKELLEFTEÅ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58517-2023</t>
        </is>
      </c>
      <c r="B688" s="1" t="n">
        <v>45251</v>
      </c>
      <c r="C688" s="1" t="n">
        <v>45931</v>
      </c>
      <c r="D688" t="inlineStr">
        <is>
          <t>VÄSTERBOTTENS LÄN</t>
        </is>
      </c>
      <c r="E688" t="inlineStr">
        <is>
          <t>SKELLEFTEÅ</t>
        </is>
      </c>
      <c r="G688" t="n">
        <v>3.1</v>
      </c>
      <c r="H688" t="n">
        <v>0</v>
      </c>
      <c r="I688" t="n">
        <v>0</v>
      </c>
      <c r="J688" t="n">
        <v>0</v>
      </c>
      <c r="K688" t="n">
        <v>0</v>
      </c>
      <c r="L688" t="n">
        <v>0</v>
      </c>
      <c r="M688" t="n">
        <v>0</v>
      </c>
      <c r="N688" t="n">
        <v>0</v>
      </c>
      <c r="O688" t="n">
        <v>0</v>
      </c>
      <c r="P688" t="n">
        <v>0</v>
      </c>
      <c r="Q688" t="n">
        <v>0</v>
      </c>
      <c r="R688" s="2" t="inlineStr"/>
    </row>
    <row r="689" ht="15" customHeight="1">
      <c r="A689" t="inlineStr">
        <is>
          <t>A 42995-2024</t>
        </is>
      </c>
      <c r="B689" s="1" t="n">
        <v>45567.37570601852</v>
      </c>
      <c r="C689" s="1" t="n">
        <v>45931</v>
      </c>
      <c r="D689" t="inlineStr">
        <is>
          <t>VÄSTERBOTTENS LÄN</t>
        </is>
      </c>
      <c r="E689" t="inlineStr">
        <is>
          <t>SKELLEFTEÅ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56500-2024</t>
        </is>
      </c>
      <c r="B690" s="1" t="n">
        <v>45625.49765046296</v>
      </c>
      <c r="C690" s="1" t="n">
        <v>45931</v>
      </c>
      <c r="D690" t="inlineStr">
        <is>
          <t>VÄSTERBOTTENS LÄN</t>
        </is>
      </c>
      <c r="E690" t="inlineStr">
        <is>
          <t>SKELLEFTEÅ</t>
        </is>
      </c>
      <c r="F690" t="inlineStr">
        <is>
          <t>Holmen skog AB</t>
        </is>
      </c>
      <c r="G690" t="n">
        <v>1.9</v>
      </c>
      <c r="H690" t="n">
        <v>0</v>
      </c>
      <c r="I690" t="n">
        <v>0</v>
      </c>
      <c r="J690" t="n">
        <v>0</v>
      </c>
      <c r="K690" t="n">
        <v>0</v>
      </c>
      <c r="L690" t="n">
        <v>0</v>
      </c>
      <c r="M690" t="n">
        <v>0</v>
      </c>
      <c r="N690" t="n">
        <v>0</v>
      </c>
      <c r="O690" t="n">
        <v>0</v>
      </c>
      <c r="P690" t="n">
        <v>0</v>
      </c>
      <c r="Q690" t="n">
        <v>0</v>
      </c>
      <c r="R690" s="2" t="inlineStr"/>
    </row>
    <row r="691" ht="15" customHeight="1">
      <c r="A691" t="inlineStr">
        <is>
          <t>A 70851-2021</t>
        </is>
      </c>
      <c r="B691" s="1" t="n">
        <v>44536</v>
      </c>
      <c r="C691" s="1" t="n">
        <v>45931</v>
      </c>
      <c r="D691" t="inlineStr">
        <is>
          <t>VÄSTERBOTTENS LÄN</t>
        </is>
      </c>
      <c r="E691" t="inlineStr">
        <is>
          <t>SKELLEFTEÅ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23704-2023</t>
        </is>
      </c>
      <c r="B692" s="1" t="n">
        <v>45075</v>
      </c>
      <c r="C692" s="1" t="n">
        <v>45931</v>
      </c>
      <c r="D692" t="inlineStr">
        <is>
          <t>VÄSTERBOTTENS LÄN</t>
        </is>
      </c>
      <c r="E692" t="inlineStr">
        <is>
          <t>SKELLEFTEÅ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23710-2023</t>
        </is>
      </c>
      <c r="B693" s="1" t="n">
        <v>45075</v>
      </c>
      <c r="C693" s="1" t="n">
        <v>45931</v>
      </c>
      <c r="D693" t="inlineStr">
        <is>
          <t>VÄSTERBOTTENS LÄN</t>
        </is>
      </c>
      <c r="E693" t="inlineStr">
        <is>
          <t>SKELLEFTEÅ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49433-2022</t>
        </is>
      </c>
      <c r="B694" s="1" t="n">
        <v>44859</v>
      </c>
      <c r="C694" s="1" t="n">
        <v>45931</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19782-2024</t>
        </is>
      </c>
      <c r="B695" s="1" t="n">
        <v>45432</v>
      </c>
      <c r="C695" s="1" t="n">
        <v>45931</v>
      </c>
      <c r="D695" t="inlineStr">
        <is>
          <t>VÄSTERBOTTENS LÄN</t>
        </is>
      </c>
      <c r="E695" t="inlineStr">
        <is>
          <t>SKELLEFTEÅ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5373-2023</t>
        </is>
      </c>
      <c r="B696" s="1" t="n">
        <v>44957</v>
      </c>
      <c r="C696" s="1" t="n">
        <v>45931</v>
      </c>
      <c r="D696" t="inlineStr">
        <is>
          <t>VÄSTERBOTTENS LÄN</t>
        </is>
      </c>
      <c r="E696" t="inlineStr">
        <is>
          <t>SKELLEFTEÅ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59788-2023</t>
        </is>
      </c>
      <c r="B697" s="1" t="n">
        <v>45257.44923611111</v>
      </c>
      <c r="C697" s="1" t="n">
        <v>45931</v>
      </c>
      <c r="D697" t="inlineStr">
        <is>
          <t>VÄSTERBOTTENS LÄN</t>
        </is>
      </c>
      <c r="E697" t="inlineStr">
        <is>
          <t>SKELLEFTEÅ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6596-2023</t>
        </is>
      </c>
      <c r="B698" s="1" t="n">
        <v>44963</v>
      </c>
      <c r="C698" s="1" t="n">
        <v>45931</v>
      </c>
      <c r="D698" t="inlineStr">
        <is>
          <t>VÄSTERBOTTENS LÄN</t>
        </is>
      </c>
      <c r="E698" t="inlineStr">
        <is>
          <t>SKELLEFTEÅ</t>
        </is>
      </c>
      <c r="G698" t="n">
        <v>1.4</v>
      </c>
      <c r="H698" t="n">
        <v>0</v>
      </c>
      <c r="I698" t="n">
        <v>0</v>
      </c>
      <c r="J698" t="n">
        <v>0</v>
      </c>
      <c r="K698" t="n">
        <v>0</v>
      </c>
      <c r="L698" t="n">
        <v>0</v>
      </c>
      <c r="M698" t="n">
        <v>0</v>
      </c>
      <c r="N698" t="n">
        <v>0</v>
      </c>
      <c r="O698" t="n">
        <v>0</v>
      </c>
      <c r="P698" t="n">
        <v>0</v>
      </c>
      <c r="Q698" t="n">
        <v>0</v>
      </c>
      <c r="R698" s="2" t="inlineStr"/>
    </row>
    <row r="699" ht="15" customHeight="1">
      <c r="A699" t="inlineStr">
        <is>
          <t>A 53639-2022</t>
        </is>
      </c>
      <c r="B699" s="1" t="n">
        <v>44879.92975694445</v>
      </c>
      <c r="C699" s="1" t="n">
        <v>45931</v>
      </c>
      <c r="D699" t="inlineStr">
        <is>
          <t>VÄSTERBOTTENS LÄN</t>
        </is>
      </c>
      <c r="E699" t="inlineStr">
        <is>
          <t>SKELLEFTEÅ</t>
        </is>
      </c>
      <c r="G699" t="n">
        <v>1.1</v>
      </c>
      <c r="H699" t="n">
        <v>0</v>
      </c>
      <c r="I699" t="n">
        <v>0</v>
      </c>
      <c r="J699" t="n">
        <v>0</v>
      </c>
      <c r="K699" t="n">
        <v>0</v>
      </c>
      <c r="L699" t="n">
        <v>0</v>
      </c>
      <c r="M699" t="n">
        <v>0</v>
      </c>
      <c r="N699" t="n">
        <v>0</v>
      </c>
      <c r="O699" t="n">
        <v>0</v>
      </c>
      <c r="P699" t="n">
        <v>0</v>
      </c>
      <c r="Q699" t="n">
        <v>0</v>
      </c>
      <c r="R699" s="2" t="inlineStr"/>
    </row>
    <row r="700" ht="15" customHeight="1">
      <c r="A700" t="inlineStr">
        <is>
          <t>A 15740-2022</t>
        </is>
      </c>
      <c r="B700" s="1" t="n">
        <v>44663.51881944444</v>
      </c>
      <c r="C700" s="1" t="n">
        <v>45931</v>
      </c>
      <c r="D700" t="inlineStr">
        <is>
          <t>VÄSTERBOTTENS LÄN</t>
        </is>
      </c>
      <c r="E700" t="inlineStr">
        <is>
          <t>SKELLEFTEÅ</t>
        </is>
      </c>
      <c r="G700" t="n">
        <v>1.1</v>
      </c>
      <c r="H700" t="n">
        <v>0</v>
      </c>
      <c r="I700" t="n">
        <v>0</v>
      </c>
      <c r="J700" t="n">
        <v>0</v>
      </c>
      <c r="K700" t="n">
        <v>0</v>
      </c>
      <c r="L700" t="n">
        <v>0</v>
      </c>
      <c r="M700" t="n">
        <v>0</v>
      </c>
      <c r="N700" t="n">
        <v>0</v>
      </c>
      <c r="O700" t="n">
        <v>0</v>
      </c>
      <c r="P700" t="n">
        <v>0</v>
      </c>
      <c r="Q700" t="n">
        <v>0</v>
      </c>
      <c r="R700" s="2" t="inlineStr"/>
    </row>
    <row r="701" ht="15" customHeight="1">
      <c r="A701" t="inlineStr">
        <is>
          <t>A 22121-2023</t>
        </is>
      </c>
      <c r="B701" s="1" t="n">
        <v>45069.57740740741</v>
      </c>
      <c r="C701" s="1" t="n">
        <v>45931</v>
      </c>
      <c r="D701" t="inlineStr">
        <is>
          <t>VÄSTERBOTTENS LÄN</t>
        </is>
      </c>
      <c r="E701" t="inlineStr">
        <is>
          <t>SKELLEFTEÅ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27253-2024</t>
        </is>
      </c>
      <c r="B702" s="1" t="n">
        <v>45471.70609953703</v>
      </c>
      <c r="C702" s="1" t="n">
        <v>45931</v>
      </c>
      <c r="D702" t="inlineStr">
        <is>
          <t>VÄSTERBOTTENS LÄN</t>
        </is>
      </c>
      <c r="E702" t="inlineStr">
        <is>
          <t>SKELLEFTEÅ</t>
        </is>
      </c>
      <c r="F702" t="inlineStr">
        <is>
          <t>Holmen skog AB</t>
        </is>
      </c>
      <c r="G702" t="n">
        <v>12.5</v>
      </c>
      <c r="H702" t="n">
        <v>0</v>
      </c>
      <c r="I702" t="n">
        <v>0</v>
      </c>
      <c r="J702" t="n">
        <v>0</v>
      </c>
      <c r="K702" t="n">
        <v>0</v>
      </c>
      <c r="L702" t="n">
        <v>0</v>
      </c>
      <c r="M702" t="n">
        <v>0</v>
      </c>
      <c r="N702" t="n">
        <v>0</v>
      </c>
      <c r="O702" t="n">
        <v>0</v>
      </c>
      <c r="P702" t="n">
        <v>0</v>
      </c>
      <c r="Q702" t="n">
        <v>0</v>
      </c>
      <c r="R702" s="2" t="inlineStr"/>
    </row>
    <row r="703" ht="15" customHeight="1">
      <c r="A703" t="inlineStr">
        <is>
          <t>A 5220-2024</t>
        </is>
      </c>
      <c r="B703" s="1" t="n">
        <v>45330</v>
      </c>
      <c r="C703" s="1" t="n">
        <v>45931</v>
      </c>
      <c r="D703" t="inlineStr">
        <is>
          <t>VÄSTERBOTTENS LÄN</t>
        </is>
      </c>
      <c r="E703" t="inlineStr">
        <is>
          <t>SKELLEFTEÅ</t>
        </is>
      </c>
      <c r="G703" t="n">
        <v>2.8</v>
      </c>
      <c r="H703" t="n">
        <v>0</v>
      </c>
      <c r="I703" t="n">
        <v>0</v>
      </c>
      <c r="J703" t="n">
        <v>0</v>
      </c>
      <c r="K703" t="n">
        <v>0</v>
      </c>
      <c r="L703" t="n">
        <v>0</v>
      </c>
      <c r="M703" t="n">
        <v>0</v>
      </c>
      <c r="N703" t="n">
        <v>0</v>
      </c>
      <c r="O703" t="n">
        <v>0</v>
      </c>
      <c r="P703" t="n">
        <v>0</v>
      </c>
      <c r="Q703" t="n">
        <v>0</v>
      </c>
      <c r="R703" s="2" t="inlineStr"/>
    </row>
    <row r="704" ht="15" customHeight="1">
      <c r="A704" t="inlineStr">
        <is>
          <t>A 5239-2024</t>
        </is>
      </c>
      <c r="B704" s="1" t="n">
        <v>45330.85105324074</v>
      </c>
      <c r="C704" s="1" t="n">
        <v>45931</v>
      </c>
      <c r="D704" t="inlineStr">
        <is>
          <t>VÄSTERBOTTENS LÄN</t>
        </is>
      </c>
      <c r="E704" t="inlineStr">
        <is>
          <t>SKELLEFTEÅ</t>
        </is>
      </c>
      <c r="G704" t="n">
        <v>1.8</v>
      </c>
      <c r="H704" t="n">
        <v>0</v>
      </c>
      <c r="I704" t="n">
        <v>0</v>
      </c>
      <c r="J704" t="n">
        <v>0</v>
      </c>
      <c r="K704" t="n">
        <v>0</v>
      </c>
      <c r="L704" t="n">
        <v>0</v>
      </c>
      <c r="M704" t="n">
        <v>0</v>
      </c>
      <c r="N704" t="n">
        <v>0</v>
      </c>
      <c r="O704" t="n">
        <v>0</v>
      </c>
      <c r="P704" t="n">
        <v>0</v>
      </c>
      <c r="Q704" t="n">
        <v>0</v>
      </c>
      <c r="R704" s="2" t="inlineStr"/>
    </row>
    <row r="705" ht="15" customHeight="1">
      <c r="A705" t="inlineStr">
        <is>
          <t>A 27542-2024</t>
        </is>
      </c>
      <c r="B705" s="1" t="n">
        <v>45474.59413194445</v>
      </c>
      <c r="C705" s="1" t="n">
        <v>45931</v>
      </c>
      <c r="D705" t="inlineStr">
        <is>
          <t>VÄSTERBOTTENS LÄN</t>
        </is>
      </c>
      <c r="E705" t="inlineStr">
        <is>
          <t>SKELLEFTEÅ</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42798-2022</t>
        </is>
      </c>
      <c r="B706" s="1" t="n">
        <v>44832</v>
      </c>
      <c r="C706" s="1" t="n">
        <v>45931</v>
      </c>
      <c r="D706" t="inlineStr">
        <is>
          <t>VÄSTERBOTTENS LÄN</t>
        </is>
      </c>
      <c r="E706" t="inlineStr">
        <is>
          <t>SKELLEFTEÅ</t>
        </is>
      </c>
      <c r="G706" t="n">
        <v>4.5</v>
      </c>
      <c r="H706" t="n">
        <v>0</v>
      </c>
      <c r="I706" t="n">
        <v>0</v>
      </c>
      <c r="J706" t="n">
        <v>0</v>
      </c>
      <c r="K706" t="n">
        <v>0</v>
      </c>
      <c r="L706" t="n">
        <v>0</v>
      </c>
      <c r="M706" t="n">
        <v>0</v>
      </c>
      <c r="N706" t="n">
        <v>0</v>
      </c>
      <c r="O706" t="n">
        <v>0</v>
      </c>
      <c r="P706" t="n">
        <v>0</v>
      </c>
      <c r="Q706" t="n">
        <v>0</v>
      </c>
      <c r="R706" s="2" t="inlineStr"/>
    </row>
    <row r="707" ht="15" customHeight="1">
      <c r="A707" t="inlineStr">
        <is>
          <t>A 10659-2024</t>
        </is>
      </c>
      <c r="B707" s="1" t="n">
        <v>45369.30447916667</v>
      </c>
      <c r="C707" s="1" t="n">
        <v>45931</v>
      </c>
      <c r="D707" t="inlineStr">
        <is>
          <t>VÄSTERBOTTENS LÄN</t>
        </is>
      </c>
      <c r="E707" t="inlineStr">
        <is>
          <t>SKELLEFTEÅ</t>
        </is>
      </c>
      <c r="G707" t="n">
        <v>3.4</v>
      </c>
      <c r="H707" t="n">
        <v>0</v>
      </c>
      <c r="I707" t="n">
        <v>0</v>
      </c>
      <c r="J707" t="n">
        <v>0</v>
      </c>
      <c r="K707" t="n">
        <v>0</v>
      </c>
      <c r="L707" t="n">
        <v>0</v>
      </c>
      <c r="M707" t="n">
        <v>0</v>
      </c>
      <c r="N707" t="n">
        <v>0</v>
      </c>
      <c r="O707" t="n">
        <v>0</v>
      </c>
      <c r="P707" t="n">
        <v>0</v>
      </c>
      <c r="Q707" t="n">
        <v>0</v>
      </c>
      <c r="R707" s="2" t="inlineStr"/>
    </row>
    <row r="708" ht="15" customHeight="1">
      <c r="A708" t="inlineStr">
        <is>
          <t>A 46350-2025</t>
        </is>
      </c>
      <c r="B708" s="1" t="n">
        <v>45925.48527777778</v>
      </c>
      <c r="C708" s="1" t="n">
        <v>45931</v>
      </c>
      <c r="D708" t="inlineStr">
        <is>
          <t>VÄSTERBOTTENS LÄN</t>
        </is>
      </c>
      <c r="E708" t="inlineStr">
        <is>
          <t>SKELLEFTEÅ</t>
        </is>
      </c>
      <c r="F708" t="inlineStr">
        <is>
          <t>Sveaskog</t>
        </is>
      </c>
      <c r="G708" t="n">
        <v>21.2</v>
      </c>
      <c r="H708" t="n">
        <v>0</v>
      </c>
      <c r="I708" t="n">
        <v>0</v>
      </c>
      <c r="J708" t="n">
        <v>0</v>
      </c>
      <c r="K708" t="n">
        <v>0</v>
      </c>
      <c r="L708" t="n">
        <v>0</v>
      </c>
      <c r="M708" t="n">
        <v>0</v>
      </c>
      <c r="N708" t="n">
        <v>0</v>
      </c>
      <c r="O708" t="n">
        <v>0</v>
      </c>
      <c r="P708" t="n">
        <v>0</v>
      </c>
      <c r="Q708" t="n">
        <v>0</v>
      </c>
      <c r="R708" s="2" t="inlineStr"/>
    </row>
    <row r="709" ht="15" customHeight="1">
      <c r="A709" t="inlineStr">
        <is>
          <t>A 28273-2024</t>
        </is>
      </c>
      <c r="B709" s="1" t="n">
        <v>45477.4503587963</v>
      </c>
      <c r="C709" s="1" t="n">
        <v>45931</v>
      </c>
      <c r="D709" t="inlineStr">
        <is>
          <t>VÄSTERBOTTENS LÄN</t>
        </is>
      </c>
      <c r="E709" t="inlineStr">
        <is>
          <t>SKELLEFTEÅ</t>
        </is>
      </c>
      <c r="G709" t="n">
        <v>2.8</v>
      </c>
      <c r="H709" t="n">
        <v>0</v>
      </c>
      <c r="I709" t="n">
        <v>0</v>
      </c>
      <c r="J709" t="n">
        <v>0</v>
      </c>
      <c r="K709" t="n">
        <v>0</v>
      </c>
      <c r="L709" t="n">
        <v>0</v>
      </c>
      <c r="M709" t="n">
        <v>0</v>
      </c>
      <c r="N709" t="n">
        <v>0</v>
      </c>
      <c r="O709" t="n">
        <v>0</v>
      </c>
      <c r="P709" t="n">
        <v>0</v>
      </c>
      <c r="Q709" t="n">
        <v>0</v>
      </c>
      <c r="R709" s="2" t="inlineStr"/>
    </row>
    <row r="710" ht="15" customHeight="1">
      <c r="A710" t="inlineStr">
        <is>
          <t>A 24195-2024</t>
        </is>
      </c>
      <c r="B710" s="1" t="n">
        <v>45456</v>
      </c>
      <c r="C710" s="1" t="n">
        <v>45931</v>
      </c>
      <c r="D710" t="inlineStr">
        <is>
          <t>VÄSTERBOTTENS LÄN</t>
        </is>
      </c>
      <c r="E710" t="inlineStr">
        <is>
          <t>SKELLEFTEÅ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37950-2022</t>
        </is>
      </c>
      <c r="B711" s="1" t="n">
        <v>44811.48826388889</v>
      </c>
      <c r="C711" s="1" t="n">
        <v>45931</v>
      </c>
      <c r="D711" t="inlineStr">
        <is>
          <t>VÄSTERBOTTENS LÄN</t>
        </is>
      </c>
      <c r="E711" t="inlineStr">
        <is>
          <t>SKELLEFTEÅ</t>
        </is>
      </c>
      <c r="G711" t="n">
        <v>2.7</v>
      </c>
      <c r="H711" t="n">
        <v>0</v>
      </c>
      <c r="I711" t="n">
        <v>0</v>
      </c>
      <c r="J711" t="n">
        <v>0</v>
      </c>
      <c r="K711" t="n">
        <v>0</v>
      </c>
      <c r="L711" t="n">
        <v>0</v>
      </c>
      <c r="M711" t="n">
        <v>0</v>
      </c>
      <c r="N711" t="n">
        <v>0</v>
      </c>
      <c r="O711" t="n">
        <v>0</v>
      </c>
      <c r="P711" t="n">
        <v>0</v>
      </c>
      <c r="Q711" t="n">
        <v>0</v>
      </c>
      <c r="R711" s="2" t="inlineStr"/>
    </row>
    <row r="712" ht="15" customHeight="1">
      <c r="A712" t="inlineStr">
        <is>
          <t>A 51907-2020</t>
        </is>
      </c>
      <c r="B712" s="1" t="n">
        <v>44116</v>
      </c>
      <c r="C712" s="1" t="n">
        <v>45931</v>
      </c>
      <c r="D712" t="inlineStr">
        <is>
          <t>VÄSTERBOTTENS LÄN</t>
        </is>
      </c>
      <c r="E712" t="inlineStr">
        <is>
          <t>SKELLEFTEÅ</t>
        </is>
      </c>
      <c r="F712" t="inlineStr">
        <is>
          <t>Kommuner</t>
        </is>
      </c>
      <c r="G712" t="n">
        <v>1</v>
      </c>
      <c r="H712" t="n">
        <v>0</v>
      </c>
      <c r="I712" t="n">
        <v>0</v>
      </c>
      <c r="J712" t="n">
        <v>0</v>
      </c>
      <c r="K712" t="n">
        <v>0</v>
      </c>
      <c r="L712" t="n">
        <v>0</v>
      </c>
      <c r="M712" t="n">
        <v>0</v>
      </c>
      <c r="N712" t="n">
        <v>0</v>
      </c>
      <c r="O712" t="n">
        <v>0</v>
      </c>
      <c r="P712" t="n">
        <v>0</v>
      </c>
      <c r="Q712" t="n">
        <v>0</v>
      </c>
      <c r="R712" s="2" t="inlineStr"/>
    </row>
    <row r="713" ht="15" customHeight="1">
      <c r="A713" t="inlineStr">
        <is>
          <t>A 38500-2025</t>
        </is>
      </c>
      <c r="B713" s="1" t="n">
        <v>45884.37513888889</v>
      </c>
      <c r="C713" s="1" t="n">
        <v>45931</v>
      </c>
      <c r="D713" t="inlineStr">
        <is>
          <t>VÄSTERBOTTENS LÄN</t>
        </is>
      </c>
      <c r="E713" t="inlineStr">
        <is>
          <t>SKELLEFTEÅ</t>
        </is>
      </c>
      <c r="F713" t="inlineStr">
        <is>
          <t>Holmen skog AB</t>
        </is>
      </c>
      <c r="G713" t="n">
        <v>7.7</v>
      </c>
      <c r="H713" t="n">
        <v>0</v>
      </c>
      <c r="I713" t="n">
        <v>0</v>
      </c>
      <c r="J713" t="n">
        <v>0</v>
      </c>
      <c r="K713" t="n">
        <v>0</v>
      </c>
      <c r="L713" t="n">
        <v>0</v>
      </c>
      <c r="M713" t="n">
        <v>0</v>
      </c>
      <c r="N713" t="n">
        <v>0</v>
      </c>
      <c r="O713" t="n">
        <v>0</v>
      </c>
      <c r="P713" t="n">
        <v>0</v>
      </c>
      <c r="Q713" t="n">
        <v>0</v>
      </c>
      <c r="R713" s="2" t="inlineStr"/>
    </row>
    <row r="714" ht="15" customHeight="1">
      <c r="A714" t="inlineStr">
        <is>
          <t>A 58114-2022</t>
        </is>
      </c>
      <c r="B714" s="1" t="n">
        <v>44893</v>
      </c>
      <c r="C714" s="1" t="n">
        <v>45931</v>
      </c>
      <c r="D714" t="inlineStr">
        <is>
          <t>VÄSTERBOTTENS LÄN</t>
        </is>
      </c>
      <c r="E714" t="inlineStr">
        <is>
          <t>SKELLEFTEÅ</t>
        </is>
      </c>
      <c r="G714" t="n">
        <v>2.4</v>
      </c>
      <c r="H714" t="n">
        <v>0</v>
      </c>
      <c r="I714" t="n">
        <v>0</v>
      </c>
      <c r="J714" t="n">
        <v>0</v>
      </c>
      <c r="K714" t="n">
        <v>0</v>
      </c>
      <c r="L714" t="n">
        <v>0</v>
      </c>
      <c r="M714" t="n">
        <v>0</v>
      </c>
      <c r="N714" t="n">
        <v>0</v>
      </c>
      <c r="O714" t="n">
        <v>0</v>
      </c>
      <c r="P714" t="n">
        <v>0</v>
      </c>
      <c r="Q714" t="n">
        <v>0</v>
      </c>
      <c r="R714" s="2" t="inlineStr"/>
    </row>
    <row r="715" ht="15" customHeight="1">
      <c r="A715" t="inlineStr">
        <is>
          <t>A 45407-2024</t>
        </is>
      </c>
      <c r="B715" s="1" t="n">
        <v>45576.58652777778</v>
      </c>
      <c r="C715" s="1" t="n">
        <v>45931</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32746-2023</t>
        </is>
      </c>
      <c r="B716" s="1" t="n">
        <v>45122</v>
      </c>
      <c r="C716" s="1" t="n">
        <v>45931</v>
      </c>
      <c r="D716" t="inlineStr">
        <is>
          <t>VÄSTERBOTTENS LÄN</t>
        </is>
      </c>
      <c r="E716" t="inlineStr">
        <is>
          <t>SKELLEFTEÅ</t>
        </is>
      </c>
      <c r="F716" t="inlineStr">
        <is>
          <t>Holmen skog AB</t>
        </is>
      </c>
      <c r="G716" t="n">
        <v>6.1</v>
      </c>
      <c r="H716" t="n">
        <v>0</v>
      </c>
      <c r="I716" t="n">
        <v>0</v>
      </c>
      <c r="J716" t="n">
        <v>0</v>
      </c>
      <c r="K716" t="n">
        <v>0</v>
      </c>
      <c r="L716" t="n">
        <v>0</v>
      </c>
      <c r="M716" t="n">
        <v>0</v>
      </c>
      <c r="N716" t="n">
        <v>0</v>
      </c>
      <c r="O716" t="n">
        <v>0</v>
      </c>
      <c r="P716" t="n">
        <v>0</v>
      </c>
      <c r="Q716" t="n">
        <v>0</v>
      </c>
      <c r="R716" s="2" t="inlineStr"/>
    </row>
    <row r="717" ht="15" customHeight="1">
      <c r="A717" t="inlineStr">
        <is>
          <t>A 60612-2023</t>
        </is>
      </c>
      <c r="B717" s="1" t="n">
        <v>45260</v>
      </c>
      <c r="C717" s="1" t="n">
        <v>45931</v>
      </c>
      <c r="D717" t="inlineStr">
        <is>
          <t>VÄSTERBOTTENS LÄN</t>
        </is>
      </c>
      <c r="E717" t="inlineStr">
        <is>
          <t>SKELLEFTEÅ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4900-2024</t>
        </is>
      </c>
      <c r="B718" s="1" t="n">
        <v>45329</v>
      </c>
      <c r="C718" s="1" t="n">
        <v>45931</v>
      </c>
      <c r="D718" t="inlineStr">
        <is>
          <t>VÄSTERBOTTENS LÄN</t>
        </is>
      </c>
      <c r="E718" t="inlineStr">
        <is>
          <t>SKELLEFTEÅ</t>
        </is>
      </c>
      <c r="G718" t="n">
        <v>2.5</v>
      </c>
      <c r="H718" t="n">
        <v>0</v>
      </c>
      <c r="I718" t="n">
        <v>0</v>
      </c>
      <c r="J718" t="n">
        <v>0</v>
      </c>
      <c r="K718" t="n">
        <v>0</v>
      </c>
      <c r="L718" t="n">
        <v>0</v>
      </c>
      <c r="M718" t="n">
        <v>0</v>
      </c>
      <c r="N718" t="n">
        <v>0</v>
      </c>
      <c r="O718" t="n">
        <v>0</v>
      </c>
      <c r="P718" t="n">
        <v>0</v>
      </c>
      <c r="Q718" t="n">
        <v>0</v>
      </c>
      <c r="R718" s="2" t="inlineStr"/>
    </row>
    <row r="719" ht="15" customHeight="1">
      <c r="A719" t="inlineStr">
        <is>
          <t>A 25943-2024</t>
        </is>
      </c>
      <c r="B719" s="1" t="n">
        <v>45467</v>
      </c>
      <c r="C719" s="1" t="n">
        <v>45931</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42946-2022</t>
        </is>
      </c>
      <c r="B720" s="1" t="n">
        <v>44833.38583333333</v>
      </c>
      <c r="C720" s="1" t="n">
        <v>45931</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47984-2022</t>
        </is>
      </c>
      <c r="B721" s="1" t="n">
        <v>44853</v>
      </c>
      <c r="C721" s="1" t="n">
        <v>45931</v>
      </c>
      <c r="D721" t="inlineStr">
        <is>
          <t>VÄSTERBOTTENS LÄN</t>
        </is>
      </c>
      <c r="E721" t="inlineStr">
        <is>
          <t>SKELLEFTEÅ</t>
        </is>
      </c>
      <c r="G721" t="n">
        <v>2.8</v>
      </c>
      <c r="H721" t="n">
        <v>0</v>
      </c>
      <c r="I721" t="n">
        <v>0</v>
      </c>
      <c r="J721" t="n">
        <v>0</v>
      </c>
      <c r="K721" t="n">
        <v>0</v>
      </c>
      <c r="L721" t="n">
        <v>0</v>
      </c>
      <c r="M721" t="n">
        <v>0</v>
      </c>
      <c r="N721" t="n">
        <v>0</v>
      </c>
      <c r="O721" t="n">
        <v>0</v>
      </c>
      <c r="P721" t="n">
        <v>0</v>
      </c>
      <c r="Q721" t="n">
        <v>0</v>
      </c>
      <c r="R721" s="2" t="inlineStr"/>
    </row>
    <row r="722" ht="15" customHeight="1">
      <c r="A722" t="inlineStr">
        <is>
          <t>A 47988-2022</t>
        </is>
      </c>
      <c r="B722" s="1" t="n">
        <v>44853</v>
      </c>
      <c r="C722" s="1" t="n">
        <v>45931</v>
      </c>
      <c r="D722" t="inlineStr">
        <is>
          <t>VÄSTERBOTTENS LÄN</t>
        </is>
      </c>
      <c r="E722" t="inlineStr">
        <is>
          <t>SKELLEFTEÅ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7025-2025</t>
        </is>
      </c>
      <c r="B723" s="1" t="n">
        <v>45701.62719907407</v>
      </c>
      <c r="C723" s="1" t="n">
        <v>45931</v>
      </c>
      <c r="D723" t="inlineStr">
        <is>
          <t>VÄSTERBOTTENS LÄN</t>
        </is>
      </c>
      <c r="E723" t="inlineStr">
        <is>
          <t>SKELLEFTEÅ</t>
        </is>
      </c>
      <c r="G723" t="n">
        <v>4.1</v>
      </c>
      <c r="H723" t="n">
        <v>0</v>
      </c>
      <c r="I723" t="n">
        <v>0</v>
      </c>
      <c r="J723" t="n">
        <v>0</v>
      </c>
      <c r="K723" t="n">
        <v>0</v>
      </c>
      <c r="L723" t="n">
        <v>0</v>
      </c>
      <c r="M723" t="n">
        <v>0</v>
      </c>
      <c r="N723" t="n">
        <v>0</v>
      </c>
      <c r="O723" t="n">
        <v>0</v>
      </c>
      <c r="P723" t="n">
        <v>0</v>
      </c>
      <c r="Q723" t="n">
        <v>0</v>
      </c>
      <c r="R723" s="2" t="inlineStr"/>
    </row>
    <row r="724" ht="15" customHeight="1">
      <c r="A724" t="inlineStr">
        <is>
          <t>A 52862-2024</t>
        </is>
      </c>
      <c r="B724" s="1" t="n">
        <v>45610.61991898148</v>
      </c>
      <c r="C724" s="1" t="n">
        <v>45931</v>
      </c>
      <c r="D724" t="inlineStr">
        <is>
          <t>VÄSTERBOTTENS LÄN</t>
        </is>
      </c>
      <c r="E724" t="inlineStr">
        <is>
          <t>SKELLEFTEÅ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52864-2024</t>
        </is>
      </c>
      <c r="B725" s="1" t="n">
        <v>45610.62194444444</v>
      </c>
      <c r="C725" s="1" t="n">
        <v>45931</v>
      </c>
      <c r="D725" t="inlineStr">
        <is>
          <t>VÄSTERBOTTENS LÄN</t>
        </is>
      </c>
      <c r="E725" t="inlineStr">
        <is>
          <t>SKELLEFTEÅ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54316-2022</t>
        </is>
      </c>
      <c r="B726" s="1" t="n">
        <v>44879</v>
      </c>
      <c r="C726" s="1" t="n">
        <v>45931</v>
      </c>
      <c r="D726" t="inlineStr">
        <is>
          <t>VÄSTERBOTTENS LÄN</t>
        </is>
      </c>
      <c r="E726" t="inlineStr">
        <is>
          <t>SKELLEFTEÅ</t>
        </is>
      </c>
      <c r="G726" t="n">
        <v>5.8</v>
      </c>
      <c r="H726" t="n">
        <v>0</v>
      </c>
      <c r="I726" t="n">
        <v>0</v>
      </c>
      <c r="J726" t="n">
        <v>0</v>
      </c>
      <c r="K726" t="n">
        <v>0</v>
      </c>
      <c r="L726" t="n">
        <v>0</v>
      </c>
      <c r="M726" t="n">
        <v>0</v>
      </c>
      <c r="N726" t="n">
        <v>0</v>
      </c>
      <c r="O726" t="n">
        <v>0</v>
      </c>
      <c r="P726" t="n">
        <v>0</v>
      </c>
      <c r="Q726" t="n">
        <v>0</v>
      </c>
      <c r="R726" s="2" t="inlineStr"/>
    </row>
    <row r="727" ht="15" customHeight="1">
      <c r="A727" t="inlineStr">
        <is>
          <t>A 9233-2024</t>
        </is>
      </c>
      <c r="B727" s="1" t="n">
        <v>45358</v>
      </c>
      <c r="C727" s="1" t="n">
        <v>45931</v>
      </c>
      <c r="D727" t="inlineStr">
        <is>
          <t>VÄSTERBOTTENS LÄN</t>
        </is>
      </c>
      <c r="E727" t="inlineStr">
        <is>
          <t>SKELLEFTEÅ</t>
        </is>
      </c>
      <c r="G727" t="n">
        <v>3.6</v>
      </c>
      <c r="H727" t="n">
        <v>0</v>
      </c>
      <c r="I727" t="n">
        <v>0</v>
      </c>
      <c r="J727" t="n">
        <v>0</v>
      </c>
      <c r="K727" t="n">
        <v>0</v>
      </c>
      <c r="L727" t="n">
        <v>0</v>
      </c>
      <c r="M727" t="n">
        <v>0</v>
      </c>
      <c r="N727" t="n">
        <v>0</v>
      </c>
      <c r="O727" t="n">
        <v>0</v>
      </c>
      <c r="P727" t="n">
        <v>0</v>
      </c>
      <c r="Q727" t="n">
        <v>0</v>
      </c>
      <c r="R727" s="2" t="inlineStr"/>
    </row>
    <row r="728" ht="15" customHeight="1">
      <c r="A728" t="inlineStr">
        <is>
          <t>A 10986-2025</t>
        </is>
      </c>
      <c r="B728" s="1" t="n">
        <v>45723.41918981481</v>
      </c>
      <c r="C728" s="1" t="n">
        <v>45931</v>
      </c>
      <c r="D728" t="inlineStr">
        <is>
          <t>VÄSTERBOTTENS LÄN</t>
        </is>
      </c>
      <c r="E728" t="inlineStr">
        <is>
          <t>SKELLEFTEÅ</t>
        </is>
      </c>
      <c r="G728" t="n">
        <v>5.5</v>
      </c>
      <c r="H728" t="n">
        <v>0</v>
      </c>
      <c r="I728" t="n">
        <v>0</v>
      </c>
      <c r="J728" t="n">
        <v>0</v>
      </c>
      <c r="K728" t="n">
        <v>0</v>
      </c>
      <c r="L728" t="n">
        <v>0</v>
      </c>
      <c r="M728" t="n">
        <v>0</v>
      </c>
      <c r="N728" t="n">
        <v>0</v>
      </c>
      <c r="O728" t="n">
        <v>0</v>
      </c>
      <c r="P728" t="n">
        <v>0</v>
      </c>
      <c r="Q728" t="n">
        <v>0</v>
      </c>
      <c r="R728" s="2" t="inlineStr"/>
    </row>
    <row r="729" ht="15" customHeight="1">
      <c r="A729" t="inlineStr">
        <is>
          <t>A 11528-2024</t>
        </is>
      </c>
      <c r="B729" s="1" t="n">
        <v>45372</v>
      </c>
      <c r="C729" s="1" t="n">
        <v>45931</v>
      </c>
      <c r="D729" t="inlineStr">
        <is>
          <t>VÄSTERBOTTENS LÄN</t>
        </is>
      </c>
      <c r="E729" t="inlineStr">
        <is>
          <t>SKELLEFTEÅ</t>
        </is>
      </c>
      <c r="G729" t="n">
        <v>1.8</v>
      </c>
      <c r="H729" t="n">
        <v>0</v>
      </c>
      <c r="I729" t="n">
        <v>0</v>
      </c>
      <c r="J729" t="n">
        <v>0</v>
      </c>
      <c r="K729" t="n">
        <v>0</v>
      </c>
      <c r="L729" t="n">
        <v>0</v>
      </c>
      <c r="M729" t="n">
        <v>0</v>
      </c>
      <c r="N729" t="n">
        <v>0</v>
      </c>
      <c r="O729" t="n">
        <v>0</v>
      </c>
      <c r="P729" t="n">
        <v>0</v>
      </c>
      <c r="Q729" t="n">
        <v>0</v>
      </c>
      <c r="R729" s="2" t="inlineStr"/>
    </row>
    <row r="730" ht="15" customHeight="1">
      <c r="A730" t="inlineStr">
        <is>
          <t>A 11875-2024</t>
        </is>
      </c>
      <c r="B730" s="1" t="n">
        <v>45376</v>
      </c>
      <c r="C730" s="1" t="n">
        <v>45931</v>
      </c>
      <c r="D730" t="inlineStr">
        <is>
          <t>VÄSTERBOTTENS LÄN</t>
        </is>
      </c>
      <c r="E730" t="inlineStr">
        <is>
          <t>SKELLEFTEÅ</t>
        </is>
      </c>
      <c r="G730" t="n">
        <v>4.4</v>
      </c>
      <c r="H730" t="n">
        <v>0</v>
      </c>
      <c r="I730" t="n">
        <v>0</v>
      </c>
      <c r="J730" t="n">
        <v>0</v>
      </c>
      <c r="K730" t="n">
        <v>0</v>
      </c>
      <c r="L730" t="n">
        <v>0</v>
      </c>
      <c r="M730" t="n">
        <v>0</v>
      </c>
      <c r="N730" t="n">
        <v>0</v>
      </c>
      <c r="O730" t="n">
        <v>0</v>
      </c>
      <c r="P730" t="n">
        <v>0</v>
      </c>
      <c r="Q730" t="n">
        <v>0</v>
      </c>
      <c r="R730" s="2" t="inlineStr"/>
    </row>
    <row r="731" ht="15" customHeight="1">
      <c r="A731" t="inlineStr">
        <is>
          <t>A 29687-2021</t>
        </is>
      </c>
      <c r="B731" s="1" t="n">
        <v>44362.37407407408</v>
      </c>
      <c r="C731" s="1" t="n">
        <v>45931</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10911-2024</t>
        </is>
      </c>
      <c r="B732" s="1" t="n">
        <v>45370</v>
      </c>
      <c r="C732" s="1" t="n">
        <v>45931</v>
      </c>
      <c r="D732" t="inlineStr">
        <is>
          <t>VÄSTERBOTTENS LÄN</t>
        </is>
      </c>
      <c r="E732" t="inlineStr">
        <is>
          <t>SKELLEFTEÅ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1964-2025</t>
        </is>
      </c>
      <c r="B733" s="1" t="n">
        <v>45672.37693287037</v>
      </c>
      <c r="C733" s="1" t="n">
        <v>45931</v>
      </c>
      <c r="D733" t="inlineStr">
        <is>
          <t>VÄSTERBOTTENS LÄN</t>
        </is>
      </c>
      <c r="E733" t="inlineStr">
        <is>
          <t>SKELLEFTEÅ</t>
        </is>
      </c>
      <c r="G733" t="n">
        <v>2.5</v>
      </c>
      <c r="H733" t="n">
        <v>0</v>
      </c>
      <c r="I733" t="n">
        <v>0</v>
      </c>
      <c r="J733" t="n">
        <v>0</v>
      </c>
      <c r="K733" t="n">
        <v>0</v>
      </c>
      <c r="L733" t="n">
        <v>0</v>
      </c>
      <c r="M733" t="n">
        <v>0</v>
      </c>
      <c r="N733" t="n">
        <v>0</v>
      </c>
      <c r="O733" t="n">
        <v>0</v>
      </c>
      <c r="P733" t="n">
        <v>0</v>
      </c>
      <c r="Q733" t="n">
        <v>0</v>
      </c>
      <c r="R733" s="2" t="inlineStr"/>
    </row>
    <row r="734" ht="15" customHeight="1">
      <c r="A734" t="inlineStr">
        <is>
          <t>A 3947-2024</t>
        </is>
      </c>
      <c r="B734" s="1" t="n">
        <v>45322</v>
      </c>
      <c r="C734" s="1" t="n">
        <v>45931</v>
      </c>
      <c r="D734" t="inlineStr">
        <is>
          <t>VÄSTERBOTTENS LÄN</t>
        </is>
      </c>
      <c r="E734" t="inlineStr">
        <is>
          <t>SKELLEFTEÅ</t>
        </is>
      </c>
      <c r="G734" t="n">
        <v>1.5</v>
      </c>
      <c r="H734" t="n">
        <v>0</v>
      </c>
      <c r="I734" t="n">
        <v>0</v>
      </c>
      <c r="J734" t="n">
        <v>0</v>
      </c>
      <c r="K734" t="n">
        <v>0</v>
      </c>
      <c r="L734" t="n">
        <v>0</v>
      </c>
      <c r="M734" t="n">
        <v>0</v>
      </c>
      <c r="N734" t="n">
        <v>0</v>
      </c>
      <c r="O734" t="n">
        <v>0</v>
      </c>
      <c r="P734" t="n">
        <v>0</v>
      </c>
      <c r="Q734" t="n">
        <v>0</v>
      </c>
      <c r="R734" s="2" t="inlineStr"/>
    </row>
    <row r="735" ht="15" customHeight="1">
      <c r="A735" t="inlineStr">
        <is>
          <t>A 60853-2022</t>
        </is>
      </c>
      <c r="B735" s="1" t="n">
        <v>44914.51908564815</v>
      </c>
      <c r="C735" s="1" t="n">
        <v>45931</v>
      </c>
      <c r="D735" t="inlineStr">
        <is>
          <t>VÄSTERBOTTENS LÄN</t>
        </is>
      </c>
      <c r="E735" t="inlineStr">
        <is>
          <t>SKELLEFTEÅ</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64723-2023</t>
        </is>
      </c>
      <c r="B736" s="1" t="n">
        <v>45281</v>
      </c>
      <c r="C736" s="1" t="n">
        <v>45931</v>
      </c>
      <c r="D736" t="inlineStr">
        <is>
          <t>VÄSTERBOTTENS LÄN</t>
        </is>
      </c>
      <c r="E736" t="inlineStr">
        <is>
          <t>SKELLEFTEÅ</t>
        </is>
      </c>
      <c r="G736" t="n">
        <v>0.1</v>
      </c>
      <c r="H736" t="n">
        <v>0</v>
      </c>
      <c r="I736" t="n">
        <v>0</v>
      </c>
      <c r="J736" t="n">
        <v>0</v>
      </c>
      <c r="K736" t="n">
        <v>0</v>
      </c>
      <c r="L736" t="n">
        <v>0</v>
      </c>
      <c r="M736" t="n">
        <v>0</v>
      </c>
      <c r="N736" t="n">
        <v>0</v>
      </c>
      <c r="O736" t="n">
        <v>0</v>
      </c>
      <c r="P736" t="n">
        <v>0</v>
      </c>
      <c r="Q736" t="n">
        <v>0</v>
      </c>
      <c r="R736" s="2" t="inlineStr"/>
    </row>
    <row r="737" ht="15" customHeight="1">
      <c r="A737" t="inlineStr">
        <is>
          <t>A 14983-2023</t>
        </is>
      </c>
      <c r="B737" s="1" t="n">
        <v>45014</v>
      </c>
      <c r="C737" s="1" t="n">
        <v>45931</v>
      </c>
      <c r="D737" t="inlineStr">
        <is>
          <t>VÄSTERBOTTENS LÄN</t>
        </is>
      </c>
      <c r="E737" t="inlineStr">
        <is>
          <t>SKELLEFTEÅ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3843-2025</t>
        </is>
      </c>
      <c r="B738" s="1" t="n">
        <v>45683.66033564815</v>
      </c>
      <c r="C738" s="1" t="n">
        <v>45931</v>
      </c>
      <c r="D738" t="inlineStr">
        <is>
          <t>VÄSTERBOTTENS LÄN</t>
        </is>
      </c>
      <c r="E738" t="inlineStr">
        <is>
          <t>SKELLEFTEÅ</t>
        </is>
      </c>
      <c r="G738" t="n">
        <v>4.7</v>
      </c>
      <c r="H738" t="n">
        <v>0</v>
      </c>
      <c r="I738" t="n">
        <v>0</v>
      </c>
      <c r="J738" t="n">
        <v>0</v>
      </c>
      <c r="K738" t="n">
        <v>0</v>
      </c>
      <c r="L738" t="n">
        <v>0</v>
      </c>
      <c r="M738" t="n">
        <v>0</v>
      </c>
      <c r="N738" t="n">
        <v>0</v>
      </c>
      <c r="O738" t="n">
        <v>0</v>
      </c>
      <c r="P738" t="n">
        <v>0</v>
      </c>
      <c r="Q738" t="n">
        <v>0</v>
      </c>
      <c r="R738" s="2" t="inlineStr"/>
    </row>
    <row r="739" ht="15" customHeight="1">
      <c r="A739" t="inlineStr">
        <is>
          <t>A 56435-2022</t>
        </is>
      </c>
      <c r="B739" s="1" t="n">
        <v>44892.39662037037</v>
      </c>
      <c r="C739" s="1" t="n">
        <v>45931</v>
      </c>
      <c r="D739" t="inlineStr">
        <is>
          <t>VÄSTERBOTTENS LÄN</t>
        </is>
      </c>
      <c r="E739" t="inlineStr">
        <is>
          <t>SKELLEFTEÅ</t>
        </is>
      </c>
      <c r="G739" t="n">
        <v>3.6</v>
      </c>
      <c r="H739" t="n">
        <v>0</v>
      </c>
      <c r="I739" t="n">
        <v>0</v>
      </c>
      <c r="J739" t="n">
        <v>0</v>
      </c>
      <c r="K739" t="n">
        <v>0</v>
      </c>
      <c r="L739" t="n">
        <v>0</v>
      </c>
      <c r="M739" t="n">
        <v>0</v>
      </c>
      <c r="N739" t="n">
        <v>0</v>
      </c>
      <c r="O739" t="n">
        <v>0</v>
      </c>
      <c r="P739" t="n">
        <v>0</v>
      </c>
      <c r="Q739" t="n">
        <v>0</v>
      </c>
      <c r="R739" s="2" t="inlineStr"/>
    </row>
    <row r="740" ht="15" customHeight="1">
      <c r="A740" t="inlineStr">
        <is>
          <t>A 35435-2024</t>
        </is>
      </c>
      <c r="B740" s="1" t="n">
        <v>45531.41481481482</v>
      </c>
      <c r="C740" s="1" t="n">
        <v>45931</v>
      </c>
      <c r="D740" t="inlineStr">
        <is>
          <t>VÄSTERBOTTENS LÄN</t>
        </is>
      </c>
      <c r="E740" t="inlineStr">
        <is>
          <t>SKELLEFTEÅ</t>
        </is>
      </c>
      <c r="G740" t="n">
        <v>10.8</v>
      </c>
      <c r="H740" t="n">
        <v>0</v>
      </c>
      <c r="I740" t="n">
        <v>0</v>
      </c>
      <c r="J740" t="n">
        <v>0</v>
      </c>
      <c r="K740" t="n">
        <v>0</v>
      </c>
      <c r="L740" t="n">
        <v>0</v>
      </c>
      <c r="M740" t="n">
        <v>0</v>
      </c>
      <c r="N740" t="n">
        <v>0</v>
      </c>
      <c r="O740" t="n">
        <v>0</v>
      </c>
      <c r="P740" t="n">
        <v>0</v>
      </c>
      <c r="Q740" t="n">
        <v>0</v>
      </c>
      <c r="R740" s="2" t="inlineStr"/>
    </row>
    <row r="741" ht="15" customHeight="1">
      <c r="A741" t="inlineStr">
        <is>
          <t>A 8669-2025</t>
        </is>
      </c>
      <c r="B741" s="1" t="n">
        <v>45712.41598379629</v>
      </c>
      <c r="C741" s="1" t="n">
        <v>45931</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57578-2022</t>
        </is>
      </c>
      <c r="B742" s="1" t="n">
        <v>44896.93035879629</v>
      </c>
      <c r="C742" s="1" t="n">
        <v>45931</v>
      </c>
      <c r="D742" t="inlineStr">
        <is>
          <t>VÄSTERBOTTENS LÄN</t>
        </is>
      </c>
      <c r="E742" t="inlineStr">
        <is>
          <t>SKELLEFTEÅ</t>
        </is>
      </c>
      <c r="G742" t="n">
        <v>1.2</v>
      </c>
      <c r="H742" t="n">
        <v>0</v>
      </c>
      <c r="I742" t="n">
        <v>0</v>
      </c>
      <c r="J742" t="n">
        <v>0</v>
      </c>
      <c r="K742" t="n">
        <v>0</v>
      </c>
      <c r="L742" t="n">
        <v>0</v>
      </c>
      <c r="M742" t="n">
        <v>0</v>
      </c>
      <c r="N742" t="n">
        <v>0</v>
      </c>
      <c r="O742" t="n">
        <v>0</v>
      </c>
      <c r="P742" t="n">
        <v>0</v>
      </c>
      <c r="Q742" t="n">
        <v>0</v>
      </c>
      <c r="R742" s="2" t="inlineStr"/>
    </row>
    <row r="743" ht="15" customHeight="1">
      <c r="A743" t="inlineStr">
        <is>
          <t>A 57583-2022</t>
        </is>
      </c>
      <c r="B743" s="1" t="n">
        <v>44896.9309375</v>
      </c>
      <c r="C743" s="1" t="n">
        <v>45931</v>
      </c>
      <c r="D743" t="inlineStr">
        <is>
          <t>VÄSTERBOTTENS LÄN</t>
        </is>
      </c>
      <c r="E743" t="inlineStr">
        <is>
          <t>SKELLEFTEÅ</t>
        </is>
      </c>
      <c r="G743" t="n">
        <v>2.2</v>
      </c>
      <c r="H743" t="n">
        <v>0</v>
      </c>
      <c r="I743" t="n">
        <v>0</v>
      </c>
      <c r="J743" t="n">
        <v>0</v>
      </c>
      <c r="K743" t="n">
        <v>0</v>
      </c>
      <c r="L743" t="n">
        <v>0</v>
      </c>
      <c r="M743" t="n">
        <v>0</v>
      </c>
      <c r="N743" t="n">
        <v>0</v>
      </c>
      <c r="O743" t="n">
        <v>0</v>
      </c>
      <c r="P743" t="n">
        <v>0</v>
      </c>
      <c r="Q743" t="n">
        <v>0</v>
      </c>
      <c r="R743" s="2" t="inlineStr"/>
    </row>
    <row r="744" ht="15" customHeight="1">
      <c r="A744" t="inlineStr">
        <is>
          <t>A 33289-2023</t>
        </is>
      </c>
      <c r="B744" s="1" t="n">
        <v>45116</v>
      </c>
      <c r="C744" s="1" t="n">
        <v>45931</v>
      </c>
      <c r="D744" t="inlineStr">
        <is>
          <t>VÄSTERBOTTENS LÄN</t>
        </is>
      </c>
      <c r="E744" t="inlineStr">
        <is>
          <t>SKELLEFTEÅ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22758-2022</t>
        </is>
      </c>
      <c r="B745" s="1" t="n">
        <v>44714</v>
      </c>
      <c r="C745" s="1" t="n">
        <v>45931</v>
      </c>
      <c r="D745" t="inlineStr">
        <is>
          <t>VÄSTERBOTTENS LÄN</t>
        </is>
      </c>
      <c r="E745" t="inlineStr">
        <is>
          <t>SKELLEFTEÅ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24963-2023</t>
        </is>
      </c>
      <c r="B746" s="1" t="n">
        <v>45085</v>
      </c>
      <c r="C746" s="1" t="n">
        <v>45931</v>
      </c>
      <c r="D746" t="inlineStr">
        <is>
          <t>VÄSTERBOTTENS LÄN</t>
        </is>
      </c>
      <c r="E746" t="inlineStr">
        <is>
          <t>SKELLEFTEÅ</t>
        </is>
      </c>
      <c r="G746" t="n">
        <v>0.4</v>
      </c>
      <c r="H746" t="n">
        <v>0</v>
      </c>
      <c r="I746" t="n">
        <v>0</v>
      </c>
      <c r="J746" t="n">
        <v>0</v>
      </c>
      <c r="K746" t="n">
        <v>0</v>
      </c>
      <c r="L746" t="n">
        <v>0</v>
      </c>
      <c r="M746" t="n">
        <v>0</v>
      </c>
      <c r="N746" t="n">
        <v>0</v>
      </c>
      <c r="O746" t="n">
        <v>0</v>
      </c>
      <c r="P746" t="n">
        <v>0</v>
      </c>
      <c r="Q746" t="n">
        <v>0</v>
      </c>
      <c r="R746" s="2" t="inlineStr"/>
    </row>
    <row r="747" ht="15" customHeight="1">
      <c r="A747" t="inlineStr">
        <is>
          <t>A 56072-2022</t>
        </is>
      </c>
      <c r="B747" s="1" t="n">
        <v>44889.60342592592</v>
      </c>
      <c r="C747" s="1" t="n">
        <v>45931</v>
      </c>
      <c r="D747" t="inlineStr">
        <is>
          <t>VÄSTERBOTTENS LÄN</t>
        </is>
      </c>
      <c r="E747" t="inlineStr">
        <is>
          <t>SKELLEFTEÅ</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38586-2025</t>
        </is>
      </c>
      <c r="B748" s="1" t="n">
        <v>45884.47202546296</v>
      </c>
      <c r="C748" s="1" t="n">
        <v>45931</v>
      </c>
      <c r="D748" t="inlineStr">
        <is>
          <t>VÄSTERBOTTENS LÄN</t>
        </is>
      </c>
      <c r="E748" t="inlineStr">
        <is>
          <t>SKELLEFTEÅ</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35213-2024</t>
        </is>
      </c>
      <c r="B749" s="1" t="n">
        <v>45530</v>
      </c>
      <c r="C749" s="1" t="n">
        <v>45931</v>
      </c>
      <c r="D749" t="inlineStr">
        <is>
          <t>VÄSTERBOTTENS LÄN</t>
        </is>
      </c>
      <c r="E749" t="inlineStr">
        <is>
          <t>SKELLEFTEÅ</t>
        </is>
      </c>
      <c r="G749" t="n">
        <v>1.8</v>
      </c>
      <c r="H749" t="n">
        <v>0</v>
      </c>
      <c r="I749" t="n">
        <v>0</v>
      </c>
      <c r="J749" t="n">
        <v>0</v>
      </c>
      <c r="K749" t="n">
        <v>0</v>
      </c>
      <c r="L749" t="n">
        <v>0</v>
      </c>
      <c r="M749" t="n">
        <v>0</v>
      </c>
      <c r="N749" t="n">
        <v>0</v>
      </c>
      <c r="O749" t="n">
        <v>0</v>
      </c>
      <c r="P749" t="n">
        <v>0</v>
      </c>
      <c r="Q749" t="n">
        <v>0</v>
      </c>
      <c r="R749" s="2" t="inlineStr"/>
    </row>
    <row r="750" ht="15" customHeight="1">
      <c r="A750" t="inlineStr">
        <is>
          <t>A 18443-2025</t>
        </is>
      </c>
      <c r="B750" s="1" t="n">
        <v>45762.65668981482</v>
      </c>
      <c r="C750" s="1" t="n">
        <v>45931</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13126-2025</t>
        </is>
      </c>
      <c r="B751" s="1" t="n">
        <v>45734.86883101852</v>
      </c>
      <c r="C751" s="1" t="n">
        <v>45931</v>
      </c>
      <c r="D751" t="inlineStr">
        <is>
          <t>VÄSTERBOTTENS LÄN</t>
        </is>
      </c>
      <c r="E751" t="inlineStr">
        <is>
          <t>SKELLEFTEÅ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49992-2022</t>
        </is>
      </c>
      <c r="B752" s="1" t="n">
        <v>44860</v>
      </c>
      <c r="C752" s="1" t="n">
        <v>45931</v>
      </c>
      <c r="D752" t="inlineStr">
        <is>
          <t>VÄSTERBOTTENS LÄN</t>
        </is>
      </c>
      <c r="E752" t="inlineStr">
        <is>
          <t>SKELLEFTEÅ</t>
        </is>
      </c>
      <c r="G752" t="n">
        <v>3.6</v>
      </c>
      <c r="H752" t="n">
        <v>0</v>
      </c>
      <c r="I752" t="n">
        <v>0</v>
      </c>
      <c r="J752" t="n">
        <v>0</v>
      </c>
      <c r="K752" t="n">
        <v>0</v>
      </c>
      <c r="L752" t="n">
        <v>0</v>
      </c>
      <c r="M752" t="n">
        <v>0</v>
      </c>
      <c r="N752" t="n">
        <v>0</v>
      </c>
      <c r="O752" t="n">
        <v>0</v>
      </c>
      <c r="P752" t="n">
        <v>0</v>
      </c>
      <c r="Q752" t="n">
        <v>0</v>
      </c>
      <c r="R752" s="2" t="inlineStr"/>
    </row>
    <row r="753" ht="15" customHeight="1">
      <c r="A753" t="inlineStr">
        <is>
          <t>A 45981-2024</t>
        </is>
      </c>
      <c r="B753" s="1" t="n">
        <v>45580.60790509259</v>
      </c>
      <c r="C753" s="1" t="n">
        <v>45931</v>
      </c>
      <c r="D753" t="inlineStr">
        <is>
          <t>VÄSTERBOTTENS LÄN</t>
        </is>
      </c>
      <c r="E753" t="inlineStr">
        <is>
          <t>SKELLEFTEÅ</t>
        </is>
      </c>
      <c r="F753" t="inlineStr">
        <is>
          <t>Holmen skog AB</t>
        </is>
      </c>
      <c r="G753" t="n">
        <v>9.6</v>
      </c>
      <c r="H753" t="n">
        <v>0</v>
      </c>
      <c r="I753" t="n">
        <v>0</v>
      </c>
      <c r="J753" t="n">
        <v>0</v>
      </c>
      <c r="K753" t="n">
        <v>0</v>
      </c>
      <c r="L753" t="n">
        <v>0</v>
      </c>
      <c r="M753" t="n">
        <v>0</v>
      </c>
      <c r="N753" t="n">
        <v>0</v>
      </c>
      <c r="O753" t="n">
        <v>0</v>
      </c>
      <c r="P753" t="n">
        <v>0</v>
      </c>
      <c r="Q753" t="n">
        <v>0</v>
      </c>
      <c r="R753" s="2" t="inlineStr"/>
    </row>
    <row r="754" ht="15" customHeight="1">
      <c r="A754" t="inlineStr">
        <is>
          <t>A 18497-2025</t>
        </is>
      </c>
      <c r="B754" s="1" t="n">
        <v>45763.35385416666</v>
      </c>
      <c r="C754" s="1" t="n">
        <v>45931</v>
      </c>
      <c r="D754" t="inlineStr">
        <is>
          <t>VÄSTERBOTTENS LÄN</t>
        </is>
      </c>
      <c r="E754" t="inlineStr">
        <is>
          <t>SKELLEFTEÅ</t>
        </is>
      </c>
      <c r="G754" t="n">
        <v>4.8</v>
      </c>
      <c r="H754" t="n">
        <v>0</v>
      </c>
      <c r="I754" t="n">
        <v>0</v>
      </c>
      <c r="J754" t="n">
        <v>0</v>
      </c>
      <c r="K754" t="n">
        <v>0</v>
      </c>
      <c r="L754" t="n">
        <v>0</v>
      </c>
      <c r="M754" t="n">
        <v>0</v>
      </c>
      <c r="N754" t="n">
        <v>0</v>
      </c>
      <c r="O754" t="n">
        <v>0</v>
      </c>
      <c r="P754" t="n">
        <v>0</v>
      </c>
      <c r="Q754" t="n">
        <v>0</v>
      </c>
      <c r="R754" s="2" t="inlineStr"/>
    </row>
    <row r="755" ht="15" customHeight="1">
      <c r="A755" t="inlineStr">
        <is>
          <t>A 19765-2025</t>
        </is>
      </c>
      <c r="B755" s="1" t="n">
        <v>45771.4071875</v>
      </c>
      <c r="C755" s="1" t="n">
        <v>45931</v>
      </c>
      <c r="D755" t="inlineStr">
        <is>
          <t>VÄSTERBOTTENS LÄN</t>
        </is>
      </c>
      <c r="E755" t="inlineStr">
        <is>
          <t>SKELLEFTEÅ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61700-2022</t>
        </is>
      </c>
      <c r="B756" s="1" t="n">
        <v>44911</v>
      </c>
      <c r="C756" s="1" t="n">
        <v>45931</v>
      </c>
      <c r="D756" t="inlineStr">
        <is>
          <t>VÄSTERBOTTENS LÄN</t>
        </is>
      </c>
      <c r="E756" t="inlineStr">
        <is>
          <t>SKELLEFTEÅ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9465-2024</t>
        </is>
      </c>
      <c r="B757" s="1" t="n">
        <v>45359.54578703704</v>
      </c>
      <c r="C757" s="1" t="n">
        <v>45931</v>
      </c>
      <c r="D757" t="inlineStr">
        <is>
          <t>VÄSTERBOTTENS LÄN</t>
        </is>
      </c>
      <c r="E757" t="inlineStr">
        <is>
          <t>SKELLEFTEÅ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31672-2023</t>
        </is>
      </c>
      <c r="B758" s="1" t="n">
        <v>45117.65966435185</v>
      </c>
      <c r="C758" s="1" t="n">
        <v>45931</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10291-2023</t>
        </is>
      </c>
      <c r="B759" s="1" t="n">
        <v>44986</v>
      </c>
      <c r="C759" s="1" t="n">
        <v>45931</v>
      </c>
      <c r="D759" t="inlineStr">
        <is>
          <t>VÄSTERBOTTENS LÄN</t>
        </is>
      </c>
      <c r="E759" t="inlineStr">
        <is>
          <t>SKELLEFTEÅ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57191-2023</t>
        </is>
      </c>
      <c r="B760" s="1" t="n">
        <v>45245</v>
      </c>
      <c r="C760" s="1" t="n">
        <v>45931</v>
      </c>
      <c r="D760" t="inlineStr">
        <is>
          <t>VÄSTERBOTTENS LÄN</t>
        </is>
      </c>
      <c r="E760" t="inlineStr">
        <is>
          <t>SKELLEFTEÅ</t>
        </is>
      </c>
      <c r="F760" t="inlineStr">
        <is>
          <t>Sveaskog</t>
        </is>
      </c>
      <c r="G760" t="n">
        <v>11.3</v>
      </c>
      <c r="H760" t="n">
        <v>0</v>
      </c>
      <c r="I760" t="n">
        <v>0</v>
      </c>
      <c r="J760" t="n">
        <v>0</v>
      </c>
      <c r="K760" t="n">
        <v>0</v>
      </c>
      <c r="L760" t="n">
        <v>0</v>
      </c>
      <c r="M760" t="n">
        <v>0</v>
      </c>
      <c r="N760" t="n">
        <v>0</v>
      </c>
      <c r="O760" t="n">
        <v>0</v>
      </c>
      <c r="P760" t="n">
        <v>0</v>
      </c>
      <c r="Q760" t="n">
        <v>0</v>
      </c>
      <c r="R760" s="2" t="inlineStr"/>
    </row>
    <row r="761" ht="15" customHeight="1">
      <c r="A761" t="inlineStr">
        <is>
          <t>A 60558-2022</t>
        </is>
      </c>
      <c r="B761" s="1" t="n">
        <v>44904</v>
      </c>
      <c r="C761" s="1" t="n">
        <v>45931</v>
      </c>
      <c r="D761" t="inlineStr">
        <is>
          <t>VÄSTERBOTTENS LÄN</t>
        </is>
      </c>
      <c r="E761" t="inlineStr">
        <is>
          <t>SKELLEFTEÅ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32709-2024</t>
        </is>
      </c>
      <c r="B762" s="1" t="n">
        <v>45516.3629050926</v>
      </c>
      <c r="C762" s="1" t="n">
        <v>45931</v>
      </c>
      <c r="D762" t="inlineStr">
        <is>
          <t>VÄSTERBOTTENS LÄN</t>
        </is>
      </c>
      <c r="E762" t="inlineStr">
        <is>
          <t>SKELLEFTEÅ</t>
        </is>
      </c>
      <c r="F762" t="inlineStr">
        <is>
          <t>Holmen skog AB</t>
        </is>
      </c>
      <c r="G762" t="n">
        <v>8.9</v>
      </c>
      <c r="H762" t="n">
        <v>0</v>
      </c>
      <c r="I762" t="n">
        <v>0</v>
      </c>
      <c r="J762" t="n">
        <v>0</v>
      </c>
      <c r="K762" t="n">
        <v>0</v>
      </c>
      <c r="L762" t="n">
        <v>0</v>
      </c>
      <c r="M762" t="n">
        <v>0</v>
      </c>
      <c r="N762" t="n">
        <v>0</v>
      </c>
      <c r="O762" t="n">
        <v>0</v>
      </c>
      <c r="P762" t="n">
        <v>0</v>
      </c>
      <c r="Q762" t="n">
        <v>0</v>
      </c>
      <c r="R762" s="2" t="inlineStr"/>
    </row>
    <row r="763" ht="15" customHeight="1">
      <c r="A763" t="inlineStr">
        <is>
          <t>A 60502-2022</t>
        </is>
      </c>
      <c r="B763" s="1" t="n">
        <v>44911.44655092592</v>
      </c>
      <c r="C763" s="1" t="n">
        <v>45931</v>
      </c>
      <c r="D763" t="inlineStr">
        <is>
          <t>VÄSTERBOTTENS LÄN</t>
        </is>
      </c>
      <c r="E763" t="inlineStr">
        <is>
          <t>SKELLEFTEÅ</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531-2023</t>
        </is>
      </c>
      <c r="B764" s="1" t="n">
        <v>44925</v>
      </c>
      <c r="C764" s="1" t="n">
        <v>45931</v>
      </c>
      <c r="D764" t="inlineStr">
        <is>
          <t>VÄSTERBOTTENS LÄN</t>
        </is>
      </c>
      <c r="E764" t="inlineStr">
        <is>
          <t>SKELLEFTEÅ</t>
        </is>
      </c>
      <c r="G764" t="n">
        <v>2.6</v>
      </c>
      <c r="H764" t="n">
        <v>0</v>
      </c>
      <c r="I764" t="n">
        <v>0</v>
      </c>
      <c r="J764" t="n">
        <v>0</v>
      </c>
      <c r="K764" t="n">
        <v>0</v>
      </c>
      <c r="L764" t="n">
        <v>0</v>
      </c>
      <c r="M764" t="n">
        <v>0</v>
      </c>
      <c r="N764" t="n">
        <v>0</v>
      </c>
      <c r="O764" t="n">
        <v>0</v>
      </c>
      <c r="P764" t="n">
        <v>0</v>
      </c>
      <c r="Q764" t="n">
        <v>0</v>
      </c>
      <c r="R764" s="2" t="inlineStr"/>
    </row>
    <row r="765" ht="15" customHeight="1">
      <c r="A765" t="inlineStr">
        <is>
          <t>A 47062-2024</t>
        </is>
      </c>
      <c r="B765" s="1" t="n">
        <v>45585</v>
      </c>
      <c r="C765" s="1" t="n">
        <v>45931</v>
      </c>
      <c r="D765" t="inlineStr">
        <is>
          <t>VÄSTERBOTTENS LÄN</t>
        </is>
      </c>
      <c r="E765" t="inlineStr">
        <is>
          <t>SKELLEFTEÅ</t>
        </is>
      </c>
      <c r="G765" t="n">
        <v>10</v>
      </c>
      <c r="H765" t="n">
        <v>0</v>
      </c>
      <c r="I765" t="n">
        <v>0</v>
      </c>
      <c r="J765" t="n">
        <v>0</v>
      </c>
      <c r="K765" t="n">
        <v>0</v>
      </c>
      <c r="L765" t="n">
        <v>0</v>
      </c>
      <c r="M765" t="n">
        <v>0</v>
      </c>
      <c r="N765" t="n">
        <v>0</v>
      </c>
      <c r="O765" t="n">
        <v>0</v>
      </c>
      <c r="P765" t="n">
        <v>0</v>
      </c>
      <c r="Q765" t="n">
        <v>0</v>
      </c>
      <c r="R765" s="2" t="inlineStr"/>
    </row>
    <row r="766" ht="15" customHeight="1">
      <c r="A766" t="inlineStr">
        <is>
          <t>A 56444-2024</t>
        </is>
      </c>
      <c r="B766" s="1" t="n">
        <v>45625.42461805556</v>
      </c>
      <c r="C766" s="1" t="n">
        <v>45931</v>
      </c>
      <c r="D766" t="inlineStr">
        <is>
          <t>VÄSTERBOTTENS LÄN</t>
        </is>
      </c>
      <c r="E766" t="inlineStr">
        <is>
          <t>SKELLEFTEÅ</t>
        </is>
      </c>
      <c r="F766" t="inlineStr">
        <is>
          <t>Holmen skog AB</t>
        </is>
      </c>
      <c r="G766" t="n">
        <v>1</v>
      </c>
      <c r="H766" t="n">
        <v>0</v>
      </c>
      <c r="I766" t="n">
        <v>0</v>
      </c>
      <c r="J766" t="n">
        <v>0</v>
      </c>
      <c r="K766" t="n">
        <v>0</v>
      </c>
      <c r="L766" t="n">
        <v>0</v>
      </c>
      <c r="M766" t="n">
        <v>0</v>
      </c>
      <c r="N766" t="n">
        <v>0</v>
      </c>
      <c r="O766" t="n">
        <v>0</v>
      </c>
      <c r="P766" t="n">
        <v>0</v>
      </c>
      <c r="Q766" t="n">
        <v>0</v>
      </c>
      <c r="R766" s="2" t="inlineStr"/>
    </row>
    <row r="767" ht="15" customHeight="1">
      <c r="A767" t="inlineStr">
        <is>
          <t>A 41190-2024</t>
        </is>
      </c>
      <c r="B767" s="1" t="n">
        <v>45559.50627314814</v>
      </c>
      <c r="C767" s="1" t="n">
        <v>45931</v>
      </c>
      <c r="D767" t="inlineStr">
        <is>
          <t>VÄSTERBOTTENS LÄN</t>
        </is>
      </c>
      <c r="E767" t="inlineStr">
        <is>
          <t>SKELLEFTEÅ</t>
        </is>
      </c>
      <c r="F767" t="inlineStr">
        <is>
          <t>Holmen skog AB</t>
        </is>
      </c>
      <c r="G767" t="n">
        <v>0.6</v>
      </c>
      <c r="H767" t="n">
        <v>0</v>
      </c>
      <c r="I767" t="n">
        <v>0</v>
      </c>
      <c r="J767" t="n">
        <v>0</v>
      </c>
      <c r="K767" t="n">
        <v>0</v>
      </c>
      <c r="L767" t="n">
        <v>0</v>
      </c>
      <c r="M767" t="n">
        <v>0</v>
      </c>
      <c r="N767" t="n">
        <v>0</v>
      </c>
      <c r="O767" t="n">
        <v>0</v>
      </c>
      <c r="P767" t="n">
        <v>0</v>
      </c>
      <c r="Q767" t="n">
        <v>0</v>
      </c>
      <c r="R767" s="2" t="inlineStr"/>
    </row>
    <row r="768" ht="15" customHeight="1">
      <c r="A768" t="inlineStr">
        <is>
          <t>A 35736-2023</t>
        </is>
      </c>
      <c r="B768" s="1" t="n">
        <v>45147</v>
      </c>
      <c r="C768" s="1" t="n">
        <v>45931</v>
      </c>
      <c r="D768" t="inlineStr">
        <is>
          <t>VÄSTERBOTTENS LÄN</t>
        </is>
      </c>
      <c r="E768" t="inlineStr">
        <is>
          <t>SKELLEFTEÅ</t>
        </is>
      </c>
      <c r="G768" t="n">
        <v>5.3</v>
      </c>
      <c r="H768" t="n">
        <v>0</v>
      </c>
      <c r="I768" t="n">
        <v>0</v>
      </c>
      <c r="J768" t="n">
        <v>0</v>
      </c>
      <c r="K768" t="n">
        <v>0</v>
      </c>
      <c r="L768" t="n">
        <v>0</v>
      </c>
      <c r="M768" t="n">
        <v>0</v>
      </c>
      <c r="N768" t="n">
        <v>0</v>
      </c>
      <c r="O768" t="n">
        <v>0</v>
      </c>
      <c r="P768" t="n">
        <v>0</v>
      </c>
      <c r="Q768" t="n">
        <v>0</v>
      </c>
      <c r="R768" s="2" t="inlineStr"/>
    </row>
    <row r="769" ht="15" customHeight="1">
      <c r="A769" t="inlineStr">
        <is>
          <t>A 10647-2023</t>
        </is>
      </c>
      <c r="B769" s="1" t="n">
        <v>44984</v>
      </c>
      <c r="C769" s="1" t="n">
        <v>45931</v>
      </c>
      <c r="D769" t="inlineStr">
        <is>
          <t>VÄSTERBOTTENS LÄN</t>
        </is>
      </c>
      <c r="E769" t="inlineStr">
        <is>
          <t>SKELLEFTEÅ</t>
        </is>
      </c>
      <c r="G769" t="n">
        <v>2.9</v>
      </c>
      <c r="H769" t="n">
        <v>0</v>
      </c>
      <c r="I769" t="n">
        <v>0</v>
      </c>
      <c r="J769" t="n">
        <v>0</v>
      </c>
      <c r="K769" t="n">
        <v>0</v>
      </c>
      <c r="L769" t="n">
        <v>0</v>
      </c>
      <c r="M769" t="n">
        <v>0</v>
      </c>
      <c r="N769" t="n">
        <v>0</v>
      </c>
      <c r="O769" t="n">
        <v>0</v>
      </c>
      <c r="P769" t="n">
        <v>0</v>
      </c>
      <c r="Q769" t="n">
        <v>0</v>
      </c>
      <c r="R769" s="2" t="inlineStr"/>
    </row>
    <row r="770" ht="15" customHeight="1">
      <c r="A770" t="inlineStr">
        <is>
          <t>A 45643-2024</t>
        </is>
      </c>
      <c r="B770" s="1" t="n">
        <v>45579</v>
      </c>
      <c r="C770" s="1" t="n">
        <v>45931</v>
      </c>
      <c r="D770" t="inlineStr">
        <is>
          <t>VÄSTERBOTTENS LÄN</t>
        </is>
      </c>
      <c r="E770" t="inlineStr">
        <is>
          <t>SKELLEFTEÅ</t>
        </is>
      </c>
      <c r="G770" t="n">
        <v>2</v>
      </c>
      <c r="H770" t="n">
        <v>0</v>
      </c>
      <c r="I770" t="n">
        <v>0</v>
      </c>
      <c r="J770" t="n">
        <v>0</v>
      </c>
      <c r="K770" t="n">
        <v>0</v>
      </c>
      <c r="L770" t="n">
        <v>0</v>
      </c>
      <c r="M770" t="n">
        <v>0</v>
      </c>
      <c r="N770" t="n">
        <v>0</v>
      </c>
      <c r="O770" t="n">
        <v>0</v>
      </c>
      <c r="P770" t="n">
        <v>0</v>
      </c>
      <c r="Q770" t="n">
        <v>0</v>
      </c>
      <c r="R770" s="2" t="inlineStr"/>
    </row>
    <row r="771" ht="15" customHeight="1">
      <c r="A771" t="inlineStr">
        <is>
          <t>A 61631-2022</t>
        </is>
      </c>
      <c r="B771" s="1" t="n">
        <v>44916.69783564815</v>
      </c>
      <c r="C771" s="1" t="n">
        <v>45931</v>
      </c>
      <c r="D771" t="inlineStr">
        <is>
          <t>VÄSTERBOTTENS LÄN</t>
        </is>
      </c>
      <c r="E771" t="inlineStr">
        <is>
          <t>SKELLEFTEÅ</t>
        </is>
      </c>
      <c r="G771" t="n">
        <v>2.9</v>
      </c>
      <c r="H771" t="n">
        <v>0</v>
      </c>
      <c r="I771" t="n">
        <v>0</v>
      </c>
      <c r="J771" t="n">
        <v>0</v>
      </c>
      <c r="K771" t="n">
        <v>0</v>
      </c>
      <c r="L771" t="n">
        <v>0</v>
      </c>
      <c r="M771" t="n">
        <v>0</v>
      </c>
      <c r="N771" t="n">
        <v>0</v>
      </c>
      <c r="O771" t="n">
        <v>0</v>
      </c>
      <c r="P771" t="n">
        <v>0</v>
      </c>
      <c r="Q771" t="n">
        <v>0</v>
      </c>
      <c r="R771" s="2" t="inlineStr"/>
    </row>
    <row r="772" ht="15" customHeight="1">
      <c r="A772" t="inlineStr">
        <is>
          <t>A 61635-2022</t>
        </is>
      </c>
      <c r="B772" s="1" t="n">
        <v>44916.71002314815</v>
      </c>
      <c r="C772" s="1" t="n">
        <v>45931</v>
      </c>
      <c r="D772" t="inlineStr">
        <is>
          <t>VÄSTERBOTTENS LÄN</t>
        </is>
      </c>
      <c r="E772" t="inlineStr">
        <is>
          <t>SKELLEFTEÅ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20084-2025</t>
        </is>
      </c>
      <c r="B773" s="1" t="n">
        <v>45772.45416666667</v>
      </c>
      <c r="C773" s="1" t="n">
        <v>45931</v>
      </c>
      <c r="D773" t="inlineStr">
        <is>
          <t>VÄSTERBOTTENS LÄN</t>
        </is>
      </c>
      <c r="E773" t="inlineStr">
        <is>
          <t>SKELLEFTEÅ</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2963-2025</t>
        </is>
      </c>
      <c r="B774" s="1" t="n">
        <v>45678.45770833334</v>
      </c>
      <c r="C774" s="1" t="n">
        <v>45931</v>
      </c>
      <c r="D774" t="inlineStr">
        <is>
          <t>VÄSTERBOTTENS LÄN</t>
        </is>
      </c>
      <c r="E774" t="inlineStr">
        <is>
          <t>SKELLEFTEÅ</t>
        </is>
      </c>
      <c r="F774" t="inlineStr">
        <is>
          <t>Holmen skog AB</t>
        </is>
      </c>
      <c r="G774" t="n">
        <v>1.8</v>
      </c>
      <c r="H774" t="n">
        <v>0</v>
      </c>
      <c r="I774" t="n">
        <v>0</v>
      </c>
      <c r="J774" t="n">
        <v>0</v>
      </c>
      <c r="K774" t="n">
        <v>0</v>
      </c>
      <c r="L774" t="n">
        <v>0</v>
      </c>
      <c r="M774" t="n">
        <v>0</v>
      </c>
      <c r="N774" t="n">
        <v>0</v>
      </c>
      <c r="O774" t="n">
        <v>0</v>
      </c>
      <c r="P774" t="n">
        <v>0</v>
      </c>
      <c r="Q774" t="n">
        <v>0</v>
      </c>
      <c r="R774" s="2" t="inlineStr"/>
    </row>
    <row r="775" ht="15" customHeight="1">
      <c r="A775" t="inlineStr">
        <is>
          <t>A 21836-2024</t>
        </is>
      </c>
      <c r="B775" s="1" t="n">
        <v>45442.93028935185</v>
      </c>
      <c r="C775" s="1" t="n">
        <v>45931</v>
      </c>
      <c r="D775" t="inlineStr">
        <is>
          <t>VÄSTERBOTTENS LÄN</t>
        </is>
      </c>
      <c r="E775" t="inlineStr">
        <is>
          <t>SKELLEFTEÅ</t>
        </is>
      </c>
      <c r="G775" t="n">
        <v>2.4</v>
      </c>
      <c r="H775" t="n">
        <v>0</v>
      </c>
      <c r="I775" t="n">
        <v>0</v>
      </c>
      <c r="J775" t="n">
        <v>0</v>
      </c>
      <c r="K775" t="n">
        <v>0</v>
      </c>
      <c r="L775" t="n">
        <v>0</v>
      </c>
      <c r="M775" t="n">
        <v>0</v>
      </c>
      <c r="N775" t="n">
        <v>0</v>
      </c>
      <c r="O775" t="n">
        <v>0</v>
      </c>
      <c r="P775" t="n">
        <v>0</v>
      </c>
      <c r="Q775" t="n">
        <v>0</v>
      </c>
      <c r="R775" s="2" t="inlineStr"/>
    </row>
    <row r="776" ht="15" customHeight="1">
      <c r="A776" t="inlineStr">
        <is>
          <t>A 27439-2024</t>
        </is>
      </c>
      <c r="B776" s="1" t="n">
        <v>45474</v>
      </c>
      <c r="C776" s="1" t="n">
        <v>45931</v>
      </c>
      <c r="D776" t="inlineStr">
        <is>
          <t>VÄSTERBOTTENS LÄN</t>
        </is>
      </c>
      <c r="E776" t="inlineStr">
        <is>
          <t>SKELLEFTEÅ</t>
        </is>
      </c>
      <c r="G776" t="n">
        <v>3.7</v>
      </c>
      <c r="H776" t="n">
        <v>0</v>
      </c>
      <c r="I776" t="n">
        <v>0</v>
      </c>
      <c r="J776" t="n">
        <v>0</v>
      </c>
      <c r="K776" t="n">
        <v>0</v>
      </c>
      <c r="L776" t="n">
        <v>0</v>
      </c>
      <c r="M776" t="n">
        <v>0</v>
      </c>
      <c r="N776" t="n">
        <v>0</v>
      </c>
      <c r="O776" t="n">
        <v>0</v>
      </c>
      <c r="P776" t="n">
        <v>0</v>
      </c>
      <c r="Q776" t="n">
        <v>0</v>
      </c>
      <c r="R776" s="2" t="inlineStr"/>
    </row>
    <row r="777" ht="15" customHeight="1">
      <c r="A777" t="inlineStr">
        <is>
          <t>A 34670-2023</t>
        </is>
      </c>
      <c r="B777" s="1" t="n">
        <v>45140.83440972222</v>
      </c>
      <c r="C777" s="1" t="n">
        <v>45931</v>
      </c>
      <c r="D777" t="inlineStr">
        <is>
          <t>VÄSTERBOTTENS LÄN</t>
        </is>
      </c>
      <c r="E777" t="inlineStr">
        <is>
          <t>SKELLEFTEÅ</t>
        </is>
      </c>
      <c r="G777" t="n">
        <v>2.2</v>
      </c>
      <c r="H777" t="n">
        <v>0</v>
      </c>
      <c r="I777" t="n">
        <v>0</v>
      </c>
      <c r="J777" t="n">
        <v>0</v>
      </c>
      <c r="K777" t="n">
        <v>0</v>
      </c>
      <c r="L777" t="n">
        <v>0</v>
      </c>
      <c r="M777" t="n">
        <v>0</v>
      </c>
      <c r="N777" t="n">
        <v>0</v>
      </c>
      <c r="O777" t="n">
        <v>0</v>
      </c>
      <c r="P777" t="n">
        <v>0</v>
      </c>
      <c r="Q777" t="n">
        <v>0</v>
      </c>
      <c r="R777" s="2" t="inlineStr"/>
    </row>
    <row r="778" ht="15" customHeight="1">
      <c r="A778" t="inlineStr">
        <is>
          <t>A 34672-2023</t>
        </is>
      </c>
      <c r="B778" s="1" t="n">
        <v>45140.84226851852</v>
      </c>
      <c r="C778" s="1" t="n">
        <v>45931</v>
      </c>
      <c r="D778" t="inlineStr">
        <is>
          <t>VÄSTERBOTTENS LÄN</t>
        </is>
      </c>
      <c r="E778" t="inlineStr">
        <is>
          <t>SKELLEFTEÅ</t>
        </is>
      </c>
      <c r="G778" t="n">
        <v>5.2</v>
      </c>
      <c r="H778" t="n">
        <v>0</v>
      </c>
      <c r="I778" t="n">
        <v>0</v>
      </c>
      <c r="J778" t="n">
        <v>0</v>
      </c>
      <c r="K778" t="n">
        <v>0</v>
      </c>
      <c r="L778" t="n">
        <v>0</v>
      </c>
      <c r="M778" t="n">
        <v>0</v>
      </c>
      <c r="N778" t="n">
        <v>0</v>
      </c>
      <c r="O778" t="n">
        <v>0</v>
      </c>
      <c r="P778" t="n">
        <v>0</v>
      </c>
      <c r="Q778" t="n">
        <v>0</v>
      </c>
      <c r="R778" s="2" t="inlineStr"/>
    </row>
    <row r="779" ht="15" customHeight="1">
      <c r="A779" t="inlineStr">
        <is>
          <t>A 62025-2022</t>
        </is>
      </c>
      <c r="B779" s="1" t="n">
        <v>44914</v>
      </c>
      <c r="C779" s="1" t="n">
        <v>45931</v>
      </c>
      <c r="D779" t="inlineStr">
        <is>
          <t>VÄSTERBOTTENS LÄN</t>
        </is>
      </c>
      <c r="E779" t="inlineStr">
        <is>
          <t>SKELLEFTEÅ</t>
        </is>
      </c>
      <c r="G779" t="n">
        <v>6.9</v>
      </c>
      <c r="H779" t="n">
        <v>0</v>
      </c>
      <c r="I779" t="n">
        <v>0</v>
      </c>
      <c r="J779" t="n">
        <v>0</v>
      </c>
      <c r="K779" t="n">
        <v>0</v>
      </c>
      <c r="L779" t="n">
        <v>0</v>
      </c>
      <c r="M779" t="n">
        <v>0</v>
      </c>
      <c r="N779" t="n">
        <v>0</v>
      </c>
      <c r="O779" t="n">
        <v>0</v>
      </c>
      <c r="P779" t="n">
        <v>0</v>
      </c>
      <c r="Q779" t="n">
        <v>0</v>
      </c>
      <c r="R779" s="2" t="inlineStr"/>
    </row>
    <row r="780" ht="15" customHeight="1">
      <c r="A780" t="inlineStr">
        <is>
          <t>A 62028-2022</t>
        </is>
      </c>
      <c r="B780" s="1" t="n">
        <v>44914</v>
      </c>
      <c r="C780" s="1" t="n">
        <v>45931</v>
      </c>
      <c r="D780" t="inlineStr">
        <is>
          <t>VÄSTERBOTTENS LÄN</t>
        </is>
      </c>
      <c r="E780" t="inlineStr">
        <is>
          <t>SKELLEFTEÅ</t>
        </is>
      </c>
      <c r="G780" t="n">
        <v>4.6</v>
      </c>
      <c r="H780" t="n">
        <v>0</v>
      </c>
      <c r="I780" t="n">
        <v>0</v>
      </c>
      <c r="J780" t="n">
        <v>0</v>
      </c>
      <c r="K780" t="n">
        <v>0</v>
      </c>
      <c r="L780" t="n">
        <v>0</v>
      </c>
      <c r="M780" t="n">
        <v>0</v>
      </c>
      <c r="N780" t="n">
        <v>0</v>
      </c>
      <c r="O780" t="n">
        <v>0</v>
      </c>
      <c r="P780" t="n">
        <v>0</v>
      </c>
      <c r="Q780" t="n">
        <v>0</v>
      </c>
      <c r="R780" s="2" t="inlineStr"/>
    </row>
    <row r="781" ht="15" customHeight="1">
      <c r="A781" t="inlineStr">
        <is>
          <t>A 36379-2024</t>
        </is>
      </c>
      <c r="B781" s="1" t="n">
        <v>45534.6965162037</v>
      </c>
      <c r="C781" s="1" t="n">
        <v>45931</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11707-2023</t>
        </is>
      </c>
      <c r="B782" s="1" t="n">
        <v>44992</v>
      </c>
      <c r="C782" s="1" t="n">
        <v>45931</v>
      </c>
      <c r="D782" t="inlineStr">
        <is>
          <t>VÄSTERBOTTENS LÄN</t>
        </is>
      </c>
      <c r="E782" t="inlineStr">
        <is>
          <t>SKELLEFTEÅ</t>
        </is>
      </c>
      <c r="G782" t="n">
        <v>7.2</v>
      </c>
      <c r="H782" t="n">
        <v>0</v>
      </c>
      <c r="I782" t="n">
        <v>0</v>
      </c>
      <c r="J782" t="n">
        <v>0</v>
      </c>
      <c r="K782" t="n">
        <v>0</v>
      </c>
      <c r="L782" t="n">
        <v>0</v>
      </c>
      <c r="M782" t="n">
        <v>0</v>
      </c>
      <c r="N782" t="n">
        <v>0</v>
      </c>
      <c r="O782" t="n">
        <v>0</v>
      </c>
      <c r="P782" t="n">
        <v>0</v>
      </c>
      <c r="Q782" t="n">
        <v>0</v>
      </c>
      <c r="R782" s="2" t="inlineStr"/>
    </row>
    <row r="783" ht="15" customHeight="1">
      <c r="A783" t="inlineStr">
        <is>
          <t>A 20559-2024</t>
        </is>
      </c>
      <c r="B783" s="1" t="n">
        <v>45436</v>
      </c>
      <c r="C783" s="1" t="n">
        <v>45931</v>
      </c>
      <c r="D783" t="inlineStr">
        <is>
          <t>VÄSTERBOTTENS LÄN</t>
        </is>
      </c>
      <c r="E783" t="inlineStr">
        <is>
          <t>SKELLEFTEÅ</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57197-2021</t>
        </is>
      </c>
      <c r="B784" s="1" t="n">
        <v>44482.92284722222</v>
      </c>
      <c r="C784" s="1" t="n">
        <v>45931</v>
      </c>
      <c r="D784" t="inlineStr">
        <is>
          <t>VÄSTERBOTTENS LÄN</t>
        </is>
      </c>
      <c r="E784" t="inlineStr">
        <is>
          <t>SKELLEFTEÅ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20454-2024</t>
        </is>
      </c>
      <c r="B785" s="1" t="n">
        <v>45435</v>
      </c>
      <c r="C785" s="1" t="n">
        <v>45931</v>
      </c>
      <c r="D785" t="inlineStr">
        <is>
          <t>VÄSTERBOTTENS LÄN</t>
        </is>
      </c>
      <c r="E785" t="inlineStr">
        <is>
          <t>SKELLEFTEÅ</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64006-2023</t>
        </is>
      </c>
      <c r="B786" s="1" t="n">
        <v>45278</v>
      </c>
      <c r="C786" s="1" t="n">
        <v>45931</v>
      </c>
      <c r="D786" t="inlineStr">
        <is>
          <t>VÄSTERBOTTENS LÄN</t>
        </is>
      </c>
      <c r="E786" t="inlineStr">
        <is>
          <t>SKELLEFTEÅ</t>
        </is>
      </c>
      <c r="G786" t="n">
        <v>2.1</v>
      </c>
      <c r="H786" t="n">
        <v>0</v>
      </c>
      <c r="I786" t="n">
        <v>0</v>
      </c>
      <c r="J786" t="n">
        <v>0</v>
      </c>
      <c r="K786" t="n">
        <v>0</v>
      </c>
      <c r="L786" t="n">
        <v>0</v>
      </c>
      <c r="M786" t="n">
        <v>0</v>
      </c>
      <c r="N786" t="n">
        <v>0</v>
      </c>
      <c r="O786" t="n">
        <v>0</v>
      </c>
      <c r="P786" t="n">
        <v>0</v>
      </c>
      <c r="Q786" t="n">
        <v>0</v>
      </c>
      <c r="R786" s="2" t="inlineStr"/>
    </row>
    <row r="787" ht="15" customHeight="1">
      <c r="A787" t="inlineStr">
        <is>
          <t>A 50862-2024</t>
        </is>
      </c>
      <c r="B787" s="1" t="n">
        <v>45602.6346412037</v>
      </c>
      <c r="C787" s="1" t="n">
        <v>45931</v>
      </c>
      <c r="D787" t="inlineStr">
        <is>
          <t>VÄSTERBOTTENS LÄN</t>
        </is>
      </c>
      <c r="E787" t="inlineStr">
        <is>
          <t>SKELLEFTEÅ</t>
        </is>
      </c>
      <c r="F787" t="inlineStr">
        <is>
          <t>Holmen skog AB</t>
        </is>
      </c>
      <c r="G787" t="n">
        <v>3</v>
      </c>
      <c r="H787" t="n">
        <v>0</v>
      </c>
      <c r="I787" t="n">
        <v>0</v>
      </c>
      <c r="J787" t="n">
        <v>0</v>
      </c>
      <c r="K787" t="n">
        <v>0</v>
      </c>
      <c r="L787" t="n">
        <v>0</v>
      </c>
      <c r="M787" t="n">
        <v>0</v>
      </c>
      <c r="N787" t="n">
        <v>0</v>
      </c>
      <c r="O787" t="n">
        <v>0</v>
      </c>
      <c r="P787" t="n">
        <v>0</v>
      </c>
      <c r="Q787" t="n">
        <v>0</v>
      </c>
      <c r="R787" s="2" t="inlineStr"/>
    </row>
    <row r="788" ht="15" customHeight="1">
      <c r="A788" t="inlineStr">
        <is>
          <t>A 58775-2024</t>
        </is>
      </c>
      <c r="B788" s="1" t="n">
        <v>45635.80533564815</v>
      </c>
      <c r="C788" s="1" t="n">
        <v>45931</v>
      </c>
      <c r="D788" t="inlineStr">
        <is>
          <t>VÄSTERBOTTENS LÄN</t>
        </is>
      </c>
      <c r="E788" t="inlineStr">
        <is>
          <t>SKELLEFTEÅ</t>
        </is>
      </c>
      <c r="F788" t="inlineStr">
        <is>
          <t>Sveaskog</t>
        </is>
      </c>
      <c r="G788" t="n">
        <v>3.9</v>
      </c>
      <c r="H788" t="n">
        <v>0</v>
      </c>
      <c r="I788" t="n">
        <v>0</v>
      </c>
      <c r="J788" t="n">
        <v>0</v>
      </c>
      <c r="K788" t="n">
        <v>0</v>
      </c>
      <c r="L788" t="n">
        <v>0</v>
      </c>
      <c r="M788" t="n">
        <v>0</v>
      </c>
      <c r="N788" t="n">
        <v>0</v>
      </c>
      <c r="O788" t="n">
        <v>0</v>
      </c>
      <c r="P788" t="n">
        <v>0</v>
      </c>
      <c r="Q788" t="n">
        <v>0</v>
      </c>
      <c r="R788" s="2" t="inlineStr"/>
    </row>
    <row r="789" ht="15" customHeight="1">
      <c r="A789" t="inlineStr">
        <is>
          <t>A 59664-2022</t>
        </is>
      </c>
      <c r="B789" s="1" t="n">
        <v>44908.33321759259</v>
      </c>
      <c r="C789" s="1" t="n">
        <v>45931</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35135-2024</t>
        </is>
      </c>
      <c r="B790" s="1" t="n">
        <v>45530.34371527778</v>
      </c>
      <c r="C790" s="1" t="n">
        <v>45931</v>
      </c>
      <c r="D790" t="inlineStr">
        <is>
          <t>VÄSTERBOTTENS LÄN</t>
        </is>
      </c>
      <c r="E790" t="inlineStr">
        <is>
          <t>SKELLEFTEÅ</t>
        </is>
      </c>
      <c r="G790" t="n">
        <v>5</v>
      </c>
      <c r="H790" t="n">
        <v>0</v>
      </c>
      <c r="I790" t="n">
        <v>0</v>
      </c>
      <c r="J790" t="n">
        <v>0</v>
      </c>
      <c r="K790" t="n">
        <v>0</v>
      </c>
      <c r="L790" t="n">
        <v>0</v>
      </c>
      <c r="M790" t="n">
        <v>0</v>
      </c>
      <c r="N790" t="n">
        <v>0</v>
      </c>
      <c r="O790" t="n">
        <v>0</v>
      </c>
      <c r="P790" t="n">
        <v>0</v>
      </c>
      <c r="Q790" t="n">
        <v>0</v>
      </c>
      <c r="R790" s="2" t="inlineStr"/>
    </row>
    <row r="791" ht="15" customHeight="1">
      <c r="A791" t="inlineStr">
        <is>
          <t>A 46108-2024</t>
        </is>
      </c>
      <c r="B791" s="1" t="n">
        <v>45581</v>
      </c>
      <c r="C791" s="1" t="n">
        <v>45931</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36513-2024</t>
        </is>
      </c>
      <c r="B792" s="1" t="n">
        <v>45537.42751157407</v>
      </c>
      <c r="C792" s="1" t="n">
        <v>45931</v>
      </c>
      <c r="D792" t="inlineStr">
        <is>
          <t>VÄSTERBOTTENS LÄN</t>
        </is>
      </c>
      <c r="E792" t="inlineStr">
        <is>
          <t>SKELLEFTEÅ</t>
        </is>
      </c>
      <c r="G792" t="n">
        <v>24</v>
      </c>
      <c r="H792" t="n">
        <v>0</v>
      </c>
      <c r="I792" t="n">
        <v>0</v>
      </c>
      <c r="J792" t="n">
        <v>0</v>
      </c>
      <c r="K792" t="n">
        <v>0</v>
      </c>
      <c r="L792" t="n">
        <v>0</v>
      </c>
      <c r="M792" t="n">
        <v>0</v>
      </c>
      <c r="N792" t="n">
        <v>0</v>
      </c>
      <c r="O792" t="n">
        <v>0</v>
      </c>
      <c r="P792" t="n">
        <v>0</v>
      </c>
      <c r="Q792" t="n">
        <v>0</v>
      </c>
      <c r="R792" s="2" t="inlineStr"/>
    </row>
    <row r="793" ht="15" customHeight="1">
      <c r="A793" t="inlineStr">
        <is>
          <t>A 13641-2023</t>
        </is>
      </c>
      <c r="B793" s="1" t="n">
        <v>45006</v>
      </c>
      <c r="C793" s="1" t="n">
        <v>45931</v>
      </c>
      <c r="D793" t="inlineStr">
        <is>
          <t>VÄSTERBOTTENS LÄN</t>
        </is>
      </c>
      <c r="E793" t="inlineStr">
        <is>
          <t>SKELLEFTEÅ</t>
        </is>
      </c>
      <c r="G793" t="n">
        <v>6.2</v>
      </c>
      <c r="H793" t="n">
        <v>0</v>
      </c>
      <c r="I793" t="n">
        <v>0</v>
      </c>
      <c r="J793" t="n">
        <v>0</v>
      </c>
      <c r="K793" t="n">
        <v>0</v>
      </c>
      <c r="L793" t="n">
        <v>0</v>
      </c>
      <c r="M793" t="n">
        <v>0</v>
      </c>
      <c r="N793" t="n">
        <v>0</v>
      </c>
      <c r="O793" t="n">
        <v>0</v>
      </c>
      <c r="P793" t="n">
        <v>0</v>
      </c>
      <c r="Q793" t="n">
        <v>0</v>
      </c>
      <c r="R793" s="2" t="inlineStr"/>
    </row>
    <row r="794" ht="15" customHeight="1">
      <c r="A794" t="inlineStr">
        <is>
          <t>A 37499-2024</t>
        </is>
      </c>
      <c r="B794" s="1" t="n">
        <v>45541.36834490741</v>
      </c>
      <c r="C794" s="1" t="n">
        <v>45931</v>
      </c>
      <c r="D794" t="inlineStr">
        <is>
          <t>VÄSTERBOTTENS LÄN</t>
        </is>
      </c>
      <c r="E794" t="inlineStr">
        <is>
          <t>SKELLEFTEÅ</t>
        </is>
      </c>
      <c r="F794" t="inlineStr">
        <is>
          <t>Holmen skog AB</t>
        </is>
      </c>
      <c r="G794" t="n">
        <v>2.4</v>
      </c>
      <c r="H794" t="n">
        <v>0</v>
      </c>
      <c r="I794" t="n">
        <v>0</v>
      </c>
      <c r="J794" t="n">
        <v>0</v>
      </c>
      <c r="K794" t="n">
        <v>0</v>
      </c>
      <c r="L794" t="n">
        <v>0</v>
      </c>
      <c r="M794" t="n">
        <v>0</v>
      </c>
      <c r="N794" t="n">
        <v>0</v>
      </c>
      <c r="O794" t="n">
        <v>0</v>
      </c>
      <c r="P794" t="n">
        <v>0</v>
      </c>
      <c r="Q794" t="n">
        <v>0</v>
      </c>
      <c r="R794" s="2" t="inlineStr"/>
    </row>
    <row r="795" ht="15" customHeight="1">
      <c r="A795" t="inlineStr">
        <is>
          <t>A 19779-2025</t>
        </is>
      </c>
      <c r="B795" s="1" t="n">
        <v>45771.42736111111</v>
      </c>
      <c r="C795" s="1" t="n">
        <v>45931</v>
      </c>
      <c r="D795" t="inlineStr">
        <is>
          <t>VÄSTERBOTTENS LÄN</t>
        </is>
      </c>
      <c r="E795" t="inlineStr">
        <is>
          <t>SKELLEFTEÅ</t>
        </is>
      </c>
      <c r="G795" t="n">
        <v>7.8</v>
      </c>
      <c r="H795" t="n">
        <v>0</v>
      </c>
      <c r="I795" t="n">
        <v>0</v>
      </c>
      <c r="J795" t="n">
        <v>0</v>
      </c>
      <c r="K795" t="n">
        <v>0</v>
      </c>
      <c r="L795" t="n">
        <v>0</v>
      </c>
      <c r="M795" t="n">
        <v>0</v>
      </c>
      <c r="N795" t="n">
        <v>0</v>
      </c>
      <c r="O795" t="n">
        <v>0</v>
      </c>
      <c r="P795" t="n">
        <v>0</v>
      </c>
      <c r="Q795" t="n">
        <v>0</v>
      </c>
      <c r="R795" s="2" t="inlineStr"/>
    </row>
    <row r="796" ht="15" customHeight="1">
      <c r="A796" t="inlineStr">
        <is>
          <t>A 57131-2024</t>
        </is>
      </c>
      <c r="B796" s="1" t="n">
        <v>45629.38340277778</v>
      </c>
      <c r="C796" s="1" t="n">
        <v>45931</v>
      </c>
      <c r="D796" t="inlineStr">
        <is>
          <t>VÄSTERBOTTENS LÄN</t>
        </is>
      </c>
      <c r="E796" t="inlineStr">
        <is>
          <t>SKELLEFTEÅ</t>
        </is>
      </c>
      <c r="F796" t="inlineStr">
        <is>
          <t>Holmen skog AB</t>
        </is>
      </c>
      <c r="G796" t="n">
        <v>5.9</v>
      </c>
      <c r="H796" t="n">
        <v>0</v>
      </c>
      <c r="I796" t="n">
        <v>0</v>
      </c>
      <c r="J796" t="n">
        <v>0</v>
      </c>
      <c r="K796" t="n">
        <v>0</v>
      </c>
      <c r="L796" t="n">
        <v>0</v>
      </c>
      <c r="M796" t="n">
        <v>0</v>
      </c>
      <c r="N796" t="n">
        <v>0</v>
      </c>
      <c r="O796" t="n">
        <v>0</v>
      </c>
      <c r="P796" t="n">
        <v>0</v>
      </c>
      <c r="Q796" t="n">
        <v>0</v>
      </c>
      <c r="R796" s="2" t="inlineStr"/>
    </row>
    <row r="797" ht="15" customHeight="1">
      <c r="A797" t="inlineStr">
        <is>
          <t>A 19107-2025</t>
        </is>
      </c>
      <c r="B797" s="1" t="n">
        <v>45768.37873842593</v>
      </c>
      <c r="C797" s="1" t="n">
        <v>45931</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51654-2020</t>
        </is>
      </c>
      <c r="B798" s="1" t="n">
        <v>44109</v>
      </c>
      <c r="C798" s="1" t="n">
        <v>45931</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43701-2024</t>
        </is>
      </c>
      <c r="B799" s="1" t="n">
        <v>45569</v>
      </c>
      <c r="C799" s="1" t="n">
        <v>45931</v>
      </c>
      <c r="D799" t="inlineStr">
        <is>
          <t>VÄSTERBOTTENS LÄN</t>
        </is>
      </c>
      <c r="E799" t="inlineStr">
        <is>
          <t>SKELLEFTEÅ</t>
        </is>
      </c>
      <c r="F799" t="inlineStr">
        <is>
          <t>Kommuner</t>
        </is>
      </c>
      <c r="G799" t="n">
        <v>2.8</v>
      </c>
      <c r="H799" t="n">
        <v>0</v>
      </c>
      <c r="I799" t="n">
        <v>0</v>
      </c>
      <c r="J799" t="n">
        <v>0</v>
      </c>
      <c r="K799" t="n">
        <v>0</v>
      </c>
      <c r="L799" t="n">
        <v>0</v>
      </c>
      <c r="M799" t="n">
        <v>0</v>
      </c>
      <c r="N799" t="n">
        <v>0</v>
      </c>
      <c r="O799" t="n">
        <v>0</v>
      </c>
      <c r="P799" t="n">
        <v>0</v>
      </c>
      <c r="Q799" t="n">
        <v>0</v>
      </c>
      <c r="R799" s="2" t="inlineStr"/>
    </row>
    <row r="800" ht="15" customHeight="1">
      <c r="A800" t="inlineStr">
        <is>
          <t>A 22044-2024</t>
        </is>
      </c>
      <c r="B800" s="1" t="n">
        <v>45443</v>
      </c>
      <c r="C800" s="1" t="n">
        <v>45931</v>
      </c>
      <c r="D800" t="inlineStr">
        <is>
          <t>VÄSTERBOTTENS LÄN</t>
        </is>
      </c>
      <c r="E800" t="inlineStr">
        <is>
          <t>SKELLEFTEÅ</t>
        </is>
      </c>
      <c r="F800" t="inlineStr">
        <is>
          <t>Holmen skog AB</t>
        </is>
      </c>
      <c r="G800" t="n">
        <v>2.9</v>
      </c>
      <c r="H800" t="n">
        <v>0</v>
      </c>
      <c r="I800" t="n">
        <v>0</v>
      </c>
      <c r="J800" t="n">
        <v>0</v>
      </c>
      <c r="K800" t="n">
        <v>0</v>
      </c>
      <c r="L800" t="n">
        <v>0</v>
      </c>
      <c r="M800" t="n">
        <v>0</v>
      </c>
      <c r="N800" t="n">
        <v>0</v>
      </c>
      <c r="O800" t="n">
        <v>0</v>
      </c>
      <c r="P800" t="n">
        <v>0</v>
      </c>
      <c r="Q800" t="n">
        <v>0</v>
      </c>
      <c r="R800" s="2" t="inlineStr"/>
    </row>
    <row r="801" ht="15" customHeight="1">
      <c r="A801" t="inlineStr">
        <is>
          <t>A 671-2024</t>
        </is>
      </c>
      <c r="B801" s="1" t="n">
        <v>45299</v>
      </c>
      <c r="C801" s="1" t="n">
        <v>45931</v>
      </c>
      <c r="D801" t="inlineStr">
        <is>
          <t>VÄSTERBOTTENS LÄN</t>
        </is>
      </c>
      <c r="E801" t="inlineStr">
        <is>
          <t>SKELLEFTEÅ</t>
        </is>
      </c>
      <c r="G801" t="n">
        <v>0.9</v>
      </c>
      <c r="H801" t="n">
        <v>0</v>
      </c>
      <c r="I801" t="n">
        <v>0</v>
      </c>
      <c r="J801" t="n">
        <v>0</v>
      </c>
      <c r="K801" t="n">
        <v>0</v>
      </c>
      <c r="L801" t="n">
        <v>0</v>
      </c>
      <c r="M801" t="n">
        <v>0</v>
      </c>
      <c r="N801" t="n">
        <v>0</v>
      </c>
      <c r="O801" t="n">
        <v>0</v>
      </c>
      <c r="P801" t="n">
        <v>0</v>
      </c>
      <c r="Q801" t="n">
        <v>0</v>
      </c>
      <c r="R801" s="2" t="inlineStr"/>
    </row>
    <row r="802" ht="15" customHeight="1">
      <c r="A802" t="inlineStr">
        <is>
          <t>A 26690-2023</t>
        </is>
      </c>
      <c r="B802" s="1" t="n">
        <v>45093</v>
      </c>
      <c r="C802" s="1" t="n">
        <v>45931</v>
      </c>
      <c r="D802" t="inlineStr">
        <is>
          <t>VÄSTERBOTTENS LÄN</t>
        </is>
      </c>
      <c r="E802" t="inlineStr">
        <is>
          <t>SKELLEFTEÅ</t>
        </is>
      </c>
      <c r="F802" t="inlineStr">
        <is>
          <t>Kyrkan</t>
        </is>
      </c>
      <c r="G802" t="n">
        <v>7.5</v>
      </c>
      <c r="H802" t="n">
        <v>0</v>
      </c>
      <c r="I802" t="n">
        <v>0</v>
      </c>
      <c r="J802" t="n">
        <v>0</v>
      </c>
      <c r="K802" t="n">
        <v>0</v>
      </c>
      <c r="L802" t="n">
        <v>0</v>
      </c>
      <c r="M802" t="n">
        <v>0</v>
      </c>
      <c r="N802" t="n">
        <v>0</v>
      </c>
      <c r="O802" t="n">
        <v>0</v>
      </c>
      <c r="P802" t="n">
        <v>0</v>
      </c>
      <c r="Q802" t="n">
        <v>0</v>
      </c>
      <c r="R802" s="2" t="inlineStr"/>
    </row>
    <row r="803" ht="15" customHeight="1">
      <c r="A803" t="inlineStr">
        <is>
          <t>A 35881-2024</t>
        </is>
      </c>
      <c r="B803" s="1" t="n">
        <v>45533.35347222222</v>
      </c>
      <c r="C803" s="1" t="n">
        <v>45931</v>
      </c>
      <c r="D803" t="inlineStr">
        <is>
          <t>VÄSTERBOTTENS LÄN</t>
        </is>
      </c>
      <c r="E803" t="inlineStr">
        <is>
          <t>SKELLEFTEÅ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8442-2025</t>
        </is>
      </c>
      <c r="B804" s="1" t="n">
        <v>45709.44940972222</v>
      </c>
      <c r="C804" s="1" t="n">
        <v>45931</v>
      </c>
      <c r="D804" t="inlineStr">
        <is>
          <t>VÄSTERBOTTENS LÄN</t>
        </is>
      </c>
      <c r="E804" t="inlineStr">
        <is>
          <t>SKELLEFTEÅ</t>
        </is>
      </c>
      <c r="G804" t="n">
        <v>4.7</v>
      </c>
      <c r="H804" t="n">
        <v>0</v>
      </c>
      <c r="I804" t="n">
        <v>0</v>
      </c>
      <c r="J804" t="n">
        <v>0</v>
      </c>
      <c r="K804" t="n">
        <v>0</v>
      </c>
      <c r="L804" t="n">
        <v>0</v>
      </c>
      <c r="M804" t="n">
        <v>0</v>
      </c>
      <c r="N804" t="n">
        <v>0</v>
      </c>
      <c r="O804" t="n">
        <v>0</v>
      </c>
      <c r="P804" t="n">
        <v>0</v>
      </c>
      <c r="Q804" t="n">
        <v>0</v>
      </c>
      <c r="R804" s="2" t="inlineStr"/>
    </row>
    <row r="805" ht="15" customHeight="1">
      <c r="A805" t="inlineStr">
        <is>
          <t>A 45039-2023</t>
        </is>
      </c>
      <c r="B805" s="1" t="n">
        <v>45191.32686342593</v>
      </c>
      <c r="C805" s="1" t="n">
        <v>45931</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34580-2024</t>
        </is>
      </c>
      <c r="B806" s="1" t="n">
        <v>45526</v>
      </c>
      <c r="C806" s="1" t="n">
        <v>45931</v>
      </c>
      <c r="D806" t="inlineStr">
        <is>
          <t>VÄSTERBOTTENS LÄN</t>
        </is>
      </c>
      <c r="E806" t="inlineStr">
        <is>
          <t>SKELLEFTEÅ</t>
        </is>
      </c>
      <c r="G806" t="n">
        <v>13</v>
      </c>
      <c r="H806" t="n">
        <v>0</v>
      </c>
      <c r="I806" t="n">
        <v>0</v>
      </c>
      <c r="J806" t="n">
        <v>0</v>
      </c>
      <c r="K806" t="n">
        <v>0</v>
      </c>
      <c r="L806" t="n">
        <v>0</v>
      </c>
      <c r="M806" t="n">
        <v>0</v>
      </c>
      <c r="N806" t="n">
        <v>0</v>
      </c>
      <c r="O806" t="n">
        <v>0</v>
      </c>
      <c r="P806" t="n">
        <v>0</v>
      </c>
      <c r="Q806" t="n">
        <v>0</v>
      </c>
      <c r="R806" s="2" t="inlineStr"/>
    </row>
    <row r="807" ht="15" customHeight="1">
      <c r="A807" t="inlineStr">
        <is>
          <t>A 4972-2025</t>
        </is>
      </c>
      <c r="B807" s="1" t="n">
        <v>45690.81362268519</v>
      </c>
      <c r="C807" s="1" t="n">
        <v>45931</v>
      </c>
      <c r="D807" t="inlineStr">
        <is>
          <t>VÄSTERBOTTENS LÄN</t>
        </is>
      </c>
      <c r="E807" t="inlineStr">
        <is>
          <t>SKELLEFTEÅ</t>
        </is>
      </c>
      <c r="F807" t="inlineStr">
        <is>
          <t>Sveaskog</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52203-2023</t>
        </is>
      </c>
      <c r="B808" s="1" t="n">
        <v>45224.42537037037</v>
      </c>
      <c r="C808" s="1" t="n">
        <v>45931</v>
      </c>
      <c r="D808" t="inlineStr">
        <is>
          <t>VÄSTERBOTTENS LÄN</t>
        </is>
      </c>
      <c r="E808" t="inlineStr">
        <is>
          <t>SKELLEFTEÅ</t>
        </is>
      </c>
      <c r="F808" t="inlineStr">
        <is>
          <t>Sveaskog</t>
        </is>
      </c>
      <c r="G808" t="n">
        <v>4.1</v>
      </c>
      <c r="H808" t="n">
        <v>0</v>
      </c>
      <c r="I808" t="n">
        <v>0</v>
      </c>
      <c r="J808" t="n">
        <v>0</v>
      </c>
      <c r="K808" t="n">
        <v>0</v>
      </c>
      <c r="L808" t="n">
        <v>0</v>
      </c>
      <c r="M808" t="n">
        <v>0</v>
      </c>
      <c r="N808" t="n">
        <v>0</v>
      </c>
      <c r="O808" t="n">
        <v>0</v>
      </c>
      <c r="P808" t="n">
        <v>0</v>
      </c>
      <c r="Q808" t="n">
        <v>0</v>
      </c>
      <c r="R808" s="2" t="inlineStr"/>
    </row>
    <row r="809" ht="15" customHeight="1">
      <c r="A809" t="inlineStr">
        <is>
          <t>A 38481-2025</t>
        </is>
      </c>
      <c r="B809" s="1" t="n">
        <v>45884.33145833333</v>
      </c>
      <c r="C809" s="1" t="n">
        <v>45931</v>
      </c>
      <c r="D809" t="inlineStr">
        <is>
          <t>VÄSTERBOTTENS LÄN</t>
        </is>
      </c>
      <c r="E809" t="inlineStr">
        <is>
          <t>SKELLEFTEÅ</t>
        </is>
      </c>
      <c r="F809" t="inlineStr">
        <is>
          <t>Holmen skog AB</t>
        </is>
      </c>
      <c r="G809" t="n">
        <v>4.2</v>
      </c>
      <c r="H809" t="n">
        <v>0</v>
      </c>
      <c r="I809" t="n">
        <v>0</v>
      </c>
      <c r="J809" t="n">
        <v>0</v>
      </c>
      <c r="K809" t="n">
        <v>0</v>
      </c>
      <c r="L809" t="n">
        <v>0</v>
      </c>
      <c r="M809" t="n">
        <v>0</v>
      </c>
      <c r="N809" t="n">
        <v>0</v>
      </c>
      <c r="O809" t="n">
        <v>0</v>
      </c>
      <c r="P809" t="n">
        <v>0</v>
      </c>
      <c r="Q809" t="n">
        <v>0</v>
      </c>
      <c r="R809" s="2" t="inlineStr"/>
    </row>
    <row r="810" ht="15" customHeight="1">
      <c r="A810" t="inlineStr">
        <is>
          <t>A 30786-2023</t>
        </is>
      </c>
      <c r="B810" s="1" t="n">
        <v>45112</v>
      </c>
      <c r="C810" s="1" t="n">
        <v>45931</v>
      </c>
      <c r="D810" t="inlineStr">
        <is>
          <t>VÄSTERBOTTENS LÄN</t>
        </is>
      </c>
      <c r="E810" t="inlineStr">
        <is>
          <t>SKELLEFTEÅ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56995-2022</t>
        </is>
      </c>
      <c r="B811" s="1" t="n">
        <v>44894</v>
      </c>
      <c r="C811" s="1" t="n">
        <v>45931</v>
      </c>
      <c r="D811" t="inlineStr">
        <is>
          <t>VÄSTERBOTTENS LÄN</t>
        </is>
      </c>
      <c r="E811" t="inlineStr">
        <is>
          <t>SKELLEFTEÅ</t>
        </is>
      </c>
      <c r="G811" t="n">
        <v>1.9</v>
      </c>
      <c r="H811" t="n">
        <v>0</v>
      </c>
      <c r="I811" t="n">
        <v>0</v>
      </c>
      <c r="J811" t="n">
        <v>0</v>
      </c>
      <c r="K811" t="n">
        <v>0</v>
      </c>
      <c r="L811" t="n">
        <v>0</v>
      </c>
      <c r="M811" t="n">
        <v>0</v>
      </c>
      <c r="N811" t="n">
        <v>0</v>
      </c>
      <c r="O811" t="n">
        <v>0</v>
      </c>
      <c r="P811" t="n">
        <v>0</v>
      </c>
      <c r="Q811" t="n">
        <v>0</v>
      </c>
      <c r="R811" s="2" t="inlineStr"/>
    </row>
    <row r="812" ht="15" customHeight="1">
      <c r="A812" t="inlineStr">
        <is>
          <t>A 47544-2024</t>
        </is>
      </c>
      <c r="B812" s="1" t="n">
        <v>45587</v>
      </c>
      <c r="C812" s="1" t="n">
        <v>45931</v>
      </c>
      <c r="D812" t="inlineStr">
        <is>
          <t>VÄSTERBOTTENS LÄN</t>
        </is>
      </c>
      <c r="E812" t="inlineStr">
        <is>
          <t>SKELLEFTEÅ</t>
        </is>
      </c>
      <c r="G812" t="n">
        <v>0.4</v>
      </c>
      <c r="H812" t="n">
        <v>0</v>
      </c>
      <c r="I812" t="n">
        <v>0</v>
      </c>
      <c r="J812" t="n">
        <v>0</v>
      </c>
      <c r="K812" t="n">
        <v>0</v>
      </c>
      <c r="L812" t="n">
        <v>0</v>
      </c>
      <c r="M812" t="n">
        <v>0</v>
      </c>
      <c r="N812" t="n">
        <v>0</v>
      </c>
      <c r="O812" t="n">
        <v>0</v>
      </c>
      <c r="P812" t="n">
        <v>0</v>
      </c>
      <c r="Q812" t="n">
        <v>0</v>
      </c>
      <c r="R812" s="2" t="inlineStr"/>
    </row>
    <row r="813" ht="15" customHeight="1">
      <c r="A813" t="inlineStr">
        <is>
          <t>A 38690-2025</t>
        </is>
      </c>
      <c r="B813" s="1" t="n">
        <v>45884.67143518518</v>
      </c>
      <c r="C813" s="1" t="n">
        <v>45931</v>
      </c>
      <c r="D813" t="inlineStr">
        <is>
          <t>VÄSTERBOTTENS LÄN</t>
        </is>
      </c>
      <c r="E813" t="inlineStr">
        <is>
          <t>SKELLEFTEÅ</t>
        </is>
      </c>
      <c r="F813" t="inlineStr">
        <is>
          <t>Holmen skog AB</t>
        </is>
      </c>
      <c r="G813" t="n">
        <v>3.3</v>
      </c>
      <c r="H813" t="n">
        <v>0</v>
      </c>
      <c r="I813" t="n">
        <v>0</v>
      </c>
      <c r="J813" t="n">
        <v>0</v>
      </c>
      <c r="K813" t="n">
        <v>0</v>
      </c>
      <c r="L813" t="n">
        <v>0</v>
      </c>
      <c r="M813" t="n">
        <v>0</v>
      </c>
      <c r="N813" t="n">
        <v>0</v>
      </c>
      <c r="O813" t="n">
        <v>0</v>
      </c>
      <c r="P813" t="n">
        <v>0</v>
      </c>
      <c r="Q813" t="n">
        <v>0</v>
      </c>
      <c r="R813" s="2" t="inlineStr"/>
    </row>
    <row r="814" ht="15" customHeight="1">
      <c r="A814" t="inlineStr">
        <is>
          <t>A 31392-2024</t>
        </is>
      </c>
      <c r="B814" s="1" t="n">
        <v>45505.4709375</v>
      </c>
      <c r="C814" s="1" t="n">
        <v>45931</v>
      </c>
      <c r="D814" t="inlineStr">
        <is>
          <t>VÄSTERBOTTENS LÄN</t>
        </is>
      </c>
      <c r="E814" t="inlineStr">
        <is>
          <t>SKELLEFTEÅ</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1955-2025</t>
        </is>
      </c>
      <c r="B815" s="1" t="n">
        <v>45671</v>
      </c>
      <c r="C815" s="1" t="n">
        <v>45931</v>
      </c>
      <c r="D815" t="inlineStr">
        <is>
          <t>VÄSTERBOTTENS LÄN</t>
        </is>
      </c>
      <c r="E815" t="inlineStr">
        <is>
          <t>SKELLEFTEÅ</t>
        </is>
      </c>
      <c r="G815" t="n">
        <v>1.7</v>
      </c>
      <c r="H815" t="n">
        <v>0</v>
      </c>
      <c r="I815" t="n">
        <v>0</v>
      </c>
      <c r="J815" t="n">
        <v>0</v>
      </c>
      <c r="K815" t="n">
        <v>0</v>
      </c>
      <c r="L815" t="n">
        <v>0</v>
      </c>
      <c r="M815" t="n">
        <v>0</v>
      </c>
      <c r="N815" t="n">
        <v>0</v>
      </c>
      <c r="O815" t="n">
        <v>0</v>
      </c>
      <c r="P815" t="n">
        <v>0</v>
      </c>
      <c r="Q815" t="n">
        <v>0</v>
      </c>
      <c r="R815" s="2" t="inlineStr"/>
    </row>
    <row r="816" ht="15" customHeight="1">
      <c r="A816" t="inlineStr">
        <is>
          <t>A 3844-2025</t>
        </is>
      </c>
      <c r="B816" s="1" t="n">
        <v>45683.67905092592</v>
      </c>
      <c r="C816" s="1" t="n">
        <v>45931</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14653-2024</t>
        </is>
      </c>
      <c r="B817" s="1" t="n">
        <v>45397.4034375</v>
      </c>
      <c r="C817" s="1" t="n">
        <v>45931</v>
      </c>
      <c r="D817" t="inlineStr">
        <is>
          <t>VÄSTERBOTTENS LÄN</t>
        </is>
      </c>
      <c r="E817" t="inlineStr">
        <is>
          <t>SKELLEFTEÅ</t>
        </is>
      </c>
      <c r="G817" t="n">
        <v>5.1</v>
      </c>
      <c r="H817" t="n">
        <v>0</v>
      </c>
      <c r="I817" t="n">
        <v>0</v>
      </c>
      <c r="J817" t="n">
        <v>0</v>
      </c>
      <c r="K817" t="n">
        <v>0</v>
      </c>
      <c r="L817" t="n">
        <v>0</v>
      </c>
      <c r="M817" t="n">
        <v>0</v>
      </c>
      <c r="N817" t="n">
        <v>0</v>
      </c>
      <c r="O817" t="n">
        <v>0</v>
      </c>
      <c r="P817" t="n">
        <v>0</v>
      </c>
      <c r="Q817" t="n">
        <v>0</v>
      </c>
      <c r="R817" s="2" t="inlineStr"/>
    </row>
    <row r="818" ht="15" customHeight="1">
      <c r="A818" t="inlineStr">
        <is>
          <t>A 28433-2023</t>
        </is>
      </c>
      <c r="B818" s="1" t="n">
        <v>45102.60045138889</v>
      </c>
      <c r="C818" s="1" t="n">
        <v>45931</v>
      </c>
      <c r="D818" t="inlineStr">
        <is>
          <t>VÄSTERBOTTENS LÄN</t>
        </is>
      </c>
      <c r="E818" t="inlineStr">
        <is>
          <t>SKELLEFTEÅ</t>
        </is>
      </c>
      <c r="G818" t="n">
        <v>2</v>
      </c>
      <c r="H818" t="n">
        <v>0</v>
      </c>
      <c r="I818" t="n">
        <v>0</v>
      </c>
      <c r="J818" t="n">
        <v>0</v>
      </c>
      <c r="K818" t="n">
        <v>0</v>
      </c>
      <c r="L818" t="n">
        <v>0</v>
      </c>
      <c r="M818" t="n">
        <v>0</v>
      </c>
      <c r="N818" t="n">
        <v>0</v>
      </c>
      <c r="O818" t="n">
        <v>0</v>
      </c>
      <c r="P818" t="n">
        <v>0</v>
      </c>
      <c r="Q818" t="n">
        <v>0</v>
      </c>
      <c r="R818" s="2" t="inlineStr"/>
    </row>
    <row r="819" ht="15" customHeight="1">
      <c r="A819" t="inlineStr">
        <is>
          <t>A 53092-2022</t>
        </is>
      </c>
      <c r="B819" s="1" t="n">
        <v>44876.4028125</v>
      </c>
      <c r="C819" s="1" t="n">
        <v>45931</v>
      </c>
      <c r="D819" t="inlineStr">
        <is>
          <t>VÄSTERBOTTENS LÄN</t>
        </is>
      </c>
      <c r="E819" t="inlineStr">
        <is>
          <t>SKELLEFTEÅ</t>
        </is>
      </c>
      <c r="G819" t="n">
        <v>3.9</v>
      </c>
      <c r="H819" t="n">
        <v>0</v>
      </c>
      <c r="I819" t="n">
        <v>0</v>
      </c>
      <c r="J819" t="n">
        <v>0</v>
      </c>
      <c r="K819" t="n">
        <v>0</v>
      </c>
      <c r="L819" t="n">
        <v>0</v>
      </c>
      <c r="M819" t="n">
        <v>0</v>
      </c>
      <c r="N819" t="n">
        <v>0</v>
      </c>
      <c r="O819" t="n">
        <v>0</v>
      </c>
      <c r="P819" t="n">
        <v>0</v>
      </c>
      <c r="Q819" t="n">
        <v>0</v>
      </c>
      <c r="R819" s="2" t="inlineStr"/>
    </row>
    <row r="820" ht="15" customHeight="1">
      <c r="A820" t="inlineStr">
        <is>
          <t>A 4510-2025</t>
        </is>
      </c>
      <c r="B820" s="1" t="n">
        <v>45686</v>
      </c>
      <c r="C820" s="1" t="n">
        <v>45931</v>
      </c>
      <c r="D820" t="inlineStr">
        <is>
          <t>VÄSTERBOTTENS LÄN</t>
        </is>
      </c>
      <c r="E820" t="inlineStr">
        <is>
          <t>SKELLEFTEÅ</t>
        </is>
      </c>
      <c r="G820" t="n">
        <v>0.8</v>
      </c>
      <c r="H820" t="n">
        <v>0</v>
      </c>
      <c r="I820" t="n">
        <v>0</v>
      </c>
      <c r="J820" t="n">
        <v>0</v>
      </c>
      <c r="K820" t="n">
        <v>0</v>
      </c>
      <c r="L820" t="n">
        <v>0</v>
      </c>
      <c r="M820" t="n">
        <v>0</v>
      </c>
      <c r="N820" t="n">
        <v>0</v>
      </c>
      <c r="O820" t="n">
        <v>0</v>
      </c>
      <c r="P820" t="n">
        <v>0</v>
      </c>
      <c r="Q820" t="n">
        <v>0</v>
      </c>
      <c r="R820" s="2" t="inlineStr"/>
    </row>
    <row r="821" ht="15" customHeight="1">
      <c r="A821" t="inlineStr">
        <is>
          <t>A 23925-2024</t>
        </is>
      </c>
      <c r="B821" s="1" t="n">
        <v>45455.93157407407</v>
      </c>
      <c r="C821" s="1" t="n">
        <v>45931</v>
      </c>
      <c r="D821" t="inlineStr">
        <is>
          <t>VÄSTERBOTTENS LÄN</t>
        </is>
      </c>
      <c r="E821" t="inlineStr">
        <is>
          <t>SKELLEFTEÅ</t>
        </is>
      </c>
      <c r="G821" t="n">
        <v>6.8</v>
      </c>
      <c r="H821" t="n">
        <v>0</v>
      </c>
      <c r="I821" t="n">
        <v>0</v>
      </c>
      <c r="J821" t="n">
        <v>0</v>
      </c>
      <c r="K821" t="n">
        <v>0</v>
      </c>
      <c r="L821" t="n">
        <v>0</v>
      </c>
      <c r="M821" t="n">
        <v>0</v>
      </c>
      <c r="N821" t="n">
        <v>0</v>
      </c>
      <c r="O821" t="n">
        <v>0</v>
      </c>
      <c r="P821" t="n">
        <v>0</v>
      </c>
      <c r="Q821" t="n">
        <v>0</v>
      </c>
      <c r="R821" s="2" t="inlineStr"/>
    </row>
    <row r="822" ht="15" customHeight="1">
      <c r="A822" t="inlineStr">
        <is>
          <t>A 38616-2024</t>
        </is>
      </c>
      <c r="B822" s="1" t="n">
        <v>45546.70543981482</v>
      </c>
      <c r="C822" s="1" t="n">
        <v>45931</v>
      </c>
      <c r="D822" t="inlineStr">
        <is>
          <t>VÄSTERBOTTENS LÄN</t>
        </is>
      </c>
      <c r="E822" t="inlineStr">
        <is>
          <t>SKELLEFTEÅ</t>
        </is>
      </c>
      <c r="F822" t="inlineStr">
        <is>
          <t>Holmen skog AB</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52871-2022</t>
        </is>
      </c>
      <c r="B823" s="1" t="n">
        <v>44872</v>
      </c>
      <c r="C823" s="1" t="n">
        <v>45931</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59404-2023</t>
        </is>
      </c>
      <c r="B824" s="1" t="n">
        <v>45253.9267824074</v>
      </c>
      <c r="C824" s="1" t="n">
        <v>45931</v>
      </c>
      <c r="D824" t="inlineStr">
        <is>
          <t>VÄSTERBOTTENS LÄN</t>
        </is>
      </c>
      <c r="E824" t="inlineStr">
        <is>
          <t>SKELLEFTEÅ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59405-2023</t>
        </is>
      </c>
      <c r="B825" s="1" t="n">
        <v>45253.9268287037</v>
      </c>
      <c r="C825" s="1" t="n">
        <v>45931</v>
      </c>
      <c r="D825" t="inlineStr">
        <is>
          <t>VÄSTERBOTTENS LÄN</t>
        </is>
      </c>
      <c r="E825" t="inlineStr">
        <is>
          <t>SKELLEFTEÅ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34063-2023</t>
        </is>
      </c>
      <c r="B826" s="1" t="n">
        <v>45135.4729050926</v>
      </c>
      <c r="C826" s="1" t="n">
        <v>45931</v>
      </c>
      <c r="D826" t="inlineStr">
        <is>
          <t>VÄSTERBOTTENS LÄN</t>
        </is>
      </c>
      <c r="E826" t="inlineStr">
        <is>
          <t>SKELLEFTEÅ</t>
        </is>
      </c>
      <c r="F826" t="inlineStr">
        <is>
          <t>Holmen skog AB</t>
        </is>
      </c>
      <c r="G826" t="n">
        <v>9.5</v>
      </c>
      <c r="H826" t="n">
        <v>0</v>
      </c>
      <c r="I826" t="n">
        <v>0</v>
      </c>
      <c r="J826" t="n">
        <v>0</v>
      </c>
      <c r="K826" t="n">
        <v>0</v>
      </c>
      <c r="L826" t="n">
        <v>0</v>
      </c>
      <c r="M826" t="n">
        <v>0</v>
      </c>
      <c r="N826" t="n">
        <v>0</v>
      </c>
      <c r="O826" t="n">
        <v>0</v>
      </c>
      <c r="P826" t="n">
        <v>0</v>
      </c>
      <c r="Q826" t="n">
        <v>0</v>
      </c>
      <c r="R826" s="2" t="inlineStr"/>
    </row>
    <row r="827" ht="15" customHeight="1">
      <c r="A827" t="inlineStr">
        <is>
          <t>A 52714-2020</t>
        </is>
      </c>
      <c r="B827" s="1" t="n">
        <v>44119</v>
      </c>
      <c r="C827" s="1" t="n">
        <v>45931</v>
      </c>
      <c r="D827" t="inlineStr">
        <is>
          <t>VÄSTERBOTTENS LÄN</t>
        </is>
      </c>
      <c r="E827" t="inlineStr">
        <is>
          <t>SKELLEFTEÅ</t>
        </is>
      </c>
      <c r="F827" t="inlineStr">
        <is>
          <t>Holmen skog AB</t>
        </is>
      </c>
      <c r="G827" t="n">
        <v>4.6</v>
      </c>
      <c r="H827" t="n">
        <v>0</v>
      </c>
      <c r="I827" t="n">
        <v>0</v>
      </c>
      <c r="J827" t="n">
        <v>0</v>
      </c>
      <c r="K827" t="n">
        <v>0</v>
      </c>
      <c r="L827" t="n">
        <v>0</v>
      </c>
      <c r="M827" t="n">
        <v>0</v>
      </c>
      <c r="N827" t="n">
        <v>0</v>
      </c>
      <c r="O827" t="n">
        <v>0</v>
      </c>
      <c r="P827" t="n">
        <v>0</v>
      </c>
      <c r="Q827" t="n">
        <v>0</v>
      </c>
      <c r="R827" s="2" t="inlineStr"/>
    </row>
    <row r="828" ht="15" customHeight="1">
      <c r="A828" t="inlineStr">
        <is>
          <t>A 47155-2023</t>
        </is>
      </c>
      <c r="B828" s="1" t="n">
        <v>45201.92517361111</v>
      </c>
      <c r="C828" s="1" t="n">
        <v>45931</v>
      </c>
      <c r="D828" t="inlineStr">
        <is>
          <t>VÄSTERBOTTENS LÄN</t>
        </is>
      </c>
      <c r="E828" t="inlineStr">
        <is>
          <t>SKELLEFTEÅ</t>
        </is>
      </c>
      <c r="G828" t="n">
        <v>3.1</v>
      </c>
      <c r="H828" t="n">
        <v>0</v>
      </c>
      <c r="I828" t="n">
        <v>0</v>
      </c>
      <c r="J828" t="n">
        <v>0</v>
      </c>
      <c r="K828" t="n">
        <v>0</v>
      </c>
      <c r="L828" t="n">
        <v>0</v>
      </c>
      <c r="M828" t="n">
        <v>0</v>
      </c>
      <c r="N828" t="n">
        <v>0</v>
      </c>
      <c r="O828" t="n">
        <v>0</v>
      </c>
      <c r="P828" t="n">
        <v>0</v>
      </c>
      <c r="Q828" t="n">
        <v>0</v>
      </c>
      <c r="R828" s="2" t="inlineStr"/>
    </row>
    <row r="829" ht="15" customHeight="1">
      <c r="A829" t="inlineStr">
        <is>
          <t>A 15593-2023</t>
        </is>
      </c>
      <c r="B829" s="1" t="n">
        <v>45019</v>
      </c>
      <c r="C829" s="1" t="n">
        <v>45931</v>
      </c>
      <c r="D829" t="inlineStr">
        <is>
          <t>VÄSTERBOTTENS LÄN</t>
        </is>
      </c>
      <c r="E829" t="inlineStr">
        <is>
          <t>SKELLEFTEÅ</t>
        </is>
      </c>
      <c r="G829" t="n">
        <v>6.3</v>
      </c>
      <c r="H829" t="n">
        <v>0</v>
      </c>
      <c r="I829" t="n">
        <v>0</v>
      </c>
      <c r="J829" t="n">
        <v>0</v>
      </c>
      <c r="K829" t="n">
        <v>0</v>
      </c>
      <c r="L829" t="n">
        <v>0</v>
      </c>
      <c r="M829" t="n">
        <v>0</v>
      </c>
      <c r="N829" t="n">
        <v>0</v>
      </c>
      <c r="O829" t="n">
        <v>0</v>
      </c>
      <c r="P829" t="n">
        <v>0</v>
      </c>
      <c r="Q829" t="n">
        <v>0</v>
      </c>
      <c r="R829" s="2" t="inlineStr"/>
    </row>
    <row r="830" ht="15" customHeight="1">
      <c r="A830" t="inlineStr">
        <is>
          <t>A 22796-2024</t>
        </is>
      </c>
      <c r="B830" s="1" t="n">
        <v>45448</v>
      </c>
      <c r="C830" s="1" t="n">
        <v>45931</v>
      </c>
      <c r="D830" t="inlineStr">
        <is>
          <t>VÄSTERBOTTENS LÄN</t>
        </is>
      </c>
      <c r="E830" t="inlineStr">
        <is>
          <t>SKELLEFTEÅ</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30332-2021</t>
        </is>
      </c>
      <c r="B831" s="1" t="n">
        <v>44364</v>
      </c>
      <c r="C831" s="1" t="n">
        <v>45931</v>
      </c>
      <c r="D831" t="inlineStr">
        <is>
          <t>VÄSTERBOTTENS LÄN</t>
        </is>
      </c>
      <c r="E831" t="inlineStr">
        <is>
          <t>SKELLEFTEÅ</t>
        </is>
      </c>
      <c r="G831" t="n">
        <v>1.6</v>
      </c>
      <c r="H831" t="n">
        <v>0</v>
      </c>
      <c r="I831" t="n">
        <v>0</v>
      </c>
      <c r="J831" t="n">
        <v>0</v>
      </c>
      <c r="K831" t="n">
        <v>0</v>
      </c>
      <c r="L831" t="n">
        <v>0</v>
      </c>
      <c r="M831" t="n">
        <v>0</v>
      </c>
      <c r="N831" t="n">
        <v>0</v>
      </c>
      <c r="O831" t="n">
        <v>0</v>
      </c>
      <c r="P831" t="n">
        <v>0</v>
      </c>
      <c r="Q831" t="n">
        <v>0</v>
      </c>
      <c r="R831" s="2" t="inlineStr"/>
    </row>
    <row r="832" ht="15" customHeight="1">
      <c r="A832" t="inlineStr">
        <is>
          <t>A 8141-2025</t>
        </is>
      </c>
      <c r="B832" s="1" t="n">
        <v>45708.27729166667</v>
      </c>
      <c r="C832" s="1" t="n">
        <v>45931</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4034-2024</t>
        </is>
      </c>
      <c r="B833" s="1" t="n">
        <v>45323.41511574074</v>
      </c>
      <c r="C833" s="1" t="n">
        <v>45931</v>
      </c>
      <c r="D833" t="inlineStr">
        <is>
          <t>VÄSTERBOTTENS LÄN</t>
        </is>
      </c>
      <c r="E833" t="inlineStr">
        <is>
          <t>SKELLEFTEÅ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43793-2024</t>
        </is>
      </c>
      <c r="B834" s="1" t="n">
        <v>45571.49777777777</v>
      </c>
      <c r="C834" s="1" t="n">
        <v>45931</v>
      </c>
      <c r="D834" t="inlineStr">
        <is>
          <t>VÄSTERBOTTENS LÄN</t>
        </is>
      </c>
      <c r="E834" t="inlineStr">
        <is>
          <t>SKELLEFTEÅ</t>
        </is>
      </c>
      <c r="F834" t="inlineStr">
        <is>
          <t>Sveaskog</t>
        </is>
      </c>
      <c r="G834" t="n">
        <v>14.1</v>
      </c>
      <c r="H834" t="n">
        <v>0</v>
      </c>
      <c r="I834" t="n">
        <v>0</v>
      </c>
      <c r="J834" t="n">
        <v>0</v>
      </c>
      <c r="K834" t="n">
        <v>0</v>
      </c>
      <c r="L834" t="n">
        <v>0</v>
      </c>
      <c r="M834" t="n">
        <v>0</v>
      </c>
      <c r="N834" t="n">
        <v>0</v>
      </c>
      <c r="O834" t="n">
        <v>0</v>
      </c>
      <c r="P834" t="n">
        <v>0</v>
      </c>
      <c r="Q834" t="n">
        <v>0</v>
      </c>
      <c r="R834" s="2" t="inlineStr"/>
    </row>
    <row r="835" ht="15" customHeight="1">
      <c r="A835" t="inlineStr">
        <is>
          <t>A 7579-2022</t>
        </is>
      </c>
      <c r="B835" s="1" t="n">
        <v>44607</v>
      </c>
      <c r="C835" s="1" t="n">
        <v>45931</v>
      </c>
      <c r="D835" t="inlineStr">
        <is>
          <t>VÄSTERBOTTENS LÄN</t>
        </is>
      </c>
      <c r="E835" t="inlineStr">
        <is>
          <t>SKELLEFTEÅ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38818-2023</t>
        </is>
      </c>
      <c r="B836" s="1" t="n">
        <v>45161</v>
      </c>
      <c r="C836" s="1" t="n">
        <v>45931</v>
      </c>
      <c r="D836" t="inlineStr">
        <is>
          <t>VÄSTERBOTTENS LÄN</t>
        </is>
      </c>
      <c r="E836" t="inlineStr">
        <is>
          <t>SKELLEFTEÅ</t>
        </is>
      </c>
      <c r="G836" t="n">
        <v>2.8</v>
      </c>
      <c r="H836" t="n">
        <v>0</v>
      </c>
      <c r="I836" t="n">
        <v>0</v>
      </c>
      <c r="J836" t="n">
        <v>0</v>
      </c>
      <c r="K836" t="n">
        <v>0</v>
      </c>
      <c r="L836" t="n">
        <v>0</v>
      </c>
      <c r="M836" t="n">
        <v>0</v>
      </c>
      <c r="N836" t="n">
        <v>0</v>
      </c>
      <c r="O836" t="n">
        <v>0</v>
      </c>
      <c r="P836" t="n">
        <v>0</v>
      </c>
      <c r="Q836" t="n">
        <v>0</v>
      </c>
      <c r="R836" s="2" t="inlineStr"/>
    </row>
    <row r="837" ht="15" customHeight="1">
      <c r="A837" t="inlineStr">
        <is>
          <t>A 37298-2024</t>
        </is>
      </c>
      <c r="B837" s="1" t="n">
        <v>45540.45724537037</v>
      </c>
      <c r="C837" s="1" t="n">
        <v>45931</v>
      </c>
      <c r="D837" t="inlineStr">
        <is>
          <t>VÄSTERBOTTENS LÄN</t>
        </is>
      </c>
      <c r="E837" t="inlineStr">
        <is>
          <t>SKELLEFTEÅ</t>
        </is>
      </c>
      <c r="F837" t="inlineStr">
        <is>
          <t>Holmen skog AB</t>
        </is>
      </c>
      <c r="G837" t="n">
        <v>3.1</v>
      </c>
      <c r="H837" t="n">
        <v>0</v>
      </c>
      <c r="I837" t="n">
        <v>0</v>
      </c>
      <c r="J837" t="n">
        <v>0</v>
      </c>
      <c r="K837" t="n">
        <v>0</v>
      </c>
      <c r="L837" t="n">
        <v>0</v>
      </c>
      <c r="M837" t="n">
        <v>0</v>
      </c>
      <c r="N837" t="n">
        <v>0</v>
      </c>
      <c r="O837" t="n">
        <v>0</v>
      </c>
      <c r="P837" t="n">
        <v>0</v>
      </c>
      <c r="Q837" t="n">
        <v>0</v>
      </c>
      <c r="R837" s="2" t="inlineStr"/>
    </row>
    <row r="838" ht="15" customHeight="1">
      <c r="A838" t="inlineStr">
        <is>
          <t>A 40966-2024</t>
        </is>
      </c>
      <c r="B838" s="1" t="n">
        <v>45558.67207175926</v>
      </c>
      <c r="C838" s="1" t="n">
        <v>45931</v>
      </c>
      <c r="D838" t="inlineStr">
        <is>
          <t>VÄSTERBOTTENS LÄN</t>
        </is>
      </c>
      <c r="E838" t="inlineStr">
        <is>
          <t>SKELLEFTEÅ</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41072-2024</t>
        </is>
      </c>
      <c r="B839" s="1" t="n">
        <v>45559.39484953704</v>
      </c>
      <c r="C839" s="1" t="n">
        <v>45931</v>
      </c>
      <c r="D839" t="inlineStr">
        <is>
          <t>VÄSTERBOTTENS LÄN</t>
        </is>
      </c>
      <c r="E839" t="inlineStr">
        <is>
          <t>SKELLEFTEÅ</t>
        </is>
      </c>
      <c r="F839" t="inlineStr">
        <is>
          <t>Holmen skog AB</t>
        </is>
      </c>
      <c r="G839" t="n">
        <v>2.8</v>
      </c>
      <c r="H839" t="n">
        <v>0</v>
      </c>
      <c r="I839" t="n">
        <v>0</v>
      </c>
      <c r="J839" t="n">
        <v>0</v>
      </c>
      <c r="K839" t="n">
        <v>0</v>
      </c>
      <c r="L839" t="n">
        <v>0</v>
      </c>
      <c r="M839" t="n">
        <v>0</v>
      </c>
      <c r="N839" t="n">
        <v>0</v>
      </c>
      <c r="O839" t="n">
        <v>0</v>
      </c>
      <c r="P839" t="n">
        <v>0</v>
      </c>
      <c r="Q839" t="n">
        <v>0</v>
      </c>
      <c r="R839" s="2" t="inlineStr"/>
    </row>
    <row r="840" ht="15" customHeight="1">
      <c r="A840" t="inlineStr">
        <is>
          <t>A 37474-2023</t>
        </is>
      </c>
      <c r="B840" s="1" t="n">
        <v>45156.92446759259</v>
      </c>
      <c r="C840" s="1" t="n">
        <v>45931</v>
      </c>
      <c r="D840" t="inlineStr">
        <is>
          <t>VÄSTERBOTTENS LÄN</t>
        </is>
      </c>
      <c r="E840" t="inlineStr">
        <is>
          <t>SKELLEFTEÅ</t>
        </is>
      </c>
      <c r="G840" t="n">
        <v>4.1</v>
      </c>
      <c r="H840" t="n">
        <v>0</v>
      </c>
      <c r="I840" t="n">
        <v>0</v>
      </c>
      <c r="J840" t="n">
        <v>0</v>
      </c>
      <c r="K840" t="n">
        <v>0</v>
      </c>
      <c r="L840" t="n">
        <v>0</v>
      </c>
      <c r="M840" t="n">
        <v>0</v>
      </c>
      <c r="N840" t="n">
        <v>0</v>
      </c>
      <c r="O840" t="n">
        <v>0</v>
      </c>
      <c r="P840" t="n">
        <v>0</v>
      </c>
      <c r="Q840" t="n">
        <v>0</v>
      </c>
      <c r="R840" s="2" t="inlineStr"/>
    </row>
    <row r="841" ht="15" customHeight="1">
      <c r="A841" t="inlineStr">
        <is>
          <t>A 12701-2025</t>
        </is>
      </c>
      <c r="B841" s="1" t="n">
        <v>45733.46592592593</v>
      </c>
      <c r="C841" s="1" t="n">
        <v>45931</v>
      </c>
      <c r="D841" t="inlineStr">
        <is>
          <t>VÄSTERBOTTENS LÄN</t>
        </is>
      </c>
      <c r="E841" t="inlineStr">
        <is>
          <t>SKELLEFTEÅ</t>
        </is>
      </c>
      <c r="G841" t="n">
        <v>7.2</v>
      </c>
      <c r="H841" t="n">
        <v>0</v>
      </c>
      <c r="I841" t="n">
        <v>0</v>
      </c>
      <c r="J841" t="n">
        <v>0</v>
      </c>
      <c r="K841" t="n">
        <v>0</v>
      </c>
      <c r="L841" t="n">
        <v>0</v>
      </c>
      <c r="M841" t="n">
        <v>0</v>
      </c>
      <c r="N841" t="n">
        <v>0</v>
      </c>
      <c r="O841" t="n">
        <v>0</v>
      </c>
      <c r="P841" t="n">
        <v>0</v>
      </c>
      <c r="Q841" t="n">
        <v>0</v>
      </c>
      <c r="R841" s="2" t="inlineStr"/>
    </row>
    <row r="842" ht="15" customHeight="1">
      <c r="A842" t="inlineStr">
        <is>
          <t>A 19582-2024</t>
        </is>
      </c>
      <c r="B842" s="1" t="n">
        <v>45429.92415509259</v>
      </c>
      <c r="C842" s="1" t="n">
        <v>45931</v>
      </c>
      <c r="D842" t="inlineStr">
        <is>
          <t>VÄSTERBOTTENS LÄN</t>
        </is>
      </c>
      <c r="E842" t="inlineStr">
        <is>
          <t>SKELLEFTEÅ</t>
        </is>
      </c>
      <c r="G842" t="n">
        <v>0.6</v>
      </c>
      <c r="H842" t="n">
        <v>0</v>
      </c>
      <c r="I842" t="n">
        <v>0</v>
      </c>
      <c r="J842" t="n">
        <v>0</v>
      </c>
      <c r="K842" t="n">
        <v>0</v>
      </c>
      <c r="L842" t="n">
        <v>0</v>
      </c>
      <c r="M842" t="n">
        <v>0</v>
      </c>
      <c r="N842" t="n">
        <v>0</v>
      </c>
      <c r="O842" t="n">
        <v>0</v>
      </c>
      <c r="P842" t="n">
        <v>0</v>
      </c>
      <c r="Q842" t="n">
        <v>0</v>
      </c>
      <c r="R842" s="2" t="inlineStr"/>
    </row>
    <row r="843" ht="15" customHeight="1">
      <c r="A843" t="inlineStr">
        <is>
          <t>A 61378-2024</t>
        </is>
      </c>
      <c r="B843" s="1" t="n">
        <v>45645</v>
      </c>
      <c r="C843" s="1" t="n">
        <v>45931</v>
      </c>
      <c r="D843" t="inlineStr">
        <is>
          <t>VÄSTERBOTTENS LÄN</t>
        </is>
      </c>
      <c r="E843" t="inlineStr">
        <is>
          <t>SKELLEFTEÅ</t>
        </is>
      </c>
      <c r="G843" t="n">
        <v>2.3</v>
      </c>
      <c r="H843" t="n">
        <v>0</v>
      </c>
      <c r="I843" t="n">
        <v>0</v>
      </c>
      <c r="J843" t="n">
        <v>0</v>
      </c>
      <c r="K843" t="n">
        <v>0</v>
      </c>
      <c r="L843" t="n">
        <v>0</v>
      </c>
      <c r="M843" t="n">
        <v>0</v>
      </c>
      <c r="N843" t="n">
        <v>0</v>
      </c>
      <c r="O843" t="n">
        <v>0</v>
      </c>
      <c r="P843" t="n">
        <v>0</v>
      </c>
      <c r="Q843" t="n">
        <v>0</v>
      </c>
      <c r="R843" s="2" t="inlineStr"/>
    </row>
    <row r="844" ht="15" customHeight="1">
      <c r="A844" t="inlineStr">
        <is>
          <t>A 29321-2024</t>
        </is>
      </c>
      <c r="B844" s="1" t="n">
        <v>45483.4243287037</v>
      </c>
      <c r="C844" s="1" t="n">
        <v>45931</v>
      </c>
      <c r="D844" t="inlineStr">
        <is>
          <t>VÄSTERBOTTENS LÄN</t>
        </is>
      </c>
      <c r="E844" t="inlineStr">
        <is>
          <t>SKELLEFTEÅ</t>
        </is>
      </c>
      <c r="G844" t="n">
        <v>3.8</v>
      </c>
      <c r="H844" t="n">
        <v>0</v>
      </c>
      <c r="I844" t="n">
        <v>0</v>
      </c>
      <c r="J844" t="n">
        <v>0</v>
      </c>
      <c r="K844" t="n">
        <v>0</v>
      </c>
      <c r="L844" t="n">
        <v>0</v>
      </c>
      <c r="M844" t="n">
        <v>0</v>
      </c>
      <c r="N844" t="n">
        <v>0</v>
      </c>
      <c r="O844" t="n">
        <v>0</v>
      </c>
      <c r="P844" t="n">
        <v>0</v>
      </c>
      <c r="Q844" t="n">
        <v>0</v>
      </c>
      <c r="R844" s="2" t="inlineStr"/>
    </row>
    <row r="845" ht="15" customHeight="1">
      <c r="A845" t="inlineStr">
        <is>
          <t>A 23520-2024</t>
        </is>
      </c>
      <c r="B845" s="1" t="n">
        <v>45453</v>
      </c>
      <c r="C845" s="1" t="n">
        <v>45931</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31966-2024</t>
        </is>
      </c>
      <c r="B846" s="1" t="n">
        <v>45510.53748842593</v>
      </c>
      <c r="C846" s="1" t="n">
        <v>45931</v>
      </c>
      <c r="D846" t="inlineStr">
        <is>
          <t>VÄSTERBOTTENS LÄN</t>
        </is>
      </c>
      <c r="E846" t="inlineStr">
        <is>
          <t>SKELLEFTEÅ</t>
        </is>
      </c>
      <c r="F846" t="inlineStr">
        <is>
          <t>Holmen skog AB</t>
        </is>
      </c>
      <c r="G846" t="n">
        <v>6.5</v>
      </c>
      <c r="H846" t="n">
        <v>0</v>
      </c>
      <c r="I846" t="n">
        <v>0</v>
      </c>
      <c r="J846" t="n">
        <v>0</v>
      </c>
      <c r="K846" t="n">
        <v>0</v>
      </c>
      <c r="L846" t="n">
        <v>0</v>
      </c>
      <c r="M846" t="n">
        <v>0</v>
      </c>
      <c r="N846" t="n">
        <v>0</v>
      </c>
      <c r="O846" t="n">
        <v>0</v>
      </c>
      <c r="P846" t="n">
        <v>0</v>
      </c>
      <c r="Q846" t="n">
        <v>0</v>
      </c>
      <c r="R846" s="2" t="inlineStr"/>
    </row>
    <row r="847" ht="15" customHeight="1">
      <c r="A847" t="inlineStr">
        <is>
          <t>A 10852-2023</t>
        </is>
      </c>
      <c r="B847" s="1" t="n">
        <v>44985</v>
      </c>
      <c r="C847" s="1" t="n">
        <v>45931</v>
      </c>
      <c r="D847" t="inlineStr">
        <is>
          <t>VÄSTERBOTTENS LÄN</t>
        </is>
      </c>
      <c r="E847" t="inlineStr">
        <is>
          <t>SKELLEFTEÅ</t>
        </is>
      </c>
      <c r="G847" t="n">
        <v>7.5</v>
      </c>
      <c r="H847" t="n">
        <v>0</v>
      </c>
      <c r="I847" t="n">
        <v>0</v>
      </c>
      <c r="J847" t="n">
        <v>0</v>
      </c>
      <c r="K847" t="n">
        <v>0</v>
      </c>
      <c r="L847" t="n">
        <v>0</v>
      </c>
      <c r="M847" t="n">
        <v>0</v>
      </c>
      <c r="N847" t="n">
        <v>0</v>
      </c>
      <c r="O847" t="n">
        <v>0</v>
      </c>
      <c r="P847" t="n">
        <v>0</v>
      </c>
      <c r="Q847" t="n">
        <v>0</v>
      </c>
      <c r="R847" s="2" t="inlineStr"/>
    </row>
    <row r="848" ht="15" customHeight="1">
      <c r="A848" t="inlineStr">
        <is>
          <t>A 16236-2025</t>
        </is>
      </c>
      <c r="B848" s="1" t="n">
        <v>45750</v>
      </c>
      <c r="C848" s="1" t="n">
        <v>45931</v>
      </c>
      <c r="D848" t="inlineStr">
        <is>
          <t>VÄSTERBOTTENS LÄN</t>
        </is>
      </c>
      <c r="E848" t="inlineStr">
        <is>
          <t>SKELLEFTEÅ</t>
        </is>
      </c>
      <c r="G848" t="n">
        <v>4.9</v>
      </c>
      <c r="H848" t="n">
        <v>0</v>
      </c>
      <c r="I848" t="n">
        <v>0</v>
      </c>
      <c r="J848" t="n">
        <v>0</v>
      </c>
      <c r="K848" t="n">
        <v>0</v>
      </c>
      <c r="L848" t="n">
        <v>0</v>
      </c>
      <c r="M848" t="n">
        <v>0</v>
      </c>
      <c r="N848" t="n">
        <v>0</v>
      </c>
      <c r="O848" t="n">
        <v>0</v>
      </c>
      <c r="P848" t="n">
        <v>0</v>
      </c>
      <c r="Q848" t="n">
        <v>0</v>
      </c>
      <c r="R848" s="2" t="inlineStr"/>
    </row>
    <row r="849" ht="15" customHeight="1">
      <c r="A849" t="inlineStr">
        <is>
          <t>A 4638-2025</t>
        </is>
      </c>
      <c r="B849" s="1" t="n">
        <v>45687.64986111111</v>
      </c>
      <c r="C849" s="1" t="n">
        <v>45931</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35035-2024</t>
        </is>
      </c>
      <c r="B850" s="1" t="n">
        <v>45527.61482638889</v>
      </c>
      <c r="C850" s="1" t="n">
        <v>45931</v>
      </c>
      <c r="D850" t="inlineStr">
        <is>
          <t>VÄSTERBOTTENS LÄN</t>
        </is>
      </c>
      <c r="E850" t="inlineStr">
        <is>
          <t>SKELLEFTEÅ</t>
        </is>
      </c>
      <c r="F850" t="inlineStr">
        <is>
          <t>Holmen skog AB</t>
        </is>
      </c>
      <c r="G850" t="n">
        <v>2.2</v>
      </c>
      <c r="H850" t="n">
        <v>0</v>
      </c>
      <c r="I850" t="n">
        <v>0</v>
      </c>
      <c r="J850" t="n">
        <v>0</v>
      </c>
      <c r="K850" t="n">
        <v>0</v>
      </c>
      <c r="L850" t="n">
        <v>0</v>
      </c>
      <c r="M850" t="n">
        <v>0</v>
      </c>
      <c r="N850" t="n">
        <v>0</v>
      </c>
      <c r="O850" t="n">
        <v>0</v>
      </c>
      <c r="P850" t="n">
        <v>0</v>
      </c>
      <c r="Q850" t="n">
        <v>0</v>
      </c>
      <c r="R850" s="2" t="inlineStr"/>
    </row>
    <row r="851" ht="15" customHeight="1">
      <c r="A851" t="inlineStr">
        <is>
          <t>A 46627-2025</t>
        </is>
      </c>
      <c r="B851" s="1" t="n">
        <v>45926.44899305556</v>
      </c>
      <c r="C851" s="1" t="n">
        <v>45931</v>
      </c>
      <c r="D851" t="inlineStr">
        <is>
          <t>VÄSTERBOTTENS LÄN</t>
        </is>
      </c>
      <c r="E851" t="inlineStr">
        <is>
          <t>SKELLEFTEÅ</t>
        </is>
      </c>
      <c r="G851" t="n">
        <v>7.4</v>
      </c>
      <c r="H851" t="n">
        <v>0</v>
      </c>
      <c r="I851" t="n">
        <v>0</v>
      </c>
      <c r="J851" t="n">
        <v>0</v>
      </c>
      <c r="K851" t="n">
        <v>0</v>
      </c>
      <c r="L851" t="n">
        <v>0</v>
      </c>
      <c r="M851" t="n">
        <v>0</v>
      </c>
      <c r="N851" t="n">
        <v>0</v>
      </c>
      <c r="O851" t="n">
        <v>0</v>
      </c>
      <c r="P851" t="n">
        <v>0</v>
      </c>
      <c r="Q851" t="n">
        <v>0</v>
      </c>
      <c r="R851" s="2" t="inlineStr"/>
    </row>
    <row r="852" ht="15" customHeight="1">
      <c r="A852" t="inlineStr">
        <is>
          <t>A 7800-2024</t>
        </is>
      </c>
      <c r="B852" s="1" t="n">
        <v>45348</v>
      </c>
      <c r="C852" s="1" t="n">
        <v>45931</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7832-2024</t>
        </is>
      </c>
      <c r="B853" s="1" t="n">
        <v>45349.80663194445</v>
      </c>
      <c r="C853" s="1" t="n">
        <v>45931</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17478-2023</t>
        </is>
      </c>
      <c r="B854" s="1" t="n">
        <v>45034</v>
      </c>
      <c r="C854" s="1" t="n">
        <v>45931</v>
      </c>
      <c r="D854" t="inlineStr">
        <is>
          <t>VÄSTERBOTTENS LÄN</t>
        </is>
      </c>
      <c r="E854" t="inlineStr">
        <is>
          <t>SKELLEFTEÅ</t>
        </is>
      </c>
      <c r="G854" t="n">
        <v>6.3</v>
      </c>
      <c r="H854" t="n">
        <v>0</v>
      </c>
      <c r="I854" t="n">
        <v>0</v>
      </c>
      <c r="J854" t="n">
        <v>0</v>
      </c>
      <c r="K854" t="n">
        <v>0</v>
      </c>
      <c r="L854" t="n">
        <v>0</v>
      </c>
      <c r="M854" t="n">
        <v>0</v>
      </c>
      <c r="N854" t="n">
        <v>0</v>
      </c>
      <c r="O854" t="n">
        <v>0</v>
      </c>
      <c r="P854" t="n">
        <v>0</v>
      </c>
      <c r="Q854" t="n">
        <v>0</v>
      </c>
      <c r="R854" s="2" t="inlineStr"/>
    </row>
    <row r="855" ht="15" customHeight="1">
      <c r="A855" t="inlineStr">
        <is>
          <t>A 53716-2024</t>
        </is>
      </c>
      <c r="B855" s="1" t="n">
        <v>45615.43059027778</v>
      </c>
      <c r="C855" s="1" t="n">
        <v>45931</v>
      </c>
      <c r="D855" t="inlineStr">
        <is>
          <t>VÄSTERBOTTENS LÄN</t>
        </is>
      </c>
      <c r="E855" t="inlineStr">
        <is>
          <t>SKELLEFTEÅ</t>
        </is>
      </c>
      <c r="G855" t="n">
        <v>1.6</v>
      </c>
      <c r="H855" t="n">
        <v>0</v>
      </c>
      <c r="I855" t="n">
        <v>0</v>
      </c>
      <c r="J855" t="n">
        <v>0</v>
      </c>
      <c r="K855" t="n">
        <v>0</v>
      </c>
      <c r="L855" t="n">
        <v>0</v>
      </c>
      <c r="M855" t="n">
        <v>0</v>
      </c>
      <c r="N855" t="n">
        <v>0</v>
      </c>
      <c r="O855" t="n">
        <v>0</v>
      </c>
      <c r="P855" t="n">
        <v>0</v>
      </c>
      <c r="Q855" t="n">
        <v>0</v>
      </c>
      <c r="R855" s="2" t="inlineStr"/>
    </row>
    <row r="856" ht="15" customHeight="1">
      <c r="A856" t="inlineStr">
        <is>
          <t>A 12772-2024</t>
        </is>
      </c>
      <c r="B856" s="1" t="n">
        <v>45384</v>
      </c>
      <c r="C856" s="1" t="n">
        <v>45931</v>
      </c>
      <c r="D856" t="inlineStr">
        <is>
          <t>VÄSTERBOTTENS LÄN</t>
        </is>
      </c>
      <c r="E856" t="inlineStr">
        <is>
          <t>SKELLEFTEÅ</t>
        </is>
      </c>
      <c r="G856" t="n">
        <v>0.2</v>
      </c>
      <c r="H856" t="n">
        <v>0</v>
      </c>
      <c r="I856" t="n">
        <v>0</v>
      </c>
      <c r="J856" t="n">
        <v>0</v>
      </c>
      <c r="K856" t="n">
        <v>0</v>
      </c>
      <c r="L856" t="n">
        <v>0</v>
      </c>
      <c r="M856" t="n">
        <v>0</v>
      </c>
      <c r="N856" t="n">
        <v>0</v>
      </c>
      <c r="O856" t="n">
        <v>0</v>
      </c>
      <c r="P856" t="n">
        <v>0</v>
      </c>
      <c r="Q856" t="n">
        <v>0</v>
      </c>
      <c r="R856" s="2" t="inlineStr"/>
    </row>
    <row r="857" ht="15" customHeight="1">
      <c r="A857" t="inlineStr">
        <is>
          <t>A 5996-2023</t>
        </is>
      </c>
      <c r="B857" s="1" t="n">
        <v>44959</v>
      </c>
      <c r="C857" s="1" t="n">
        <v>45931</v>
      </c>
      <c r="D857" t="inlineStr">
        <is>
          <t>VÄSTERBOTTENS LÄN</t>
        </is>
      </c>
      <c r="E857" t="inlineStr">
        <is>
          <t>SKELLEFTEÅ</t>
        </is>
      </c>
      <c r="G857" t="n">
        <v>4.2</v>
      </c>
      <c r="H857" t="n">
        <v>0</v>
      </c>
      <c r="I857" t="n">
        <v>0</v>
      </c>
      <c r="J857" t="n">
        <v>0</v>
      </c>
      <c r="K857" t="n">
        <v>0</v>
      </c>
      <c r="L857" t="n">
        <v>0</v>
      </c>
      <c r="M857" t="n">
        <v>0</v>
      </c>
      <c r="N857" t="n">
        <v>0</v>
      </c>
      <c r="O857" t="n">
        <v>0</v>
      </c>
      <c r="P857" t="n">
        <v>0</v>
      </c>
      <c r="Q857" t="n">
        <v>0</v>
      </c>
      <c r="R857" s="2" t="inlineStr"/>
    </row>
    <row r="858" ht="15" customHeight="1">
      <c r="A858" t="inlineStr">
        <is>
          <t>A 36297-2024</t>
        </is>
      </c>
      <c r="B858" s="1" t="n">
        <v>45534.6054050926</v>
      </c>
      <c r="C858" s="1" t="n">
        <v>45931</v>
      </c>
      <c r="D858" t="inlineStr">
        <is>
          <t>VÄSTERBOTTENS LÄN</t>
        </is>
      </c>
      <c r="E858" t="inlineStr">
        <is>
          <t>SKELLEFTEÅ</t>
        </is>
      </c>
      <c r="F858" t="inlineStr">
        <is>
          <t>Sveaskog</t>
        </is>
      </c>
      <c r="G858" t="n">
        <v>20.9</v>
      </c>
      <c r="H858" t="n">
        <v>0</v>
      </c>
      <c r="I858" t="n">
        <v>0</v>
      </c>
      <c r="J858" t="n">
        <v>0</v>
      </c>
      <c r="K858" t="n">
        <v>0</v>
      </c>
      <c r="L858" t="n">
        <v>0</v>
      </c>
      <c r="M858" t="n">
        <v>0</v>
      </c>
      <c r="N858" t="n">
        <v>0</v>
      </c>
      <c r="O858" t="n">
        <v>0</v>
      </c>
      <c r="P858" t="n">
        <v>0</v>
      </c>
      <c r="Q858" t="n">
        <v>0</v>
      </c>
      <c r="R858" s="2" t="inlineStr"/>
    </row>
    <row r="859" ht="15" customHeight="1">
      <c r="A859" t="inlineStr">
        <is>
          <t>A 58872-2021</t>
        </is>
      </c>
      <c r="B859" s="1" t="n">
        <v>44489</v>
      </c>
      <c r="C859" s="1" t="n">
        <v>45931</v>
      </c>
      <c r="D859" t="inlineStr">
        <is>
          <t>VÄSTERBOTTENS LÄN</t>
        </is>
      </c>
      <c r="E859" t="inlineStr">
        <is>
          <t>SKELLEFTEÅ</t>
        </is>
      </c>
      <c r="G859" t="n">
        <v>2.9</v>
      </c>
      <c r="H859" t="n">
        <v>0</v>
      </c>
      <c r="I859" t="n">
        <v>0</v>
      </c>
      <c r="J859" t="n">
        <v>0</v>
      </c>
      <c r="K859" t="n">
        <v>0</v>
      </c>
      <c r="L859" t="n">
        <v>0</v>
      </c>
      <c r="M859" t="n">
        <v>0</v>
      </c>
      <c r="N859" t="n">
        <v>0</v>
      </c>
      <c r="O859" t="n">
        <v>0</v>
      </c>
      <c r="P859" t="n">
        <v>0</v>
      </c>
      <c r="Q859" t="n">
        <v>0</v>
      </c>
      <c r="R859" s="2" t="inlineStr"/>
    </row>
    <row r="860" ht="15" customHeight="1">
      <c r="A860" t="inlineStr">
        <is>
          <t>A 51810-2024</t>
        </is>
      </c>
      <c r="B860" s="1" t="n">
        <v>45607.48707175926</v>
      </c>
      <c r="C860" s="1" t="n">
        <v>45931</v>
      </c>
      <c r="D860" t="inlineStr">
        <is>
          <t>VÄSTERBOTTENS LÄN</t>
        </is>
      </c>
      <c r="E860" t="inlineStr">
        <is>
          <t>SKELLEFTEÅ</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47686-2024</t>
        </is>
      </c>
      <c r="B861" s="1" t="n">
        <v>45588.42978009259</v>
      </c>
      <c r="C861" s="1" t="n">
        <v>45931</v>
      </c>
      <c r="D861" t="inlineStr">
        <is>
          <t>VÄSTERBOTTENS LÄN</t>
        </is>
      </c>
      <c r="E861" t="inlineStr">
        <is>
          <t>SKELLEFTEÅ</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1076-2023</t>
        </is>
      </c>
      <c r="B862" s="1" t="n">
        <v>44929</v>
      </c>
      <c r="C862" s="1" t="n">
        <v>45931</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38216-2025</t>
        </is>
      </c>
      <c r="B863" s="1" t="n">
        <v>45883.29847222222</v>
      </c>
      <c r="C863" s="1" t="n">
        <v>45931</v>
      </c>
      <c r="D863" t="inlineStr">
        <is>
          <t>VÄSTERBOTTENS LÄN</t>
        </is>
      </c>
      <c r="E863" t="inlineStr">
        <is>
          <t>SKELLEFTEÅ</t>
        </is>
      </c>
      <c r="G863" t="n">
        <v>1.8</v>
      </c>
      <c r="H863" t="n">
        <v>0</v>
      </c>
      <c r="I863" t="n">
        <v>0</v>
      </c>
      <c r="J863" t="n">
        <v>0</v>
      </c>
      <c r="K863" t="n">
        <v>0</v>
      </c>
      <c r="L863" t="n">
        <v>0</v>
      </c>
      <c r="M863" t="n">
        <v>0</v>
      </c>
      <c r="N863" t="n">
        <v>0</v>
      </c>
      <c r="O863" t="n">
        <v>0</v>
      </c>
      <c r="P863" t="n">
        <v>0</v>
      </c>
      <c r="Q863" t="n">
        <v>0</v>
      </c>
      <c r="R863" s="2" t="inlineStr"/>
    </row>
    <row r="864" ht="15" customHeight="1">
      <c r="A864" t="inlineStr">
        <is>
          <t>A 50070-2024</t>
        </is>
      </c>
      <c r="B864" s="1" t="n">
        <v>45600.35901620371</v>
      </c>
      <c r="C864" s="1" t="n">
        <v>45931</v>
      </c>
      <c r="D864" t="inlineStr">
        <is>
          <t>VÄSTERBOTTENS LÄN</t>
        </is>
      </c>
      <c r="E864" t="inlineStr">
        <is>
          <t>SKELLEFTEÅ</t>
        </is>
      </c>
      <c r="F864" t="inlineStr">
        <is>
          <t>Kommuner</t>
        </is>
      </c>
      <c r="G864" t="n">
        <v>4.6</v>
      </c>
      <c r="H864" t="n">
        <v>0</v>
      </c>
      <c r="I864" t="n">
        <v>0</v>
      </c>
      <c r="J864" t="n">
        <v>0</v>
      </c>
      <c r="K864" t="n">
        <v>0</v>
      </c>
      <c r="L864" t="n">
        <v>0</v>
      </c>
      <c r="M864" t="n">
        <v>0</v>
      </c>
      <c r="N864" t="n">
        <v>0</v>
      </c>
      <c r="O864" t="n">
        <v>0</v>
      </c>
      <c r="P864" t="n">
        <v>0</v>
      </c>
      <c r="Q864" t="n">
        <v>0</v>
      </c>
      <c r="R864" s="2" t="inlineStr"/>
    </row>
    <row r="865" ht="15" customHeight="1">
      <c r="A865" t="inlineStr">
        <is>
          <t>A 20825-2025</t>
        </is>
      </c>
      <c r="B865" s="1" t="n">
        <v>45776</v>
      </c>
      <c r="C865" s="1" t="n">
        <v>45931</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20824-2025</t>
        </is>
      </c>
      <c r="B866" s="1" t="n">
        <v>45776</v>
      </c>
      <c r="C866" s="1" t="n">
        <v>45931</v>
      </c>
      <c r="D866" t="inlineStr">
        <is>
          <t>VÄSTERBOTTENS LÄN</t>
        </is>
      </c>
      <c r="E866" t="inlineStr">
        <is>
          <t>SKELLEFTEÅ</t>
        </is>
      </c>
      <c r="G866" t="n">
        <v>6.8</v>
      </c>
      <c r="H866" t="n">
        <v>0</v>
      </c>
      <c r="I866" t="n">
        <v>0</v>
      </c>
      <c r="J866" t="n">
        <v>0</v>
      </c>
      <c r="K866" t="n">
        <v>0</v>
      </c>
      <c r="L866" t="n">
        <v>0</v>
      </c>
      <c r="M866" t="n">
        <v>0</v>
      </c>
      <c r="N866" t="n">
        <v>0</v>
      </c>
      <c r="O866" t="n">
        <v>0</v>
      </c>
      <c r="P866" t="n">
        <v>0</v>
      </c>
      <c r="Q866" t="n">
        <v>0</v>
      </c>
      <c r="R866" s="2" t="inlineStr"/>
    </row>
    <row r="867" ht="15" customHeight="1">
      <c r="A867" t="inlineStr">
        <is>
          <t>A 40072-2024</t>
        </is>
      </c>
      <c r="B867" s="1" t="n">
        <v>45554.32503472222</v>
      </c>
      <c r="C867" s="1" t="n">
        <v>45931</v>
      </c>
      <c r="D867" t="inlineStr">
        <is>
          <t>VÄSTERBOTTENS LÄN</t>
        </is>
      </c>
      <c r="E867" t="inlineStr">
        <is>
          <t>SKELLEFTEÅ</t>
        </is>
      </c>
      <c r="F867" t="inlineStr">
        <is>
          <t>Holmen skog AB</t>
        </is>
      </c>
      <c r="G867" t="n">
        <v>3.7</v>
      </c>
      <c r="H867" t="n">
        <v>0</v>
      </c>
      <c r="I867" t="n">
        <v>0</v>
      </c>
      <c r="J867" t="n">
        <v>0</v>
      </c>
      <c r="K867" t="n">
        <v>0</v>
      </c>
      <c r="L867" t="n">
        <v>0</v>
      </c>
      <c r="M867" t="n">
        <v>0</v>
      </c>
      <c r="N867" t="n">
        <v>0</v>
      </c>
      <c r="O867" t="n">
        <v>0</v>
      </c>
      <c r="P867" t="n">
        <v>0</v>
      </c>
      <c r="Q867" t="n">
        <v>0</v>
      </c>
      <c r="R867" s="2" t="inlineStr"/>
    </row>
    <row r="868" ht="15" customHeight="1">
      <c r="A868" t="inlineStr">
        <is>
          <t>A 47447-2025</t>
        </is>
      </c>
      <c r="B868" s="1" t="n">
        <v>45930.64424768519</v>
      </c>
      <c r="C868" s="1" t="n">
        <v>45931</v>
      </c>
      <c r="D868" t="inlineStr">
        <is>
          <t>VÄSTERBOTTENS LÄN</t>
        </is>
      </c>
      <c r="E868" t="inlineStr">
        <is>
          <t>SKELLEFTEÅ</t>
        </is>
      </c>
      <c r="F868" t="inlineStr">
        <is>
          <t>Holmen skog AB</t>
        </is>
      </c>
      <c r="G868" t="n">
        <v>3.2</v>
      </c>
      <c r="H868" t="n">
        <v>0</v>
      </c>
      <c r="I868" t="n">
        <v>0</v>
      </c>
      <c r="J868" t="n">
        <v>0</v>
      </c>
      <c r="K868" t="n">
        <v>0</v>
      </c>
      <c r="L868" t="n">
        <v>0</v>
      </c>
      <c r="M868" t="n">
        <v>0</v>
      </c>
      <c r="N868" t="n">
        <v>0</v>
      </c>
      <c r="O868" t="n">
        <v>0</v>
      </c>
      <c r="P868" t="n">
        <v>0</v>
      </c>
      <c r="Q868" t="n">
        <v>0</v>
      </c>
      <c r="R868" s="2" t="inlineStr"/>
    </row>
    <row r="869" ht="15" customHeight="1">
      <c r="A869" t="inlineStr">
        <is>
          <t>A 39123-2025</t>
        </is>
      </c>
      <c r="B869" s="1" t="n">
        <v>45888.57267361111</v>
      </c>
      <c r="C869" s="1" t="n">
        <v>45931</v>
      </c>
      <c r="D869" t="inlineStr">
        <is>
          <t>VÄSTERBOTTENS LÄN</t>
        </is>
      </c>
      <c r="E869" t="inlineStr">
        <is>
          <t>SKELLEFTEÅ</t>
        </is>
      </c>
      <c r="F869" t="inlineStr">
        <is>
          <t>Holmen skog AB</t>
        </is>
      </c>
      <c r="G869" t="n">
        <v>4.5</v>
      </c>
      <c r="H869" t="n">
        <v>0</v>
      </c>
      <c r="I869" t="n">
        <v>0</v>
      </c>
      <c r="J869" t="n">
        <v>0</v>
      </c>
      <c r="K869" t="n">
        <v>0</v>
      </c>
      <c r="L869" t="n">
        <v>0</v>
      </c>
      <c r="M869" t="n">
        <v>0</v>
      </c>
      <c r="N869" t="n">
        <v>0</v>
      </c>
      <c r="O869" t="n">
        <v>0</v>
      </c>
      <c r="P869" t="n">
        <v>0</v>
      </c>
      <c r="Q869" t="n">
        <v>0</v>
      </c>
      <c r="R869" s="2" t="inlineStr"/>
    </row>
    <row r="870" ht="15" customHeight="1">
      <c r="A870" t="inlineStr">
        <is>
          <t>A 7991-2025</t>
        </is>
      </c>
      <c r="B870" s="1" t="n">
        <v>45707.48981481481</v>
      </c>
      <c r="C870" s="1" t="n">
        <v>45931</v>
      </c>
      <c r="D870" t="inlineStr">
        <is>
          <t>VÄSTERBOTTENS LÄN</t>
        </is>
      </c>
      <c r="E870" t="inlineStr">
        <is>
          <t>SKELLEFTEÅ</t>
        </is>
      </c>
      <c r="G870" t="n">
        <v>1.5</v>
      </c>
      <c r="H870" t="n">
        <v>0</v>
      </c>
      <c r="I870" t="n">
        <v>0</v>
      </c>
      <c r="J870" t="n">
        <v>0</v>
      </c>
      <c r="K870" t="n">
        <v>0</v>
      </c>
      <c r="L870" t="n">
        <v>0</v>
      </c>
      <c r="M870" t="n">
        <v>0</v>
      </c>
      <c r="N870" t="n">
        <v>0</v>
      </c>
      <c r="O870" t="n">
        <v>0</v>
      </c>
      <c r="P870" t="n">
        <v>0</v>
      </c>
      <c r="Q870" t="n">
        <v>0</v>
      </c>
      <c r="R870" s="2" t="inlineStr"/>
    </row>
    <row r="871" ht="15" customHeight="1">
      <c r="A871" t="inlineStr">
        <is>
          <t>A 47238-2025</t>
        </is>
      </c>
      <c r="B871" s="1" t="n">
        <v>45930.41980324074</v>
      </c>
      <c r="C871" s="1" t="n">
        <v>45931</v>
      </c>
      <c r="D871" t="inlineStr">
        <is>
          <t>VÄSTERBOTTENS LÄN</t>
        </is>
      </c>
      <c r="E871" t="inlineStr">
        <is>
          <t>SKELLEFTEÅ</t>
        </is>
      </c>
      <c r="G871" t="n">
        <v>6</v>
      </c>
      <c r="H871" t="n">
        <v>0</v>
      </c>
      <c r="I871" t="n">
        <v>0</v>
      </c>
      <c r="J871" t="n">
        <v>0</v>
      </c>
      <c r="K871" t="n">
        <v>0</v>
      </c>
      <c r="L871" t="n">
        <v>0</v>
      </c>
      <c r="M871" t="n">
        <v>0</v>
      </c>
      <c r="N871" t="n">
        <v>0</v>
      </c>
      <c r="O871" t="n">
        <v>0</v>
      </c>
      <c r="P871" t="n">
        <v>0</v>
      </c>
      <c r="Q871" t="n">
        <v>0</v>
      </c>
      <c r="R871" s="2" t="inlineStr"/>
    </row>
    <row r="872" ht="15" customHeight="1">
      <c r="A872" t="inlineStr">
        <is>
          <t>A 47243-2025</t>
        </is>
      </c>
      <c r="B872" s="1" t="n">
        <v>45930.42655092593</v>
      </c>
      <c r="C872" s="1" t="n">
        <v>45931</v>
      </c>
      <c r="D872" t="inlineStr">
        <is>
          <t>VÄSTERBOTTENS LÄN</t>
        </is>
      </c>
      <c r="E872" t="inlineStr">
        <is>
          <t>SKELLEFTEÅ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19839-2024</t>
        </is>
      </c>
      <c r="B873" s="1" t="n">
        <v>45433</v>
      </c>
      <c r="C873" s="1" t="n">
        <v>45931</v>
      </c>
      <c r="D873" t="inlineStr">
        <is>
          <t>VÄSTERBOTTENS LÄN</t>
        </is>
      </c>
      <c r="E873" t="inlineStr">
        <is>
          <t>SKELLEFTEÅ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1612-2023</t>
        </is>
      </c>
      <c r="B874" s="1" t="n">
        <v>44935</v>
      </c>
      <c r="C874" s="1" t="n">
        <v>45931</v>
      </c>
      <c r="D874" t="inlineStr">
        <is>
          <t>VÄSTERBOTTENS LÄN</t>
        </is>
      </c>
      <c r="E874" t="inlineStr">
        <is>
          <t>SKELLEFTEÅ</t>
        </is>
      </c>
      <c r="G874" t="n">
        <v>2.4</v>
      </c>
      <c r="H874" t="n">
        <v>0</v>
      </c>
      <c r="I874" t="n">
        <v>0</v>
      </c>
      <c r="J874" t="n">
        <v>0</v>
      </c>
      <c r="K874" t="n">
        <v>0</v>
      </c>
      <c r="L874" t="n">
        <v>0</v>
      </c>
      <c r="M874" t="n">
        <v>0</v>
      </c>
      <c r="N874" t="n">
        <v>0</v>
      </c>
      <c r="O874" t="n">
        <v>0</v>
      </c>
      <c r="P874" t="n">
        <v>0</v>
      </c>
      <c r="Q874" t="n">
        <v>0</v>
      </c>
      <c r="R874" s="2" t="inlineStr"/>
    </row>
    <row r="875" ht="15" customHeight="1">
      <c r="A875" t="inlineStr">
        <is>
          <t>A 12798-2024</t>
        </is>
      </c>
      <c r="B875" s="1" t="n">
        <v>45384</v>
      </c>
      <c r="C875" s="1" t="n">
        <v>45931</v>
      </c>
      <c r="D875" t="inlineStr">
        <is>
          <t>VÄSTERBOTTENS LÄN</t>
        </is>
      </c>
      <c r="E875" t="inlineStr">
        <is>
          <t>SKELLEFTEÅ</t>
        </is>
      </c>
      <c r="G875" t="n">
        <v>2</v>
      </c>
      <c r="H875" t="n">
        <v>0</v>
      </c>
      <c r="I875" t="n">
        <v>0</v>
      </c>
      <c r="J875" t="n">
        <v>0</v>
      </c>
      <c r="K875" t="n">
        <v>0</v>
      </c>
      <c r="L875" t="n">
        <v>0</v>
      </c>
      <c r="M875" t="n">
        <v>0</v>
      </c>
      <c r="N875" t="n">
        <v>0</v>
      </c>
      <c r="O875" t="n">
        <v>0</v>
      </c>
      <c r="P875" t="n">
        <v>0</v>
      </c>
      <c r="Q875" t="n">
        <v>0</v>
      </c>
      <c r="R875" s="2" t="inlineStr"/>
    </row>
    <row r="876" ht="15" customHeight="1">
      <c r="A876" t="inlineStr">
        <is>
          <t>A 35114-2024</t>
        </is>
      </c>
      <c r="B876" s="1" t="n">
        <v>45529.92038194444</v>
      </c>
      <c r="C876" s="1" t="n">
        <v>45931</v>
      </c>
      <c r="D876" t="inlineStr">
        <is>
          <t>VÄSTERBOTTENS LÄN</t>
        </is>
      </c>
      <c r="E876" t="inlineStr">
        <is>
          <t>SKELLEFTEÅ</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11907-2025</t>
        </is>
      </c>
      <c r="B877" s="1" t="n">
        <v>45728</v>
      </c>
      <c r="C877" s="1" t="n">
        <v>45931</v>
      </c>
      <c r="D877" t="inlineStr">
        <is>
          <t>VÄSTERBOTTENS LÄN</t>
        </is>
      </c>
      <c r="E877" t="inlineStr">
        <is>
          <t>SKELLEFTEÅ</t>
        </is>
      </c>
      <c r="G877" t="n">
        <v>4.7</v>
      </c>
      <c r="H877" t="n">
        <v>0</v>
      </c>
      <c r="I877" t="n">
        <v>0</v>
      </c>
      <c r="J877" t="n">
        <v>0</v>
      </c>
      <c r="K877" t="n">
        <v>0</v>
      </c>
      <c r="L877" t="n">
        <v>0</v>
      </c>
      <c r="M877" t="n">
        <v>0</v>
      </c>
      <c r="N877" t="n">
        <v>0</v>
      </c>
      <c r="O877" t="n">
        <v>0</v>
      </c>
      <c r="P877" t="n">
        <v>0</v>
      </c>
      <c r="Q877" t="n">
        <v>0</v>
      </c>
      <c r="R877" s="2" t="inlineStr"/>
    </row>
    <row r="878" ht="15" customHeight="1">
      <c r="A878" t="inlineStr">
        <is>
          <t>A 50872-2022</t>
        </is>
      </c>
      <c r="B878" s="1" t="n">
        <v>44867</v>
      </c>
      <c r="C878" s="1" t="n">
        <v>45931</v>
      </c>
      <c r="D878" t="inlineStr">
        <is>
          <t>VÄSTERBOTTENS LÄN</t>
        </is>
      </c>
      <c r="E878" t="inlineStr">
        <is>
          <t>SKELLEFTEÅ</t>
        </is>
      </c>
      <c r="F878" t="inlineStr">
        <is>
          <t>Holmen skog AB</t>
        </is>
      </c>
      <c r="G878" t="n">
        <v>3.1</v>
      </c>
      <c r="H878" t="n">
        <v>0</v>
      </c>
      <c r="I878" t="n">
        <v>0</v>
      </c>
      <c r="J878" t="n">
        <v>0</v>
      </c>
      <c r="K878" t="n">
        <v>0</v>
      </c>
      <c r="L878" t="n">
        <v>0</v>
      </c>
      <c r="M878" t="n">
        <v>0</v>
      </c>
      <c r="N878" t="n">
        <v>0</v>
      </c>
      <c r="O878" t="n">
        <v>0</v>
      </c>
      <c r="P878" t="n">
        <v>0</v>
      </c>
      <c r="Q878" t="n">
        <v>0</v>
      </c>
      <c r="R878" s="2" t="inlineStr"/>
    </row>
    <row r="879" ht="15" customHeight="1">
      <c r="A879" t="inlineStr">
        <is>
          <t>A 5660-2024</t>
        </is>
      </c>
      <c r="B879" s="1" t="n">
        <v>45334.64248842592</v>
      </c>
      <c r="C879" s="1" t="n">
        <v>45931</v>
      </c>
      <c r="D879" t="inlineStr">
        <is>
          <t>VÄSTERBOTTENS LÄN</t>
        </is>
      </c>
      <c r="E879" t="inlineStr">
        <is>
          <t>SKELLEFTEÅ</t>
        </is>
      </c>
      <c r="G879" t="n">
        <v>14.1</v>
      </c>
      <c r="H879" t="n">
        <v>0</v>
      </c>
      <c r="I879" t="n">
        <v>0</v>
      </c>
      <c r="J879" t="n">
        <v>0</v>
      </c>
      <c r="K879" t="n">
        <v>0</v>
      </c>
      <c r="L879" t="n">
        <v>0</v>
      </c>
      <c r="M879" t="n">
        <v>0</v>
      </c>
      <c r="N879" t="n">
        <v>0</v>
      </c>
      <c r="O879" t="n">
        <v>0</v>
      </c>
      <c r="P879" t="n">
        <v>0</v>
      </c>
      <c r="Q879" t="n">
        <v>0</v>
      </c>
      <c r="R879" s="2" t="inlineStr"/>
    </row>
    <row r="880" ht="15" customHeight="1">
      <c r="A880" t="inlineStr">
        <is>
          <t>A 17162-2025</t>
        </is>
      </c>
      <c r="B880" s="1" t="n">
        <v>45756.3552199074</v>
      </c>
      <c r="C880" s="1" t="n">
        <v>45931</v>
      </c>
      <c r="D880" t="inlineStr">
        <is>
          <t>VÄSTERBOTTENS LÄN</t>
        </is>
      </c>
      <c r="E880" t="inlineStr">
        <is>
          <t>SKELLEFTEÅ</t>
        </is>
      </c>
      <c r="G880" t="n">
        <v>23.9</v>
      </c>
      <c r="H880" t="n">
        <v>0</v>
      </c>
      <c r="I880" t="n">
        <v>0</v>
      </c>
      <c r="J880" t="n">
        <v>0</v>
      </c>
      <c r="K880" t="n">
        <v>0</v>
      </c>
      <c r="L880" t="n">
        <v>0</v>
      </c>
      <c r="M880" t="n">
        <v>0</v>
      </c>
      <c r="N880" t="n">
        <v>0</v>
      </c>
      <c r="O880" t="n">
        <v>0</v>
      </c>
      <c r="P880" t="n">
        <v>0</v>
      </c>
      <c r="Q880" t="n">
        <v>0</v>
      </c>
      <c r="R880" s="2" t="inlineStr"/>
    </row>
    <row r="881" ht="15" customHeight="1">
      <c r="A881" t="inlineStr">
        <is>
          <t>A 39513-2023</t>
        </is>
      </c>
      <c r="B881" s="1" t="n">
        <v>45167</v>
      </c>
      <c r="C881" s="1" t="n">
        <v>45931</v>
      </c>
      <c r="D881" t="inlineStr">
        <is>
          <t>VÄSTERBOTTENS LÄN</t>
        </is>
      </c>
      <c r="E881" t="inlineStr">
        <is>
          <t>SKELLEFTEÅ</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27980-2024</t>
        </is>
      </c>
      <c r="B882" s="1" t="n">
        <v>45476.40489583334</v>
      </c>
      <c r="C882" s="1" t="n">
        <v>45931</v>
      </c>
      <c r="D882" t="inlineStr">
        <is>
          <t>VÄSTERBOTTENS LÄN</t>
        </is>
      </c>
      <c r="E882" t="inlineStr">
        <is>
          <t>SKELLEFTEÅ</t>
        </is>
      </c>
      <c r="G882" t="n">
        <v>3.2</v>
      </c>
      <c r="H882" t="n">
        <v>0</v>
      </c>
      <c r="I882" t="n">
        <v>0</v>
      </c>
      <c r="J882" t="n">
        <v>0</v>
      </c>
      <c r="K882" t="n">
        <v>0</v>
      </c>
      <c r="L882" t="n">
        <v>0</v>
      </c>
      <c r="M882" t="n">
        <v>0</v>
      </c>
      <c r="N882" t="n">
        <v>0</v>
      </c>
      <c r="O882" t="n">
        <v>0</v>
      </c>
      <c r="P882" t="n">
        <v>0</v>
      </c>
      <c r="Q882" t="n">
        <v>0</v>
      </c>
      <c r="R882" s="2" t="inlineStr"/>
    </row>
    <row r="883" ht="15" customHeight="1">
      <c r="A883" t="inlineStr">
        <is>
          <t>A 10340-2024</t>
        </is>
      </c>
      <c r="B883" s="1" t="n">
        <v>45365</v>
      </c>
      <c r="C883" s="1" t="n">
        <v>45931</v>
      </c>
      <c r="D883" t="inlineStr">
        <is>
          <t>VÄSTERBOTTENS LÄN</t>
        </is>
      </c>
      <c r="E883" t="inlineStr">
        <is>
          <t>SKELLEFTEÅ</t>
        </is>
      </c>
      <c r="G883" t="n">
        <v>6.9</v>
      </c>
      <c r="H883" t="n">
        <v>0</v>
      </c>
      <c r="I883" t="n">
        <v>0</v>
      </c>
      <c r="J883" t="n">
        <v>0</v>
      </c>
      <c r="K883" t="n">
        <v>0</v>
      </c>
      <c r="L883" t="n">
        <v>0</v>
      </c>
      <c r="M883" t="n">
        <v>0</v>
      </c>
      <c r="N883" t="n">
        <v>0</v>
      </c>
      <c r="O883" t="n">
        <v>0</v>
      </c>
      <c r="P883" t="n">
        <v>0</v>
      </c>
      <c r="Q883" t="n">
        <v>0</v>
      </c>
      <c r="R883" s="2" t="inlineStr"/>
    </row>
    <row r="884" ht="15" customHeight="1">
      <c r="A884" t="inlineStr">
        <is>
          <t>A 36867-2024</t>
        </is>
      </c>
      <c r="B884" s="1" t="n">
        <v>45538.57938657407</v>
      </c>
      <c r="C884" s="1" t="n">
        <v>45931</v>
      </c>
      <c r="D884" t="inlineStr">
        <is>
          <t>VÄSTERBOTTENS LÄN</t>
        </is>
      </c>
      <c r="E884" t="inlineStr">
        <is>
          <t>SKELLEFTEÅ</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39690-2024</t>
        </is>
      </c>
      <c r="B885" s="1" t="n">
        <v>45552</v>
      </c>
      <c r="C885" s="1" t="n">
        <v>45931</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39691-2024</t>
        </is>
      </c>
      <c r="B886" s="1" t="n">
        <v>45552</v>
      </c>
      <c r="C886" s="1" t="n">
        <v>45931</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62227-2021</t>
        </is>
      </c>
      <c r="B887" s="1" t="n">
        <v>44501</v>
      </c>
      <c r="C887" s="1" t="n">
        <v>45931</v>
      </c>
      <c r="D887" t="inlineStr">
        <is>
          <t>VÄSTERBOTTENS LÄN</t>
        </is>
      </c>
      <c r="E887" t="inlineStr">
        <is>
          <t>SKELLEFTEÅ</t>
        </is>
      </c>
      <c r="G887" t="n">
        <v>3.1</v>
      </c>
      <c r="H887" t="n">
        <v>0</v>
      </c>
      <c r="I887" t="n">
        <v>0</v>
      </c>
      <c r="J887" t="n">
        <v>0</v>
      </c>
      <c r="K887" t="n">
        <v>0</v>
      </c>
      <c r="L887" t="n">
        <v>0</v>
      </c>
      <c r="M887" t="n">
        <v>0</v>
      </c>
      <c r="N887" t="n">
        <v>0</v>
      </c>
      <c r="O887" t="n">
        <v>0</v>
      </c>
      <c r="P887" t="n">
        <v>0</v>
      </c>
      <c r="Q887" t="n">
        <v>0</v>
      </c>
      <c r="R887" s="2" t="inlineStr"/>
    </row>
    <row r="888" ht="15" customHeight="1">
      <c r="A888" t="inlineStr">
        <is>
          <t>A 73985-2021</t>
        </is>
      </c>
      <c r="B888" s="1" t="n">
        <v>44555</v>
      </c>
      <c r="C888" s="1" t="n">
        <v>45931</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28153-2023</t>
        </is>
      </c>
      <c r="B889" s="1" t="n">
        <v>45096</v>
      </c>
      <c r="C889" s="1" t="n">
        <v>45931</v>
      </c>
      <c r="D889" t="inlineStr">
        <is>
          <t>VÄSTERBOTTENS LÄN</t>
        </is>
      </c>
      <c r="E889" t="inlineStr">
        <is>
          <t>SKELLEFTEÅ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62058-2024</t>
        </is>
      </c>
      <c r="B890" s="1" t="n">
        <v>45656.37960648148</v>
      </c>
      <c r="C890" s="1" t="n">
        <v>45931</v>
      </c>
      <c r="D890" t="inlineStr">
        <is>
          <t>VÄSTERBOTTENS LÄN</t>
        </is>
      </c>
      <c r="E890" t="inlineStr">
        <is>
          <t>SKELLEFTEÅ</t>
        </is>
      </c>
      <c r="F890" t="inlineStr">
        <is>
          <t>Sveaskog</t>
        </is>
      </c>
      <c r="G890" t="n">
        <v>6</v>
      </c>
      <c r="H890" t="n">
        <v>0</v>
      </c>
      <c r="I890" t="n">
        <v>0</v>
      </c>
      <c r="J890" t="n">
        <v>0</v>
      </c>
      <c r="K890" t="n">
        <v>0</v>
      </c>
      <c r="L890" t="n">
        <v>0</v>
      </c>
      <c r="M890" t="n">
        <v>0</v>
      </c>
      <c r="N890" t="n">
        <v>0</v>
      </c>
      <c r="O890" t="n">
        <v>0</v>
      </c>
      <c r="P890" t="n">
        <v>0</v>
      </c>
      <c r="Q890" t="n">
        <v>0</v>
      </c>
      <c r="R890" s="2" t="inlineStr"/>
    </row>
    <row r="891" ht="15" customHeight="1">
      <c r="A891" t="inlineStr">
        <is>
          <t>A 39054-2024</t>
        </is>
      </c>
      <c r="B891" s="1" t="n">
        <v>45548.49337962963</v>
      </c>
      <c r="C891" s="1" t="n">
        <v>45931</v>
      </c>
      <c r="D891" t="inlineStr">
        <is>
          <t>VÄSTERBOTTENS LÄN</t>
        </is>
      </c>
      <c r="E891" t="inlineStr">
        <is>
          <t>SKELLEFTEÅ</t>
        </is>
      </c>
      <c r="F891" t="inlineStr">
        <is>
          <t>Sveaskog</t>
        </is>
      </c>
      <c r="G891" t="n">
        <v>12.3</v>
      </c>
      <c r="H891" t="n">
        <v>0</v>
      </c>
      <c r="I891" t="n">
        <v>0</v>
      </c>
      <c r="J891" t="n">
        <v>0</v>
      </c>
      <c r="K891" t="n">
        <v>0</v>
      </c>
      <c r="L891" t="n">
        <v>0</v>
      </c>
      <c r="M891" t="n">
        <v>0</v>
      </c>
      <c r="N891" t="n">
        <v>0</v>
      </c>
      <c r="O891" t="n">
        <v>0</v>
      </c>
      <c r="P891" t="n">
        <v>0</v>
      </c>
      <c r="Q891" t="n">
        <v>0</v>
      </c>
      <c r="R891" s="2" t="inlineStr"/>
    </row>
    <row r="892" ht="15" customHeight="1">
      <c r="A892" t="inlineStr">
        <is>
          <t>A 62284-2022</t>
        </is>
      </c>
      <c r="B892" s="1" t="n">
        <v>44923.40487268518</v>
      </c>
      <c r="C892" s="1" t="n">
        <v>45931</v>
      </c>
      <c r="D892" t="inlineStr">
        <is>
          <t>VÄSTERBOTTENS LÄN</t>
        </is>
      </c>
      <c r="E892" t="inlineStr">
        <is>
          <t>SKELLEFTEÅ</t>
        </is>
      </c>
      <c r="F892" t="inlineStr">
        <is>
          <t>Sveaskog</t>
        </is>
      </c>
      <c r="G892" t="n">
        <v>13.4</v>
      </c>
      <c r="H892" t="n">
        <v>0</v>
      </c>
      <c r="I892" t="n">
        <v>0</v>
      </c>
      <c r="J892" t="n">
        <v>0</v>
      </c>
      <c r="K892" t="n">
        <v>0</v>
      </c>
      <c r="L892" t="n">
        <v>0</v>
      </c>
      <c r="M892" t="n">
        <v>0</v>
      </c>
      <c r="N892" t="n">
        <v>0</v>
      </c>
      <c r="O892" t="n">
        <v>0</v>
      </c>
      <c r="P892" t="n">
        <v>0</v>
      </c>
      <c r="Q892" t="n">
        <v>0</v>
      </c>
      <c r="R892" s="2" t="inlineStr"/>
    </row>
    <row r="893" ht="15" customHeight="1">
      <c r="A893" t="inlineStr">
        <is>
          <t>A 14332-2023</t>
        </is>
      </c>
      <c r="B893" s="1" t="n">
        <v>45009</v>
      </c>
      <c r="C893" s="1" t="n">
        <v>45931</v>
      </c>
      <c r="D893" t="inlineStr">
        <is>
          <t>VÄSTERBOTTENS LÄN</t>
        </is>
      </c>
      <c r="E893" t="inlineStr">
        <is>
          <t>SKELLEFTEÅ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17071-2023</t>
        </is>
      </c>
      <c r="B894" s="1" t="n">
        <v>45030</v>
      </c>
      <c r="C894" s="1" t="n">
        <v>45931</v>
      </c>
      <c r="D894" t="inlineStr">
        <is>
          <t>VÄSTERBOTTENS LÄN</t>
        </is>
      </c>
      <c r="E894" t="inlineStr">
        <is>
          <t>SKELLEFTEÅ</t>
        </is>
      </c>
      <c r="G894" t="n">
        <v>2</v>
      </c>
      <c r="H894" t="n">
        <v>0</v>
      </c>
      <c r="I894" t="n">
        <v>0</v>
      </c>
      <c r="J894" t="n">
        <v>0</v>
      </c>
      <c r="K894" t="n">
        <v>0</v>
      </c>
      <c r="L894" t="n">
        <v>0</v>
      </c>
      <c r="M894" t="n">
        <v>0</v>
      </c>
      <c r="N894" t="n">
        <v>0</v>
      </c>
      <c r="O894" t="n">
        <v>0</v>
      </c>
      <c r="P894" t="n">
        <v>0</v>
      </c>
      <c r="Q894" t="n">
        <v>0</v>
      </c>
      <c r="R894" s="2" t="inlineStr"/>
    </row>
    <row r="895" ht="15" customHeight="1">
      <c r="A895" t="inlineStr">
        <is>
          <t>A 68334-2021</t>
        </is>
      </c>
      <c r="B895" s="1" t="n">
        <v>44527</v>
      </c>
      <c r="C895" s="1" t="n">
        <v>45931</v>
      </c>
      <c r="D895" t="inlineStr">
        <is>
          <t>VÄSTERBOTTENS LÄN</t>
        </is>
      </c>
      <c r="E895" t="inlineStr">
        <is>
          <t>SKELLEFTEÅ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17568-2024</t>
        </is>
      </c>
      <c r="B896" s="1" t="n">
        <v>45415</v>
      </c>
      <c r="C896" s="1" t="n">
        <v>45931</v>
      </c>
      <c r="D896" t="inlineStr">
        <is>
          <t>VÄSTERBOTTENS LÄN</t>
        </is>
      </c>
      <c r="E896" t="inlineStr">
        <is>
          <t>SKELLEFTEÅ</t>
        </is>
      </c>
      <c r="G896" t="n">
        <v>6.6</v>
      </c>
      <c r="H896" t="n">
        <v>0</v>
      </c>
      <c r="I896" t="n">
        <v>0</v>
      </c>
      <c r="J896" t="n">
        <v>0</v>
      </c>
      <c r="K896" t="n">
        <v>0</v>
      </c>
      <c r="L896" t="n">
        <v>0</v>
      </c>
      <c r="M896" t="n">
        <v>0</v>
      </c>
      <c r="N896" t="n">
        <v>0</v>
      </c>
      <c r="O896" t="n">
        <v>0</v>
      </c>
      <c r="P896" t="n">
        <v>0</v>
      </c>
      <c r="Q896" t="n">
        <v>0</v>
      </c>
      <c r="R896" s="2" t="inlineStr"/>
    </row>
    <row r="897" ht="15" customHeight="1">
      <c r="A897" t="inlineStr">
        <is>
          <t>A 50488-2023</t>
        </is>
      </c>
      <c r="B897" s="1" t="n">
        <v>45216</v>
      </c>
      <c r="C897" s="1" t="n">
        <v>45931</v>
      </c>
      <c r="D897" t="inlineStr">
        <is>
          <t>VÄSTERBOTTENS LÄN</t>
        </is>
      </c>
      <c r="E897" t="inlineStr">
        <is>
          <t>SKELLEFTEÅ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33710-2023</t>
        </is>
      </c>
      <c r="B898" s="1" t="n">
        <v>45132.92306712963</v>
      </c>
      <c r="C898" s="1" t="n">
        <v>45931</v>
      </c>
      <c r="D898" t="inlineStr">
        <is>
          <t>VÄSTERBOTTENS LÄN</t>
        </is>
      </c>
      <c r="E898" t="inlineStr">
        <is>
          <t>SKELLEFTEÅ</t>
        </is>
      </c>
      <c r="G898" t="n">
        <v>0.3</v>
      </c>
      <c r="H898" t="n">
        <v>0</v>
      </c>
      <c r="I898" t="n">
        <v>0</v>
      </c>
      <c r="J898" t="n">
        <v>0</v>
      </c>
      <c r="K898" t="n">
        <v>0</v>
      </c>
      <c r="L898" t="n">
        <v>0</v>
      </c>
      <c r="M898" t="n">
        <v>0</v>
      </c>
      <c r="N898" t="n">
        <v>0</v>
      </c>
      <c r="O898" t="n">
        <v>0</v>
      </c>
      <c r="P898" t="n">
        <v>0</v>
      </c>
      <c r="Q898" t="n">
        <v>0</v>
      </c>
      <c r="R898" s="2" t="inlineStr"/>
    </row>
    <row r="899" ht="15" customHeight="1">
      <c r="A899" t="inlineStr">
        <is>
          <t>A 43748-2024</t>
        </is>
      </c>
      <c r="B899" s="1" t="n">
        <v>45569.66576388889</v>
      </c>
      <c r="C899" s="1" t="n">
        <v>45931</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39371-2024</t>
        </is>
      </c>
      <c r="B900" s="1" t="n">
        <v>45551</v>
      </c>
      <c r="C900" s="1" t="n">
        <v>45931</v>
      </c>
      <c r="D900" t="inlineStr">
        <is>
          <t>VÄSTERBOTTENS LÄN</t>
        </is>
      </c>
      <c r="E900" t="inlineStr">
        <is>
          <t>SKELLEFTEÅ</t>
        </is>
      </c>
      <c r="G900" t="n">
        <v>9.6</v>
      </c>
      <c r="H900" t="n">
        <v>0</v>
      </c>
      <c r="I900" t="n">
        <v>0</v>
      </c>
      <c r="J900" t="n">
        <v>0</v>
      </c>
      <c r="K900" t="n">
        <v>0</v>
      </c>
      <c r="L900" t="n">
        <v>0</v>
      </c>
      <c r="M900" t="n">
        <v>0</v>
      </c>
      <c r="N900" t="n">
        <v>0</v>
      </c>
      <c r="O900" t="n">
        <v>0</v>
      </c>
      <c r="P900" t="n">
        <v>0</v>
      </c>
      <c r="Q900" t="n">
        <v>0</v>
      </c>
      <c r="R900" s="2" t="inlineStr"/>
    </row>
    <row r="901" ht="15" customHeight="1">
      <c r="A901" t="inlineStr">
        <is>
          <t>A 39146-2024</t>
        </is>
      </c>
      <c r="B901" s="1" t="n">
        <v>45548.61752314815</v>
      </c>
      <c r="C901" s="1" t="n">
        <v>45931</v>
      </c>
      <c r="D901" t="inlineStr">
        <is>
          <t>VÄSTERBOTTENS LÄN</t>
        </is>
      </c>
      <c r="E901" t="inlineStr">
        <is>
          <t>SKELLEFTEÅ</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70718-2021</t>
        </is>
      </c>
      <c r="B902" s="1" t="n">
        <v>44536</v>
      </c>
      <c r="C902" s="1" t="n">
        <v>45931</v>
      </c>
      <c r="D902" t="inlineStr">
        <is>
          <t>VÄSTERBOTTENS LÄN</t>
        </is>
      </c>
      <c r="E902" t="inlineStr">
        <is>
          <t>SKELLEFTEÅ</t>
        </is>
      </c>
      <c r="G902" t="n">
        <v>3.3</v>
      </c>
      <c r="H902" t="n">
        <v>0</v>
      </c>
      <c r="I902" t="n">
        <v>0</v>
      </c>
      <c r="J902" t="n">
        <v>0</v>
      </c>
      <c r="K902" t="n">
        <v>0</v>
      </c>
      <c r="L902" t="n">
        <v>0</v>
      </c>
      <c r="M902" t="n">
        <v>0</v>
      </c>
      <c r="N902" t="n">
        <v>0</v>
      </c>
      <c r="O902" t="n">
        <v>0</v>
      </c>
      <c r="P902" t="n">
        <v>0</v>
      </c>
      <c r="Q902" t="n">
        <v>0</v>
      </c>
      <c r="R902" s="2" t="inlineStr"/>
    </row>
    <row r="903" ht="15" customHeight="1">
      <c r="A903" t="inlineStr">
        <is>
          <t>A 53420-2024</t>
        </is>
      </c>
      <c r="B903" s="1" t="n">
        <v>45614.51158564815</v>
      </c>
      <c r="C903" s="1" t="n">
        <v>45931</v>
      </c>
      <c r="D903" t="inlineStr">
        <is>
          <t>VÄSTERBOTTENS LÄN</t>
        </is>
      </c>
      <c r="E903" t="inlineStr">
        <is>
          <t>SKELLEFTEÅ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22072-2024</t>
        </is>
      </c>
      <c r="B904" s="1" t="n">
        <v>45443.63575231482</v>
      </c>
      <c r="C904" s="1" t="n">
        <v>45931</v>
      </c>
      <c r="D904" t="inlineStr">
        <is>
          <t>VÄSTERBOTTENS LÄN</t>
        </is>
      </c>
      <c r="E904" t="inlineStr">
        <is>
          <t>SKELLEFTEÅ</t>
        </is>
      </c>
      <c r="F904" t="inlineStr">
        <is>
          <t>Holmen skog AB</t>
        </is>
      </c>
      <c r="G904" t="n">
        <v>6</v>
      </c>
      <c r="H904" t="n">
        <v>0</v>
      </c>
      <c r="I904" t="n">
        <v>0</v>
      </c>
      <c r="J904" t="n">
        <v>0</v>
      </c>
      <c r="K904" t="n">
        <v>0</v>
      </c>
      <c r="L904" t="n">
        <v>0</v>
      </c>
      <c r="M904" t="n">
        <v>0</v>
      </c>
      <c r="N904" t="n">
        <v>0</v>
      </c>
      <c r="O904" t="n">
        <v>0</v>
      </c>
      <c r="P904" t="n">
        <v>0</v>
      </c>
      <c r="Q904" t="n">
        <v>0</v>
      </c>
      <c r="R904" s="2" t="inlineStr"/>
    </row>
    <row r="905" ht="15" customHeight="1">
      <c r="A905" t="inlineStr">
        <is>
          <t>A 21131-2025</t>
        </is>
      </c>
      <c r="B905" s="1" t="n">
        <v>45778.36864583333</v>
      </c>
      <c r="C905" s="1" t="n">
        <v>45931</v>
      </c>
      <c r="D905" t="inlineStr">
        <is>
          <t>VÄSTERBOTTENS LÄN</t>
        </is>
      </c>
      <c r="E905" t="inlineStr">
        <is>
          <t>SKELLEFTEÅ</t>
        </is>
      </c>
      <c r="G905" t="n">
        <v>2</v>
      </c>
      <c r="H905" t="n">
        <v>0</v>
      </c>
      <c r="I905" t="n">
        <v>0</v>
      </c>
      <c r="J905" t="n">
        <v>0</v>
      </c>
      <c r="K905" t="n">
        <v>0</v>
      </c>
      <c r="L905" t="n">
        <v>0</v>
      </c>
      <c r="M905" t="n">
        <v>0</v>
      </c>
      <c r="N905" t="n">
        <v>0</v>
      </c>
      <c r="O905" t="n">
        <v>0</v>
      </c>
      <c r="P905" t="n">
        <v>0</v>
      </c>
      <c r="Q905" t="n">
        <v>0</v>
      </c>
      <c r="R905" s="2" t="inlineStr"/>
    </row>
    <row r="906" ht="15" customHeight="1">
      <c r="A906" t="inlineStr">
        <is>
          <t>A 19729-2025</t>
        </is>
      </c>
      <c r="B906" s="1" t="n">
        <v>45771.36559027778</v>
      </c>
      <c r="C906" s="1" t="n">
        <v>45931</v>
      </c>
      <c r="D906" t="inlineStr">
        <is>
          <t>VÄSTERBOTTENS LÄN</t>
        </is>
      </c>
      <c r="E906" t="inlineStr">
        <is>
          <t>SKELLEFTEÅ</t>
        </is>
      </c>
      <c r="G906" t="n">
        <v>8.5</v>
      </c>
      <c r="H906" t="n">
        <v>0</v>
      </c>
      <c r="I906" t="n">
        <v>0</v>
      </c>
      <c r="J906" t="n">
        <v>0</v>
      </c>
      <c r="K906" t="n">
        <v>0</v>
      </c>
      <c r="L906" t="n">
        <v>0</v>
      </c>
      <c r="M906" t="n">
        <v>0</v>
      </c>
      <c r="N906" t="n">
        <v>0</v>
      </c>
      <c r="O906" t="n">
        <v>0</v>
      </c>
      <c r="P906" t="n">
        <v>0</v>
      </c>
      <c r="Q906" t="n">
        <v>0</v>
      </c>
      <c r="R906" s="2" t="inlineStr"/>
    </row>
    <row r="907" ht="15" customHeight="1">
      <c r="A907" t="inlineStr">
        <is>
          <t>A 19730-2025</t>
        </is>
      </c>
      <c r="B907" s="1" t="n">
        <v>45771.36560185185</v>
      </c>
      <c r="C907" s="1" t="n">
        <v>45931</v>
      </c>
      <c r="D907" t="inlineStr">
        <is>
          <t>VÄSTERBOTTENS LÄN</t>
        </is>
      </c>
      <c r="E907" t="inlineStr">
        <is>
          <t>SKELLEFTEÅ</t>
        </is>
      </c>
      <c r="G907" t="n">
        <v>1.1</v>
      </c>
      <c r="H907" t="n">
        <v>0</v>
      </c>
      <c r="I907" t="n">
        <v>0</v>
      </c>
      <c r="J907" t="n">
        <v>0</v>
      </c>
      <c r="K907" t="n">
        <v>0</v>
      </c>
      <c r="L907" t="n">
        <v>0</v>
      </c>
      <c r="M907" t="n">
        <v>0</v>
      </c>
      <c r="N907" t="n">
        <v>0</v>
      </c>
      <c r="O907" t="n">
        <v>0</v>
      </c>
      <c r="P907" t="n">
        <v>0</v>
      </c>
      <c r="Q907" t="n">
        <v>0</v>
      </c>
      <c r="R907" s="2" t="inlineStr"/>
    </row>
    <row r="908" ht="15" customHeight="1">
      <c r="A908" t="inlineStr">
        <is>
          <t>A 7816-2025</t>
        </is>
      </c>
      <c r="B908" s="1" t="n">
        <v>45706.63597222222</v>
      </c>
      <c r="C908" s="1" t="n">
        <v>45931</v>
      </c>
      <c r="D908" t="inlineStr">
        <is>
          <t>VÄSTERBOTTENS LÄN</t>
        </is>
      </c>
      <c r="E908" t="inlineStr">
        <is>
          <t>SKELLEFTEÅ</t>
        </is>
      </c>
      <c r="G908" t="n">
        <v>4</v>
      </c>
      <c r="H908" t="n">
        <v>0</v>
      </c>
      <c r="I908" t="n">
        <v>0</v>
      </c>
      <c r="J908" t="n">
        <v>0</v>
      </c>
      <c r="K908" t="n">
        <v>0</v>
      </c>
      <c r="L908" t="n">
        <v>0</v>
      </c>
      <c r="M908" t="n">
        <v>0</v>
      </c>
      <c r="N908" t="n">
        <v>0</v>
      </c>
      <c r="O908" t="n">
        <v>0</v>
      </c>
      <c r="P908" t="n">
        <v>0</v>
      </c>
      <c r="Q908" t="n">
        <v>0</v>
      </c>
      <c r="R908" s="2" t="inlineStr"/>
    </row>
    <row r="909" ht="15" customHeight="1">
      <c r="A909" t="inlineStr">
        <is>
          <t>A 39089-2025</t>
        </is>
      </c>
      <c r="B909" s="1" t="n">
        <v>45887</v>
      </c>
      <c r="C909" s="1" t="n">
        <v>45931</v>
      </c>
      <c r="D909" t="inlineStr">
        <is>
          <t>VÄSTERBOTTENS LÄN</t>
        </is>
      </c>
      <c r="E909" t="inlineStr">
        <is>
          <t>SKELLEFTEÅ</t>
        </is>
      </c>
      <c r="G909" t="n">
        <v>31.5</v>
      </c>
      <c r="H909" t="n">
        <v>0</v>
      </c>
      <c r="I909" t="n">
        <v>0</v>
      </c>
      <c r="J909" t="n">
        <v>0</v>
      </c>
      <c r="K909" t="n">
        <v>0</v>
      </c>
      <c r="L909" t="n">
        <v>0</v>
      </c>
      <c r="M909" t="n">
        <v>0</v>
      </c>
      <c r="N909" t="n">
        <v>0</v>
      </c>
      <c r="O909" t="n">
        <v>0</v>
      </c>
      <c r="P909" t="n">
        <v>0</v>
      </c>
      <c r="Q909" t="n">
        <v>0</v>
      </c>
      <c r="R909" s="2" t="inlineStr"/>
    </row>
    <row r="910" ht="15" customHeight="1">
      <c r="A910" t="inlineStr">
        <is>
          <t>A 22663-2021</t>
        </is>
      </c>
      <c r="B910" s="1" t="n">
        <v>44327</v>
      </c>
      <c r="C910" s="1" t="n">
        <v>45931</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6244-2024</t>
        </is>
      </c>
      <c r="B911" s="1" t="n">
        <v>45337</v>
      </c>
      <c r="C911" s="1" t="n">
        <v>45931</v>
      </c>
      <c r="D911" t="inlineStr">
        <is>
          <t>VÄSTERBOTTENS LÄN</t>
        </is>
      </c>
      <c r="E911" t="inlineStr">
        <is>
          <t>SKELLEFTEÅ</t>
        </is>
      </c>
      <c r="G911" t="n">
        <v>1.2</v>
      </c>
      <c r="H911" t="n">
        <v>0</v>
      </c>
      <c r="I911" t="n">
        <v>0</v>
      </c>
      <c r="J911" t="n">
        <v>0</v>
      </c>
      <c r="K911" t="n">
        <v>0</v>
      </c>
      <c r="L911" t="n">
        <v>0</v>
      </c>
      <c r="M911" t="n">
        <v>0</v>
      </c>
      <c r="N911" t="n">
        <v>0</v>
      </c>
      <c r="O911" t="n">
        <v>0</v>
      </c>
      <c r="P911" t="n">
        <v>0</v>
      </c>
      <c r="Q911" t="n">
        <v>0</v>
      </c>
      <c r="R911" s="2" t="inlineStr"/>
    </row>
    <row r="912" ht="15" customHeight="1">
      <c r="A912" t="inlineStr">
        <is>
          <t>A 56993-2022</t>
        </is>
      </c>
      <c r="B912" s="1" t="n">
        <v>44894</v>
      </c>
      <c r="C912" s="1" t="n">
        <v>45931</v>
      </c>
      <c r="D912" t="inlineStr">
        <is>
          <t>VÄSTERBOTTENS LÄN</t>
        </is>
      </c>
      <c r="E912" t="inlineStr">
        <is>
          <t>SKELLEFTEÅ</t>
        </is>
      </c>
      <c r="G912" t="n">
        <v>4.9</v>
      </c>
      <c r="H912" t="n">
        <v>0</v>
      </c>
      <c r="I912" t="n">
        <v>0</v>
      </c>
      <c r="J912" t="n">
        <v>0</v>
      </c>
      <c r="K912" t="n">
        <v>0</v>
      </c>
      <c r="L912" t="n">
        <v>0</v>
      </c>
      <c r="M912" t="n">
        <v>0</v>
      </c>
      <c r="N912" t="n">
        <v>0</v>
      </c>
      <c r="O912" t="n">
        <v>0</v>
      </c>
      <c r="P912" t="n">
        <v>0</v>
      </c>
      <c r="Q912" t="n">
        <v>0</v>
      </c>
      <c r="R912" s="2" t="inlineStr"/>
    </row>
    <row r="913" ht="15" customHeight="1">
      <c r="A913" t="inlineStr">
        <is>
          <t>A 20865-2025</t>
        </is>
      </c>
      <c r="B913" s="1" t="n">
        <v>45777.34438657408</v>
      </c>
      <c r="C913" s="1" t="n">
        <v>45931</v>
      </c>
      <c r="D913" t="inlineStr">
        <is>
          <t>VÄSTERBOTTENS LÄN</t>
        </is>
      </c>
      <c r="E913" t="inlineStr">
        <is>
          <t>SKELLEFTEÅ</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14346-2025</t>
        </is>
      </c>
      <c r="B914" s="1" t="n">
        <v>45741.3443287037</v>
      </c>
      <c r="C914" s="1" t="n">
        <v>45931</v>
      </c>
      <c r="D914" t="inlineStr">
        <is>
          <t>VÄSTERBOTTENS LÄN</t>
        </is>
      </c>
      <c r="E914" t="inlineStr">
        <is>
          <t>SKELLEFTEÅ</t>
        </is>
      </c>
      <c r="G914" t="n">
        <v>3.3</v>
      </c>
      <c r="H914" t="n">
        <v>0</v>
      </c>
      <c r="I914" t="n">
        <v>0</v>
      </c>
      <c r="J914" t="n">
        <v>0</v>
      </c>
      <c r="K914" t="n">
        <v>0</v>
      </c>
      <c r="L914" t="n">
        <v>0</v>
      </c>
      <c r="M914" t="n">
        <v>0</v>
      </c>
      <c r="N914" t="n">
        <v>0</v>
      </c>
      <c r="O914" t="n">
        <v>0</v>
      </c>
      <c r="P914" t="n">
        <v>0</v>
      </c>
      <c r="Q914" t="n">
        <v>0</v>
      </c>
      <c r="R914" s="2" t="inlineStr"/>
    </row>
    <row r="915" ht="15" customHeight="1">
      <c r="A915" t="inlineStr">
        <is>
          <t>A 4617-2024</t>
        </is>
      </c>
      <c r="B915" s="1" t="n">
        <v>45327</v>
      </c>
      <c r="C915" s="1" t="n">
        <v>45931</v>
      </c>
      <c r="D915" t="inlineStr">
        <is>
          <t>VÄSTERBOTTENS LÄN</t>
        </is>
      </c>
      <c r="E915" t="inlineStr">
        <is>
          <t>SKELLEFTEÅ</t>
        </is>
      </c>
      <c r="G915" t="n">
        <v>0.8</v>
      </c>
      <c r="H915" t="n">
        <v>0</v>
      </c>
      <c r="I915" t="n">
        <v>0</v>
      </c>
      <c r="J915" t="n">
        <v>0</v>
      </c>
      <c r="K915" t="n">
        <v>0</v>
      </c>
      <c r="L915" t="n">
        <v>0</v>
      </c>
      <c r="M915" t="n">
        <v>0</v>
      </c>
      <c r="N915" t="n">
        <v>0</v>
      </c>
      <c r="O915" t="n">
        <v>0</v>
      </c>
      <c r="P915" t="n">
        <v>0</v>
      </c>
      <c r="Q915" t="n">
        <v>0</v>
      </c>
      <c r="R915" s="2" t="inlineStr"/>
    </row>
    <row r="916" ht="15" customHeight="1">
      <c r="A916" t="inlineStr">
        <is>
          <t>A 4656-2024</t>
        </is>
      </c>
      <c r="B916" s="1" t="n">
        <v>45327</v>
      </c>
      <c r="C916" s="1" t="n">
        <v>45931</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54825-2022</t>
        </is>
      </c>
      <c r="B917" s="1" t="n">
        <v>44883</v>
      </c>
      <c r="C917" s="1" t="n">
        <v>45931</v>
      </c>
      <c r="D917" t="inlineStr">
        <is>
          <t>VÄSTERBOTTENS LÄN</t>
        </is>
      </c>
      <c r="E917" t="inlineStr">
        <is>
          <t>SKELLEFTEÅ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58776-2024</t>
        </is>
      </c>
      <c r="B918" s="1" t="n">
        <v>45635.80726851852</v>
      </c>
      <c r="C918" s="1" t="n">
        <v>45931</v>
      </c>
      <c r="D918" t="inlineStr">
        <is>
          <t>VÄSTERBOTTENS LÄN</t>
        </is>
      </c>
      <c r="E918" t="inlineStr">
        <is>
          <t>SKELLEFTEÅ</t>
        </is>
      </c>
      <c r="F918" t="inlineStr">
        <is>
          <t>Sveaskog</t>
        </is>
      </c>
      <c r="G918" t="n">
        <v>4.4</v>
      </c>
      <c r="H918" t="n">
        <v>0</v>
      </c>
      <c r="I918" t="n">
        <v>0</v>
      </c>
      <c r="J918" t="n">
        <v>0</v>
      </c>
      <c r="K918" t="n">
        <v>0</v>
      </c>
      <c r="L918" t="n">
        <v>0</v>
      </c>
      <c r="M918" t="n">
        <v>0</v>
      </c>
      <c r="N918" t="n">
        <v>0</v>
      </c>
      <c r="O918" t="n">
        <v>0</v>
      </c>
      <c r="P918" t="n">
        <v>0</v>
      </c>
      <c r="Q918" t="n">
        <v>0</v>
      </c>
      <c r="R918" s="2" t="inlineStr"/>
    </row>
    <row r="919" ht="15" customHeight="1">
      <c r="A919" t="inlineStr">
        <is>
          <t>A 49429-2024</t>
        </is>
      </c>
      <c r="B919" s="1" t="n">
        <v>45595.80703703704</v>
      </c>
      <c r="C919" s="1" t="n">
        <v>45931</v>
      </c>
      <c r="D919" t="inlineStr">
        <is>
          <t>VÄSTERBOTTENS LÄN</t>
        </is>
      </c>
      <c r="E919" t="inlineStr">
        <is>
          <t>SKELLEFTEÅ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39064-2025</t>
        </is>
      </c>
      <c r="B920" s="1" t="n">
        <v>45888.46336805556</v>
      </c>
      <c r="C920" s="1" t="n">
        <v>45931</v>
      </c>
      <c r="D920" t="inlineStr">
        <is>
          <t>VÄSTERBOTTENS LÄN</t>
        </is>
      </c>
      <c r="E920" t="inlineStr">
        <is>
          <t>SKELLEFTEÅ</t>
        </is>
      </c>
      <c r="F920" t="inlineStr">
        <is>
          <t>Holmen skog AB</t>
        </is>
      </c>
      <c r="G920" t="n">
        <v>10</v>
      </c>
      <c r="H920" t="n">
        <v>0</v>
      </c>
      <c r="I920" t="n">
        <v>0</v>
      </c>
      <c r="J920" t="n">
        <v>0</v>
      </c>
      <c r="K920" t="n">
        <v>0</v>
      </c>
      <c r="L920" t="n">
        <v>0</v>
      </c>
      <c r="M920" t="n">
        <v>0</v>
      </c>
      <c r="N920" t="n">
        <v>0</v>
      </c>
      <c r="O920" t="n">
        <v>0</v>
      </c>
      <c r="P920" t="n">
        <v>0</v>
      </c>
      <c r="Q920" t="n">
        <v>0</v>
      </c>
      <c r="R920" s="2" t="inlineStr"/>
    </row>
    <row r="921" ht="15" customHeight="1">
      <c r="A921" t="inlineStr">
        <is>
          <t>A 53124-2024</t>
        </is>
      </c>
      <c r="B921" s="1" t="n">
        <v>45611.58855324074</v>
      </c>
      <c r="C921" s="1" t="n">
        <v>45931</v>
      </c>
      <c r="D921" t="inlineStr">
        <is>
          <t>VÄSTERBOTTENS LÄN</t>
        </is>
      </c>
      <c r="E921" t="inlineStr">
        <is>
          <t>SKELLEFTEÅ</t>
        </is>
      </c>
      <c r="F921" t="inlineStr">
        <is>
          <t>Holmen skog AB</t>
        </is>
      </c>
      <c r="G921" t="n">
        <v>6.8</v>
      </c>
      <c r="H921" t="n">
        <v>0</v>
      </c>
      <c r="I921" t="n">
        <v>0</v>
      </c>
      <c r="J921" t="n">
        <v>0</v>
      </c>
      <c r="K921" t="n">
        <v>0</v>
      </c>
      <c r="L921" t="n">
        <v>0</v>
      </c>
      <c r="M921" t="n">
        <v>0</v>
      </c>
      <c r="N921" t="n">
        <v>0</v>
      </c>
      <c r="O921" t="n">
        <v>0</v>
      </c>
      <c r="P921" t="n">
        <v>0</v>
      </c>
      <c r="Q921" t="n">
        <v>0</v>
      </c>
      <c r="R921" s="2" t="inlineStr"/>
    </row>
    <row r="922" ht="15" customHeight="1">
      <c r="A922" t="inlineStr">
        <is>
          <t>A 44078-2023</t>
        </is>
      </c>
      <c r="B922" s="1" t="n">
        <v>45188.41950231481</v>
      </c>
      <c r="C922" s="1" t="n">
        <v>45931</v>
      </c>
      <c r="D922" t="inlineStr">
        <is>
          <t>VÄSTERBOTTENS LÄN</t>
        </is>
      </c>
      <c r="E922" t="inlineStr">
        <is>
          <t>SKELLEFTEÅ</t>
        </is>
      </c>
      <c r="F922" t="inlineStr">
        <is>
          <t>Holmen skog AB</t>
        </is>
      </c>
      <c r="G922" t="n">
        <v>13.7</v>
      </c>
      <c r="H922" t="n">
        <v>0</v>
      </c>
      <c r="I922" t="n">
        <v>0</v>
      </c>
      <c r="J922" t="n">
        <v>0</v>
      </c>
      <c r="K922" t="n">
        <v>0</v>
      </c>
      <c r="L922" t="n">
        <v>0</v>
      </c>
      <c r="M922" t="n">
        <v>0</v>
      </c>
      <c r="N922" t="n">
        <v>0</v>
      </c>
      <c r="O922" t="n">
        <v>0</v>
      </c>
      <c r="P922" t="n">
        <v>0</v>
      </c>
      <c r="Q922" t="n">
        <v>0</v>
      </c>
      <c r="R922" s="2" t="inlineStr"/>
    </row>
    <row r="923" ht="15" customHeight="1">
      <c r="A923" t="inlineStr">
        <is>
          <t>A 55409-2023</t>
        </is>
      </c>
      <c r="B923" s="1" t="n">
        <v>45231</v>
      </c>
      <c r="C923" s="1" t="n">
        <v>45931</v>
      </c>
      <c r="D923" t="inlineStr">
        <is>
          <t>VÄSTERBOTTENS LÄN</t>
        </is>
      </c>
      <c r="E923" t="inlineStr">
        <is>
          <t>SKELLEFTEÅ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39105-2025</t>
        </is>
      </c>
      <c r="B924" s="1" t="n">
        <v>45888.52792824074</v>
      </c>
      <c r="C924" s="1" t="n">
        <v>45931</v>
      </c>
      <c r="D924" t="inlineStr">
        <is>
          <t>VÄSTERBOTTENS LÄN</t>
        </is>
      </c>
      <c r="E924" t="inlineStr">
        <is>
          <t>SKELLEFTEÅ</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21420-2025</t>
        </is>
      </c>
      <c r="B925" s="1" t="n">
        <v>45782.5021875</v>
      </c>
      <c r="C925" s="1" t="n">
        <v>45931</v>
      </c>
      <c r="D925" t="inlineStr">
        <is>
          <t>VÄSTERBOTTENS LÄN</t>
        </is>
      </c>
      <c r="E925" t="inlineStr">
        <is>
          <t>SKELLEFTEÅ</t>
        </is>
      </c>
      <c r="G925" t="n">
        <v>1.1</v>
      </c>
      <c r="H925" t="n">
        <v>0</v>
      </c>
      <c r="I925" t="n">
        <v>0</v>
      </c>
      <c r="J925" t="n">
        <v>0</v>
      </c>
      <c r="K925" t="n">
        <v>0</v>
      </c>
      <c r="L925" t="n">
        <v>0</v>
      </c>
      <c r="M925" t="n">
        <v>0</v>
      </c>
      <c r="N925" t="n">
        <v>0</v>
      </c>
      <c r="O925" t="n">
        <v>0</v>
      </c>
      <c r="P925" t="n">
        <v>0</v>
      </c>
      <c r="Q925" t="n">
        <v>0</v>
      </c>
      <c r="R925" s="2" t="inlineStr"/>
    </row>
    <row r="926" ht="15" customHeight="1">
      <c r="A926" t="inlineStr">
        <is>
          <t>A 41109-2023</t>
        </is>
      </c>
      <c r="B926" s="1" t="n">
        <v>45170</v>
      </c>
      <c r="C926" s="1" t="n">
        <v>45931</v>
      </c>
      <c r="D926" t="inlineStr">
        <is>
          <t>VÄSTERBOTTENS LÄN</t>
        </is>
      </c>
      <c r="E926" t="inlineStr">
        <is>
          <t>SKELLEFTEÅ</t>
        </is>
      </c>
      <c r="G926" t="n">
        <v>5.9</v>
      </c>
      <c r="H926" t="n">
        <v>0</v>
      </c>
      <c r="I926" t="n">
        <v>0</v>
      </c>
      <c r="J926" t="n">
        <v>0</v>
      </c>
      <c r="K926" t="n">
        <v>0</v>
      </c>
      <c r="L926" t="n">
        <v>0</v>
      </c>
      <c r="M926" t="n">
        <v>0</v>
      </c>
      <c r="N926" t="n">
        <v>0</v>
      </c>
      <c r="O926" t="n">
        <v>0</v>
      </c>
      <c r="P926" t="n">
        <v>0</v>
      </c>
      <c r="Q926" t="n">
        <v>0</v>
      </c>
      <c r="R926" s="2" t="inlineStr"/>
    </row>
    <row r="927" ht="15" customHeight="1">
      <c r="A927" t="inlineStr">
        <is>
          <t>A 21207-2025</t>
        </is>
      </c>
      <c r="B927" s="1" t="n">
        <v>45779.48564814815</v>
      </c>
      <c r="C927" s="1" t="n">
        <v>45931</v>
      </c>
      <c r="D927" t="inlineStr">
        <is>
          <t>VÄSTERBOTTENS LÄN</t>
        </is>
      </c>
      <c r="E927" t="inlineStr">
        <is>
          <t>SKELLEFTEÅ</t>
        </is>
      </c>
      <c r="F927" t="inlineStr">
        <is>
          <t>Holmen skog AB</t>
        </is>
      </c>
      <c r="G927" t="n">
        <v>4.8</v>
      </c>
      <c r="H927" t="n">
        <v>0</v>
      </c>
      <c r="I927" t="n">
        <v>0</v>
      </c>
      <c r="J927" t="n">
        <v>0</v>
      </c>
      <c r="K927" t="n">
        <v>0</v>
      </c>
      <c r="L927" t="n">
        <v>0</v>
      </c>
      <c r="M927" t="n">
        <v>0</v>
      </c>
      <c r="N927" t="n">
        <v>0</v>
      </c>
      <c r="O927" t="n">
        <v>0</v>
      </c>
      <c r="P927" t="n">
        <v>0</v>
      </c>
      <c r="Q927" t="n">
        <v>0</v>
      </c>
      <c r="R927" s="2" t="inlineStr"/>
    </row>
    <row r="928" ht="15" customHeight="1">
      <c r="A928" t="inlineStr">
        <is>
          <t>A 47309-2025</t>
        </is>
      </c>
      <c r="B928" s="1" t="n">
        <v>45930.53519675926</v>
      </c>
      <c r="C928" s="1" t="n">
        <v>45931</v>
      </c>
      <c r="D928" t="inlineStr">
        <is>
          <t>VÄSTERBOTTENS LÄN</t>
        </is>
      </c>
      <c r="E928" t="inlineStr">
        <is>
          <t>SKELLEFTEÅ</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39589-2023</t>
        </is>
      </c>
      <c r="B929" s="1" t="n">
        <v>45167.44805555556</v>
      </c>
      <c r="C929" s="1" t="n">
        <v>45931</v>
      </c>
      <c r="D929" t="inlineStr">
        <is>
          <t>VÄSTERBOTTENS LÄN</t>
        </is>
      </c>
      <c r="E929" t="inlineStr">
        <is>
          <t>SKELLEFTEÅ</t>
        </is>
      </c>
      <c r="F929" t="inlineStr">
        <is>
          <t>Holmen skog AB</t>
        </is>
      </c>
      <c r="G929" t="n">
        <v>5.5</v>
      </c>
      <c r="H929" t="n">
        <v>0</v>
      </c>
      <c r="I929" t="n">
        <v>0</v>
      </c>
      <c r="J929" t="n">
        <v>0</v>
      </c>
      <c r="K929" t="n">
        <v>0</v>
      </c>
      <c r="L929" t="n">
        <v>0</v>
      </c>
      <c r="M929" t="n">
        <v>0</v>
      </c>
      <c r="N929" t="n">
        <v>0</v>
      </c>
      <c r="O929" t="n">
        <v>0</v>
      </c>
      <c r="P929" t="n">
        <v>0</v>
      </c>
      <c r="Q929" t="n">
        <v>0</v>
      </c>
      <c r="R929" s="2" t="inlineStr"/>
    </row>
    <row r="930" ht="15" customHeight="1">
      <c r="A930" t="inlineStr">
        <is>
          <t>A 46107-2023</t>
        </is>
      </c>
      <c r="B930" s="1" t="n">
        <v>45190</v>
      </c>
      <c r="C930" s="1" t="n">
        <v>45931</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58751-2023</t>
        </is>
      </c>
      <c r="B931" s="1" t="n">
        <v>45251</v>
      </c>
      <c r="C931" s="1" t="n">
        <v>45931</v>
      </c>
      <c r="D931" t="inlineStr">
        <is>
          <t>VÄSTERBOTTENS LÄN</t>
        </is>
      </c>
      <c r="E931" t="inlineStr">
        <is>
          <t>SKELLEFTEÅ</t>
        </is>
      </c>
      <c r="G931" t="n">
        <v>3.2</v>
      </c>
      <c r="H931" t="n">
        <v>0</v>
      </c>
      <c r="I931" t="n">
        <v>0</v>
      </c>
      <c r="J931" t="n">
        <v>0</v>
      </c>
      <c r="K931" t="n">
        <v>0</v>
      </c>
      <c r="L931" t="n">
        <v>0</v>
      </c>
      <c r="M931" t="n">
        <v>0</v>
      </c>
      <c r="N931" t="n">
        <v>0</v>
      </c>
      <c r="O931" t="n">
        <v>0</v>
      </c>
      <c r="P931" t="n">
        <v>0</v>
      </c>
      <c r="Q931" t="n">
        <v>0</v>
      </c>
      <c r="R931" s="2" t="inlineStr"/>
    </row>
    <row r="932" ht="15" customHeight="1">
      <c r="A932" t="inlineStr">
        <is>
          <t>A 21424-2025</t>
        </is>
      </c>
      <c r="B932" s="1" t="n">
        <v>45782.50584490741</v>
      </c>
      <c r="C932" s="1" t="n">
        <v>45931</v>
      </c>
      <c r="D932" t="inlineStr">
        <is>
          <t>VÄSTERBOTTENS LÄN</t>
        </is>
      </c>
      <c r="E932" t="inlineStr">
        <is>
          <t>SKELLEFTEÅ</t>
        </is>
      </c>
      <c r="G932" t="n">
        <v>1.9</v>
      </c>
      <c r="H932" t="n">
        <v>0</v>
      </c>
      <c r="I932" t="n">
        <v>0</v>
      </c>
      <c r="J932" t="n">
        <v>0</v>
      </c>
      <c r="K932" t="n">
        <v>0</v>
      </c>
      <c r="L932" t="n">
        <v>0</v>
      </c>
      <c r="M932" t="n">
        <v>0</v>
      </c>
      <c r="N932" t="n">
        <v>0</v>
      </c>
      <c r="O932" t="n">
        <v>0</v>
      </c>
      <c r="P932" t="n">
        <v>0</v>
      </c>
      <c r="Q932" t="n">
        <v>0</v>
      </c>
      <c r="R932" s="2" t="inlineStr"/>
    </row>
    <row r="933" ht="15" customHeight="1">
      <c r="A933" t="inlineStr">
        <is>
          <t>A 31558-2023</t>
        </is>
      </c>
      <c r="B933" s="1" t="n">
        <v>45104</v>
      </c>
      <c r="C933" s="1" t="n">
        <v>45931</v>
      </c>
      <c r="D933" t="inlineStr">
        <is>
          <t>VÄSTERBOTTENS LÄN</t>
        </is>
      </c>
      <c r="E933" t="inlineStr">
        <is>
          <t>SKELLEFTEÅ</t>
        </is>
      </c>
      <c r="G933" t="n">
        <v>6.2</v>
      </c>
      <c r="H933" t="n">
        <v>0</v>
      </c>
      <c r="I933" t="n">
        <v>0</v>
      </c>
      <c r="J933" t="n">
        <v>0</v>
      </c>
      <c r="K933" t="n">
        <v>0</v>
      </c>
      <c r="L933" t="n">
        <v>0</v>
      </c>
      <c r="M933" t="n">
        <v>0</v>
      </c>
      <c r="N933" t="n">
        <v>0</v>
      </c>
      <c r="O933" t="n">
        <v>0</v>
      </c>
      <c r="P933" t="n">
        <v>0</v>
      </c>
      <c r="Q933" t="n">
        <v>0</v>
      </c>
      <c r="R933" s="2" t="inlineStr"/>
    </row>
    <row r="934" ht="15" customHeight="1">
      <c r="A934" t="inlineStr">
        <is>
          <t>A 38778-2025</t>
        </is>
      </c>
      <c r="B934" s="1" t="n">
        <v>45887.43694444445</v>
      </c>
      <c r="C934" s="1" t="n">
        <v>45931</v>
      </c>
      <c r="D934" t="inlineStr">
        <is>
          <t>VÄSTERBOTTENS LÄN</t>
        </is>
      </c>
      <c r="E934" t="inlineStr">
        <is>
          <t>SKELLEFTEÅ</t>
        </is>
      </c>
      <c r="G934" t="n">
        <v>19.7</v>
      </c>
      <c r="H934" t="n">
        <v>0</v>
      </c>
      <c r="I934" t="n">
        <v>0</v>
      </c>
      <c r="J934" t="n">
        <v>0</v>
      </c>
      <c r="K934" t="n">
        <v>0</v>
      </c>
      <c r="L934" t="n">
        <v>0</v>
      </c>
      <c r="M934" t="n">
        <v>0</v>
      </c>
      <c r="N934" t="n">
        <v>0</v>
      </c>
      <c r="O934" t="n">
        <v>0</v>
      </c>
      <c r="P934" t="n">
        <v>0</v>
      </c>
      <c r="Q934" t="n">
        <v>0</v>
      </c>
      <c r="R934" s="2" t="inlineStr"/>
    </row>
    <row r="935" ht="15" customHeight="1">
      <c r="A935" t="inlineStr">
        <is>
          <t>A 21427-2025</t>
        </is>
      </c>
      <c r="B935" s="1" t="n">
        <v>45782.50858796296</v>
      </c>
      <c r="C935" s="1" t="n">
        <v>45931</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31387-2025</t>
        </is>
      </c>
      <c r="B936" s="1" t="n">
        <v>45833</v>
      </c>
      <c r="C936" s="1" t="n">
        <v>45931</v>
      </c>
      <c r="D936" t="inlineStr">
        <is>
          <t>VÄSTERBOTTENS LÄN</t>
        </is>
      </c>
      <c r="E936" t="inlineStr">
        <is>
          <t>SKELLEFTEÅ</t>
        </is>
      </c>
      <c r="G936" t="n">
        <v>2.2</v>
      </c>
      <c r="H936" t="n">
        <v>0</v>
      </c>
      <c r="I936" t="n">
        <v>0</v>
      </c>
      <c r="J936" t="n">
        <v>0</v>
      </c>
      <c r="K936" t="n">
        <v>0</v>
      </c>
      <c r="L936" t="n">
        <v>0</v>
      </c>
      <c r="M936" t="n">
        <v>0</v>
      </c>
      <c r="N936" t="n">
        <v>0</v>
      </c>
      <c r="O936" t="n">
        <v>0</v>
      </c>
      <c r="P936" t="n">
        <v>0</v>
      </c>
      <c r="Q936" t="n">
        <v>0</v>
      </c>
      <c r="R936" s="2" t="inlineStr"/>
    </row>
    <row r="937" ht="15" customHeight="1">
      <c r="A937" t="inlineStr">
        <is>
          <t>A 11989-2023</t>
        </is>
      </c>
      <c r="B937" s="1" t="n">
        <v>44994</v>
      </c>
      <c r="C937" s="1" t="n">
        <v>45931</v>
      </c>
      <c r="D937" t="inlineStr">
        <is>
          <t>VÄSTERBOTTENS LÄN</t>
        </is>
      </c>
      <c r="E937" t="inlineStr">
        <is>
          <t>SKELLEFTEÅ</t>
        </is>
      </c>
      <c r="G937" t="n">
        <v>6.8</v>
      </c>
      <c r="H937" t="n">
        <v>0</v>
      </c>
      <c r="I937" t="n">
        <v>0</v>
      </c>
      <c r="J937" t="n">
        <v>0</v>
      </c>
      <c r="K937" t="n">
        <v>0</v>
      </c>
      <c r="L937" t="n">
        <v>0</v>
      </c>
      <c r="M937" t="n">
        <v>0</v>
      </c>
      <c r="N937" t="n">
        <v>0</v>
      </c>
      <c r="O937" t="n">
        <v>0</v>
      </c>
      <c r="P937" t="n">
        <v>0</v>
      </c>
      <c r="Q937" t="n">
        <v>0</v>
      </c>
      <c r="R937" s="2" t="inlineStr"/>
    </row>
    <row r="938" ht="15" customHeight="1">
      <c r="A938" t="inlineStr">
        <is>
          <t>A 21222-2025</t>
        </is>
      </c>
      <c r="B938" s="1" t="n">
        <v>45779.5078125</v>
      </c>
      <c r="C938" s="1" t="n">
        <v>45931</v>
      </c>
      <c r="D938" t="inlineStr">
        <is>
          <t>VÄSTERBOTTENS LÄN</t>
        </is>
      </c>
      <c r="E938" t="inlineStr">
        <is>
          <t>SKELLEFTEÅ</t>
        </is>
      </c>
      <c r="G938" t="n">
        <v>4.4</v>
      </c>
      <c r="H938" t="n">
        <v>0</v>
      </c>
      <c r="I938" t="n">
        <v>0</v>
      </c>
      <c r="J938" t="n">
        <v>0</v>
      </c>
      <c r="K938" t="n">
        <v>0</v>
      </c>
      <c r="L938" t="n">
        <v>0</v>
      </c>
      <c r="M938" t="n">
        <v>0</v>
      </c>
      <c r="N938" t="n">
        <v>0</v>
      </c>
      <c r="O938" t="n">
        <v>0</v>
      </c>
      <c r="P938" t="n">
        <v>0</v>
      </c>
      <c r="Q938" t="n">
        <v>0</v>
      </c>
      <c r="R938" s="2" t="inlineStr"/>
    </row>
    <row r="939" ht="15" customHeight="1">
      <c r="A939" t="inlineStr">
        <is>
          <t>A 46657-2024</t>
        </is>
      </c>
      <c r="B939" s="1" t="n">
        <v>45583.36118055556</v>
      </c>
      <c r="C939" s="1" t="n">
        <v>45931</v>
      </c>
      <c r="D939" t="inlineStr">
        <is>
          <t>VÄSTERBOTTENS LÄN</t>
        </is>
      </c>
      <c r="E939" t="inlineStr">
        <is>
          <t>SKELLEFTEÅ</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46731-2024</t>
        </is>
      </c>
      <c r="B940" s="1" t="n">
        <v>45583</v>
      </c>
      <c r="C940" s="1" t="n">
        <v>45931</v>
      </c>
      <c r="D940" t="inlineStr">
        <is>
          <t>VÄSTERBOTTENS LÄN</t>
        </is>
      </c>
      <c r="E940" t="inlineStr">
        <is>
          <t>SKELLEFTEÅ</t>
        </is>
      </c>
      <c r="F940" t="inlineStr">
        <is>
          <t>Holmen skog AB</t>
        </is>
      </c>
      <c r="G940" t="n">
        <v>3.7</v>
      </c>
      <c r="H940" t="n">
        <v>0</v>
      </c>
      <c r="I940" t="n">
        <v>0</v>
      </c>
      <c r="J940" t="n">
        <v>0</v>
      </c>
      <c r="K940" t="n">
        <v>0</v>
      </c>
      <c r="L940" t="n">
        <v>0</v>
      </c>
      <c r="M940" t="n">
        <v>0</v>
      </c>
      <c r="N940" t="n">
        <v>0</v>
      </c>
      <c r="O940" t="n">
        <v>0</v>
      </c>
      <c r="P940" t="n">
        <v>0</v>
      </c>
      <c r="Q940" t="n">
        <v>0</v>
      </c>
      <c r="R940" s="2" t="inlineStr"/>
    </row>
    <row r="941" ht="15" customHeight="1">
      <c r="A941" t="inlineStr">
        <is>
          <t>A 46858-2024</t>
        </is>
      </c>
      <c r="B941" s="1" t="n">
        <v>45583</v>
      </c>
      <c r="C941" s="1" t="n">
        <v>45931</v>
      </c>
      <c r="D941" t="inlineStr">
        <is>
          <t>VÄSTERBOTTENS LÄN</t>
        </is>
      </c>
      <c r="E941" t="inlineStr">
        <is>
          <t>SKELLEFTEÅ</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21350-2025</t>
        </is>
      </c>
      <c r="B942" s="1" t="n">
        <v>45782.40702546296</v>
      </c>
      <c r="C942" s="1" t="n">
        <v>45931</v>
      </c>
      <c r="D942" t="inlineStr">
        <is>
          <t>VÄSTERBOTTENS LÄN</t>
        </is>
      </c>
      <c r="E942" t="inlineStr">
        <is>
          <t>SKELLEFTEÅ</t>
        </is>
      </c>
      <c r="F942" t="inlineStr">
        <is>
          <t>Holmen skog AB</t>
        </is>
      </c>
      <c r="G942" t="n">
        <v>3.5</v>
      </c>
      <c r="H942" t="n">
        <v>0</v>
      </c>
      <c r="I942" t="n">
        <v>0</v>
      </c>
      <c r="J942" t="n">
        <v>0</v>
      </c>
      <c r="K942" t="n">
        <v>0</v>
      </c>
      <c r="L942" t="n">
        <v>0</v>
      </c>
      <c r="M942" t="n">
        <v>0</v>
      </c>
      <c r="N942" t="n">
        <v>0</v>
      </c>
      <c r="O942" t="n">
        <v>0</v>
      </c>
      <c r="P942" t="n">
        <v>0</v>
      </c>
      <c r="Q942" t="n">
        <v>0</v>
      </c>
      <c r="R942" s="2" t="inlineStr"/>
    </row>
    <row r="943" ht="15" customHeight="1">
      <c r="A943" t="inlineStr">
        <is>
          <t>A 21381-2025</t>
        </is>
      </c>
      <c r="B943" s="1" t="n">
        <v>45782.45925925926</v>
      </c>
      <c r="C943" s="1" t="n">
        <v>45931</v>
      </c>
      <c r="D943" t="inlineStr">
        <is>
          <t>VÄSTERBOTTENS LÄN</t>
        </is>
      </c>
      <c r="E943" t="inlineStr">
        <is>
          <t>SKELLEFTEÅ</t>
        </is>
      </c>
      <c r="F943" t="inlineStr">
        <is>
          <t>Holmen skog AB</t>
        </is>
      </c>
      <c r="G943" t="n">
        <v>3</v>
      </c>
      <c r="H943" t="n">
        <v>0</v>
      </c>
      <c r="I943" t="n">
        <v>0</v>
      </c>
      <c r="J943" t="n">
        <v>0</v>
      </c>
      <c r="K943" t="n">
        <v>0</v>
      </c>
      <c r="L943" t="n">
        <v>0</v>
      </c>
      <c r="M943" t="n">
        <v>0</v>
      </c>
      <c r="N943" t="n">
        <v>0</v>
      </c>
      <c r="O943" t="n">
        <v>0</v>
      </c>
      <c r="P943" t="n">
        <v>0</v>
      </c>
      <c r="Q943" t="n">
        <v>0</v>
      </c>
      <c r="R943" s="2" t="inlineStr"/>
    </row>
    <row r="944" ht="15" customHeight="1">
      <c r="A944" t="inlineStr">
        <is>
          <t>A 25019-2023</t>
        </is>
      </c>
      <c r="B944" s="1" t="n">
        <v>45085</v>
      </c>
      <c r="C944" s="1" t="n">
        <v>45931</v>
      </c>
      <c r="D944" t="inlineStr">
        <is>
          <t>VÄSTERBOTTENS LÄN</t>
        </is>
      </c>
      <c r="E944" t="inlineStr">
        <is>
          <t>SKELLEFTEÅ</t>
        </is>
      </c>
      <c r="F944" t="inlineStr">
        <is>
          <t>Sveaskog</t>
        </is>
      </c>
      <c r="G944" t="n">
        <v>11.6</v>
      </c>
      <c r="H944" t="n">
        <v>0</v>
      </c>
      <c r="I944" t="n">
        <v>0</v>
      </c>
      <c r="J944" t="n">
        <v>0</v>
      </c>
      <c r="K944" t="n">
        <v>0</v>
      </c>
      <c r="L944" t="n">
        <v>0</v>
      </c>
      <c r="M944" t="n">
        <v>0</v>
      </c>
      <c r="N944" t="n">
        <v>0</v>
      </c>
      <c r="O944" t="n">
        <v>0</v>
      </c>
      <c r="P944" t="n">
        <v>0</v>
      </c>
      <c r="Q944" t="n">
        <v>0</v>
      </c>
      <c r="R944" s="2" t="inlineStr"/>
    </row>
    <row r="945" ht="15" customHeight="1">
      <c r="A945" t="inlineStr">
        <is>
          <t>A 45413-2025</t>
        </is>
      </c>
      <c r="B945" s="1" t="n">
        <v>45922</v>
      </c>
      <c r="C945" s="1" t="n">
        <v>45931</v>
      </c>
      <c r="D945" t="inlineStr">
        <is>
          <t>VÄSTERBOTTENS LÄN</t>
        </is>
      </c>
      <c r="E945" t="inlineStr">
        <is>
          <t>SKELLEFTEÅ</t>
        </is>
      </c>
      <c r="G945" t="n">
        <v>7.7</v>
      </c>
      <c r="H945" t="n">
        <v>0</v>
      </c>
      <c r="I945" t="n">
        <v>0</v>
      </c>
      <c r="J945" t="n">
        <v>0</v>
      </c>
      <c r="K945" t="n">
        <v>0</v>
      </c>
      <c r="L945" t="n">
        <v>0</v>
      </c>
      <c r="M945" t="n">
        <v>0</v>
      </c>
      <c r="N945" t="n">
        <v>0</v>
      </c>
      <c r="O945" t="n">
        <v>0</v>
      </c>
      <c r="P945" t="n">
        <v>0</v>
      </c>
      <c r="Q945" t="n">
        <v>0</v>
      </c>
      <c r="R945" s="2" t="inlineStr"/>
    </row>
    <row r="946" ht="15" customHeight="1">
      <c r="A946" t="inlineStr">
        <is>
          <t>A 31006-2023</t>
        </is>
      </c>
      <c r="B946" s="1" t="n">
        <v>45103</v>
      </c>
      <c r="C946" s="1" t="n">
        <v>45931</v>
      </c>
      <c r="D946" t="inlineStr">
        <is>
          <t>VÄSTERBOTTENS LÄN</t>
        </is>
      </c>
      <c r="E946" t="inlineStr">
        <is>
          <t>SKELLEFTEÅ</t>
        </is>
      </c>
      <c r="G946" t="n">
        <v>1.7</v>
      </c>
      <c r="H946" t="n">
        <v>0</v>
      </c>
      <c r="I946" t="n">
        <v>0</v>
      </c>
      <c r="J946" t="n">
        <v>0</v>
      </c>
      <c r="K946" t="n">
        <v>0</v>
      </c>
      <c r="L946" t="n">
        <v>0</v>
      </c>
      <c r="M946" t="n">
        <v>0</v>
      </c>
      <c r="N946" t="n">
        <v>0</v>
      </c>
      <c r="O946" t="n">
        <v>0</v>
      </c>
      <c r="P946" t="n">
        <v>0</v>
      </c>
      <c r="Q946" t="n">
        <v>0</v>
      </c>
      <c r="R946" s="2" t="inlineStr"/>
    </row>
    <row r="947" ht="15" customHeight="1">
      <c r="A947" t="inlineStr">
        <is>
          <t>A 21190-2025</t>
        </is>
      </c>
      <c r="B947" s="1" t="n">
        <v>45779.45958333334</v>
      </c>
      <c r="C947" s="1" t="n">
        <v>45931</v>
      </c>
      <c r="D947" t="inlineStr">
        <is>
          <t>VÄSTERBOTTENS LÄN</t>
        </is>
      </c>
      <c r="E947" t="inlineStr">
        <is>
          <t>SKELLEFTEÅ</t>
        </is>
      </c>
      <c r="F947" t="inlineStr">
        <is>
          <t>Holmen skog AB</t>
        </is>
      </c>
      <c r="G947" t="n">
        <v>2.1</v>
      </c>
      <c r="H947" t="n">
        <v>0</v>
      </c>
      <c r="I947" t="n">
        <v>0</v>
      </c>
      <c r="J947" t="n">
        <v>0</v>
      </c>
      <c r="K947" t="n">
        <v>0</v>
      </c>
      <c r="L947" t="n">
        <v>0</v>
      </c>
      <c r="M947" t="n">
        <v>0</v>
      </c>
      <c r="N947" t="n">
        <v>0</v>
      </c>
      <c r="O947" t="n">
        <v>0</v>
      </c>
      <c r="P947" t="n">
        <v>0</v>
      </c>
      <c r="Q947" t="n">
        <v>0</v>
      </c>
      <c r="R947" s="2" t="inlineStr"/>
    </row>
    <row r="948" ht="15" customHeight="1">
      <c r="A948" t="inlineStr">
        <is>
          <t>A 14342-2024</t>
        </is>
      </c>
      <c r="B948" s="1" t="n">
        <v>45393.73072916667</v>
      </c>
      <c r="C948" s="1" t="n">
        <v>45931</v>
      </c>
      <c r="D948" t="inlineStr">
        <is>
          <t>VÄSTERBOTTENS LÄN</t>
        </is>
      </c>
      <c r="E948" t="inlineStr">
        <is>
          <t>SKELLEFTEÅ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67893-2021</t>
        </is>
      </c>
      <c r="B949" s="1" t="n">
        <v>44525</v>
      </c>
      <c r="C949" s="1" t="n">
        <v>45931</v>
      </c>
      <c r="D949" t="inlineStr">
        <is>
          <t>VÄSTERBOTTENS LÄN</t>
        </is>
      </c>
      <c r="E949" t="inlineStr">
        <is>
          <t>SKELLEFTEÅ</t>
        </is>
      </c>
      <c r="G949" t="n">
        <v>1.1</v>
      </c>
      <c r="H949" t="n">
        <v>0</v>
      </c>
      <c r="I949" t="n">
        <v>0</v>
      </c>
      <c r="J949" t="n">
        <v>0</v>
      </c>
      <c r="K949" t="n">
        <v>0</v>
      </c>
      <c r="L949" t="n">
        <v>0</v>
      </c>
      <c r="M949" t="n">
        <v>0</v>
      </c>
      <c r="N949" t="n">
        <v>0</v>
      </c>
      <c r="O949" t="n">
        <v>0</v>
      </c>
      <c r="P949" t="n">
        <v>0</v>
      </c>
      <c r="Q949" t="n">
        <v>0</v>
      </c>
      <c r="R949" s="2" t="inlineStr"/>
    </row>
    <row r="950" ht="15" customHeight="1">
      <c r="A950" t="inlineStr">
        <is>
          <t>A 24825-2025</t>
        </is>
      </c>
      <c r="B950" s="1" t="n">
        <v>45799.45575231482</v>
      </c>
      <c r="C950" s="1" t="n">
        <v>45931</v>
      </c>
      <c r="D950" t="inlineStr">
        <is>
          <t>VÄSTERBOTTENS LÄN</t>
        </is>
      </c>
      <c r="E950" t="inlineStr">
        <is>
          <t>SKELLEFTEÅ</t>
        </is>
      </c>
      <c r="G950" t="n">
        <v>10.2</v>
      </c>
      <c r="H950" t="n">
        <v>0</v>
      </c>
      <c r="I950" t="n">
        <v>0</v>
      </c>
      <c r="J950" t="n">
        <v>0</v>
      </c>
      <c r="K950" t="n">
        <v>0</v>
      </c>
      <c r="L950" t="n">
        <v>0</v>
      </c>
      <c r="M950" t="n">
        <v>0</v>
      </c>
      <c r="N950" t="n">
        <v>0</v>
      </c>
      <c r="O950" t="n">
        <v>0</v>
      </c>
      <c r="P950" t="n">
        <v>0</v>
      </c>
      <c r="Q950" t="n">
        <v>0</v>
      </c>
      <c r="R950" s="2" t="inlineStr"/>
    </row>
    <row r="951" ht="15" customHeight="1">
      <c r="A951" t="inlineStr">
        <is>
          <t>A 61275-2022</t>
        </is>
      </c>
      <c r="B951" s="1" t="n">
        <v>44909</v>
      </c>
      <c r="C951" s="1" t="n">
        <v>45931</v>
      </c>
      <c r="D951" t="inlineStr">
        <is>
          <t>VÄSTERBOTTENS LÄN</t>
        </is>
      </c>
      <c r="E951" t="inlineStr">
        <is>
          <t>SKELLEFTEÅ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64391-2021</t>
        </is>
      </c>
      <c r="B952" s="1" t="n">
        <v>44511</v>
      </c>
      <c r="C952" s="1" t="n">
        <v>45931</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21750-2025</t>
        </is>
      </c>
      <c r="B953" s="1" t="n">
        <v>45783.61346064815</v>
      </c>
      <c r="C953" s="1" t="n">
        <v>45931</v>
      </c>
      <c r="D953" t="inlineStr">
        <is>
          <t>VÄSTERBOTTENS LÄN</t>
        </is>
      </c>
      <c r="E953" t="inlineStr">
        <is>
          <t>SKELLEFTEÅ</t>
        </is>
      </c>
      <c r="F953" t="inlineStr">
        <is>
          <t>Kyrkan</t>
        </is>
      </c>
      <c r="G953" t="n">
        <v>0.9</v>
      </c>
      <c r="H953" t="n">
        <v>0</v>
      </c>
      <c r="I953" t="n">
        <v>0</v>
      </c>
      <c r="J953" t="n">
        <v>0</v>
      </c>
      <c r="K953" t="n">
        <v>0</v>
      </c>
      <c r="L953" t="n">
        <v>0</v>
      </c>
      <c r="M953" t="n">
        <v>0</v>
      </c>
      <c r="N953" t="n">
        <v>0</v>
      </c>
      <c r="O953" t="n">
        <v>0</v>
      </c>
      <c r="P953" t="n">
        <v>0</v>
      </c>
      <c r="Q953" t="n">
        <v>0</v>
      </c>
      <c r="R953" s="2" t="inlineStr"/>
    </row>
    <row r="954" ht="15" customHeight="1">
      <c r="A954" t="inlineStr">
        <is>
          <t>A 5986-2025</t>
        </is>
      </c>
      <c r="B954" s="1" t="n">
        <v>45695</v>
      </c>
      <c r="C954" s="1" t="n">
        <v>45931</v>
      </c>
      <c r="D954" t="inlineStr">
        <is>
          <t>VÄSTERBOTTENS LÄN</t>
        </is>
      </c>
      <c r="E954" t="inlineStr">
        <is>
          <t>SKELLEFTEÅ</t>
        </is>
      </c>
      <c r="G954" t="n">
        <v>2.2</v>
      </c>
      <c r="H954" t="n">
        <v>0</v>
      </c>
      <c r="I954" t="n">
        <v>0</v>
      </c>
      <c r="J954" t="n">
        <v>0</v>
      </c>
      <c r="K954" t="n">
        <v>0</v>
      </c>
      <c r="L954" t="n">
        <v>0</v>
      </c>
      <c r="M954" t="n">
        <v>0</v>
      </c>
      <c r="N954" t="n">
        <v>0</v>
      </c>
      <c r="O954" t="n">
        <v>0</v>
      </c>
      <c r="P954" t="n">
        <v>0</v>
      </c>
      <c r="Q954" t="n">
        <v>0</v>
      </c>
      <c r="R954" s="2" t="inlineStr"/>
    </row>
    <row r="955" ht="15" customHeight="1">
      <c r="A955" t="inlineStr">
        <is>
          <t>A 36493-2023</t>
        </is>
      </c>
      <c r="B955" s="1" t="n">
        <v>45152.92484953703</v>
      </c>
      <c r="C955" s="1" t="n">
        <v>45931</v>
      </c>
      <c r="D955" t="inlineStr">
        <is>
          <t>VÄSTERBOTTENS LÄN</t>
        </is>
      </c>
      <c r="E955" t="inlineStr">
        <is>
          <t>SKELLEFTEÅ</t>
        </is>
      </c>
      <c r="G955" t="n">
        <v>11.1</v>
      </c>
      <c r="H955" t="n">
        <v>0</v>
      </c>
      <c r="I955" t="n">
        <v>0</v>
      </c>
      <c r="J955" t="n">
        <v>0</v>
      </c>
      <c r="K955" t="n">
        <v>0</v>
      </c>
      <c r="L955" t="n">
        <v>0</v>
      </c>
      <c r="M955" t="n">
        <v>0</v>
      </c>
      <c r="N955" t="n">
        <v>0</v>
      </c>
      <c r="O955" t="n">
        <v>0</v>
      </c>
      <c r="P955" t="n">
        <v>0</v>
      </c>
      <c r="Q955" t="n">
        <v>0</v>
      </c>
      <c r="R955" s="2" t="inlineStr"/>
    </row>
    <row r="956" ht="15" customHeight="1">
      <c r="A956" t="inlineStr">
        <is>
          <t>A 36495-2023</t>
        </is>
      </c>
      <c r="B956" s="1" t="n">
        <v>45152.92496527778</v>
      </c>
      <c r="C956" s="1" t="n">
        <v>45931</v>
      </c>
      <c r="D956" t="inlineStr">
        <is>
          <t>VÄSTERBOTTENS LÄN</t>
        </is>
      </c>
      <c r="E956" t="inlineStr">
        <is>
          <t>SKELLEFTEÅ</t>
        </is>
      </c>
      <c r="G956" t="n">
        <v>11.6</v>
      </c>
      <c r="H956" t="n">
        <v>0</v>
      </c>
      <c r="I956" t="n">
        <v>0</v>
      </c>
      <c r="J956" t="n">
        <v>0</v>
      </c>
      <c r="K956" t="n">
        <v>0</v>
      </c>
      <c r="L956" t="n">
        <v>0</v>
      </c>
      <c r="M956" t="n">
        <v>0</v>
      </c>
      <c r="N956" t="n">
        <v>0</v>
      </c>
      <c r="O956" t="n">
        <v>0</v>
      </c>
      <c r="P956" t="n">
        <v>0</v>
      </c>
      <c r="Q956" t="n">
        <v>0</v>
      </c>
      <c r="R956" s="2" t="inlineStr"/>
    </row>
    <row r="957" ht="15" customHeight="1">
      <c r="A957" t="inlineStr">
        <is>
          <t>A 21587-2025</t>
        </is>
      </c>
      <c r="B957" s="1" t="n">
        <v>45783</v>
      </c>
      <c r="C957" s="1" t="n">
        <v>45931</v>
      </c>
      <c r="D957" t="inlineStr">
        <is>
          <t>VÄSTERBOTTENS LÄN</t>
        </is>
      </c>
      <c r="E957" t="inlineStr">
        <is>
          <t>SKELLEFTEÅ</t>
        </is>
      </c>
      <c r="G957" t="n">
        <v>0.4</v>
      </c>
      <c r="H957" t="n">
        <v>0</v>
      </c>
      <c r="I957" t="n">
        <v>0</v>
      </c>
      <c r="J957" t="n">
        <v>0</v>
      </c>
      <c r="K957" t="n">
        <v>0</v>
      </c>
      <c r="L957" t="n">
        <v>0</v>
      </c>
      <c r="M957" t="n">
        <v>0</v>
      </c>
      <c r="N957" t="n">
        <v>0</v>
      </c>
      <c r="O957" t="n">
        <v>0</v>
      </c>
      <c r="P957" t="n">
        <v>0</v>
      </c>
      <c r="Q957" t="n">
        <v>0</v>
      </c>
      <c r="R957" s="2" t="inlineStr"/>
    </row>
    <row r="958" ht="15" customHeight="1">
      <c r="A958" t="inlineStr">
        <is>
          <t>A 38906-2025</t>
        </is>
      </c>
      <c r="B958" s="1" t="n">
        <v>45887.60821759259</v>
      </c>
      <c r="C958" s="1" t="n">
        <v>45931</v>
      </c>
      <c r="D958" t="inlineStr">
        <is>
          <t>VÄSTERBOTTENS LÄN</t>
        </is>
      </c>
      <c r="E958" t="inlineStr">
        <is>
          <t>SKELLEFTEÅ</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24696-2024</t>
        </is>
      </c>
      <c r="B959" s="1" t="n">
        <v>45460</v>
      </c>
      <c r="C959" s="1" t="n">
        <v>45931</v>
      </c>
      <c r="D959" t="inlineStr">
        <is>
          <t>VÄSTERBOTTENS LÄN</t>
        </is>
      </c>
      <c r="E959" t="inlineStr">
        <is>
          <t>SKELLEFTEÅ</t>
        </is>
      </c>
      <c r="F959" t="inlineStr">
        <is>
          <t>Holmen skog AB</t>
        </is>
      </c>
      <c r="G959" t="n">
        <v>4.9</v>
      </c>
      <c r="H959" t="n">
        <v>0</v>
      </c>
      <c r="I959" t="n">
        <v>0</v>
      </c>
      <c r="J959" t="n">
        <v>0</v>
      </c>
      <c r="K959" t="n">
        <v>0</v>
      </c>
      <c r="L959" t="n">
        <v>0</v>
      </c>
      <c r="M959" t="n">
        <v>0</v>
      </c>
      <c r="N959" t="n">
        <v>0</v>
      </c>
      <c r="O959" t="n">
        <v>0</v>
      </c>
      <c r="P959" t="n">
        <v>0</v>
      </c>
      <c r="Q959" t="n">
        <v>0</v>
      </c>
      <c r="R959" s="2" t="inlineStr"/>
    </row>
    <row r="960" ht="15" customHeight="1">
      <c r="A960" t="inlineStr">
        <is>
          <t>A 57770-2022</t>
        </is>
      </c>
      <c r="B960" s="1" t="n">
        <v>44897</v>
      </c>
      <c r="C960" s="1" t="n">
        <v>45931</v>
      </c>
      <c r="D960" t="inlineStr">
        <is>
          <t>VÄSTERBOTTENS LÄN</t>
        </is>
      </c>
      <c r="E960" t="inlineStr">
        <is>
          <t>SKELLEFTEÅ</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21992-2025</t>
        </is>
      </c>
      <c r="B961" s="1" t="n">
        <v>45784.66221064814</v>
      </c>
      <c r="C961" s="1" t="n">
        <v>45931</v>
      </c>
      <c r="D961" t="inlineStr">
        <is>
          <t>VÄSTERBOTTENS LÄN</t>
        </is>
      </c>
      <c r="E961" t="inlineStr">
        <is>
          <t>SKELLEFTEÅ</t>
        </is>
      </c>
      <c r="G961" t="n">
        <v>3.7</v>
      </c>
      <c r="H961" t="n">
        <v>0</v>
      </c>
      <c r="I961" t="n">
        <v>0</v>
      </c>
      <c r="J961" t="n">
        <v>0</v>
      </c>
      <c r="K961" t="n">
        <v>0</v>
      </c>
      <c r="L961" t="n">
        <v>0</v>
      </c>
      <c r="M961" t="n">
        <v>0</v>
      </c>
      <c r="N961" t="n">
        <v>0</v>
      </c>
      <c r="O961" t="n">
        <v>0</v>
      </c>
      <c r="P961" t="n">
        <v>0</v>
      </c>
      <c r="Q961" t="n">
        <v>0</v>
      </c>
      <c r="R961" s="2" t="inlineStr"/>
    </row>
    <row r="962" ht="15" customHeight="1">
      <c r="A962" t="inlineStr">
        <is>
          <t>A 57406-2022</t>
        </is>
      </c>
      <c r="B962" s="1" t="n">
        <v>44893</v>
      </c>
      <c r="C962" s="1" t="n">
        <v>45931</v>
      </c>
      <c r="D962" t="inlineStr">
        <is>
          <t>VÄSTERBOTTENS LÄN</t>
        </is>
      </c>
      <c r="E962" t="inlineStr">
        <is>
          <t>SKELLEFTEÅ</t>
        </is>
      </c>
      <c r="G962" t="n">
        <v>1</v>
      </c>
      <c r="H962" t="n">
        <v>0</v>
      </c>
      <c r="I962" t="n">
        <v>0</v>
      </c>
      <c r="J962" t="n">
        <v>0</v>
      </c>
      <c r="K962" t="n">
        <v>0</v>
      </c>
      <c r="L962" t="n">
        <v>0</v>
      </c>
      <c r="M962" t="n">
        <v>0</v>
      </c>
      <c r="N962" t="n">
        <v>0</v>
      </c>
      <c r="O962" t="n">
        <v>0</v>
      </c>
      <c r="P962" t="n">
        <v>0</v>
      </c>
      <c r="Q962" t="n">
        <v>0</v>
      </c>
      <c r="R962" s="2" t="inlineStr"/>
    </row>
    <row r="963" ht="15" customHeight="1">
      <c r="A963" t="inlineStr">
        <is>
          <t>A 21910-2025</t>
        </is>
      </c>
      <c r="B963" s="1" t="n">
        <v>45784.47021990741</v>
      </c>
      <c r="C963" s="1" t="n">
        <v>45931</v>
      </c>
      <c r="D963" t="inlineStr">
        <is>
          <t>VÄSTERBOTTENS LÄN</t>
        </is>
      </c>
      <c r="E963" t="inlineStr">
        <is>
          <t>SKELLEFTEÅ</t>
        </is>
      </c>
      <c r="F963" t="inlineStr">
        <is>
          <t>Holmen skog AB</t>
        </is>
      </c>
      <c r="G963" t="n">
        <v>4.3</v>
      </c>
      <c r="H963" t="n">
        <v>0</v>
      </c>
      <c r="I963" t="n">
        <v>0</v>
      </c>
      <c r="J963" t="n">
        <v>0</v>
      </c>
      <c r="K963" t="n">
        <v>0</v>
      </c>
      <c r="L963" t="n">
        <v>0</v>
      </c>
      <c r="M963" t="n">
        <v>0</v>
      </c>
      <c r="N963" t="n">
        <v>0</v>
      </c>
      <c r="O963" t="n">
        <v>0</v>
      </c>
      <c r="P963" t="n">
        <v>0</v>
      </c>
      <c r="Q963" t="n">
        <v>0</v>
      </c>
      <c r="R963" s="2" t="inlineStr"/>
    </row>
    <row r="964" ht="15" customHeight="1">
      <c r="A964" t="inlineStr">
        <is>
          <t>A 42329-2023</t>
        </is>
      </c>
      <c r="B964" s="1" t="n">
        <v>45175</v>
      </c>
      <c r="C964" s="1" t="n">
        <v>45931</v>
      </c>
      <c r="D964" t="inlineStr">
        <is>
          <t>VÄSTERBOTTENS LÄN</t>
        </is>
      </c>
      <c r="E964" t="inlineStr">
        <is>
          <t>SKELLEFTEÅ</t>
        </is>
      </c>
      <c r="F964" t="inlineStr">
        <is>
          <t>Kyrkan</t>
        </is>
      </c>
      <c r="G964" t="n">
        <v>0.9</v>
      </c>
      <c r="H964" t="n">
        <v>0</v>
      </c>
      <c r="I964" t="n">
        <v>0</v>
      </c>
      <c r="J964" t="n">
        <v>0</v>
      </c>
      <c r="K964" t="n">
        <v>0</v>
      </c>
      <c r="L964" t="n">
        <v>0</v>
      </c>
      <c r="M964" t="n">
        <v>0</v>
      </c>
      <c r="N964" t="n">
        <v>0</v>
      </c>
      <c r="O964" t="n">
        <v>0</v>
      </c>
      <c r="P964" t="n">
        <v>0</v>
      </c>
      <c r="Q964" t="n">
        <v>0</v>
      </c>
      <c r="R964" s="2" t="inlineStr"/>
    </row>
    <row r="965" ht="15" customHeight="1">
      <c r="A965" t="inlineStr">
        <is>
          <t>A 30686-2023</t>
        </is>
      </c>
      <c r="B965" s="1" t="n">
        <v>45112</v>
      </c>
      <c r="C965" s="1" t="n">
        <v>45931</v>
      </c>
      <c r="D965" t="inlineStr">
        <is>
          <t>VÄSTERBOTTENS LÄN</t>
        </is>
      </c>
      <c r="E965" t="inlineStr">
        <is>
          <t>SKELLEFTEÅ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60488-2022</t>
        </is>
      </c>
      <c r="B966" s="1" t="n">
        <v>44911.43144675926</v>
      </c>
      <c r="C966" s="1" t="n">
        <v>45931</v>
      </c>
      <c r="D966" t="inlineStr">
        <is>
          <t>VÄSTERBOTTENS LÄN</t>
        </is>
      </c>
      <c r="E966" t="inlineStr">
        <is>
          <t>SKELLEFTEÅ</t>
        </is>
      </c>
      <c r="F966" t="inlineStr">
        <is>
          <t>Sveaskog</t>
        </is>
      </c>
      <c r="G966" t="n">
        <v>11.6</v>
      </c>
      <c r="H966" t="n">
        <v>0</v>
      </c>
      <c r="I966" t="n">
        <v>0</v>
      </c>
      <c r="J966" t="n">
        <v>0</v>
      </c>
      <c r="K966" t="n">
        <v>0</v>
      </c>
      <c r="L966" t="n">
        <v>0</v>
      </c>
      <c r="M966" t="n">
        <v>0</v>
      </c>
      <c r="N966" t="n">
        <v>0</v>
      </c>
      <c r="O966" t="n">
        <v>0</v>
      </c>
      <c r="P966" t="n">
        <v>0</v>
      </c>
      <c r="Q966" t="n">
        <v>0</v>
      </c>
      <c r="R966" s="2" t="inlineStr"/>
      <c r="U966">
        <f>HYPERLINK("https://klasma.github.io/Logging_2482/knärot/A 60488-2022 karta knärot.png", "A 60488-2022")</f>
        <v/>
      </c>
      <c r="V966">
        <f>HYPERLINK("https://klasma.github.io/Logging_2482/klagomål/A 60488-2022 FSC-klagomål.docx", "A 60488-2022")</f>
        <v/>
      </c>
      <c r="W966">
        <f>HYPERLINK("https://klasma.github.io/Logging_2482/klagomålsmail/A 60488-2022 FSC-klagomål mail.docx", "A 60488-2022")</f>
        <v/>
      </c>
      <c r="X966">
        <f>HYPERLINK("https://klasma.github.io/Logging_2482/tillsyn/A 60488-2022 tillsynsbegäran.docx", "A 60488-2022")</f>
        <v/>
      </c>
      <c r="Y966">
        <f>HYPERLINK("https://klasma.github.io/Logging_2482/tillsynsmail/A 60488-2022 tillsynsbegäran mail.docx", "A 60488-2022")</f>
        <v/>
      </c>
    </row>
    <row r="967" ht="15" customHeight="1">
      <c r="A967" t="inlineStr">
        <is>
          <t>A 29932-2023</t>
        </is>
      </c>
      <c r="B967" s="1" t="n">
        <v>45107</v>
      </c>
      <c r="C967" s="1" t="n">
        <v>45931</v>
      </c>
      <c r="D967" t="inlineStr">
        <is>
          <t>VÄSTERBOTTENS LÄN</t>
        </is>
      </c>
      <c r="E967" t="inlineStr">
        <is>
          <t>SKELLEFTEÅ</t>
        </is>
      </c>
      <c r="G967" t="n">
        <v>0.6</v>
      </c>
      <c r="H967" t="n">
        <v>0</v>
      </c>
      <c r="I967" t="n">
        <v>0</v>
      </c>
      <c r="J967" t="n">
        <v>0</v>
      </c>
      <c r="K967" t="n">
        <v>0</v>
      </c>
      <c r="L967" t="n">
        <v>0</v>
      </c>
      <c r="M967" t="n">
        <v>0</v>
      </c>
      <c r="N967" t="n">
        <v>0</v>
      </c>
      <c r="O967" t="n">
        <v>0</v>
      </c>
      <c r="P967" t="n">
        <v>0</v>
      </c>
      <c r="Q967" t="n">
        <v>0</v>
      </c>
      <c r="R967" s="2" t="inlineStr"/>
    </row>
    <row r="968" ht="15" customHeight="1">
      <c r="A968" t="inlineStr">
        <is>
          <t>A 21585-2025</t>
        </is>
      </c>
      <c r="B968" s="1" t="n">
        <v>45783</v>
      </c>
      <c r="C968" s="1" t="n">
        <v>45931</v>
      </c>
      <c r="D968" t="inlineStr">
        <is>
          <t>VÄSTERBOTTENS LÄN</t>
        </is>
      </c>
      <c r="E968" t="inlineStr">
        <is>
          <t>SKELLEFTEÅ</t>
        </is>
      </c>
      <c r="G968" t="n">
        <v>0.3</v>
      </c>
      <c r="H968" t="n">
        <v>0</v>
      </c>
      <c r="I968" t="n">
        <v>0</v>
      </c>
      <c r="J968" t="n">
        <v>0</v>
      </c>
      <c r="K968" t="n">
        <v>0</v>
      </c>
      <c r="L968" t="n">
        <v>0</v>
      </c>
      <c r="M968" t="n">
        <v>0</v>
      </c>
      <c r="N968" t="n">
        <v>0</v>
      </c>
      <c r="O968" t="n">
        <v>0</v>
      </c>
      <c r="P968" t="n">
        <v>0</v>
      </c>
      <c r="Q968" t="n">
        <v>0</v>
      </c>
      <c r="R968" s="2" t="inlineStr"/>
    </row>
    <row r="969" ht="15" customHeight="1">
      <c r="A969" t="inlineStr">
        <is>
          <t>A 38954-2025</t>
        </is>
      </c>
      <c r="B969" s="1" t="n">
        <v>45887.66715277778</v>
      </c>
      <c r="C969" s="1" t="n">
        <v>45931</v>
      </c>
      <c r="D969" t="inlineStr">
        <is>
          <t>VÄSTERBOTTENS LÄN</t>
        </is>
      </c>
      <c r="E969" t="inlineStr">
        <is>
          <t>SKELLEFTEÅ</t>
        </is>
      </c>
      <c r="G969" t="n">
        <v>2.2</v>
      </c>
      <c r="H969" t="n">
        <v>0</v>
      </c>
      <c r="I969" t="n">
        <v>0</v>
      </c>
      <c r="J969" t="n">
        <v>0</v>
      </c>
      <c r="K969" t="n">
        <v>0</v>
      </c>
      <c r="L969" t="n">
        <v>0</v>
      </c>
      <c r="M969" t="n">
        <v>0</v>
      </c>
      <c r="N969" t="n">
        <v>0</v>
      </c>
      <c r="O969" t="n">
        <v>0</v>
      </c>
      <c r="P969" t="n">
        <v>0</v>
      </c>
      <c r="Q969" t="n">
        <v>0</v>
      </c>
      <c r="R969" s="2" t="inlineStr"/>
    </row>
    <row r="970" ht="15" customHeight="1">
      <c r="A970" t="inlineStr">
        <is>
          <t>A 30900-2024</t>
        </is>
      </c>
      <c r="B970" s="1" t="n">
        <v>45498</v>
      </c>
      <c r="C970" s="1" t="n">
        <v>45931</v>
      </c>
      <c r="D970" t="inlineStr">
        <is>
          <t>VÄSTERBOTTENS LÄN</t>
        </is>
      </c>
      <c r="E970" t="inlineStr">
        <is>
          <t>SKELLEFTEÅ</t>
        </is>
      </c>
      <c r="G970" t="n">
        <v>17.5</v>
      </c>
      <c r="H970" t="n">
        <v>0</v>
      </c>
      <c r="I970" t="n">
        <v>0</v>
      </c>
      <c r="J970" t="n">
        <v>0</v>
      </c>
      <c r="K970" t="n">
        <v>0</v>
      </c>
      <c r="L970" t="n">
        <v>0</v>
      </c>
      <c r="M970" t="n">
        <v>0</v>
      </c>
      <c r="N970" t="n">
        <v>0</v>
      </c>
      <c r="O970" t="n">
        <v>0</v>
      </c>
      <c r="P970" t="n">
        <v>0</v>
      </c>
      <c r="Q970" t="n">
        <v>0</v>
      </c>
      <c r="R970" s="2" t="inlineStr"/>
    </row>
    <row r="971" ht="15" customHeight="1">
      <c r="A971" t="inlineStr">
        <is>
          <t>A 55645-2024</t>
        </is>
      </c>
      <c r="B971" s="1" t="n">
        <v>45621</v>
      </c>
      <c r="C971" s="1" t="n">
        <v>45931</v>
      </c>
      <c r="D971" t="inlineStr">
        <is>
          <t>VÄSTERBOTTENS LÄN</t>
        </is>
      </c>
      <c r="E971" t="inlineStr">
        <is>
          <t>SKELLEFTEÅ</t>
        </is>
      </c>
      <c r="G971" t="n">
        <v>2.8</v>
      </c>
      <c r="H971" t="n">
        <v>0</v>
      </c>
      <c r="I971" t="n">
        <v>0</v>
      </c>
      <c r="J971" t="n">
        <v>0</v>
      </c>
      <c r="K971" t="n">
        <v>0</v>
      </c>
      <c r="L971" t="n">
        <v>0</v>
      </c>
      <c r="M971" t="n">
        <v>0</v>
      </c>
      <c r="N971" t="n">
        <v>0</v>
      </c>
      <c r="O971" t="n">
        <v>0</v>
      </c>
      <c r="P971" t="n">
        <v>0</v>
      </c>
      <c r="Q971" t="n">
        <v>0</v>
      </c>
      <c r="R971" s="2" t="inlineStr"/>
    </row>
    <row r="972" ht="15" customHeight="1">
      <c r="A972" t="inlineStr">
        <is>
          <t>A 18368-2024</t>
        </is>
      </c>
      <c r="B972" s="1" t="n">
        <v>45422</v>
      </c>
      <c r="C972" s="1" t="n">
        <v>45931</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55743-2024</t>
        </is>
      </c>
      <c r="B973" s="1" t="n">
        <v>45623.30952546297</v>
      </c>
      <c r="C973" s="1" t="n">
        <v>45931</v>
      </c>
      <c r="D973" t="inlineStr">
        <is>
          <t>VÄSTERBOTTENS LÄN</t>
        </is>
      </c>
      <c r="E973" t="inlineStr">
        <is>
          <t>SKELLEFTEÅ</t>
        </is>
      </c>
      <c r="G973" t="n">
        <v>6</v>
      </c>
      <c r="H973" t="n">
        <v>0</v>
      </c>
      <c r="I973" t="n">
        <v>0</v>
      </c>
      <c r="J973" t="n">
        <v>0</v>
      </c>
      <c r="K973" t="n">
        <v>0</v>
      </c>
      <c r="L973" t="n">
        <v>0</v>
      </c>
      <c r="M973" t="n">
        <v>0</v>
      </c>
      <c r="N973" t="n">
        <v>0</v>
      </c>
      <c r="O973" t="n">
        <v>0</v>
      </c>
      <c r="P973" t="n">
        <v>0</v>
      </c>
      <c r="Q973" t="n">
        <v>0</v>
      </c>
      <c r="R973" s="2" t="inlineStr"/>
    </row>
    <row r="974" ht="15" customHeight="1">
      <c r="A974" t="inlineStr">
        <is>
          <t>A 58542-2024</t>
        </is>
      </c>
      <c r="B974" s="1" t="n">
        <v>45635.45708333333</v>
      </c>
      <c r="C974" s="1" t="n">
        <v>45931</v>
      </c>
      <c r="D974" t="inlineStr">
        <is>
          <t>VÄSTERBOTTENS LÄN</t>
        </is>
      </c>
      <c r="E974" t="inlineStr">
        <is>
          <t>SKELLEFTEÅ</t>
        </is>
      </c>
      <c r="G974" t="n">
        <v>1.3</v>
      </c>
      <c r="H974" t="n">
        <v>0</v>
      </c>
      <c r="I974" t="n">
        <v>0</v>
      </c>
      <c r="J974" t="n">
        <v>0</v>
      </c>
      <c r="K974" t="n">
        <v>0</v>
      </c>
      <c r="L974" t="n">
        <v>0</v>
      </c>
      <c r="M974" t="n">
        <v>0</v>
      </c>
      <c r="N974" t="n">
        <v>0</v>
      </c>
      <c r="O974" t="n">
        <v>0</v>
      </c>
      <c r="P974" t="n">
        <v>0</v>
      </c>
      <c r="Q974" t="n">
        <v>0</v>
      </c>
      <c r="R974" s="2" t="inlineStr"/>
    </row>
    <row r="975" ht="15" customHeight="1">
      <c r="A975" t="inlineStr">
        <is>
          <t>A 38717-2023</t>
        </is>
      </c>
      <c r="B975" s="1" t="n">
        <v>45160</v>
      </c>
      <c r="C975" s="1" t="n">
        <v>45931</v>
      </c>
      <c r="D975" t="inlineStr">
        <is>
          <t>VÄSTERBOTTENS LÄN</t>
        </is>
      </c>
      <c r="E975" t="inlineStr">
        <is>
          <t>SKELLEFTEÅ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25099-2024</t>
        </is>
      </c>
      <c r="B976" s="1" t="n">
        <v>45462.41755787037</v>
      </c>
      <c r="C976" s="1" t="n">
        <v>45931</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46049-2024</t>
        </is>
      </c>
      <c r="B977" s="1" t="n">
        <v>45580.85546296297</v>
      </c>
      <c r="C977" s="1" t="n">
        <v>45931</v>
      </c>
      <c r="D977" t="inlineStr">
        <is>
          <t>VÄSTERBOTTENS LÄN</t>
        </is>
      </c>
      <c r="E977" t="inlineStr">
        <is>
          <t>SKELLEFTEÅ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3265-2022</t>
        </is>
      </c>
      <c r="B978" s="1" t="n">
        <v>44583.7693287037</v>
      </c>
      <c r="C978" s="1" t="n">
        <v>45931</v>
      </c>
      <c r="D978" t="inlineStr">
        <is>
          <t>VÄSTERBOTTENS LÄN</t>
        </is>
      </c>
      <c r="E978" t="inlineStr">
        <is>
          <t>SKELLEFTEÅ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21755-2025</t>
        </is>
      </c>
      <c r="B979" s="1" t="n">
        <v>45783.61917824074</v>
      </c>
      <c r="C979" s="1" t="n">
        <v>45931</v>
      </c>
      <c r="D979" t="inlineStr">
        <is>
          <t>VÄSTERBOTTENS LÄN</t>
        </is>
      </c>
      <c r="E979" t="inlineStr">
        <is>
          <t>SKELLEFTEÅ</t>
        </is>
      </c>
      <c r="G979" t="n">
        <v>13.6</v>
      </c>
      <c r="H979" t="n">
        <v>0</v>
      </c>
      <c r="I979" t="n">
        <v>0</v>
      </c>
      <c r="J979" t="n">
        <v>0</v>
      </c>
      <c r="K979" t="n">
        <v>0</v>
      </c>
      <c r="L979" t="n">
        <v>0</v>
      </c>
      <c r="M979" t="n">
        <v>0</v>
      </c>
      <c r="N979" t="n">
        <v>0</v>
      </c>
      <c r="O979" t="n">
        <v>0</v>
      </c>
      <c r="P979" t="n">
        <v>0</v>
      </c>
      <c r="Q979" t="n">
        <v>0</v>
      </c>
      <c r="R979" s="2" t="inlineStr"/>
    </row>
    <row r="980" ht="15" customHeight="1">
      <c r="A980" t="inlineStr">
        <is>
          <t>A 21757-2025</t>
        </is>
      </c>
      <c r="B980" s="1" t="n">
        <v>45783</v>
      </c>
      <c r="C980" s="1" t="n">
        <v>45931</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18637-2025</t>
        </is>
      </c>
      <c r="B981" s="1" t="n">
        <v>45763.56527777778</v>
      </c>
      <c r="C981" s="1" t="n">
        <v>45931</v>
      </c>
      <c r="D981" t="inlineStr">
        <is>
          <t>VÄSTERBOTTENS LÄN</t>
        </is>
      </c>
      <c r="E981" t="inlineStr">
        <is>
          <t>SKELLEFTEÅ</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29101-2025</t>
        </is>
      </c>
      <c r="B982" s="1" t="n">
        <v>45821.56797453704</v>
      </c>
      <c r="C982" s="1" t="n">
        <v>45931</v>
      </c>
      <c r="D982" t="inlineStr">
        <is>
          <t>VÄSTERBOTTENS LÄN</t>
        </is>
      </c>
      <c r="E982" t="inlineStr">
        <is>
          <t>SKELLEFTEÅ</t>
        </is>
      </c>
      <c r="F982" t="inlineStr">
        <is>
          <t>Holmen skog AB</t>
        </is>
      </c>
      <c r="G982" t="n">
        <v>4.5</v>
      </c>
      <c r="H982" t="n">
        <v>0</v>
      </c>
      <c r="I982" t="n">
        <v>0</v>
      </c>
      <c r="J982" t="n">
        <v>0</v>
      </c>
      <c r="K982" t="n">
        <v>0</v>
      </c>
      <c r="L982" t="n">
        <v>0</v>
      </c>
      <c r="M982" t="n">
        <v>0</v>
      </c>
      <c r="N982" t="n">
        <v>0</v>
      </c>
      <c r="O982" t="n">
        <v>0</v>
      </c>
      <c r="P982" t="n">
        <v>0</v>
      </c>
      <c r="Q982" t="n">
        <v>0</v>
      </c>
      <c r="R982" s="2" t="inlineStr"/>
    </row>
    <row r="983" ht="15" customHeight="1">
      <c r="A983" t="inlineStr">
        <is>
          <t>A 14697-2023</t>
        </is>
      </c>
      <c r="B983" s="1" t="n">
        <v>45012</v>
      </c>
      <c r="C983" s="1" t="n">
        <v>45931</v>
      </c>
      <c r="D983" t="inlineStr">
        <is>
          <t>VÄSTERBOTTENS LÄN</t>
        </is>
      </c>
      <c r="E983" t="inlineStr">
        <is>
          <t>SKELLEFTEÅ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39166-2025</t>
        </is>
      </c>
      <c r="B984" s="1" t="n">
        <v>45888.63756944444</v>
      </c>
      <c r="C984" s="1" t="n">
        <v>45931</v>
      </c>
      <c r="D984" t="inlineStr">
        <is>
          <t>VÄSTERBOTTENS LÄN</t>
        </is>
      </c>
      <c r="E984" t="inlineStr">
        <is>
          <t>SKELLEFTEÅ</t>
        </is>
      </c>
      <c r="F984" t="inlineStr">
        <is>
          <t>Holmen skog AB</t>
        </is>
      </c>
      <c r="G984" t="n">
        <v>3.1</v>
      </c>
      <c r="H984" t="n">
        <v>0</v>
      </c>
      <c r="I984" t="n">
        <v>0</v>
      </c>
      <c r="J984" t="n">
        <v>0</v>
      </c>
      <c r="K984" t="n">
        <v>0</v>
      </c>
      <c r="L984" t="n">
        <v>0</v>
      </c>
      <c r="M984" t="n">
        <v>0</v>
      </c>
      <c r="N984" t="n">
        <v>0</v>
      </c>
      <c r="O984" t="n">
        <v>0</v>
      </c>
      <c r="P984" t="n">
        <v>0</v>
      </c>
      <c r="Q984" t="n">
        <v>0</v>
      </c>
      <c r="R984" s="2" t="inlineStr"/>
    </row>
    <row r="985" ht="15" customHeight="1">
      <c r="A985" t="inlineStr">
        <is>
          <t>A 22284-2025</t>
        </is>
      </c>
      <c r="B985" s="1" t="n">
        <v>45786.34259259259</v>
      </c>
      <c r="C985" s="1" t="n">
        <v>45931</v>
      </c>
      <c r="D985" t="inlineStr">
        <is>
          <t>VÄSTERBOTTENS LÄN</t>
        </is>
      </c>
      <c r="E985" t="inlineStr">
        <is>
          <t>SKELLEFTEÅ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39024-2025</t>
        </is>
      </c>
      <c r="B986" s="1" t="n">
        <v>45888.3791550926</v>
      </c>
      <c r="C986" s="1" t="n">
        <v>45931</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47246-2025</t>
        </is>
      </c>
      <c r="B987" s="1" t="n">
        <v>45930.42961805555</v>
      </c>
      <c r="C987" s="1" t="n">
        <v>45931</v>
      </c>
      <c r="D987" t="inlineStr">
        <is>
          <t>VÄSTERBOTTENS LÄN</t>
        </is>
      </c>
      <c r="E987" t="inlineStr">
        <is>
          <t>SKELLEFTEÅ</t>
        </is>
      </c>
      <c r="G987" t="n">
        <v>3.2</v>
      </c>
      <c r="H987" t="n">
        <v>0</v>
      </c>
      <c r="I987" t="n">
        <v>0</v>
      </c>
      <c r="J987" t="n">
        <v>0</v>
      </c>
      <c r="K987" t="n">
        <v>0</v>
      </c>
      <c r="L987" t="n">
        <v>0</v>
      </c>
      <c r="M987" t="n">
        <v>0</v>
      </c>
      <c r="N987" t="n">
        <v>0</v>
      </c>
      <c r="O987" t="n">
        <v>0</v>
      </c>
      <c r="P987" t="n">
        <v>0</v>
      </c>
      <c r="Q987" t="n">
        <v>0</v>
      </c>
      <c r="R987" s="2" t="inlineStr"/>
    </row>
    <row r="988" ht="15" customHeight="1">
      <c r="A988" t="inlineStr">
        <is>
          <t>A 26293-2024</t>
        </is>
      </c>
      <c r="B988" s="1" t="n">
        <v>45468.81053240741</v>
      </c>
      <c r="C988" s="1" t="n">
        <v>45931</v>
      </c>
      <c r="D988" t="inlineStr">
        <is>
          <t>VÄSTERBOTTENS LÄN</t>
        </is>
      </c>
      <c r="E988" t="inlineStr">
        <is>
          <t>SKELLEFTEÅ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42249-2024</t>
        </is>
      </c>
      <c r="B989" s="1" t="n">
        <v>45562.5778587963</v>
      </c>
      <c r="C989" s="1" t="n">
        <v>45931</v>
      </c>
      <c r="D989" t="inlineStr">
        <is>
          <t>VÄSTERBOTTENS LÄN</t>
        </is>
      </c>
      <c r="E989" t="inlineStr">
        <is>
          <t>SKELLEFTEÅ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22031-2025</t>
        </is>
      </c>
      <c r="B990" s="1" t="n">
        <v>45785.27292824074</v>
      </c>
      <c r="C990" s="1" t="n">
        <v>45931</v>
      </c>
      <c r="D990" t="inlineStr">
        <is>
          <t>VÄSTERBOTTENS LÄN</t>
        </is>
      </c>
      <c r="E990" t="inlineStr">
        <is>
          <t>SKELLEFTEÅ</t>
        </is>
      </c>
      <c r="G990" t="n">
        <v>1.4</v>
      </c>
      <c r="H990" t="n">
        <v>0</v>
      </c>
      <c r="I990" t="n">
        <v>0</v>
      </c>
      <c r="J990" t="n">
        <v>0</v>
      </c>
      <c r="K990" t="n">
        <v>0</v>
      </c>
      <c r="L990" t="n">
        <v>0</v>
      </c>
      <c r="M990" t="n">
        <v>0</v>
      </c>
      <c r="N990" t="n">
        <v>0</v>
      </c>
      <c r="O990" t="n">
        <v>0</v>
      </c>
      <c r="P990" t="n">
        <v>0</v>
      </c>
      <c r="Q990" t="n">
        <v>0</v>
      </c>
      <c r="R990" s="2" t="inlineStr"/>
    </row>
    <row r="991" ht="15" customHeight="1">
      <c r="A991" t="inlineStr">
        <is>
          <t>A 22530-2025</t>
        </is>
      </c>
      <c r="B991" s="1" t="n">
        <v>45786</v>
      </c>
      <c r="C991" s="1" t="n">
        <v>45931</v>
      </c>
      <c r="D991" t="inlineStr">
        <is>
          <t>VÄSTERBOTTENS LÄN</t>
        </is>
      </c>
      <c r="E991" t="inlineStr">
        <is>
          <t>SKELLEFTEÅ</t>
        </is>
      </c>
      <c r="G991" t="n">
        <v>2.2</v>
      </c>
      <c r="H991" t="n">
        <v>0</v>
      </c>
      <c r="I991" t="n">
        <v>0</v>
      </c>
      <c r="J991" t="n">
        <v>0</v>
      </c>
      <c r="K991" t="n">
        <v>0</v>
      </c>
      <c r="L991" t="n">
        <v>0</v>
      </c>
      <c r="M991" t="n">
        <v>0</v>
      </c>
      <c r="N991" t="n">
        <v>0</v>
      </c>
      <c r="O991" t="n">
        <v>0</v>
      </c>
      <c r="P991" t="n">
        <v>0</v>
      </c>
      <c r="Q991" t="n">
        <v>0</v>
      </c>
      <c r="R991" s="2" t="inlineStr"/>
    </row>
    <row r="992" ht="15" customHeight="1">
      <c r="A992" t="inlineStr">
        <is>
          <t>A 61101-2022</t>
        </is>
      </c>
      <c r="B992" s="1" t="n">
        <v>44915</v>
      </c>
      <c r="C992" s="1" t="n">
        <v>45931</v>
      </c>
      <c r="D992" t="inlineStr">
        <is>
          <t>VÄSTERBOTTENS LÄN</t>
        </is>
      </c>
      <c r="E992" t="inlineStr">
        <is>
          <t>SKELLEFTEÅ</t>
        </is>
      </c>
      <c r="F992" t="inlineStr">
        <is>
          <t>Sveaskog</t>
        </is>
      </c>
      <c r="G992" t="n">
        <v>8</v>
      </c>
      <c r="H992" t="n">
        <v>0</v>
      </c>
      <c r="I992" t="n">
        <v>0</v>
      </c>
      <c r="J992" t="n">
        <v>0</v>
      </c>
      <c r="K992" t="n">
        <v>0</v>
      </c>
      <c r="L992" t="n">
        <v>0</v>
      </c>
      <c r="M992" t="n">
        <v>0</v>
      </c>
      <c r="N992" t="n">
        <v>0</v>
      </c>
      <c r="O992" t="n">
        <v>0</v>
      </c>
      <c r="P992" t="n">
        <v>0</v>
      </c>
      <c r="Q992" t="n">
        <v>0</v>
      </c>
      <c r="R992" s="2" t="inlineStr"/>
    </row>
    <row r="993" ht="15" customHeight="1">
      <c r="A993" t="inlineStr">
        <is>
          <t>A 7668-2024</t>
        </is>
      </c>
      <c r="B993" s="1" t="n">
        <v>45348</v>
      </c>
      <c r="C993" s="1" t="n">
        <v>45931</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47138-2025</t>
        </is>
      </c>
      <c r="B994" s="1" t="n">
        <v>45929.69899305556</v>
      </c>
      <c r="C994" s="1" t="n">
        <v>45931</v>
      </c>
      <c r="D994" t="inlineStr">
        <is>
          <t>VÄSTERBOTTENS LÄN</t>
        </is>
      </c>
      <c r="E994" t="inlineStr">
        <is>
          <t>SKELLEFTEÅ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60210-2024</t>
        </is>
      </c>
      <c r="B995" s="1" t="n">
        <v>45642</v>
      </c>
      <c r="C995" s="1" t="n">
        <v>45931</v>
      </c>
      <c r="D995" t="inlineStr">
        <is>
          <t>VÄSTERBOTTENS LÄN</t>
        </is>
      </c>
      <c r="E995" t="inlineStr">
        <is>
          <t>SKELLEFTEÅ</t>
        </is>
      </c>
      <c r="G995" t="n">
        <v>0.5</v>
      </c>
      <c r="H995" t="n">
        <v>0</v>
      </c>
      <c r="I995" t="n">
        <v>0</v>
      </c>
      <c r="J995" t="n">
        <v>0</v>
      </c>
      <c r="K995" t="n">
        <v>0</v>
      </c>
      <c r="L995" t="n">
        <v>0</v>
      </c>
      <c r="M995" t="n">
        <v>0</v>
      </c>
      <c r="N995" t="n">
        <v>0</v>
      </c>
      <c r="O995" t="n">
        <v>0</v>
      </c>
      <c r="P995" t="n">
        <v>0</v>
      </c>
      <c r="Q995" t="n">
        <v>0</v>
      </c>
      <c r="R995" s="2" t="inlineStr"/>
    </row>
    <row r="996" ht="15" customHeight="1">
      <c r="A996" t="inlineStr">
        <is>
          <t>A 8436-2022</t>
        </is>
      </c>
      <c r="B996" s="1" t="n">
        <v>44612.63918981481</v>
      </c>
      <c r="C996" s="1" t="n">
        <v>45931</v>
      </c>
      <c r="D996" t="inlineStr">
        <is>
          <t>VÄSTERBOTTENS LÄN</t>
        </is>
      </c>
      <c r="E996" t="inlineStr">
        <is>
          <t>SKELLEFTEÅ</t>
        </is>
      </c>
      <c r="G996" t="n">
        <v>1</v>
      </c>
      <c r="H996" t="n">
        <v>0</v>
      </c>
      <c r="I996" t="n">
        <v>0</v>
      </c>
      <c r="J996" t="n">
        <v>0</v>
      </c>
      <c r="K996" t="n">
        <v>0</v>
      </c>
      <c r="L996" t="n">
        <v>0</v>
      </c>
      <c r="M996" t="n">
        <v>0</v>
      </c>
      <c r="N996" t="n">
        <v>0</v>
      </c>
      <c r="O996" t="n">
        <v>0</v>
      </c>
      <c r="P996" t="n">
        <v>0</v>
      </c>
      <c r="Q996" t="n">
        <v>0</v>
      </c>
      <c r="R996" s="2" t="inlineStr"/>
    </row>
    <row r="997" ht="15" customHeight="1">
      <c r="A997" t="inlineStr">
        <is>
          <t>A 28778-2025</t>
        </is>
      </c>
      <c r="B997" s="1" t="n">
        <v>45820.44819444444</v>
      </c>
      <c r="C997" s="1" t="n">
        <v>45931</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26318-2025</t>
        </is>
      </c>
      <c r="B998" s="1" t="n">
        <v>45805.65717592592</v>
      </c>
      <c r="C998" s="1" t="n">
        <v>45931</v>
      </c>
      <c r="D998" t="inlineStr">
        <is>
          <t>VÄSTERBOTTENS LÄN</t>
        </is>
      </c>
      <c r="E998" t="inlineStr">
        <is>
          <t>SKELLEFTEÅ</t>
        </is>
      </c>
      <c r="G998" t="n">
        <v>8.6</v>
      </c>
      <c r="H998" t="n">
        <v>0</v>
      </c>
      <c r="I998" t="n">
        <v>0</v>
      </c>
      <c r="J998" t="n">
        <v>0</v>
      </c>
      <c r="K998" t="n">
        <v>0</v>
      </c>
      <c r="L998" t="n">
        <v>0</v>
      </c>
      <c r="M998" t="n">
        <v>0</v>
      </c>
      <c r="N998" t="n">
        <v>0</v>
      </c>
      <c r="O998" t="n">
        <v>0</v>
      </c>
      <c r="P998" t="n">
        <v>0</v>
      </c>
      <c r="Q998" t="n">
        <v>0</v>
      </c>
      <c r="R998" s="2" t="inlineStr"/>
    </row>
    <row r="999" ht="15" customHeight="1">
      <c r="A999" t="inlineStr">
        <is>
          <t>A 38570-2025</t>
        </is>
      </c>
      <c r="B999" s="1" t="n">
        <v>45884</v>
      </c>
      <c r="C999" s="1" t="n">
        <v>45931</v>
      </c>
      <c r="D999" t="inlineStr">
        <is>
          <t>VÄSTERBOTTENS LÄN</t>
        </is>
      </c>
      <c r="E999" t="inlineStr">
        <is>
          <t>SKELLEFTEÅ</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62023-2024</t>
        </is>
      </c>
      <c r="B1000" s="1" t="n">
        <v>45656.06716435185</v>
      </c>
      <c r="C1000" s="1" t="n">
        <v>45931</v>
      </c>
      <c r="D1000" t="inlineStr">
        <is>
          <t>VÄSTERBOTTENS LÄN</t>
        </is>
      </c>
      <c r="E1000" t="inlineStr">
        <is>
          <t>SKELLEFTEÅ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22429-2025</t>
        </is>
      </c>
      <c r="B1001" s="1" t="n">
        <v>45786</v>
      </c>
      <c r="C1001" s="1" t="n">
        <v>45931</v>
      </c>
      <c r="D1001" t="inlineStr">
        <is>
          <t>VÄSTERBOTTENS LÄN</t>
        </is>
      </c>
      <c r="E1001" t="inlineStr">
        <is>
          <t>SKELLEFTEÅ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36201-2024</t>
        </is>
      </c>
      <c r="B1002" s="1" t="n">
        <v>45534.43785879629</v>
      </c>
      <c r="C1002" s="1" t="n">
        <v>45931</v>
      </c>
      <c r="D1002" t="inlineStr">
        <is>
          <t>VÄSTERBOTTENS LÄN</t>
        </is>
      </c>
      <c r="E1002" t="inlineStr">
        <is>
          <t>SKELLEFTEÅ</t>
        </is>
      </c>
      <c r="F1002" t="inlineStr">
        <is>
          <t>Holmen skog AB</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10883-2024</t>
        </is>
      </c>
      <c r="B1003" s="1" t="n">
        <v>45370</v>
      </c>
      <c r="C1003" s="1" t="n">
        <v>45931</v>
      </c>
      <c r="D1003" t="inlineStr">
        <is>
          <t>VÄSTERBOTTENS LÄN</t>
        </is>
      </c>
      <c r="E1003" t="inlineStr">
        <is>
          <t>SKELLEFTEÅ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32914-2024</t>
        </is>
      </c>
      <c r="B1004" s="1" t="n">
        <v>45516.95133101852</v>
      </c>
      <c r="C1004" s="1" t="n">
        <v>45931</v>
      </c>
      <c r="D1004" t="inlineStr">
        <is>
          <t>VÄSTERBOTTENS LÄN</t>
        </is>
      </c>
      <c r="E1004" t="inlineStr">
        <is>
          <t>SKELLEFTEÅ</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27504-2023</t>
        </is>
      </c>
      <c r="B1005" s="1" t="n">
        <v>45097</v>
      </c>
      <c r="C1005" s="1" t="n">
        <v>45931</v>
      </c>
      <c r="D1005" t="inlineStr">
        <is>
          <t>VÄSTERBOTTENS LÄN</t>
        </is>
      </c>
      <c r="E1005" t="inlineStr">
        <is>
          <t>SKELLEFTEÅ</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277-2025</t>
        </is>
      </c>
      <c r="B1006" s="1" t="n">
        <v>45660.49072916667</v>
      </c>
      <c r="C1006" s="1" t="n">
        <v>45931</v>
      </c>
      <c r="D1006" t="inlineStr">
        <is>
          <t>VÄSTERBOTTENS LÄN</t>
        </is>
      </c>
      <c r="E1006" t="inlineStr">
        <is>
          <t>SKELLEFTEÅ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32820-2023</t>
        </is>
      </c>
      <c r="B1007" s="1" t="n">
        <v>45112</v>
      </c>
      <c r="C1007" s="1" t="n">
        <v>45931</v>
      </c>
      <c r="D1007" t="inlineStr">
        <is>
          <t>VÄSTERBOTTENS LÄN</t>
        </is>
      </c>
      <c r="E1007" t="inlineStr">
        <is>
          <t>SKELLEFTEÅ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44479-2024</t>
        </is>
      </c>
      <c r="B1008" s="1" t="n">
        <v>45574</v>
      </c>
      <c r="C1008" s="1" t="n">
        <v>45931</v>
      </c>
      <c r="D1008" t="inlineStr">
        <is>
          <t>VÄSTERBOTTENS LÄN</t>
        </is>
      </c>
      <c r="E1008" t="inlineStr">
        <is>
          <t>SKELLEFTEÅ</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8341-2024</t>
        </is>
      </c>
      <c r="B1009" s="1" t="n">
        <v>45351</v>
      </c>
      <c r="C1009" s="1" t="n">
        <v>45931</v>
      </c>
      <c r="D1009" t="inlineStr">
        <is>
          <t>VÄSTERBOTTENS LÄN</t>
        </is>
      </c>
      <c r="E1009" t="inlineStr">
        <is>
          <t>SKELLEFTEÅ</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22531-2025</t>
        </is>
      </c>
      <c r="B1010" s="1" t="n">
        <v>45786</v>
      </c>
      <c r="C1010" s="1" t="n">
        <v>45931</v>
      </c>
      <c r="D1010" t="inlineStr">
        <is>
          <t>VÄSTERBOTTENS LÄN</t>
        </is>
      </c>
      <c r="E1010" t="inlineStr">
        <is>
          <t>SKELLEFTEÅ</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5603-2024</t>
        </is>
      </c>
      <c r="B1011" s="1" t="n">
        <v>45334</v>
      </c>
      <c r="C1011" s="1" t="n">
        <v>45931</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52062-2023</t>
        </is>
      </c>
      <c r="B1012" s="1" t="n">
        <v>45216</v>
      </c>
      <c r="C1012" s="1" t="n">
        <v>45931</v>
      </c>
      <c r="D1012" t="inlineStr">
        <is>
          <t>VÄSTERBOTTENS LÄN</t>
        </is>
      </c>
      <c r="E1012" t="inlineStr">
        <is>
          <t>SKELLEFTEÅ</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25237-2023</t>
        </is>
      </c>
      <c r="B1013" s="1" t="n">
        <v>45079</v>
      </c>
      <c r="C1013" s="1" t="n">
        <v>45931</v>
      </c>
      <c r="D1013" t="inlineStr">
        <is>
          <t>VÄSTERBOTTENS LÄN</t>
        </is>
      </c>
      <c r="E1013" t="inlineStr">
        <is>
          <t>SKELLEFTEÅ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1113-2025</t>
        </is>
      </c>
      <c r="B1014" s="1" t="n">
        <v>45666</v>
      </c>
      <c r="C1014" s="1" t="n">
        <v>45931</v>
      </c>
      <c r="D1014" t="inlineStr">
        <is>
          <t>VÄSTERBOTTENS LÄN</t>
        </is>
      </c>
      <c r="E1014" t="inlineStr">
        <is>
          <t>SKELLEFTEÅ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58298-2022</t>
        </is>
      </c>
      <c r="B1015" s="1" t="n">
        <v>44901</v>
      </c>
      <c r="C1015" s="1" t="n">
        <v>45931</v>
      </c>
      <c r="D1015" t="inlineStr">
        <is>
          <t>VÄSTERBOTTENS LÄN</t>
        </is>
      </c>
      <c r="E1015" t="inlineStr">
        <is>
          <t>SKELLEFTEÅ</t>
        </is>
      </c>
      <c r="F1015" t="inlineStr">
        <is>
          <t>Sveaskog</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54251-2024</t>
        </is>
      </c>
      <c r="B1016" s="1" t="n">
        <v>45616.69726851852</v>
      </c>
      <c r="C1016" s="1" t="n">
        <v>45931</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1402-2025</t>
        </is>
      </c>
      <c r="B1017" s="1" t="n">
        <v>45667.70535879629</v>
      </c>
      <c r="C1017" s="1" t="n">
        <v>45931</v>
      </c>
      <c r="D1017" t="inlineStr">
        <is>
          <t>VÄSTERBOTTENS LÄN</t>
        </is>
      </c>
      <c r="E1017" t="inlineStr">
        <is>
          <t>SKELLEFTEÅ</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36823-2024</t>
        </is>
      </c>
      <c r="B1018" s="1" t="n">
        <v>45538.50298611111</v>
      </c>
      <c r="C1018" s="1" t="n">
        <v>45931</v>
      </c>
      <c r="D1018" t="inlineStr">
        <is>
          <t>VÄSTERBOTTENS LÄN</t>
        </is>
      </c>
      <c r="E1018" t="inlineStr">
        <is>
          <t>SKELLEFTEÅ</t>
        </is>
      </c>
      <c r="F1018" t="inlineStr">
        <is>
          <t>Holmen skog AB</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25638-2023</t>
        </is>
      </c>
      <c r="B1019" s="1" t="n">
        <v>45084</v>
      </c>
      <c r="C1019" s="1" t="n">
        <v>45931</v>
      </c>
      <c r="D1019" t="inlineStr">
        <is>
          <t>VÄSTERBOTTENS LÄN</t>
        </is>
      </c>
      <c r="E1019" t="inlineStr">
        <is>
          <t>SKELLEFTEÅ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544-2025</t>
        </is>
      </c>
      <c r="B1020" s="1" t="n">
        <v>45660</v>
      </c>
      <c r="C1020" s="1" t="n">
        <v>45931</v>
      </c>
      <c r="D1020" t="inlineStr">
        <is>
          <t>VÄSTERBOTTENS LÄN</t>
        </is>
      </c>
      <c r="E1020" t="inlineStr">
        <is>
          <t>SKELLEFTEÅ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22311-2025</t>
        </is>
      </c>
      <c r="B1021" s="1" t="n">
        <v>45786</v>
      </c>
      <c r="C1021" s="1" t="n">
        <v>45931</v>
      </c>
      <c r="D1021" t="inlineStr">
        <is>
          <t>VÄSTERBOTTENS LÄN</t>
        </is>
      </c>
      <c r="E1021" t="inlineStr">
        <is>
          <t>SKELLEFTEÅ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56157-2024</t>
        </is>
      </c>
      <c r="B1022" s="1" t="n">
        <v>45623</v>
      </c>
      <c r="C1022" s="1" t="n">
        <v>45931</v>
      </c>
      <c r="D1022" t="inlineStr">
        <is>
          <t>VÄSTERBOTTENS LÄN</t>
        </is>
      </c>
      <c r="E1022" t="inlineStr">
        <is>
          <t>SKELLEFTEÅ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8577-2025</t>
        </is>
      </c>
      <c r="B1023" s="1" t="n">
        <v>45709.66873842593</v>
      </c>
      <c r="C1023" s="1" t="n">
        <v>45931</v>
      </c>
      <c r="D1023" t="inlineStr">
        <is>
          <t>VÄSTERBOTTENS LÄN</t>
        </is>
      </c>
      <c r="E1023" t="inlineStr">
        <is>
          <t>SKELLEFTEÅ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13131-2022</t>
        </is>
      </c>
      <c r="B1024" s="1" t="n">
        <v>44644.38203703704</v>
      </c>
      <c r="C1024" s="1" t="n">
        <v>45931</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45111-2024</t>
        </is>
      </c>
      <c r="B1025" s="1" t="n">
        <v>45575</v>
      </c>
      <c r="C1025" s="1" t="n">
        <v>45931</v>
      </c>
      <c r="D1025" t="inlineStr">
        <is>
          <t>VÄSTERBOTTENS LÄN</t>
        </is>
      </c>
      <c r="E1025" t="inlineStr">
        <is>
          <t>SKELLEFTEÅ</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8644-2025</t>
        </is>
      </c>
      <c r="B1026" s="1" t="n">
        <v>45712</v>
      </c>
      <c r="C1026" s="1" t="n">
        <v>45931</v>
      </c>
      <c r="D1026" t="inlineStr">
        <is>
          <t>VÄSTERBOTTENS LÄN</t>
        </is>
      </c>
      <c r="E1026" t="inlineStr">
        <is>
          <t>SKELLEFTEÅ</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48202-2024</t>
        </is>
      </c>
      <c r="B1027" s="1" t="n">
        <v>45589</v>
      </c>
      <c r="C1027" s="1" t="n">
        <v>45931</v>
      </c>
      <c r="D1027" t="inlineStr">
        <is>
          <t>VÄSTERBOTTENS LÄN</t>
        </is>
      </c>
      <c r="E1027" t="inlineStr">
        <is>
          <t>SKELLEFTEÅ</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44480-2024</t>
        </is>
      </c>
      <c r="B1028" s="1" t="n">
        <v>45574</v>
      </c>
      <c r="C1028" s="1" t="n">
        <v>45931</v>
      </c>
      <c r="D1028" t="inlineStr">
        <is>
          <t>VÄSTERBOTTENS LÄN</t>
        </is>
      </c>
      <c r="E1028" t="inlineStr">
        <is>
          <t>SKELLEFTEÅ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11638-2023</t>
        </is>
      </c>
      <c r="B1029" s="1" t="n">
        <v>44994.44827546296</v>
      </c>
      <c r="C1029" s="1" t="n">
        <v>45931</v>
      </c>
      <c r="D1029" t="inlineStr">
        <is>
          <t>VÄSTERBOTTENS LÄN</t>
        </is>
      </c>
      <c r="E1029" t="inlineStr">
        <is>
          <t>SKELLEFTEÅ</t>
        </is>
      </c>
      <c r="G1029" t="n">
        <v>19.8</v>
      </c>
      <c r="H1029" t="n">
        <v>0</v>
      </c>
      <c r="I1029" t="n">
        <v>0</v>
      </c>
      <c r="J1029" t="n">
        <v>0</v>
      </c>
      <c r="K1029" t="n">
        <v>0</v>
      </c>
      <c r="L1029" t="n">
        <v>0</v>
      </c>
      <c r="M1029" t="n">
        <v>0</v>
      </c>
      <c r="N1029" t="n">
        <v>0</v>
      </c>
      <c r="O1029" t="n">
        <v>0</v>
      </c>
      <c r="P1029" t="n">
        <v>0</v>
      </c>
      <c r="Q1029" t="n">
        <v>0</v>
      </c>
      <c r="R1029" s="2" t="inlineStr"/>
    </row>
    <row r="1030" ht="15" customHeight="1">
      <c r="A1030" t="inlineStr">
        <is>
          <t>A 44025-2023</t>
        </is>
      </c>
      <c r="B1030" s="1" t="n">
        <v>45182</v>
      </c>
      <c r="C1030" s="1" t="n">
        <v>45931</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27990-2024</t>
        </is>
      </c>
      <c r="B1031" s="1" t="n">
        <v>45476.42824074074</v>
      </c>
      <c r="C1031" s="1" t="n">
        <v>45931</v>
      </c>
      <c r="D1031" t="inlineStr">
        <is>
          <t>VÄSTERBOTTENS LÄN</t>
        </is>
      </c>
      <c r="E1031" t="inlineStr">
        <is>
          <t>SKELLEFTEÅ</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4138-2024</t>
        </is>
      </c>
      <c r="B1032" s="1" t="n">
        <v>45323</v>
      </c>
      <c r="C1032" s="1" t="n">
        <v>45931</v>
      </c>
      <c r="D1032" t="inlineStr">
        <is>
          <t>VÄSTERBOTTENS LÄN</t>
        </is>
      </c>
      <c r="E1032" t="inlineStr">
        <is>
          <t>SKELLEFTEÅ</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33680-2021</t>
        </is>
      </c>
      <c r="B1033" s="1" t="n">
        <v>44378.41619212963</v>
      </c>
      <c r="C1033" s="1" t="n">
        <v>45931</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59443-2024</t>
        </is>
      </c>
      <c r="B1034" s="1" t="n">
        <v>45638.44944444444</v>
      </c>
      <c r="C1034" s="1" t="n">
        <v>45931</v>
      </c>
      <c r="D1034" t="inlineStr">
        <is>
          <t>VÄSTERBOTTENS LÄN</t>
        </is>
      </c>
      <c r="E1034" t="inlineStr">
        <is>
          <t>SKELLEFTEÅ</t>
        </is>
      </c>
      <c r="F1034" t="inlineStr">
        <is>
          <t>Sveaskog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3616-2022</t>
        </is>
      </c>
      <c r="B1035" s="1" t="n">
        <v>44586</v>
      </c>
      <c r="C1035" s="1" t="n">
        <v>45931</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50549-2023</t>
        </is>
      </c>
      <c r="B1036" s="1" t="n">
        <v>45217.36358796297</v>
      </c>
      <c r="C1036" s="1" t="n">
        <v>45931</v>
      </c>
      <c r="D1036" t="inlineStr">
        <is>
          <t>VÄSTERBOTTENS LÄN</t>
        </is>
      </c>
      <c r="E1036" t="inlineStr">
        <is>
          <t>SKELLEFTEÅ</t>
        </is>
      </c>
      <c r="F1036" t="inlineStr">
        <is>
          <t>Holmen skog AB</t>
        </is>
      </c>
      <c r="G1036" t="n">
        <v>28.5</v>
      </c>
      <c r="H1036" t="n">
        <v>0</v>
      </c>
      <c r="I1036" t="n">
        <v>0</v>
      </c>
      <c r="J1036" t="n">
        <v>0</v>
      </c>
      <c r="K1036" t="n">
        <v>0</v>
      </c>
      <c r="L1036" t="n">
        <v>0</v>
      </c>
      <c r="M1036" t="n">
        <v>0</v>
      </c>
      <c r="N1036" t="n">
        <v>0</v>
      </c>
      <c r="O1036" t="n">
        <v>0</v>
      </c>
      <c r="P1036" t="n">
        <v>0</v>
      </c>
      <c r="Q1036" t="n">
        <v>0</v>
      </c>
      <c r="R1036" s="2" t="inlineStr"/>
    </row>
    <row r="1037" ht="15" customHeight="1">
      <c r="A1037" t="inlineStr">
        <is>
          <t>A 5828-2022</t>
        </is>
      </c>
      <c r="B1037" s="1" t="n">
        <v>44596</v>
      </c>
      <c r="C1037" s="1" t="n">
        <v>45931</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45011-2022</t>
        </is>
      </c>
      <c r="B1038" s="1" t="n">
        <v>44840</v>
      </c>
      <c r="C1038" s="1" t="n">
        <v>45931</v>
      </c>
      <c r="D1038" t="inlineStr">
        <is>
          <t>VÄSTERBOTTENS LÄN</t>
        </is>
      </c>
      <c r="E1038" t="inlineStr">
        <is>
          <t>SKELLEFTEÅ</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36771-2024</t>
        </is>
      </c>
      <c r="B1039" s="1" t="n">
        <v>45538.38226851852</v>
      </c>
      <c r="C1039" s="1" t="n">
        <v>45931</v>
      </c>
      <c r="D1039" t="inlineStr">
        <is>
          <t>VÄSTERBOTTENS LÄN</t>
        </is>
      </c>
      <c r="E1039" t="inlineStr">
        <is>
          <t>SKELLEFTEÅ</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18081-2022</t>
        </is>
      </c>
      <c r="B1040" s="1" t="n">
        <v>44684</v>
      </c>
      <c r="C1040" s="1" t="n">
        <v>45931</v>
      </c>
      <c r="D1040" t="inlineStr">
        <is>
          <t>VÄSTERBOTTENS LÄN</t>
        </is>
      </c>
      <c r="E1040" t="inlineStr">
        <is>
          <t>SKELLEFTEÅ</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10063-2025</t>
        </is>
      </c>
      <c r="B1041" s="1" t="n">
        <v>45719</v>
      </c>
      <c r="C1041" s="1" t="n">
        <v>45931</v>
      </c>
      <c r="D1041" t="inlineStr">
        <is>
          <t>VÄSTERBOTTENS LÄN</t>
        </is>
      </c>
      <c r="E1041" t="inlineStr">
        <is>
          <t>SKELLEFTEÅ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49731-2024</t>
        </is>
      </c>
      <c r="B1042" s="1" t="n">
        <v>45596</v>
      </c>
      <c r="C1042" s="1" t="n">
        <v>45931</v>
      </c>
      <c r="D1042" t="inlineStr">
        <is>
          <t>VÄSTERBOTTENS LÄN</t>
        </is>
      </c>
      <c r="E1042" t="inlineStr">
        <is>
          <t>SKELLEFTEÅ</t>
        </is>
      </c>
      <c r="F1042" t="inlineStr">
        <is>
          <t>Sveaskog</t>
        </is>
      </c>
      <c r="G1042" t="n">
        <v>15.4</v>
      </c>
      <c r="H1042" t="n">
        <v>0</v>
      </c>
      <c r="I1042" t="n">
        <v>0</v>
      </c>
      <c r="J1042" t="n">
        <v>0</v>
      </c>
      <c r="K1042" t="n">
        <v>0</v>
      </c>
      <c r="L1042" t="n">
        <v>0</v>
      </c>
      <c r="M1042" t="n">
        <v>0</v>
      </c>
      <c r="N1042" t="n">
        <v>0</v>
      </c>
      <c r="O1042" t="n">
        <v>0</v>
      </c>
      <c r="P1042" t="n">
        <v>0</v>
      </c>
      <c r="Q1042" t="n">
        <v>0</v>
      </c>
      <c r="R1042" s="2" t="inlineStr"/>
    </row>
    <row r="1043" ht="15" customHeight="1">
      <c r="A1043" t="inlineStr">
        <is>
          <t>A 12009-2022</t>
        </is>
      </c>
      <c r="B1043" s="1" t="n">
        <v>44635</v>
      </c>
      <c r="C1043" s="1" t="n">
        <v>45931</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73833-2021</t>
        </is>
      </c>
      <c r="B1044" s="1" t="n">
        <v>44552.92071759259</v>
      </c>
      <c r="C1044" s="1" t="n">
        <v>45931</v>
      </c>
      <c r="D1044" t="inlineStr">
        <is>
          <t>VÄSTERBOTTENS LÄN</t>
        </is>
      </c>
      <c r="E1044" t="inlineStr">
        <is>
          <t>SKELLEFTEÅ</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50464-2023</t>
        </is>
      </c>
      <c r="B1045" s="1" t="n">
        <v>45216.84891203704</v>
      </c>
      <c r="C1045" s="1" t="n">
        <v>45931</v>
      </c>
      <c r="D1045" t="inlineStr">
        <is>
          <t>VÄSTERBOTTENS LÄN</t>
        </is>
      </c>
      <c r="E1045" t="inlineStr">
        <is>
          <t>SKELLEFTEÅ</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50462-2023</t>
        </is>
      </c>
      <c r="B1046" s="1" t="n">
        <v>45216.84662037037</v>
      </c>
      <c r="C1046" s="1" t="n">
        <v>45931</v>
      </c>
      <c r="D1046" t="inlineStr">
        <is>
          <t>VÄSTERBOTTENS LÄN</t>
        </is>
      </c>
      <c r="E1046" t="inlineStr">
        <is>
          <t>SKELLEFTEÅ</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45788-2024</t>
        </is>
      </c>
      <c r="B1047" s="1" t="n">
        <v>45579</v>
      </c>
      <c r="C1047" s="1" t="n">
        <v>45931</v>
      </c>
      <c r="D1047" t="inlineStr">
        <is>
          <t>VÄSTERBOTTENS LÄN</t>
        </is>
      </c>
      <c r="E1047" t="inlineStr">
        <is>
          <t>SKELLEFTEÅ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40442-2023</t>
        </is>
      </c>
      <c r="B1048" s="1" t="n">
        <v>45170.27015046297</v>
      </c>
      <c r="C1048" s="1" t="n">
        <v>45931</v>
      </c>
      <c r="D1048" t="inlineStr">
        <is>
          <t>VÄSTERBOTTENS LÄN</t>
        </is>
      </c>
      <c r="E1048" t="inlineStr">
        <is>
          <t>SKELLEFTEÅ</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21077-2024</t>
        </is>
      </c>
      <c r="B1049" s="1" t="n">
        <v>45439.92695601852</v>
      </c>
      <c r="C1049" s="1" t="n">
        <v>45931</v>
      </c>
      <c r="D1049" t="inlineStr">
        <is>
          <t>VÄSTERBOTTENS LÄN</t>
        </is>
      </c>
      <c r="E1049" t="inlineStr">
        <is>
          <t>SKELLEFTEÅ</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40347-2024</t>
        </is>
      </c>
      <c r="B1050" s="1" t="n">
        <v>45555.35193287037</v>
      </c>
      <c r="C1050" s="1" t="n">
        <v>45931</v>
      </c>
      <c r="D1050" t="inlineStr">
        <is>
          <t>VÄSTERBOTTENS LÄN</t>
        </is>
      </c>
      <c r="E1050" t="inlineStr">
        <is>
          <t>SKELLEFTEÅ</t>
        </is>
      </c>
      <c r="F1050" t="inlineStr">
        <is>
          <t>Kommuner</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15825-2023</t>
        </is>
      </c>
      <c r="B1051" s="1" t="n">
        <v>45021.94521990741</v>
      </c>
      <c r="C1051" s="1" t="n">
        <v>45931</v>
      </c>
      <c r="D1051" t="inlineStr">
        <is>
          <t>VÄSTERBOTTENS LÄN</t>
        </is>
      </c>
      <c r="E1051" t="inlineStr">
        <is>
          <t>SKELLEFTEÅ</t>
        </is>
      </c>
      <c r="F1051" t="inlineStr">
        <is>
          <t>SCA</t>
        </is>
      </c>
      <c r="G1051" t="n">
        <v>16.8</v>
      </c>
      <c r="H1051" t="n">
        <v>0</v>
      </c>
      <c r="I1051" t="n">
        <v>0</v>
      </c>
      <c r="J1051" t="n">
        <v>0</v>
      </c>
      <c r="K1051" t="n">
        <v>0</v>
      </c>
      <c r="L1051" t="n">
        <v>0</v>
      </c>
      <c r="M1051" t="n">
        <v>0</v>
      </c>
      <c r="N1051" t="n">
        <v>0</v>
      </c>
      <c r="O1051" t="n">
        <v>0</v>
      </c>
      <c r="P1051" t="n">
        <v>0</v>
      </c>
      <c r="Q1051" t="n">
        <v>0</v>
      </c>
      <c r="R1051" s="2" t="inlineStr"/>
    </row>
    <row r="1052" ht="15" customHeight="1">
      <c r="A1052" t="inlineStr">
        <is>
          <t>A 63525-2023</t>
        </is>
      </c>
      <c r="B1052" s="1" t="n">
        <v>45274</v>
      </c>
      <c r="C1052" s="1" t="n">
        <v>45931</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59689-2024</t>
        </is>
      </c>
      <c r="B1053" s="1" t="n">
        <v>45639.40660879629</v>
      </c>
      <c r="C1053" s="1" t="n">
        <v>45931</v>
      </c>
      <c r="D1053" t="inlineStr">
        <is>
          <t>VÄSTERBOTTENS LÄN</t>
        </is>
      </c>
      <c r="E1053" t="inlineStr">
        <is>
          <t>SKELLEFTEÅ</t>
        </is>
      </c>
      <c r="F1053" t="inlineStr">
        <is>
          <t>Holmen skog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41118-2024</t>
        </is>
      </c>
      <c r="B1054" s="1" t="n">
        <v>45559.45327546296</v>
      </c>
      <c r="C1054" s="1" t="n">
        <v>45931</v>
      </c>
      <c r="D1054" t="inlineStr">
        <is>
          <t>VÄSTERBOTTENS LÄN</t>
        </is>
      </c>
      <c r="E1054" t="inlineStr">
        <is>
          <t>SKELLEFTEÅ</t>
        </is>
      </c>
      <c r="F1054" t="inlineStr">
        <is>
          <t>Holmen skog AB</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62483-2022</t>
        </is>
      </c>
      <c r="B1055" s="1" t="n">
        <v>44924.56034722222</v>
      </c>
      <c r="C1055" s="1" t="n">
        <v>45931</v>
      </c>
      <c r="D1055" t="inlineStr">
        <is>
          <t>VÄSTERBOTTENS LÄN</t>
        </is>
      </c>
      <c r="E1055" t="inlineStr">
        <is>
          <t>SKELLEFTEÅ</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23018-2025</t>
        </is>
      </c>
      <c r="B1056" s="1" t="n">
        <v>45790.6446875</v>
      </c>
      <c r="C1056" s="1" t="n">
        <v>45931</v>
      </c>
      <c r="D1056" t="inlineStr">
        <is>
          <t>VÄSTERBOTTENS LÄN</t>
        </is>
      </c>
      <c r="E1056" t="inlineStr">
        <is>
          <t>SKELLEFTEÅ</t>
        </is>
      </c>
      <c r="F1056" t="inlineStr">
        <is>
          <t>Holmen skog AB</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40274-2023</t>
        </is>
      </c>
      <c r="B1057" s="1" t="n">
        <v>45169.55936342593</v>
      </c>
      <c r="C1057" s="1" t="n">
        <v>45931</v>
      </c>
      <c r="D1057" t="inlineStr">
        <is>
          <t>VÄSTERBOTTENS LÄN</t>
        </is>
      </c>
      <c r="E1057" t="inlineStr">
        <is>
          <t>SKELLEFTEÅ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37760-2024</t>
        </is>
      </c>
      <c r="B1058" s="1" t="n">
        <v>45541.784375</v>
      </c>
      <c r="C1058" s="1" t="n">
        <v>45931</v>
      </c>
      <c r="D1058" t="inlineStr">
        <is>
          <t>VÄSTERBOTTENS LÄN</t>
        </is>
      </c>
      <c r="E1058" t="inlineStr">
        <is>
          <t>SKELLEFTEÅ</t>
        </is>
      </c>
      <c r="F1058" t="inlineStr">
        <is>
          <t>Sveaskog</t>
        </is>
      </c>
      <c r="G1058" t="n">
        <v>27.6</v>
      </c>
      <c r="H1058" t="n">
        <v>0</v>
      </c>
      <c r="I1058" t="n">
        <v>0</v>
      </c>
      <c r="J1058" t="n">
        <v>0</v>
      </c>
      <c r="K1058" t="n">
        <v>0</v>
      </c>
      <c r="L1058" t="n">
        <v>0</v>
      </c>
      <c r="M1058" t="n">
        <v>0</v>
      </c>
      <c r="N1058" t="n">
        <v>0</v>
      </c>
      <c r="O1058" t="n">
        <v>0</v>
      </c>
      <c r="P1058" t="n">
        <v>0</v>
      </c>
      <c r="Q1058" t="n">
        <v>0</v>
      </c>
      <c r="R1058" s="2" t="inlineStr"/>
    </row>
    <row r="1059" ht="15" customHeight="1">
      <c r="A1059" t="inlineStr">
        <is>
          <t>A 36327-2023</t>
        </is>
      </c>
      <c r="B1059" s="1" t="n">
        <v>45152</v>
      </c>
      <c r="C1059" s="1" t="n">
        <v>45931</v>
      </c>
      <c r="D1059" t="inlineStr">
        <is>
          <t>VÄSTERBOTTENS LÄN</t>
        </is>
      </c>
      <c r="E1059" t="inlineStr">
        <is>
          <t>SKELLEFTEÅ</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26708-2024</t>
        </is>
      </c>
      <c r="B1060" s="1" t="n">
        <v>45470</v>
      </c>
      <c r="C1060" s="1" t="n">
        <v>45931</v>
      </c>
      <c r="D1060" t="inlineStr">
        <is>
          <t>VÄSTERBOTTENS LÄN</t>
        </is>
      </c>
      <c r="E1060" t="inlineStr">
        <is>
          <t>SKELLEFTEÅ</t>
        </is>
      </c>
      <c r="F1060" t="inlineStr">
        <is>
          <t>Sveaskog</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58376-2022</t>
        </is>
      </c>
      <c r="B1061" s="1" t="n">
        <v>44901</v>
      </c>
      <c r="C1061" s="1" t="n">
        <v>45931</v>
      </c>
      <c r="D1061" t="inlineStr">
        <is>
          <t>VÄSTERBOTTENS LÄN</t>
        </is>
      </c>
      <c r="E1061" t="inlineStr">
        <is>
          <t>SKELLEFTEÅ</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30901-2024</t>
        </is>
      </c>
      <c r="B1062" s="1" t="n">
        <v>45498</v>
      </c>
      <c r="C1062" s="1" t="n">
        <v>45931</v>
      </c>
      <c r="D1062" t="inlineStr">
        <is>
          <t>VÄSTERBOTTENS LÄN</t>
        </is>
      </c>
      <c r="E1062" t="inlineStr">
        <is>
          <t>SKELLEFTEÅ</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22921-2025</t>
        </is>
      </c>
      <c r="B1063" s="1" t="n">
        <v>45790.43959490741</v>
      </c>
      <c r="C1063" s="1" t="n">
        <v>45931</v>
      </c>
      <c r="D1063" t="inlineStr">
        <is>
          <t>VÄSTERBOTTENS LÄN</t>
        </is>
      </c>
      <c r="E1063" t="inlineStr">
        <is>
          <t>SKELLEFTEÅ</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16261-2025</t>
        </is>
      </c>
      <c r="B1064" s="1" t="n">
        <v>45750.74388888889</v>
      </c>
      <c r="C1064" s="1" t="n">
        <v>45931</v>
      </c>
      <c r="D1064" t="inlineStr">
        <is>
          <t>VÄSTERBOTTENS LÄN</t>
        </is>
      </c>
      <c r="E1064" t="inlineStr">
        <is>
          <t>SKELLEFTEÅ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58897-2022</t>
        </is>
      </c>
      <c r="B1065" s="1" t="n">
        <v>44895</v>
      </c>
      <c r="C1065" s="1" t="n">
        <v>45931</v>
      </c>
      <c r="D1065" t="inlineStr">
        <is>
          <t>VÄSTERBOTTENS LÄN</t>
        </is>
      </c>
      <c r="E1065" t="inlineStr">
        <is>
          <t>SKELLEFTEÅ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47514-2024</t>
        </is>
      </c>
      <c r="B1066" s="1" t="n">
        <v>45587</v>
      </c>
      <c r="C1066" s="1" t="n">
        <v>45931</v>
      </c>
      <c r="D1066" t="inlineStr">
        <is>
          <t>VÄSTERBOTTENS LÄN</t>
        </is>
      </c>
      <c r="E1066" t="inlineStr">
        <is>
          <t>SKELLEFTEÅ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40967-2024</t>
        </is>
      </c>
      <c r="B1067" s="1" t="n">
        <v>45558.67306712963</v>
      </c>
      <c r="C1067" s="1" t="n">
        <v>45931</v>
      </c>
      <c r="D1067" t="inlineStr">
        <is>
          <t>VÄSTERBOTTENS LÄN</t>
        </is>
      </c>
      <c r="E1067" t="inlineStr">
        <is>
          <t>SKELLEFTEÅ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33530-2024</t>
        </is>
      </c>
      <c r="B1068" s="1" t="n">
        <v>45519.67211805555</v>
      </c>
      <c r="C1068" s="1" t="n">
        <v>45931</v>
      </c>
      <c r="D1068" t="inlineStr">
        <is>
          <t>VÄSTERBOTTENS LÄN</t>
        </is>
      </c>
      <c r="E1068" t="inlineStr">
        <is>
          <t>SKELLEFTEÅ</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38558-2024</t>
        </is>
      </c>
      <c r="B1069" s="1" t="n">
        <v>45546.62606481482</v>
      </c>
      <c r="C1069" s="1" t="n">
        <v>45931</v>
      </c>
      <c r="D1069" t="inlineStr">
        <is>
          <t>VÄSTERBOTTENS LÄN</t>
        </is>
      </c>
      <c r="E1069" t="inlineStr">
        <is>
          <t>SKELLEFTEÅ</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38568-2024</t>
        </is>
      </c>
      <c r="B1070" s="1" t="n">
        <v>45546.63684027778</v>
      </c>
      <c r="C1070" s="1" t="n">
        <v>45931</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73684-2021</t>
        </is>
      </c>
      <c r="B1071" s="1" t="n">
        <v>44551</v>
      </c>
      <c r="C1071" s="1" t="n">
        <v>45931</v>
      </c>
      <c r="D1071" t="inlineStr">
        <is>
          <t>VÄSTERBOTTENS LÄN</t>
        </is>
      </c>
      <c r="E1071" t="inlineStr">
        <is>
          <t>SKELLEFTEÅ</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15846-2024</t>
        </is>
      </c>
      <c r="B1072" s="1" t="n">
        <v>45404.84630787037</v>
      </c>
      <c r="C1072" s="1" t="n">
        <v>45931</v>
      </c>
      <c r="D1072" t="inlineStr">
        <is>
          <t>VÄSTERBOTTENS LÄN</t>
        </is>
      </c>
      <c r="E1072" t="inlineStr">
        <is>
          <t>SKELLEFTEÅ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15848-2024</t>
        </is>
      </c>
      <c r="B1073" s="1" t="n">
        <v>45404</v>
      </c>
      <c r="C1073" s="1" t="n">
        <v>45931</v>
      </c>
      <c r="D1073" t="inlineStr">
        <is>
          <t>VÄSTERBOTTENS LÄN</t>
        </is>
      </c>
      <c r="E1073" t="inlineStr">
        <is>
          <t>SKELLEFTEÅ</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21763-2025</t>
        </is>
      </c>
      <c r="B1074" s="1" t="n">
        <v>45783</v>
      </c>
      <c r="C1074" s="1" t="n">
        <v>45931</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11973-2023</t>
        </is>
      </c>
      <c r="B1075" s="1" t="n">
        <v>44994</v>
      </c>
      <c r="C1075" s="1" t="n">
        <v>45931</v>
      </c>
      <c r="D1075" t="inlineStr">
        <is>
          <t>VÄSTERBOTTENS LÄN</t>
        </is>
      </c>
      <c r="E1075" t="inlineStr">
        <is>
          <t>SKELLEFTEÅ</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23168-2024</t>
        </is>
      </c>
      <c r="B1076" s="1" t="n">
        <v>45450</v>
      </c>
      <c r="C1076" s="1" t="n">
        <v>45931</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57278-2024</t>
        </is>
      </c>
      <c r="B1077" s="1" t="n">
        <v>45629</v>
      </c>
      <c r="C1077" s="1" t="n">
        <v>45931</v>
      </c>
      <c r="D1077" t="inlineStr">
        <is>
          <t>VÄSTERBOTTENS LÄN</t>
        </is>
      </c>
      <c r="E1077" t="inlineStr">
        <is>
          <t>SKELLEFTEÅ</t>
        </is>
      </c>
      <c r="F1077" t="inlineStr">
        <is>
          <t>Holmen skog AB</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27288-2024</t>
        </is>
      </c>
      <c r="B1078" s="1" t="n">
        <v>45471.92630787037</v>
      </c>
      <c r="C1078" s="1" t="n">
        <v>45931</v>
      </c>
      <c r="D1078" t="inlineStr">
        <is>
          <t>VÄSTERBOTTENS LÄN</t>
        </is>
      </c>
      <c r="E1078" t="inlineStr">
        <is>
          <t>SKELLEFTEÅ</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2486-2022</t>
        </is>
      </c>
      <c r="B1079" s="1" t="n">
        <v>44579</v>
      </c>
      <c r="C1079" s="1" t="n">
        <v>45931</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37134-2023</t>
        </is>
      </c>
      <c r="B1080" s="1" t="n">
        <v>45155.57627314814</v>
      </c>
      <c r="C1080" s="1" t="n">
        <v>45931</v>
      </c>
      <c r="D1080" t="inlineStr">
        <is>
          <t>VÄSTERBOTTENS LÄN</t>
        </is>
      </c>
      <c r="E1080" t="inlineStr">
        <is>
          <t>SKELLEFTEÅ</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22838-2025</t>
        </is>
      </c>
      <c r="B1081" s="1" t="n">
        <v>45790.28381944444</v>
      </c>
      <c r="C1081" s="1" t="n">
        <v>45931</v>
      </c>
      <c r="D1081" t="inlineStr">
        <is>
          <t>VÄSTERBOTTENS LÄN</t>
        </is>
      </c>
      <c r="E1081" t="inlineStr">
        <is>
          <t>SKELLEFTEÅ</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23213-2025</t>
        </is>
      </c>
      <c r="B1082" s="1" t="n">
        <v>45791</v>
      </c>
      <c r="C1082" s="1" t="n">
        <v>45931</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33109-2024</t>
        </is>
      </c>
      <c r="B1083" s="1" t="n">
        <v>45517</v>
      </c>
      <c r="C1083" s="1" t="n">
        <v>45931</v>
      </c>
      <c r="D1083" t="inlineStr">
        <is>
          <t>VÄSTERBOTTENS LÄN</t>
        </is>
      </c>
      <c r="E1083" t="inlineStr">
        <is>
          <t>SKELLEFTEÅ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23208-2025</t>
        </is>
      </c>
      <c r="B1084" s="1" t="n">
        <v>45791</v>
      </c>
      <c r="C1084" s="1" t="n">
        <v>45931</v>
      </c>
      <c r="D1084" t="inlineStr">
        <is>
          <t>VÄSTERBOTTENS LÄN</t>
        </is>
      </c>
      <c r="E1084" t="inlineStr">
        <is>
          <t>SKELLEFTEÅ</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23373-2025</t>
        </is>
      </c>
      <c r="B1085" s="1" t="n">
        <v>45791.75634259259</v>
      </c>
      <c r="C1085" s="1" t="n">
        <v>45931</v>
      </c>
      <c r="D1085" t="inlineStr">
        <is>
          <t>VÄSTERBOTTENS LÄN</t>
        </is>
      </c>
      <c r="E1085" t="inlineStr">
        <is>
          <t>SKELLEFTEÅ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53646-2022</t>
        </is>
      </c>
      <c r="B1086" s="1" t="n">
        <v>44879</v>
      </c>
      <c r="C1086" s="1" t="n">
        <v>45931</v>
      </c>
      <c r="D1086" t="inlineStr">
        <is>
          <t>VÄSTERBOTTENS LÄN</t>
        </is>
      </c>
      <c r="E1086" t="inlineStr">
        <is>
          <t>SKELLEFTEÅ</t>
        </is>
      </c>
      <c r="G1086" t="n">
        <v>10.6</v>
      </c>
      <c r="H1086" t="n">
        <v>0</v>
      </c>
      <c r="I1086" t="n">
        <v>0</v>
      </c>
      <c r="J1086" t="n">
        <v>0</v>
      </c>
      <c r="K1086" t="n">
        <v>0</v>
      </c>
      <c r="L1086" t="n">
        <v>0</v>
      </c>
      <c r="M1086" t="n">
        <v>0</v>
      </c>
      <c r="N1086" t="n">
        <v>0</v>
      </c>
      <c r="O1086" t="n">
        <v>0</v>
      </c>
      <c r="P1086" t="n">
        <v>0</v>
      </c>
      <c r="Q1086" t="n">
        <v>0</v>
      </c>
      <c r="R1086" s="2" t="inlineStr"/>
    </row>
    <row r="1087" ht="15" customHeight="1">
      <c r="A1087" t="inlineStr">
        <is>
          <t>A 50232-2024</t>
        </is>
      </c>
      <c r="B1087" s="1" t="n">
        <v>45600.55253472222</v>
      </c>
      <c r="C1087" s="1" t="n">
        <v>45931</v>
      </c>
      <c r="D1087" t="inlineStr">
        <is>
          <t>VÄSTERBOTTENS LÄN</t>
        </is>
      </c>
      <c r="E1087" t="inlineStr">
        <is>
          <t>SKELLEFTEÅ</t>
        </is>
      </c>
      <c r="F1087" t="inlineStr">
        <is>
          <t>Holmen skog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47910-2023</t>
        </is>
      </c>
      <c r="B1088" s="1" t="n">
        <v>45204.5140625</v>
      </c>
      <c r="C1088" s="1" t="n">
        <v>45931</v>
      </c>
      <c r="D1088" t="inlineStr">
        <is>
          <t>VÄSTERBOTTENS LÄN</t>
        </is>
      </c>
      <c r="E1088" t="inlineStr">
        <is>
          <t>SKELLEFTEÅ</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52218-2024</t>
        </is>
      </c>
      <c r="B1089" s="1" t="n">
        <v>45608.60149305555</v>
      </c>
      <c r="C1089" s="1" t="n">
        <v>45931</v>
      </c>
      <c r="D1089" t="inlineStr">
        <is>
          <t>VÄSTERBOTTENS LÄN</t>
        </is>
      </c>
      <c r="E1089" t="inlineStr">
        <is>
          <t>SKELLEFTEÅ</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54880-2024</t>
        </is>
      </c>
      <c r="B1090" s="1" t="n">
        <v>45618.61046296296</v>
      </c>
      <c r="C1090" s="1" t="n">
        <v>45931</v>
      </c>
      <c r="D1090" t="inlineStr">
        <is>
          <t>VÄSTERBOTTENS LÄN</t>
        </is>
      </c>
      <c r="E1090" t="inlineStr">
        <is>
          <t>SKELLEFTEÅ</t>
        </is>
      </c>
      <c r="F1090" t="inlineStr">
        <is>
          <t>Sveaskog</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55940-2024</t>
        </is>
      </c>
      <c r="B1091" s="1" t="n">
        <v>45623.61108796296</v>
      </c>
      <c r="C1091" s="1" t="n">
        <v>45931</v>
      </c>
      <c r="D1091" t="inlineStr">
        <is>
          <t>VÄSTERBOTTENS LÄN</t>
        </is>
      </c>
      <c r="E1091" t="inlineStr">
        <is>
          <t>SKELLEFTEÅ</t>
        </is>
      </c>
      <c r="F1091" t="inlineStr">
        <is>
          <t>Holmen skog AB</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24583-2022</t>
        </is>
      </c>
      <c r="B1092" s="1" t="n">
        <v>44727</v>
      </c>
      <c r="C1092" s="1" t="n">
        <v>45931</v>
      </c>
      <c r="D1092" t="inlineStr">
        <is>
          <t>VÄSTERBOTTENS LÄN</t>
        </is>
      </c>
      <c r="E1092" t="inlineStr">
        <is>
          <t>SKELLEFTEÅ</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23104-2025</t>
        </is>
      </c>
      <c r="B1093" s="1" t="n">
        <v>45791.35722222222</v>
      </c>
      <c r="C1093" s="1" t="n">
        <v>45931</v>
      </c>
      <c r="D1093" t="inlineStr">
        <is>
          <t>VÄSTERBOTTENS LÄN</t>
        </is>
      </c>
      <c r="E1093" t="inlineStr">
        <is>
          <t>SKELLEFTEÅ</t>
        </is>
      </c>
      <c r="F1093" t="inlineStr">
        <is>
          <t>Holmen skog AB</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42223-2024</t>
        </is>
      </c>
      <c r="B1094" s="1" t="n">
        <v>45562.55023148148</v>
      </c>
      <c r="C1094" s="1" t="n">
        <v>45931</v>
      </c>
      <c r="D1094" t="inlineStr">
        <is>
          <t>VÄSTERBOTTENS LÄN</t>
        </is>
      </c>
      <c r="E1094" t="inlineStr">
        <is>
          <t>SKELLEFTEÅ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23327-2025</t>
        </is>
      </c>
      <c r="B1095" s="1" t="n">
        <v>45791.62792824074</v>
      </c>
      <c r="C1095" s="1" t="n">
        <v>45931</v>
      </c>
      <c r="D1095" t="inlineStr">
        <is>
          <t>VÄSTERBOTTENS LÄN</t>
        </is>
      </c>
      <c r="E1095" t="inlineStr">
        <is>
          <t>SKELLEFTEÅ</t>
        </is>
      </c>
      <c r="F1095" t="inlineStr">
        <is>
          <t>Holmen skog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23458-2023</t>
        </is>
      </c>
      <c r="B1096" s="1" t="n">
        <v>45076.61943287037</v>
      </c>
      <c r="C1096" s="1" t="n">
        <v>45931</v>
      </c>
      <c r="D1096" t="inlineStr">
        <is>
          <t>VÄSTERBOTTENS LÄN</t>
        </is>
      </c>
      <c r="E1096" t="inlineStr">
        <is>
          <t>SKELLEFTEÅ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48116-2024</t>
        </is>
      </c>
      <c r="B1097" s="1" t="n">
        <v>45589.634375</v>
      </c>
      <c r="C1097" s="1" t="n">
        <v>45931</v>
      </c>
      <c r="D1097" t="inlineStr">
        <is>
          <t>VÄSTERBOTTENS LÄN</t>
        </is>
      </c>
      <c r="E1097" t="inlineStr">
        <is>
          <t>SKELLEFTEÅ</t>
        </is>
      </c>
      <c r="F1097" t="inlineStr">
        <is>
          <t>Kommuner</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23147-2025</t>
        </is>
      </c>
      <c r="B1098" s="1" t="n">
        <v>45791</v>
      </c>
      <c r="C1098" s="1" t="n">
        <v>45931</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26293-2025</t>
        </is>
      </c>
      <c r="B1099" s="1" t="n">
        <v>45805</v>
      </c>
      <c r="C1099" s="1" t="n">
        <v>45931</v>
      </c>
      <c r="D1099" t="inlineStr">
        <is>
          <t>VÄSTERBOTTENS LÄN</t>
        </is>
      </c>
      <c r="E1099" t="inlineStr">
        <is>
          <t>SKELLEFTEÅ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64340-2023</t>
        </is>
      </c>
      <c r="B1100" s="1" t="n">
        <v>45280.45571759259</v>
      </c>
      <c r="C1100" s="1" t="n">
        <v>45931</v>
      </c>
      <c r="D1100" t="inlineStr">
        <is>
          <t>VÄSTERBOTTENS LÄN</t>
        </is>
      </c>
      <c r="E1100" t="inlineStr">
        <is>
          <t>SKELLEFTEÅ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44240-2024</t>
        </is>
      </c>
      <c r="B1101" s="1" t="n">
        <v>45573.42513888889</v>
      </c>
      <c r="C1101" s="1" t="n">
        <v>45931</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42789-2023</t>
        </is>
      </c>
      <c r="B1102" s="1" t="n">
        <v>45181</v>
      </c>
      <c r="C1102" s="1" t="n">
        <v>45931</v>
      </c>
      <c r="D1102" t="inlineStr">
        <is>
          <t>VÄSTERBOTTENS LÄN</t>
        </is>
      </c>
      <c r="E1102" t="inlineStr">
        <is>
          <t>SKELLEFTEÅ</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16977-2024</t>
        </is>
      </c>
      <c r="B1103" s="1" t="n">
        <v>45412.02377314815</v>
      </c>
      <c r="C1103" s="1" t="n">
        <v>45931</v>
      </c>
      <c r="D1103" t="inlineStr">
        <is>
          <t>VÄSTERBOTTENS LÄN</t>
        </is>
      </c>
      <c r="E1103" t="inlineStr">
        <is>
          <t>SKELLEFTEÅ</t>
        </is>
      </c>
      <c r="F1103" t="inlineStr">
        <is>
          <t>SCA</t>
        </is>
      </c>
      <c r="G1103" t="n">
        <v>16.8</v>
      </c>
      <c r="H1103" t="n">
        <v>0</v>
      </c>
      <c r="I1103" t="n">
        <v>0</v>
      </c>
      <c r="J1103" t="n">
        <v>0</v>
      </c>
      <c r="K1103" t="n">
        <v>0</v>
      </c>
      <c r="L1103" t="n">
        <v>0</v>
      </c>
      <c r="M1103" t="n">
        <v>0</v>
      </c>
      <c r="N1103" t="n">
        <v>0</v>
      </c>
      <c r="O1103" t="n">
        <v>0</v>
      </c>
      <c r="P1103" t="n">
        <v>0</v>
      </c>
      <c r="Q1103" t="n">
        <v>0</v>
      </c>
      <c r="R1103" s="2" t="inlineStr"/>
    </row>
    <row r="1104" ht="15" customHeight="1">
      <c r="A1104" t="inlineStr">
        <is>
          <t>A 65379-2020</t>
        </is>
      </c>
      <c r="B1104" s="1" t="n">
        <v>44173</v>
      </c>
      <c r="C1104" s="1" t="n">
        <v>45931</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23241-2025</t>
        </is>
      </c>
      <c r="B1105" s="1" t="n">
        <v>45791.50141203704</v>
      </c>
      <c r="C1105" s="1" t="n">
        <v>45931</v>
      </c>
      <c r="D1105" t="inlineStr">
        <is>
          <t>VÄSTERBOTTENS LÄN</t>
        </is>
      </c>
      <c r="E1105" t="inlineStr">
        <is>
          <t>SKELLEFTEÅ</t>
        </is>
      </c>
      <c r="F1105" t="inlineStr">
        <is>
          <t>Holmen skog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3045-2024</t>
        </is>
      </c>
      <c r="B1106" s="1" t="n">
        <v>45316</v>
      </c>
      <c r="C1106" s="1" t="n">
        <v>45931</v>
      </c>
      <c r="D1106" t="inlineStr">
        <is>
          <t>VÄSTERBOTTENS LÄN</t>
        </is>
      </c>
      <c r="E1106" t="inlineStr">
        <is>
          <t>SKELLEFTEÅ</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38706-2024</t>
        </is>
      </c>
      <c r="B1107" s="1" t="n">
        <v>45547.37357638889</v>
      </c>
      <c r="C1107" s="1" t="n">
        <v>45931</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23153-2025</t>
        </is>
      </c>
      <c r="B1108" s="1" t="n">
        <v>45791</v>
      </c>
      <c r="C1108" s="1" t="n">
        <v>45931</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19349-2023</t>
        </is>
      </c>
      <c r="B1109" s="1" t="n">
        <v>45049.59215277778</v>
      </c>
      <c r="C1109" s="1" t="n">
        <v>45931</v>
      </c>
      <c r="D1109" t="inlineStr">
        <is>
          <t>VÄSTERBOTTENS LÄN</t>
        </is>
      </c>
      <c r="E1109" t="inlineStr">
        <is>
          <t>SKELLEFTEÅ</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23537-2025</t>
        </is>
      </c>
      <c r="B1110" s="1" t="n">
        <v>45792.54960648148</v>
      </c>
      <c r="C1110" s="1" t="n">
        <v>45931</v>
      </c>
      <c r="D1110" t="inlineStr">
        <is>
          <t>VÄSTERBOTTENS LÄN</t>
        </is>
      </c>
      <c r="E1110" t="inlineStr">
        <is>
          <t>SKELLEFTEÅ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52475-2022</t>
        </is>
      </c>
      <c r="B1111" s="1" t="n">
        <v>44869</v>
      </c>
      <c r="C1111" s="1" t="n">
        <v>45931</v>
      </c>
      <c r="D1111" t="inlineStr">
        <is>
          <t>VÄSTERBOTTENS LÄN</t>
        </is>
      </c>
      <c r="E1111" t="inlineStr">
        <is>
          <t>SKELLEFTEÅ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37210-2021</t>
        </is>
      </c>
      <c r="B1112" s="1" t="n">
        <v>44396</v>
      </c>
      <c r="C1112" s="1" t="n">
        <v>45931</v>
      </c>
      <c r="D1112" t="inlineStr">
        <is>
          <t>VÄSTERBOTTENS LÄN</t>
        </is>
      </c>
      <c r="E1112" t="inlineStr">
        <is>
          <t>SKELLEFTEÅ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23678-2025</t>
        </is>
      </c>
      <c r="B1113" s="1" t="n">
        <v>45793.32435185185</v>
      </c>
      <c r="C1113" s="1" t="n">
        <v>45931</v>
      </c>
      <c r="D1113" t="inlineStr">
        <is>
          <t>VÄSTERBOTTENS LÄN</t>
        </is>
      </c>
      <c r="E1113" t="inlineStr">
        <is>
          <t>SKELLEFTEÅ</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23696-2025</t>
        </is>
      </c>
      <c r="B1114" s="1" t="n">
        <v>45793</v>
      </c>
      <c r="C1114" s="1" t="n">
        <v>45931</v>
      </c>
      <c r="D1114" t="inlineStr">
        <is>
          <t>VÄSTERBOTTENS LÄN</t>
        </is>
      </c>
      <c r="E1114" t="inlineStr">
        <is>
          <t>SKELLEFTEÅ</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54657-2024</t>
        </is>
      </c>
      <c r="B1115" s="1" t="n">
        <v>45617</v>
      </c>
      <c r="C1115" s="1" t="n">
        <v>45931</v>
      </c>
      <c r="D1115" t="inlineStr">
        <is>
          <t>VÄSTERBOTTENS LÄN</t>
        </is>
      </c>
      <c r="E1115" t="inlineStr">
        <is>
          <t>SKELLEFTEÅ</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49811-2024</t>
        </is>
      </c>
      <c r="B1116" s="1" t="n">
        <v>45597.39033564815</v>
      </c>
      <c r="C1116" s="1" t="n">
        <v>45931</v>
      </c>
      <c r="D1116" t="inlineStr">
        <is>
          <t>VÄSTERBOTTENS LÄN</t>
        </is>
      </c>
      <c r="E1116" t="inlineStr">
        <is>
          <t>SKELLEFTEÅ</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50515-2024</t>
        </is>
      </c>
      <c r="B1117" s="1" t="n">
        <v>45601.55185185185</v>
      </c>
      <c r="C1117" s="1" t="n">
        <v>45931</v>
      </c>
      <c r="D1117" t="inlineStr">
        <is>
          <t>VÄSTERBOTTENS LÄN</t>
        </is>
      </c>
      <c r="E1117" t="inlineStr">
        <is>
          <t>SKELLEFTEÅ</t>
        </is>
      </c>
      <c r="F1117" t="inlineStr">
        <is>
          <t>Holmen skog AB</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2454-2025</t>
        </is>
      </c>
      <c r="B1118" s="1" t="n">
        <v>45673</v>
      </c>
      <c r="C1118" s="1" t="n">
        <v>45931</v>
      </c>
      <c r="D1118" t="inlineStr">
        <is>
          <t>VÄSTERBOTTENS LÄN</t>
        </is>
      </c>
      <c r="E1118" t="inlineStr">
        <is>
          <t>SKELLEFTEÅ</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41037-2024</t>
        </is>
      </c>
      <c r="B1119" s="1" t="n">
        <v>45559.35982638889</v>
      </c>
      <c r="C1119" s="1" t="n">
        <v>45931</v>
      </c>
      <c r="D1119" t="inlineStr">
        <is>
          <t>VÄSTERBOTTENS LÄN</t>
        </is>
      </c>
      <c r="E1119" t="inlineStr">
        <is>
          <t>SKELLEFTEÅ</t>
        </is>
      </c>
      <c r="F1119" t="inlineStr">
        <is>
          <t>Sveaskog</t>
        </is>
      </c>
      <c r="G1119" t="n">
        <v>22.5</v>
      </c>
      <c r="H1119" t="n">
        <v>0</v>
      </c>
      <c r="I1119" t="n">
        <v>0</v>
      </c>
      <c r="J1119" t="n">
        <v>0</v>
      </c>
      <c r="K1119" t="n">
        <v>0</v>
      </c>
      <c r="L1119" t="n">
        <v>0</v>
      </c>
      <c r="M1119" t="n">
        <v>0</v>
      </c>
      <c r="N1119" t="n">
        <v>0</v>
      </c>
      <c r="O1119" t="n">
        <v>0</v>
      </c>
      <c r="P1119" t="n">
        <v>0</v>
      </c>
      <c r="Q1119" t="n">
        <v>0</v>
      </c>
      <c r="R1119" s="2" t="inlineStr"/>
    </row>
    <row r="1120" ht="15" customHeight="1">
      <c r="A1120" t="inlineStr">
        <is>
          <t>A 1244-2025</t>
        </is>
      </c>
      <c r="B1120" s="1" t="n">
        <v>45667.45741898148</v>
      </c>
      <c r="C1120" s="1" t="n">
        <v>45931</v>
      </c>
      <c r="D1120" t="inlineStr">
        <is>
          <t>VÄSTERBOTTENS LÄN</t>
        </is>
      </c>
      <c r="E1120" t="inlineStr">
        <is>
          <t>SKELLEFTEÅ</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24068-2025</t>
        </is>
      </c>
      <c r="B1121" s="1" t="n">
        <v>45796.53878472222</v>
      </c>
      <c r="C1121" s="1" t="n">
        <v>45931</v>
      </c>
      <c r="D1121" t="inlineStr">
        <is>
          <t>VÄSTERBOTTENS LÄN</t>
        </is>
      </c>
      <c r="E1121" t="inlineStr">
        <is>
          <t>SKELLEFTEÅ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23881-2025</t>
        </is>
      </c>
      <c r="B1122" s="1" t="n">
        <v>45793</v>
      </c>
      <c r="C1122" s="1" t="n">
        <v>45931</v>
      </c>
      <c r="D1122" t="inlineStr">
        <is>
          <t>VÄSTERBOTTENS LÄN</t>
        </is>
      </c>
      <c r="E1122" t="inlineStr">
        <is>
          <t>SKELLEFTEÅ</t>
        </is>
      </c>
      <c r="F1122" t="inlineStr">
        <is>
          <t>Sveaskog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39918-2022</t>
        </is>
      </c>
      <c r="B1123" s="1" t="n">
        <v>44819.8053125</v>
      </c>
      <c r="C1123" s="1" t="n">
        <v>45931</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1639-2023</t>
        </is>
      </c>
      <c r="B1124" s="1" t="n">
        <v>44937</v>
      </c>
      <c r="C1124" s="1" t="n">
        <v>45931</v>
      </c>
      <c r="D1124" t="inlineStr">
        <is>
          <t>VÄSTERBOTTENS LÄN</t>
        </is>
      </c>
      <c r="E1124" t="inlineStr">
        <is>
          <t>SKELLEFTEÅ</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38588-2024</t>
        </is>
      </c>
      <c r="B1125" s="1" t="n">
        <v>45546.65261574074</v>
      </c>
      <c r="C1125" s="1" t="n">
        <v>45931</v>
      </c>
      <c r="D1125" t="inlineStr">
        <is>
          <t>VÄSTERBOTTENS LÄN</t>
        </is>
      </c>
      <c r="E1125" t="inlineStr">
        <is>
          <t>SKELLEFTEÅ</t>
        </is>
      </c>
      <c r="F1125" t="inlineStr">
        <is>
          <t>Holmen skog AB</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7884-2024</t>
        </is>
      </c>
      <c r="B1126" s="1" t="n">
        <v>45349</v>
      </c>
      <c r="C1126" s="1" t="n">
        <v>45931</v>
      </c>
      <c r="D1126" t="inlineStr">
        <is>
          <t>VÄSTERBOTTENS LÄN</t>
        </is>
      </c>
      <c r="E1126" t="inlineStr">
        <is>
          <t>SKELLEFTEÅ</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43714-2024</t>
        </is>
      </c>
      <c r="B1127" s="1" t="n">
        <v>45569</v>
      </c>
      <c r="C1127" s="1" t="n">
        <v>45931</v>
      </c>
      <c r="D1127" t="inlineStr">
        <is>
          <t>VÄSTERBOTTENS LÄN</t>
        </is>
      </c>
      <c r="E1127" t="inlineStr">
        <is>
          <t>SKELLEFTEÅ</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23676-2025</t>
        </is>
      </c>
      <c r="B1128" s="1" t="n">
        <v>45793.31434027778</v>
      </c>
      <c r="C1128" s="1" t="n">
        <v>45931</v>
      </c>
      <c r="D1128" t="inlineStr">
        <is>
          <t>VÄSTERBOTTENS LÄN</t>
        </is>
      </c>
      <c r="E1128" t="inlineStr">
        <is>
          <t>SKELLEFTEÅ</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24065-2025</t>
        </is>
      </c>
      <c r="B1129" s="1" t="n">
        <v>45796.5358449074</v>
      </c>
      <c r="C1129" s="1" t="n">
        <v>45931</v>
      </c>
      <c r="D1129" t="inlineStr">
        <is>
          <t>VÄSTERBOTTENS LÄN</t>
        </is>
      </c>
      <c r="E1129" t="inlineStr">
        <is>
          <t>SKELLEFTEÅ</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60237-2022</t>
        </is>
      </c>
      <c r="B1130" s="1" t="n">
        <v>44903</v>
      </c>
      <c r="C1130" s="1" t="n">
        <v>45931</v>
      </c>
      <c r="D1130" t="inlineStr">
        <is>
          <t>VÄSTERBOTTENS LÄN</t>
        </is>
      </c>
      <c r="E1130" t="inlineStr">
        <is>
          <t>SKELLEFTEÅ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59442-2024</t>
        </is>
      </c>
      <c r="B1131" s="1" t="n">
        <v>45638.44524305555</v>
      </c>
      <c r="C1131" s="1" t="n">
        <v>45931</v>
      </c>
      <c r="D1131" t="inlineStr">
        <is>
          <t>VÄSTERBOTTENS LÄN</t>
        </is>
      </c>
      <c r="E1131" t="inlineStr">
        <is>
          <t>SKELLEFTEÅ</t>
        </is>
      </c>
      <c r="F1131" t="inlineStr">
        <is>
          <t>Holmen skog AB</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10604-2024</t>
        </is>
      </c>
      <c r="B1132" s="1" t="n">
        <v>45366.93827546296</v>
      </c>
      <c r="C1132" s="1" t="n">
        <v>45931</v>
      </c>
      <c r="D1132" t="inlineStr">
        <is>
          <t>VÄSTERBOTTENS LÄN</t>
        </is>
      </c>
      <c r="E1132" t="inlineStr">
        <is>
          <t>SKELLEFTEÅ</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1980-2025</t>
        </is>
      </c>
      <c r="B1133" s="1" t="n">
        <v>45671</v>
      </c>
      <c r="C1133" s="1" t="n">
        <v>45931</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41226-2024</t>
        </is>
      </c>
      <c r="B1134" s="1" t="n">
        <v>45559.55829861111</v>
      </c>
      <c r="C1134" s="1" t="n">
        <v>45931</v>
      </c>
      <c r="D1134" t="inlineStr">
        <is>
          <t>VÄSTERBOTTENS LÄN</t>
        </is>
      </c>
      <c r="E1134" t="inlineStr">
        <is>
          <t>SKELLEFTEÅ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41231-2024</t>
        </is>
      </c>
      <c r="B1135" s="1" t="n">
        <v>45559.56412037037</v>
      </c>
      <c r="C1135" s="1" t="n">
        <v>45931</v>
      </c>
      <c r="D1135" t="inlineStr">
        <is>
          <t>VÄSTERBOTTENS LÄN</t>
        </is>
      </c>
      <c r="E1135" t="inlineStr">
        <is>
          <t>SKELLEFTEÅ</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39156-2023</t>
        </is>
      </c>
      <c r="B1136" s="1" t="n">
        <v>45166</v>
      </c>
      <c r="C1136" s="1" t="n">
        <v>45931</v>
      </c>
      <c r="D1136" t="inlineStr">
        <is>
          <t>VÄSTERBOTTENS LÄN</t>
        </is>
      </c>
      <c r="E1136" t="inlineStr">
        <is>
          <t>SKELLEFTEÅ</t>
        </is>
      </c>
      <c r="F1136" t="inlineStr">
        <is>
          <t>Sveaskog</t>
        </is>
      </c>
      <c r="G1136" t="n">
        <v>43.7</v>
      </c>
      <c r="H1136" t="n">
        <v>0</v>
      </c>
      <c r="I1136" t="n">
        <v>0</v>
      </c>
      <c r="J1136" t="n">
        <v>0</v>
      </c>
      <c r="K1136" t="n">
        <v>0</v>
      </c>
      <c r="L1136" t="n">
        <v>0</v>
      </c>
      <c r="M1136" t="n">
        <v>0</v>
      </c>
      <c r="N1136" t="n">
        <v>0</v>
      </c>
      <c r="O1136" t="n">
        <v>0</v>
      </c>
      <c r="P1136" t="n">
        <v>0</v>
      </c>
      <c r="Q1136" t="n">
        <v>0</v>
      </c>
      <c r="R1136" s="2" t="inlineStr"/>
    </row>
    <row r="1137" ht="15" customHeight="1">
      <c r="A1137" t="inlineStr">
        <is>
          <t>A 24064-2025</t>
        </is>
      </c>
      <c r="B1137" s="1" t="n">
        <v>45796.53480324074</v>
      </c>
      <c r="C1137" s="1" t="n">
        <v>45931</v>
      </c>
      <c r="D1137" t="inlineStr">
        <is>
          <t>VÄSTERBOTTENS LÄN</t>
        </is>
      </c>
      <c r="E1137" t="inlineStr">
        <is>
          <t>SKELLEFTEÅ</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24067-2025</t>
        </is>
      </c>
      <c r="B1138" s="1" t="n">
        <v>45796.53820601852</v>
      </c>
      <c r="C1138" s="1" t="n">
        <v>45931</v>
      </c>
      <c r="D1138" t="inlineStr">
        <is>
          <t>VÄSTERBOTTENS LÄN</t>
        </is>
      </c>
      <c r="E1138" t="inlineStr">
        <is>
          <t>SKELLEFTEÅ</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23847-2025</t>
        </is>
      </c>
      <c r="B1139" s="1" t="n">
        <v>45793.62730324074</v>
      </c>
      <c r="C1139" s="1" t="n">
        <v>45931</v>
      </c>
      <c r="D1139" t="inlineStr">
        <is>
          <t>VÄSTERBOTTENS LÄN</t>
        </is>
      </c>
      <c r="E1139" t="inlineStr">
        <is>
          <t>SKELLEFTEÅ</t>
        </is>
      </c>
      <c r="F1139" t="inlineStr">
        <is>
          <t>Holmen skog AB</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23886-2025</t>
        </is>
      </c>
      <c r="B1140" s="1" t="n">
        <v>45793</v>
      </c>
      <c r="C1140" s="1" t="n">
        <v>45931</v>
      </c>
      <c r="D1140" t="inlineStr">
        <is>
          <t>VÄSTERBOTTENS LÄN</t>
        </is>
      </c>
      <c r="E1140" t="inlineStr">
        <is>
          <t>SKELLEFTEÅ</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10693-2024</t>
        </is>
      </c>
      <c r="B1141" s="1" t="n">
        <v>45369</v>
      </c>
      <c r="C1141" s="1" t="n">
        <v>45931</v>
      </c>
      <c r="D1141" t="inlineStr">
        <is>
          <t>VÄSTERBOTTENS LÄN</t>
        </is>
      </c>
      <c r="E1141" t="inlineStr">
        <is>
          <t>SKELLEFTEÅ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6656-2023</t>
        </is>
      </c>
      <c r="B1142" s="1" t="n">
        <v>44963</v>
      </c>
      <c r="C1142" s="1" t="n">
        <v>45931</v>
      </c>
      <c r="D1142" t="inlineStr">
        <is>
          <t>VÄSTERBOTTENS LÄN</t>
        </is>
      </c>
      <c r="E1142" t="inlineStr">
        <is>
          <t>SKELLEFTEÅ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58939-2024</t>
        </is>
      </c>
      <c r="B1143" s="1" t="n">
        <v>45636.53543981481</v>
      </c>
      <c r="C1143" s="1" t="n">
        <v>45931</v>
      </c>
      <c r="D1143" t="inlineStr">
        <is>
          <t>VÄSTERBOTTENS LÄN</t>
        </is>
      </c>
      <c r="E1143" t="inlineStr">
        <is>
          <t>SKELLEFTEÅ</t>
        </is>
      </c>
      <c r="G1143" t="n">
        <v>13.4</v>
      </c>
      <c r="H1143" t="n">
        <v>0</v>
      </c>
      <c r="I1143" t="n">
        <v>0</v>
      </c>
      <c r="J1143" t="n">
        <v>0</v>
      </c>
      <c r="K1143" t="n">
        <v>0</v>
      </c>
      <c r="L1143" t="n">
        <v>0</v>
      </c>
      <c r="M1143" t="n">
        <v>0</v>
      </c>
      <c r="N1143" t="n">
        <v>0</v>
      </c>
      <c r="O1143" t="n">
        <v>0</v>
      </c>
      <c r="P1143" t="n">
        <v>0</v>
      </c>
      <c r="Q1143" t="n">
        <v>0</v>
      </c>
      <c r="R1143" s="2" t="inlineStr"/>
    </row>
    <row r="1144" ht="15" customHeight="1">
      <c r="A1144" t="inlineStr">
        <is>
          <t>A 17008-2025</t>
        </is>
      </c>
      <c r="B1144" s="1" t="n">
        <v>45755.54644675926</v>
      </c>
      <c r="C1144" s="1" t="n">
        <v>45931</v>
      </c>
      <c r="D1144" t="inlineStr">
        <is>
          <t>VÄSTERBOTTENS LÄN</t>
        </is>
      </c>
      <c r="E1144" t="inlineStr">
        <is>
          <t>SKELLEFTEÅ</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15461-2025</t>
        </is>
      </c>
      <c r="B1145" s="1" t="n">
        <v>45747.51061342593</v>
      </c>
      <c r="C1145" s="1" t="n">
        <v>45931</v>
      </c>
      <c r="D1145" t="inlineStr">
        <is>
          <t>VÄSTERBOTTENS LÄN</t>
        </is>
      </c>
      <c r="E1145" t="inlineStr">
        <is>
          <t>SKELLEFTEÅ</t>
        </is>
      </c>
      <c r="F1145" t="inlineStr">
        <is>
          <t>Holmen skog AB</t>
        </is>
      </c>
      <c r="G1145" t="n">
        <v>9.800000000000001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3674-2025</t>
        </is>
      </c>
      <c r="B1146" s="1" t="n">
        <v>45681.43738425926</v>
      </c>
      <c r="C1146" s="1" t="n">
        <v>45931</v>
      </c>
      <c r="D1146" t="inlineStr">
        <is>
          <t>VÄSTERBOTTENS LÄN</t>
        </is>
      </c>
      <c r="E1146" t="inlineStr">
        <is>
          <t>SKELLEFTEÅ</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33274-2023</t>
        </is>
      </c>
      <c r="B1147" s="1" t="n">
        <v>45127.59840277778</v>
      </c>
      <c r="C1147" s="1" t="n">
        <v>45931</v>
      </c>
      <c r="D1147" t="inlineStr">
        <is>
          <t>VÄSTERBOTTENS LÄN</t>
        </is>
      </c>
      <c r="E1147" t="inlineStr">
        <is>
          <t>SKELLEFTEÅ</t>
        </is>
      </c>
      <c r="F1147" t="inlineStr">
        <is>
          <t>Holmen skog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44483-2024</t>
        </is>
      </c>
      <c r="B1148" s="1" t="n">
        <v>45574</v>
      </c>
      <c r="C1148" s="1" t="n">
        <v>45931</v>
      </c>
      <c r="D1148" t="inlineStr">
        <is>
          <t>VÄSTERBOTTENS LÄN</t>
        </is>
      </c>
      <c r="E1148" t="inlineStr">
        <is>
          <t>SKELLEFTEÅ</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5475-2025</t>
        </is>
      </c>
      <c r="B1149" s="1" t="n">
        <v>45693.33069444444</v>
      </c>
      <c r="C1149" s="1" t="n">
        <v>45931</v>
      </c>
      <c r="D1149" t="inlineStr">
        <is>
          <t>VÄSTERBOTTENS LÄN</t>
        </is>
      </c>
      <c r="E1149" t="inlineStr">
        <is>
          <t>SKELLEFTEÅ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53419-2024</t>
        </is>
      </c>
      <c r="B1150" s="1" t="n">
        <v>45614.51157407407</v>
      </c>
      <c r="C1150" s="1" t="n">
        <v>45931</v>
      </c>
      <c r="D1150" t="inlineStr">
        <is>
          <t>VÄSTERBOTTENS LÄN</t>
        </is>
      </c>
      <c r="E1150" t="inlineStr">
        <is>
          <t>SKELLEFTEÅ</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24066-2025</t>
        </is>
      </c>
      <c r="B1151" s="1" t="n">
        <v>45796.53686342593</v>
      </c>
      <c r="C1151" s="1" t="n">
        <v>45931</v>
      </c>
      <c r="D1151" t="inlineStr">
        <is>
          <t>VÄSTERBOTTENS LÄN</t>
        </is>
      </c>
      <c r="E1151" t="inlineStr">
        <is>
          <t>SKELLEFTEÅ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24070-2025</t>
        </is>
      </c>
      <c r="B1152" s="1" t="n">
        <v>45796.54060185186</v>
      </c>
      <c r="C1152" s="1" t="n">
        <v>45931</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30437-2023</t>
        </is>
      </c>
      <c r="B1153" s="1" t="n">
        <v>45099</v>
      </c>
      <c r="C1153" s="1" t="n">
        <v>45931</v>
      </c>
      <c r="D1153" t="inlineStr">
        <is>
          <t>VÄSTERBOTTENS LÄN</t>
        </is>
      </c>
      <c r="E1153" t="inlineStr">
        <is>
          <t>SKELLEFTEÅ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12545-2025</t>
        </is>
      </c>
      <c r="B1154" s="1" t="n">
        <v>45730.86586805555</v>
      </c>
      <c r="C1154" s="1" t="n">
        <v>45931</v>
      </c>
      <c r="D1154" t="inlineStr">
        <is>
          <t>VÄSTERBOTTENS LÄN</t>
        </is>
      </c>
      <c r="E1154" t="inlineStr">
        <is>
          <t>SKELLEFTEÅ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42791-2024</t>
        </is>
      </c>
      <c r="B1155" s="1" t="n">
        <v>45566</v>
      </c>
      <c r="C1155" s="1" t="n">
        <v>45931</v>
      </c>
      <c r="D1155" t="inlineStr">
        <is>
          <t>VÄSTERBOTTENS LÄN</t>
        </is>
      </c>
      <c r="E1155" t="inlineStr">
        <is>
          <t>SKELLEFTEÅ</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52441-2023</t>
        </is>
      </c>
      <c r="B1156" s="1" t="n">
        <v>45225.36881944445</v>
      </c>
      <c r="C1156" s="1" t="n">
        <v>45931</v>
      </c>
      <c r="D1156" t="inlineStr">
        <is>
          <t>VÄSTERBOTTENS LÄN</t>
        </is>
      </c>
      <c r="E1156" t="inlineStr">
        <is>
          <t>SKELLEFTEÅ</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24061-2025</t>
        </is>
      </c>
      <c r="B1157" s="1" t="n">
        <v>45796.52805555556</v>
      </c>
      <c r="C1157" s="1" t="n">
        <v>45931</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51396-2023</t>
        </is>
      </c>
      <c r="B1158" s="1" t="n">
        <v>45219.67503472222</v>
      </c>
      <c r="C1158" s="1" t="n">
        <v>45931</v>
      </c>
      <c r="D1158" t="inlineStr">
        <is>
          <t>VÄSTERBOTTENS LÄN</t>
        </is>
      </c>
      <c r="E1158" t="inlineStr">
        <is>
          <t>SKELLEFTEÅ</t>
        </is>
      </c>
      <c r="F1158" t="inlineStr">
        <is>
          <t>Holmen skog AB</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24142-2025</t>
        </is>
      </c>
      <c r="B1159" s="1" t="n">
        <v>45796.64349537037</v>
      </c>
      <c r="C1159" s="1" t="n">
        <v>45931</v>
      </c>
      <c r="D1159" t="inlineStr">
        <is>
          <t>VÄSTERBOTTENS LÄN</t>
        </is>
      </c>
      <c r="E1159" t="inlineStr">
        <is>
          <t>SKELLEFTEÅ</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45552-2023</t>
        </is>
      </c>
      <c r="B1160" s="1" t="n">
        <v>45194.57376157407</v>
      </c>
      <c r="C1160" s="1" t="n">
        <v>45931</v>
      </c>
      <c r="D1160" t="inlineStr">
        <is>
          <t>VÄSTERBOTTENS LÄN</t>
        </is>
      </c>
      <c r="E1160" t="inlineStr">
        <is>
          <t>SKELLEFTEÅ</t>
        </is>
      </c>
      <c r="G1160" t="n">
        <v>18.3</v>
      </c>
      <c r="H1160" t="n">
        <v>0</v>
      </c>
      <c r="I1160" t="n">
        <v>0</v>
      </c>
      <c r="J1160" t="n">
        <v>0</v>
      </c>
      <c r="K1160" t="n">
        <v>0</v>
      </c>
      <c r="L1160" t="n">
        <v>0</v>
      </c>
      <c r="M1160" t="n">
        <v>0</v>
      </c>
      <c r="N1160" t="n">
        <v>0</v>
      </c>
      <c r="O1160" t="n">
        <v>0</v>
      </c>
      <c r="P1160" t="n">
        <v>0</v>
      </c>
      <c r="Q1160" t="n">
        <v>0</v>
      </c>
      <c r="R1160" s="2" t="inlineStr"/>
    </row>
    <row r="1161" ht="15" customHeight="1">
      <c r="A1161" t="inlineStr">
        <is>
          <t>A 58572-2022</t>
        </is>
      </c>
      <c r="B1161" s="1" t="n">
        <v>44902</v>
      </c>
      <c r="C1161" s="1" t="n">
        <v>45931</v>
      </c>
      <c r="D1161" t="inlineStr">
        <is>
          <t>VÄSTERBOTTENS LÄN</t>
        </is>
      </c>
      <c r="E1161" t="inlineStr">
        <is>
          <t>SKELLEFTEÅ</t>
        </is>
      </c>
      <c r="F1161" t="inlineStr">
        <is>
          <t>Sveaskog</t>
        </is>
      </c>
      <c r="G1161" t="n">
        <v>14.7</v>
      </c>
      <c r="H1161" t="n">
        <v>0</v>
      </c>
      <c r="I1161" t="n">
        <v>0</v>
      </c>
      <c r="J1161" t="n">
        <v>0</v>
      </c>
      <c r="K1161" t="n">
        <v>0</v>
      </c>
      <c r="L1161" t="n">
        <v>0</v>
      </c>
      <c r="M1161" t="n">
        <v>0</v>
      </c>
      <c r="N1161" t="n">
        <v>0</v>
      </c>
      <c r="O1161" t="n">
        <v>0</v>
      </c>
      <c r="P1161" t="n">
        <v>0</v>
      </c>
      <c r="Q1161" t="n">
        <v>0</v>
      </c>
      <c r="R1161" s="2" t="inlineStr"/>
    </row>
    <row r="1162" ht="15" customHeight="1">
      <c r="A1162" t="inlineStr">
        <is>
          <t>A 67678-2020</t>
        </is>
      </c>
      <c r="B1162" s="1" t="n">
        <v>44182</v>
      </c>
      <c r="C1162" s="1" t="n">
        <v>45931</v>
      </c>
      <c r="D1162" t="inlineStr">
        <is>
          <t>VÄSTERBOTTENS LÄN</t>
        </is>
      </c>
      <c r="E1162" t="inlineStr">
        <is>
          <t>SKELLEFTEÅ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11685-2022</t>
        </is>
      </c>
      <c r="B1163" s="1" t="n">
        <v>44634.31503472223</v>
      </c>
      <c r="C1163" s="1" t="n">
        <v>45931</v>
      </c>
      <c r="D1163" t="inlineStr">
        <is>
          <t>VÄSTERBOTTENS LÄN</t>
        </is>
      </c>
      <c r="E1163" t="inlineStr">
        <is>
          <t>SKELLEFTEÅ</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31384-2024</t>
        </is>
      </c>
      <c r="B1164" s="1" t="n">
        <v>45505</v>
      </c>
      <c r="C1164" s="1" t="n">
        <v>45931</v>
      </c>
      <c r="D1164" t="inlineStr">
        <is>
          <t>VÄSTERBOTTENS LÄN</t>
        </is>
      </c>
      <c r="E1164" t="inlineStr">
        <is>
          <t>SKELLEFTEÅ</t>
        </is>
      </c>
      <c r="G1164" t="n">
        <v>19.9</v>
      </c>
      <c r="H1164" t="n">
        <v>0</v>
      </c>
      <c r="I1164" t="n">
        <v>0</v>
      </c>
      <c r="J1164" t="n">
        <v>0</v>
      </c>
      <c r="K1164" t="n">
        <v>0</v>
      </c>
      <c r="L1164" t="n">
        <v>0</v>
      </c>
      <c r="M1164" t="n">
        <v>0</v>
      </c>
      <c r="N1164" t="n">
        <v>0</v>
      </c>
      <c r="O1164" t="n">
        <v>0</v>
      </c>
      <c r="P1164" t="n">
        <v>0</v>
      </c>
      <c r="Q1164" t="n">
        <v>0</v>
      </c>
      <c r="R1164" s="2" t="inlineStr"/>
    </row>
    <row r="1165" ht="15" customHeight="1">
      <c r="A1165" t="inlineStr">
        <is>
          <t>A 11790-2022</t>
        </is>
      </c>
      <c r="B1165" s="1" t="n">
        <v>44634</v>
      </c>
      <c r="C1165" s="1" t="n">
        <v>45931</v>
      </c>
      <c r="D1165" t="inlineStr">
        <is>
          <t>VÄSTERBOTTENS LÄN</t>
        </is>
      </c>
      <c r="E1165" t="inlineStr">
        <is>
          <t>SKELLEFTEÅ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45576-2023</t>
        </is>
      </c>
      <c r="B1166" s="1" t="n">
        <v>45188</v>
      </c>
      <c r="C1166" s="1" t="n">
        <v>45931</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38398-2024</t>
        </is>
      </c>
      <c r="B1167" s="1" t="n">
        <v>45546.33550925926</v>
      </c>
      <c r="C1167" s="1" t="n">
        <v>45931</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56838-2024</t>
        </is>
      </c>
      <c r="B1168" s="1" t="n">
        <v>45628.50866898148</v>
      </c>
      <c r="C1168" s="1" t="n">
        <v>45931</v>
      </c>
      <c r="D1168" t="inlineStr">
        <is>
          <t>VÄSTERBOTTENS LÄN</t>
        </is>
      </c>
      <c r="E1168" t="inlineStr">
        <is>
          <t>SKELLEFTEÅ</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3445-2024</t>
        </is>
      </c>
      <c r="B1169" s="1" t="n">
        <v>45320</v>
      </c>
      <c r="C1169" s="1" t="n">
        <v>45931</v>
      </c>
      <c r="D1169" t="inlineStr">
        <is>
          <t>VÄSTERBOTTENS LÄN</t>
        </is>
      </c>
      <c r="E1169" t="inlineStr">
        <is>
          <t>SKELLEFTEÅ</t>
        </is>
      </c>
      <c r="G1169" t="n">
        <v>19.1</v>
      </c>
      <c r="H1169" t="n">
        <v>0</v>
      </c>
      <c r="I1169" t="n">
        <v>0</v>
      </c>
      <c r="J1169" t="n">
        <v>0</v>
      </c>
      <c r="K1169" t="n">
        <v>0</v>
      </c>
      <c r="L1169" t="n">
        <v>0</v>
      </c>
      <c r="M1169" t="n">
        <v>0</v>
      </c>
      <c r="N1169" t="n">
        <v>0</v>
      </c>
      <c r="O1169" t="n">
        <v>0</v>
      </c>
      <c r="P1169" t="n">
        <v>0</v>
      </c>
      <c r="Q1169" t="n">
        <v>0</v>
      </c>
      <c r="R1169" s="2" t="inlineStr"/>
    </row>
    <row r="1170" ht="15" customHeight="1">
      <c r="A1170" t="inlineStr">
        <is>
          <t>A 3453-2024</t>
        </is>
      </c>
      <c r="B1170" s="1" t="n">
        <v>45320.39112268519</v>
      </c>
      <c r="C1170" s="1" t="n">
        <v>45931</v>
      </c>
      <c r="D1170" t="inlineStr">
        <is>
          <t>VÄSTERBOTTENS LÄN</t>
        </is>
      </c>
      <c r="E1170" t="inlineStr">
        <is>
          <t>SKELLEFTEÅ</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43749-2024</t>
        </is>
      </c>
      <c r="B1171" s="1" t="n">
        <v>45569.66871527778</v>
      </c>
      <c r="C1171" s="1" t="n">
        <v>45931</v>
      </c>
      <c r="D1171" t="inlineStr">
        <is>
          <t>VÄSTERBOTTENS LÄN</t>
        </is>
      </c>
      <c r="E1171" t="inlineStr">
        <is>
          <t>SKELLEFTEÅ</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15903-2023</t>
        </is>
      </c>
      <c r="B1172" s="1" t="n">
        <v>45021</v>
      </c>
      <c r="C1172" s="1" t="n">
        <v>45931</v>
      </c>
      <c r="D1172" t="inlineStr">
        <is>
          <t>VÄSTERBOTTENS LÄN</t>
        </is>
      </c>
      <c r="E1172" t="inlineStr">
        <is>
          <t>SKELLEFTEÅ</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11527-2024</t>
        </is>
      </c>
      <c r="B1173" s="1" t="n">
        <v>45372</v>
      </c>
      <c r="C1173" s="1" t="n">
        <v>45931</v>
      </c>
      <c r="D1173" t="inlineStr">
        <is>
          <t>VÄSTERBOTTENS LÄN</t>
        </is>
      </c>
      <c r="E1173" t="inlineStr">
        <is>
          <t>SKELLEFTEÅ</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3164-2025</t>
        </is>
      </c>
      <c r="B1174" s="1" t="n">
        <v>45679.34158564815</v>
      </c>
      <c r="C1174" s="1" t="n">
        <v>45931</v>
      </c>
      <c r="D1174" t="inlineStr">
        <is>
          <t>VÄSTERBOTTENS LÄN</t>
        </is>
      </c>
      <c r="E1174" t="inlineStr">
        <is>
          <t>SKELLEFTEÅ</t>
        </is>
      </c>
      <c r="F1174" t="inlineStr">
        <is>
          <t>Holmen skog AB</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10892-2024</t>
        </is>
      </c>
      <c r="B1175" s="1" t="n">
        <v>45370.34435185185</v>
      </c>
      <c r="C1175" s="1" t="n">
        <v>45931</v>
      </c>
      <c r="D1175" t="inlineStr">
        <is>
          <t>VÄSTERBOTTENS LÄN</t>
        </is>
      </c>
      <c r="E1175" t="inlineStr">
        <is>
          <t>SKELLEFTEÅ</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4620-2025</t>
        </is>
      </c>
      <c r="B1176" s="1" t="n">
        <v>45687.61184027778</v>
      </c>
      <c r="C1176" s="1" t="n">
        <v>45931</v>
      </c>
      <c r="D1176" t="inlineStr">
        <is>
          <t>VÄSTERBOTTENS LÄN</t>
        </is>
      </c>
      <c r="E1176" t="inlineStr">
        <is>
          <t>SKELLEFTEÅ</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15728-2024</t>
        </is>
      </c>
      <c r="B1177" s="1" t="n">
        <v>45404</v>
      </c>
      <c r="C1177" s="1" t="n">
        <v>45931</v>
      </c>
      <c r="D1177" t="inlineStr">
        <is>
          <t>VÄSTERBOTTENS LÄN</t>
        </is>
      </c>
      <c r="E1177" t="inlineStr">
        <is>
          <t>SKELLEFTEÅ</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56453-2024</t>
        </is>
      </c>
      <c r="B1178" s="1" t="n">
        <v>45625.44270833334</v>
      </c>
      <c r="C1178" s="1" t="n">
        <v>45931</v>
      </c>
      <c r="D1178" t="inlineStr">
        <is>
          <t>VÄSTERBOTTENS LÄN</t>
        </is>
      </c>
      <c r="E1178" t="inlineStr">
        <is>
          <t>SKELLEFTEÅ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24264-2025</t>
        </is>
      </c>
      <c r="B1179" s="1" t="n">
        <v>45797.42381944445</v>
      </c>
      <c r="C1179" s="1" t="n">
        <v>45931</v>
      </c>
      <c r="D1179" t="inlineStr">
        <is>
          <t>VÄSTERBOTTENS LÄN</t>
        </is>
      </c>
      <c r="E1179" t="inlineStr">
        <is>
          <t>SKELLEFTEÅ</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44968-2024</t>
        </is>
      </c>
      <c r="B1180" s="1" t="n">
        <v>45575.45949074074</v>
      </c>
      <c r="C1180" s="1" t="n">
        <v>45931</v>
      </c>
      <c r="D1180" t="inlineStr">
        <is>
          <t>VÄSTERBOTTENS LÄN</t>
        </is>
      </c>
      <c r="E1180" t="inlineStr">
        <is>
          <t>SKELLEFTEÅ</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4626-2025</t>
        </is>
      </c>
      <c r="B1181" s="1" t="n">
        <v>45687.62158564815</v>
      </c>
      <c r="C1181" s="1" t="n">
        <v>45931</v>
      </c>
      <c r="D1181" t="inlineStr">
        <is>
          <t>VÄSTERBOTTENS LÄN</t>
        </is>
      </c>
      <c r="E1181" t="inlineStr">
        <is>
          <t>SKELLEFTEÅ</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59660-2024</t>
        </is>
      </c>
      <c r="B1182" s="1" t="n">
        <v>45639.35697916667</v>
      </c>
      <c r="C1182" s="1" t="n">
        <v>45931</v>
      </c>
      <c r="D1182" t="inlineStr">
        <is>
          <t>VÄSTERBOTTENS LÄN</t>
        </is>
      </c>
      <c r="E1182" t="inlineStr">
        <is>
          <t>SKELLEFTEÅ</t>
        </is>
      </c>
      <c r="F1182" t="inlineStr">
        <is>
          <t>Sveaskog</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24402-2025</t>
        </is>
      </c>
      <c r="B1183" s="1" t="n">
        <v>45797.65006944445</v>
      </c>
      <c r="C1183" s="1" t="n">
        <v>45931</v>
      </c>
      <c r="D1183" t="inlineStr">
        <is>
          <t>VÄSTERBOTTENS LÄN</t>
        </is>
      </c>
      <c r="E1183" t="inlineStr">
        <is>
          <t>SKELLEFTEÅ</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24205-2025</t>
        </is>
      </c>
      <c r="B1184" s="1" t="n">
        <v>45797.32711805555</v>
      </c>
      <c r="C1184" s="1" t="n">
        <v>45931</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24569-2025</t>
        </is>
      </c>
      <c r="B1185" s="1" t="n">
        <v>45798.46928240741</v>
      </c>
      <c r="C1185" s="1" t="n">
        <v>45931</v>
      </c>
      <c r="D1185" t="inlineStr">
        <is>
          <t>VÄSTERBOTTENS LÄN</t>
        </is>
      </c>
      <c r="E1185" t="inlineStr">
        <is>
          <t>SKELLEFTEÅ</t>
        </is>
      </c>
      <c r="G1185" t="n">
        <v>20.9</v>
      </c>
      <c r="H1185" t="n">
        <v>0</v>
      </c>
      <c r="I1185" t="n">
        <v>0</v>
      </c>
      <c r="J1185" t="n">
        <v>0</v>
      </c>
      <c r="K1185" t="n">
        <v>0</v>
      </c>
      <c r="L1185" t="n">
        <v>0</v>
      </c>
      <c r="M1185" t="n">
        <v>0</v>
      </c>
      <c r="N1185" t="n">
        <v>0</v>
      </c>
      <c r="O1185" t="n">
        <v>0</v>
      </c>
      <c r="P1185" t="n">
        <v>0</v>
      </c>
      <c r="Q1185" t="n">
        <v>0</v>
      </c>
      <c r="R1185" s="2" t="inlineStr"/>
    </row>
    <row r="1186" ht="15" customHeight="1">
      <c r="A1186" t="inlineStr">
        <is>
          <t>A 43954-2024</t>
        </is>
      </c>
      <c r="B1186" s="1" t="n">
        <v>45572.47539351852</v>
      </c>
      <c r="C1186" s="1" t="n">
        <v>45931</v>
      </c>
      <c r="D1186" t="inlineStr">
        <is>
          <t>VÄSTERBOTTENS LÄN</t>
        </is>
      </c>
      <c r="E1186" t="inlineStr">
        <is>
          <t>SKELLEFTEÅ</t>
        </is>
      </c>
      <c r="F1186" t="inlineStr">
        <is>
          <t>Sveaskog</t>
        </is>
      </c>
      <c r="G1186" t="n">
        <v>24.1</v>
      </c>
      <c r="H1186" t="n">
        <v>0</v>
      </c>
      <c r="I1186" t="n">
        <v>0</v>
      </c>
      <c r="J1186" t="n">
        <v>0</v>
      </c>
      <c r="K1186" t="n">
        <v>0</v>
      </c>
      <c r="L1186" t="n">
        <v>0</v>
      </c>
      <c r="M1186" t="n">
        <v>0</v>
      </c>
      <c r="N1186" t="n">
        <v>0</v>
      </c>
      <c r="O1186" t="n">
        <v>0</v>
      </c>
      <c r="P1186" t="n">
        <v>0</v>
      </c>
      <c r="Q1186" t="n">
        <v>0</v>
      </c>
      <c r="R1186" s="2" t="inlineStr"/>
    </row>
    <row r="1187" ht="15" customHeight="1">
      <c r="A1187" t="inlineStr">
        <is>
          <t>A 24261-2025</t>
        </is>
      </c>
      <c r="B1187" s="1" t="n">
        <v>45797</v>
      </c>
      <c r="C1187" s="1" t="n">
        <v>45931</v>
      </c>
      <c r="D1187" t="inlineStr">
        <is>
          <t>VÄSTERBOTTENS LÄN</t>
        </is>
      </c>
      <c r="E1187" t="inlineStr">
        <is>
          <t>SKELLEFTEÅ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34638-2023</t>
        </is>
      </c>
      <c r="B1188" s="1" t="n">
        <v>45140.65803240741</v>
      </c>
      <c r="C1188" s="1" t="n">
        <v>45931</v>
      </c>
      <c r="D1188" t="inlineStr">
        <is>
          <t>VÄSTERBOTTENS LÄN</t>
        </is>
      </c>
      <c r="E1188" t="inlineStr">
        <is>
          <t>SKELLEFTEÅ</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5830-2025</t>
        </is>
      </c>
      <c r="B1189" s="1" t="n">
        <v>45694</v>
      </c>
      <c r="C1189" s="1" t="n">
        <v>45931</v>
      </c>
      <c r="D1189" t="inlineStr">
        <is>
          <t>VÄSTERBOTTENS LÄN</t>
        </is>
      </c>
      <c r="E1189" t="inlineStr">
        <is>
          <t>SKELLEFTEÅ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5831-2025</t>
        </is>
      </c>
      <c r="B1190" s="1" t="n">
        <v>45694</v>
      </c>
      <c r="C1190" s="1" t="n">
        <v>45931</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1853-2023</t>
        </is>
      </c>
      <c r="B1191" s="1" t="n">
        <v>44938.90767361111</v>
      </c>
      <c r="C1191" s="1" t="n">
        <v>45931</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35338-2023</t>
        </is>
      </c>
      <c r="B1192" s="1" t="n">
        <v>45145</v>
      </c>
      <c r="C1192" s="1" t="n">
        <v>45931</v>
      </c>
      <c r="D1192" t="inlineStr">
        <is>
          <t>VÄSTERBOTTENS LÄN</t>
        </is>
      </c>
      <c r="E1192" t="inlineStr">
        <is>
          <t>SKELLEFTEÅ</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19731-2025</t>
        </is>
      </c>
      <c r="B1193" s="1" t="n">
        <v>45771.36564814814</v>
      </c>
      <c r="C1193" s="1" t="n">
        <v>45931</v>
      </c>
      <c r="D1193" t="inlineStr">
        <is>
          <t>VÄSTERBOTTENS LÄN</t>
        </is>
      </c>
      <c r="E1193" t="inlineStr">
        <is>
          <t>SKELLEFTEÅ</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61260-2020</t>
        </is>
      </c>
      <c r="B1194" s="1" t="n">
        <v>44153</v>
      </c>
      <c r="C1194" s="1" t="n">
        <v>45931</v>
      </c>
      <c r="D1194" t="inlineStr">
        <is>
          <t>VÄSTERBOTTENS LÄN</t>
        </is>
      </c>
      <c r="E1194" t="inlineStr">
        <is>
          <t>SKELLEFTEÅ</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38457-2022</t>
        </is>
      </c>
      <c r="B1195" s="1" t="n">
        <v>44813</v>
      </c>
      <c r="C1195" s="1" t="n">
        <v>45931</v>
      </c>
      <c r="D1195" t="inlineStr">
        <is>
          <t>VÄSTERBOTTENS LÄN</t>
        </is>
      </c>
      <c r="E1195" t="inlineStr">
        <is>
          <t>SKELLEFTEÅ</t>
        </is>
      </c>
      <c r="F1195" t="inlineStr">
        <is>
          <t>Holmen skog AB</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24727-2025</t>
        </is>
      </c>
      <c r="B1196" s="1" t="n">
        <v>45799.33260416667</v>
      </c>
      <c r="C1196" s="1" t="n">
        <v>45931</v>
      </c>
      <c r="D1196" t="inlineStr">
        <is>
          <t>VÄSTERBOTTENS LÄN</t>
        </is>
      </c>
      <c r="E1196" t="inlineStr">
        <is>
          <t>SKELLEFTEÅ</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1891-2021</t>
        </is>
      </c>
      <c r="B1197" s="1" t="n">
        <v>44210</v>
      </c>
      <c r="C1197" s="1" t="n">
        <v>45931</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59640-2024</t>
        </is>
      </c>
      <c r="B1198" s="1" t="n">
        <v>45639.30232638889</v>
      </c>
      <c r="C1198" s="1" t="n">
        <v>45931</v>
      </c>
      <c r="D1198" t="inlineStr">
        <is>
          <t>VÄSTERBOTTENS LÄN</t>
        </is>
      </c>
      <c r="E1198" t="inlineStr">
        <is>
          <t>SKELLEFTEÅ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54971-2024</t>
        </is>
      </c>
      <c r="B1199" s="1" t="n">
        <v>45620</v>
      </c>
      <c r="C1199" s="1" t="n">
        <v>45931</v>
      </c>
      <c r="D1199" t="inlineStr">
        <is>
          <t>VÄSTERBOTTENS LÄN</t>
        </is>
      </c>
      <c r="E1199" t="inlineStr">
        <is>
          <t>SKELLEFTEÅ</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53720-2024</t>
        </is>
      </c>
      <c r="B1200" s="1" t="n">
        <v>45615.43817129629</v>
      </c>
      <c r="C1200" s="1" t="n">
        <v>45931</v>
      </c>
      <c r="D1200" t="inlineStr">
        <is>
          <t>VÄSTERBOTTENS LÄN</t>
        </is>
      </c>
      <c r="E1200" t="inlineStr">
        <is>
          <t>SKELLEFTEÅ</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48501-2023</t>
        </is>
      </c>
      <c r="B1201" s="1" t="n">
        <v>45207.82268518519</v>
      </c>
      <c r="C1201" s="1" t="n">
        <v>45931</v>
      </c>
      <c r="D1201" t="inlineStr">
        <is>
          <t>VÄSTERBOTTENS LÄN</t>
        </is>
      </c>
      <c r="E1201" t="inlineStr">
        <is>
          <t>SKELLEFTEÅ</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25688-2025</t>
        </is>
      </c>
      <c r="B1202" s="1" t="n">
        <v>45800</v>
      </c>
      <c r="C1202" s="1" t="n">
        <v>45931</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43204-2024</t>
        </is>
      </c>
      <c r="B1203" s="1" t="n">
        <v>45567</v>
      </c>
      <c r="C1203" s="1" t="n">
        <v>45931</v>
      </c>
      <c r="D1203" t="inlineStr">
        <is>
          <t>VÄSTERBOTTENS LÄN</t>
        </is>
      </c>
      <c r="E1203" t="inlineStr">
        <is>
          <t>SKELLEFTEÅ</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25403-2025</t>
        </is>
      </c>
      <c r="B1204" s="1" t="n">
        <v>45800.65652777778</v>
      </c>
      <c r="C1204" s="1" t="n">
        <v>45931</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25046-2025</t>
        </is>
      </c>
      <c r="B1205" s="1" t="n">
        <v>45799.6671412037</v>
      </c>
      <c r="C1205" s="1" t="n">
        <v>45931</v>
      </c>
      <c r="D1205" t="inlineStr">
        <is>
          <t>VÄSTERBOTTENS LÄN</t>
        </is>
      </c>
      <c r="E1205" t="inlineStr">
        <is>
          <t>SKELLEFTEÅ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55241-2024</t>
        </is>
      </c>
      <c r="B1206" s="1" t="n">
        <v>45621.5884375</v>
      </c>
      <c r="C1206" s="1" t="n">
        <v>45931</v>
      </c>
      <c r="D1206" t="inlineStr">
        <is>
          <t>VÄSTERBOTTENS LÄN</t>
        </is>
      </c>
      <c r="E1206" t="inlineStr">
        <is>
          <t>SKELLEFTEÅ</t>
        </is>
      </c>
      <c r="F1206" t="inlineStr">
        <is>
          <t>Holmen skog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55253-2024</t>
        </is>
      </c>
      <c r="B1207" s="1" t="n">
        <v>45620</v>
      </c>
      <c r="C1207" s="1" t="n">
        <v>45931</v>
      </c>
      <c r="D1207" t="inlineStr">
        <is>
          <t>VÄSTERBOTTENS LÄN</t>
        </is>
      </c>
      <c r="E1207" t="inlineStr">
        <is>
          <t>SKELLEFTEÅ</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8328-2023</t>
        </is>
      </c>
      <c r="B1208" s="1" t="n">
        <v>44974.84518518519</v>
      </c>
      <c r="C1208" s="1" t="n">
        <v>45931</v>
      </c>
      <c r="D1208" t="inlineStr">
        <is>
          <t>VÄSTERBOTTENS LÄN</t>
        </is>
      </c>
      <c r="E1208" t="inlineStr">
        <is>
          <t>SKELLEFTEÅ</t>
        </is>
      </c>
      <c r="G1208" t="n">
        <v>18.5</v>
      </c>
      <c r="H1208" t="n">
        <v>0</v>
      </c>
      <c r="I1208" t="n">
        <v>0</v>
      </c>
      <c r="J1208" t="n">
        <v>0</v>
      </c>
      <c r="K1208" t="n">
        <v>0</v>
      </c>
      <c r="L1208" t="n">
        <v>0</v>
      </c>
      <c r="M1208" t="n">
        <v>0</v>
      </c>
      <c r="N1208" t="n">
        <v>0</v>
      </c>
      <c r="O1208" t="n">
        <v>0</v>
      </c>
      <c r="P1208" t="n">
        <v>0</v>
      </c>
      <c r="Q1208" t="n">
        <v>0</v>
      </c>
      <c r="R1208" s="2" t="inlineStr"/>
    </row>
    <row r="1209" ht="15" customHeight="1">
      <c r="A1209" t="inlineStr">
        <is>
          <t>A 3892-2025</t>
        </is>
      </c>
      <c r="B1209" s="1" t="n">
        <v>45684.37506944445</v>
      </c>
      <c r="C1209" s="1" t="n">
        <v>45931</v>
      </c>
      <c r="D1209" t="inlineStr">
        <is>
          <t>VÄSTERBOTTENS LÄN</t>
        </is>
      </c>
      <c r="E1209" t="inlineStr">
        <is>
          <t>SKELLEFTEÅ</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45200-2024</t>
        </is>
      </c>
      <c r="B1210" s="1" t="n">
        <v>45575.69085648148</v>
      </c>
      <c r="C1210" s="1" t="n">
        <v>45931</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12537-2024</t>
        </is>
      </c>
      <c r="B1211" s="1" t="n">
        <v>45379</v>
      </c>
      <c r="C1211" s="1" t="n">
        <v>45931</v>
      </c>
      <c r="D1211" t="inlineStr">
        <is>
          <t>VÄSTERBOTTENS LÄN</t>
        </is>
      </c>
      <c r="E1211" t="inlineStr">
        <is>
          <t>SKELLEFTEÅ</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24728-2025</t>
        </is>
      </c>
      <c r="B1212" s="1" t="n">
        <v>45799</v>
      </c>
      <c r="C1212" s="1" t="n">
        <v>45931</v>
      </c>
      <c r="D1212" t="inlineStr">
        <is>
          <t>VÄSTERBOTTENS LÄN</t>
        </is>
      </c>
      <c r="E1212" t="inlineStr">
        <is>
          <t>SKELLEFTEÅ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56203-2023</t>
        </is>
      </c>
      <c r="B1213" s="1" t="n">
        <v>45240</v>
      </c>
      <c r="C1213" s="1" t="n">
        <v>45931</v>
      </c>
      <c r="D1213" t="inlineStr">
        <is>
          <t>VÄSTERBOTTENS LÄN</t>
        </is>
      </c>
      <c r="E1213" t="inlineStr">
        <is>
          <t>SKELLEFTEÅ</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26031-2022</t>
        </is>
      </c>
      <c r="B1214" s="1" t="n">
        <v>44734.57721064815</v>
      </c>
      <c r="C1214" s="1" t="n">
        <v>45931</v>
      </c>
      <c r="D1214" t="inlineStr">
        <is>
          <t>VÄSTERBOTTENS LÄN</t>
        </is>
      </c>
      <c r="E1214" t="inlineStr">
        <is>
          <t>SKELLEFTEÅ</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14089-2023</t>
        </is>
      </c>
      <c r="B1215" s="1" t="n">
        <v>45009.33761574074</v>
      </c>
      <c r="C1215" s="1" t="n">
        <v>45931</v>
      </c>
      <c r="D1215" t="inlineStr">
        <is>
          <t>VÄSTERBOTTENS LÄN</t>
        </is>
      </c>
      <c r="E1215" t="inlineStr">
        <is>
          <t>SKELLEFTEÅ</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12842-2025</t>
        </is>
      </c>
      <c r="B1216" s="1" t="n">
        <v>45733.64532407407</v>
      </c>
      <c r="C1216" s="1" t="n">
        <v>45931</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24858-2025</t>
        </is>
      </c>
      <c r="B1217" s="1" t="n">
        <v>45799.47877314815</v>
      </c>
      <c r="C1217" s="1" t="n">
        <v>45931</v>
      </c>
      <c r="D1217" t="inlineStr">
        <is>
          <t>VÄSTERBOTTENS LÄN</t>
        </is>
      </c>
      <c r="E1217" t="inlineStr">
        <is>
          <t>SKELLEFTEÅ</t>
        </is>
      </c>
      <c r="F1217" t="inlineStr">
        <is>
          <t>Holmen skog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60134-2024</t>
        </is>
      </c>
      <c r="B1218" s="1" t="n">
        <v>45642.60092592592</v>
      </c>
      <c r="C1218" s="1" t="n">
        <v>45931</v>
      </c>
      <c r="D1218" t="inlineStr">
        <is>
          <t>VÄSTERBOTTENS LÄN</t>
        </is>
      </c>
      <c r="E1218" t="inlineStr">
        <is>
          <t>SKELLEFTEÅ</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24829-2025</t>
        </is>
      </c>
      <c r="B1219" s="1" t="n">
        <v>45799.45777777778</v>
      </c>
      <c r="C1219" s="1" t="n">
        <v>45931</v>
      </c>
      <c r="D1219" t="inlineStr">
        <is>
          <t>VÄSTERBOTTENS LÄN</t>
        </is>
      </c>
      <c r="E1219" t="inlineStr">
        <is>
          <t>SKELLEFTEÅ</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29115-2021</t>
        </is>
      </c>
      <c r="B1220" s="1" t="n">
        <v>44358</v>
      </c>
      <c r="C1220" s="1" t="n">
        <v>45931</v>
      </c>
      <c r="D1220" t="inlineStr">
        <is>
          <t>VÄSTERBOTTENS LÄN</t>
        </is>
      </c>
      <c r="E1220" t="inlineStr">
        <is>
          <t>SKELLEFTEÅ</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45727-2023</t>
        </is>
      </c>
      <c r="B1221" s="1" t="n">
        <v>45189</v>
      </c>
      <c r="C1221" s="1" t="n">
        <v>45931</v>
      </c>
      <c r="D1221" t="inlineStr">
        <is>
          <t>VÄSTERBOTTENS LÄN</t>
        </is>
      </c>
      <c r="E1221" t="inlineStr">
        <is>
          <t>SKELLEFTEÅ</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9470-2024</t>
        </is>
      </c>
      <c r="B1222" s="1" t="n">
        <v>45359.55322916667</v>
      </c>
      <c r="C1222" s="1" t="n">
        <v>45931</v>
      </c>
      <c r="D1222" t="inlineStr">
        <is>
          <t>VÄSTERBOTTENS LÄN</t>
        </is>
      </c>
      <c r="E1222" t="inlineStr">
        <is>
          <t>SKELLEFTEÅ</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30485-2023</t>
        </is>
      </c>
      <c r="B1223" s="1" t="n">
        <v>45111.60275462963</v>
      </c>
      <c r="C1223" s="1" t="n">
        <v>45931</v>
      </c>
      <c r="D1223" t="inlineStr">
        <is>
          <t>VÄSTERBOTTENS LÄN</t>
        </is>
      </c>
      <c r="E1223" t="inlineStr">
        <is>
          <t>SKELLEFTEÅ</t>
        </is>
      </c>
      <c r="F1223" t="inlineStr">
        <is>
          <t>Sveaskog</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38577-2023</t>
        </is>
      </c>
      <c r="B1224" s="1" t="n">
        <v>45161</v>
      </c>
      <c r="C1224" s="1" t="n">
        <v>45931</v>
      </c>
      <c r="D1224" t="inlineStr">
        <is>
          <t>VÄSTERBOTTENS LÄN</t>
        </is>
      </c>
      <c r="E1224" t="inlineStr">
        <is>
          <t>SKELLEFTEÅ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16642-2025</t>
        </is>
      </c>
      <c r="B1225" s="1" t="n">
        <v>45754.37208333334</v>
      </c>
      <c r="C1225" s="1" t="n">
        <v>45931</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7981-2025</t>
        </is>
      </c>
      <c r="B1226" s="1" t="n">
        <v>45707.46899305555</v>
      </c>
      <c r="C1226" s="1" t="n">
        <v>45931</v>
      </c>
      <c r="D1226" t="inlineStr">
        <is>
          <t>VÄSTERBOTTENS LÄN</t>
        </is>
      </c>
      <c r="E1226" t="inlineStr">
        <is>
          <t>SKELLEFTEÅ</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16663-2025</t>
        </is>
      </c>
      <c r="B1227" s="1" t="n">
        <v>45754.41936342593</v>
      </c>
      <c r="C1227" s="1" t="n">
        <v>45931</v>
      </c>
      <c r="D1227" t="inlineStr">
        <is>
          <t>VÄSTERBOTTENS LÄN</t>
        </is>
      </c>
      <c r="E1227" t="inlineStr">
        <is>
          <t>SKELLEFTEÅ</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25596-2022</t>
        </is>
      </c>
      <c r="B1228" s="1" t="n">
        <v>44732</v>
      </c>
      <c r="C1228" s="1" t="n">
        <v>45931</v>
      </c>
      <c r="D1228" t="inlineStr">
        <is>
          <t>VÄSTERBOTTENS LÄN</t>
        </is>
      </c>
      <c r="E1228" t="inlineStr">
        <is>
          <t>SKELLEFTEÅ</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1022-2025</t>
        </is>
      </c>
      <c r="B1229" s="1" t="n">
        <v>45665</v>
      </c>
      <c r="C1229" s="1" t="n">
        <v>45931</v>
      </c>
      <c r="D1229" t="inlineStr">
        <is>
          <t>VÄSTERBOTTENS LÄN</t>
        </is>
      </c>
      <c r="E1229" t="inlineStr">
        <is>
          <t>SKELLEFTEÅ</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25182-2025</t>
        </is>
      </c>
      <c r="B1230" s="1" t="n">
        <v>45800.44905092593</v>
      </c>
      <c r="C1230" s="1" t="n">
        <v>45931</v>
      </c>
      <c r="D1230" t="inlineStr">
        <is>
          <t>VÄSTERBOTTENS LÄN</t>
        </is>
      </c>
      <c r="E1230" t="inlineStr">
        <is>
          <t>SKELLEFTEÅ</t>
        </is>
      </c>
      <c r="G1230" t="n">
        <v>19.3</v>
      </c>
      <c r="H1230" t="n">
        <v>0</v>
      </c>
      <c r="I1230" t="n">
        <v>0</v>
      </c>
      <c r="J1230" t="n">
        <v>0</v>
      </c>
      <c r="K1230" t="n">
        <v>0</v>
      </c>
      <c r="L1230" t="n">
        <v>0</v>
      </c>
      <c r="M1230" t="n">
        <v>0</v>
      </c>
      <c r="N1230" t="n">
        <v>0</v>
      </c>
      <c r="O1230" t="n">
        <v>0</v>
      </c>
      <c r="P1230" t="n">
        <v>0</v>
      </c>
      <c r="Q1230" t="n">
        <v>0</v>
      </c>
      <c r="R1230" s="2" t="inlineStr"/>
    </row>
    <row r="1231" ht="15" customHeight="1">
      <c r="A1231" t="inlineStr">
        <is>
          <t>A 57569-2022</t>
        </is>
      </c>
      <c r="B1231" s="1" t="n">
        <v>44896.92769675926</v>
      </c>
      <c r="C1231" s="1" t="n">
        <v>45931</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21854-2024</t>
        </is>
      </c>
      <c r="B1232" s="1" t="n">
        <v>45442</v>
      </c>
      <c r="C1232" s="1" t="n">
        <v>45931</v>
      </c>
      <c r="D1232" t="inlineStr">
        <is>
          <t>VÄSTERBOTTENS LÄN</t>
        </is>
      </c>
      <c r="E1232" t="inlineStr">
        <is>
          <t>SKELLEFTEÅ</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43434-2024</t>
        </is>
      </c>
      <c r="B1233" s="1" t="n">
        <v>45568.64591435185</v>
      </c>
      <c r="C1233" s="1" t="n">
        <v>45931</v>
      </c>
      <c r="D1233" t="inlineStr">
        <is>
          <t>VÄSTERBOTTENS LÄN</t>
        </is>
      </c>
      <c r="E1233" t="inlineStr">
        <is>
          <t>SKELLEFTEÅ</t>
        </is>
      </c>
      <c r="F1233" t="inlineStr">
        <is>
          <t>Holmen skog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25641-2025</t>
        </is>
      </c>
      <c r="B1234" s="1" t="n">
        <v>45803.60377314815</v>
      </c>
      <c r="C1234" s="1" t="n">
        <v>45931</v>
      </c>
      <c r="D1234" t="inlineStr">
        <is>
          <t>VÄSTERBOTTENS LÄN</t>
        </is>
      </c>
      <c r="E1234" t="inlineStr">
        <is>
          <t>SKELLEFTEÅ</t>
        </is>
      </c>
      <c r="F1234" t="inlineStr">
        <is>
          <t>Holmen skog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25527-2025</t>
        </is>
      </c>
      <c r="B1235" s="1" t="n">
        <v>45803.38699074074</v>
      </c>
      <c r="C1235" s="1" t="n">
        <v>45931</v>
      </c>
      <c r="D1235" t="inlineStr">
        <is>
          <t>VÄSTERBOTTENS LÄN</t>
        </is>
      </c>
      <c r="E1235" t="inlineStr">
        <is>
          <t>SKELLEFTEÅ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25542-2025</t>
        </is>
      </c>
      <c r="B1236" s="1" t="n">
        <v>45803.42774305555</v>
      </c>
      <c r="C1236" s="1" t="n">
        <v>45931</v>
      </c>
      <c r="D1236" t="inlineStr">
        <is>
          <t>VÄSTERBOTTENS LÄN</t>
        </is>
      </c>
      <c r="E1236" t="inlineStr">
        <is>
          <t>SKELLEFTEÅ</t>
        </is>
      </c>
      <c r="F1236" t="inlineStr">
        <is>
          <t>Holmen skog AB</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25526-2025</t>
        </is>
      </c>
      <c r="B1237" s="1" t="n">
        <v>45803.38655092593</v>
      </c>
      <c r="C1237" s="1" t="n">
        <v>45931</v>
      </c>
      <c r="D1237" t="inlineStr">
        <is>
          <t>VÄSTERBOTTENS LÄN</t>
        </is>
      </c>
      <c r="E1237" t="inlineStr">
        <is>
          <t>SKELLEFTEÅ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37547-2024</t>
        </is>
      </c>
      <c r="B1238" s="1" t="n">
        <v>45541.42965277778</v>
      </c>
      <c r="C1238" s="1" t="n">
        <v>45931</v>
      </c>
      <c r="D1238" t="inlineStr">
        <is>
          <t>VÄSTERBOTTENS LÄN</t>
        </is>
      </c>
      <c r="E1238" t="inlineStr">
        <is>
          <t>SKELLEFTEÅ</t>
        </is>
      </c>
      <c r="F1238" t="inlineStr">
        <is>
          <t>Holmen skog AB</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42557-2021</t>
        </is>
      </c>
      <c r="B1239" s="1" t="n">
        <v>44428</v>
      </c>
      <c r="C1239" s="1" t="n">
        <v>45931</v>
      </c>
      <c r="D1239" t="inlineStr">
        <is>
          <t>VÄSTERBOTTENS LÄN</t>
        </is>
      </c>
      <c r="E1239" t="inlineStr">
        <is>
          <t>SKELLEFTEÅ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25801-2025</t>
        </is>
      </c>
      <c r="B1240" s="1" t="n">
        <v>45803</v>
      </c>
      <c r="C1240" s="1" t="n">
        <v>45931</v>
      </c>
      <c r="D1240" t="inlineStr">
        <is>
          <t>VÄSTERBOTTENS LÄN</t>
        </is>
      </c>
      <c r="E1240" t="inlineStr">
        <is>
          <t>SKELLEFTEÅ</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25804-2025</t>
        </is>
      </c>
      <c r="B1241" s="1" t="n">
        <v>45803</v>
      </c>
      <c r="C1241" s="1" t="n">
        <v>45931</v>
      </c>
      <c r="D1241" t="inlineStr">
        <is>
          <t>VÄSTERBOTTENS LÄN</t>
        </is>
      </c>
      <c r="E1241" t="inlineStr">
        <is>
          <t>SKELLEFTEÅ</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25773-2025</t>
        </is>
      </c>
      <c r="B1242" s="1" t="n">
        <v>45804.34528935186</v>
      </c>
      <c r="C1242" s="1" t="n">
        <v>45931</v>
      </c>
      <c r="D1242" t="inlineStr">
        <is>
          <t>VÄSTERBOTTENS LÄN</t>
        </is>
      </c>
      <c r="E1242" t="inlineStr">
        <is>
          <t>SKELLEFTEÅ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25958-2025</t>
        </is>
      </c>
      <c r="B1243" s="1" t="n">
        <v>45804.60783564814</v>
      </c>
      <c r="C1243" s="1" t="n">
        <v>45931</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26049-2025</t>
        </is>
      </c>
      <c r="B1244" s="1" t="n">
        <v>45804.71578703704</v>
      </c>
      <c r="C1244" s="1" t="n">
        <v>45931</v>
      </c>
      <c r="D1244" t="inlineStr">
        <is>
          <t>VÄSTERBOTTENS LÄN</t>
        </is>
      </c>
      <c r="E1244" t="inlineStr">
        <is>
          <t>SKELLEFTEÅ</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60339-2023</t>
        </is>
      </c>
      <c r="B1245" s="1" t="n">
        <v>45259</v>
      </c>
      <c r="C1245" s="1" t="n">
        <v>45931</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25774-2025</t>
        </is>
      </c>
      <c r="B1246" s="1" t="n">
        <v>45804.34530092592</v>
      </c>
      <c r="C1246" s="1" t="n">
        <v>45931</v>
      </c>
      <c r="D1246" t="inlineStr">
        <is>
          <t>VÄSTERBOTTENS LÄN</t>
        </is>
      </c>
      <c r="E1246" t="inlineStr">
        <is>
          <t>SKELLEFTEÅ</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28166-2023</t>
        </is>
      </c>
      <c r="B1247" s="1" t="n">
        <v>45096</v>
      </c>
      <c r="C1247" s="1" t="n">
        <v>45931</v>
      </c>
      <c r="D1247" t="inlineStr">
        <is>
          <t>VÄSTERBOTTENS LÄN</t>
        </is>
      </c>
      <c r="E1247" t="inlineStr">
        <is>
          <t>SKELLEFTEÅ</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12547-2025</t>
        </is>
      </c>
      <c r="B1248" s="1" t="n">
        <v>45730.89319444444</v>
      </c>
      <c r="C1248" s="1" t="n">
        <v>45931</v>
      </c>
      <c r="D1248" t="inlineStr">
        <is>
          <t>VÄSTERBOTTENS LÄN</t>
        </is>
      </c>
      <c r="E1248" t="inlineStr">
        <is>
          <t>SKELLEFTEÅ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26045-2025</t>
        </is>
      </c>
      <c r="B1249" s="1" t="n">
        <v>45804.70626157407</v>
      </c>
      <c r="C1249" s="1" t="n">
        <v>45931</v>
      </c>
      <c r="D1249" t="inlineStr">
        <is>
          <t>VÄSTERBOTTENS LÄN</t>
        </is>
      </c>
      <c r="E1249" t="inlineStr">
        <is>
          <t>SKELLEFTEÅ</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25514-2025</t>
        </is>
      </c>
      <c r="B1250" s="1" t="n">
        <v>45803.36482638889</v>
      </c>
      <c r="C1250" s="1" t="n">
        <v>45931</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1257-2024</t>
        </is>
      </c>
      <c r="B1251" s="1" t="n">
        <v>45302</v>
      </c>
      <c r="C1251" s="1" t="n">
        <v>45931</v>
      </c>
      <c r="D1251" t="inlineStr">
        <is>
          <t>VÄSTERBOTTENS LÄN</t>
        </is>
      </c>
      <c r="E1251" t="inlineStr">
        <is>
          <t>SKELLEFTEÅ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25876-2025</t>
        </is>
      </c>
      <c r="B1252" s="1" t="n">
        <v>45804.4940625</v>
      </c>
      <c r="C1252" s="1" t="n">
        <v>45931</v>
      </c>
      <c r="D1252" t="inlineStr">
        <is>
          <t>VÄSTERBOTTENS LÄN</t>
        </is>
      </c>
      <c r="E1252" t="inlineStr">
        <is>
          <t>SKELLEFTEÅ</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25525-2025</t>
        </is>
      </c>
      <c r="B1253" s="1" t="n">
        <v>45803.3865162037</v>
      </c>
      <c r="C1253" s="1" t="n">
        <v>45931</v>
      </c>
      <c r="D1253" t="inlineStr">
        <is>
          <t>VÄSTERBOTTENS LÄN</t>
        </is>
      </c>
      <c r="E1253" t="inlineStr">
        <is>
          <t>SKELLEFTEÅ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53075-2022</t>
        </is>
      </c>
      <c r="B1254" s="1" t="n">
        <v>44876</v>
      </c>
      <c r="C1254" s="1" t="n">
        <v>45931</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26194-2025</t>
        </is>
      </c>
      <c r="B1255" s="1" t="n">
        <v>45805.48989583334</v>
      </c>
      <c r="C1255" s="1" t="n">
        <v>45931</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26483-2022</t>
        </is>
      </c>
      <c r="B1256" s="1" t="n">
        <v>44739</v>
      </c>
      <c r="C1256" s="1" t="n">
        <v>45931</v>
      </c>
      <c r="D1256" t="inlineStr">
        <is>
          <t>VÄSTERBOTTENS LÄN</t>
        </is>
      </c>
      <c r="E1256" t="inlineStr">
        <is>
          <t>SKELLEFTEÅ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7875-2023</t>
        </is>
      </c>
      <c r="B1257" s="1" t="n">
        <v>44967</v>
      </c>
      <c r="C1257" s="1" t="n">
        <v>45931</v>
      </c>
      <c r="D1257" t="inlineStr">
        <is>
          <t>VÄSTERBOTTENS LÄN</t>
        </is>
      </c>
      <c r="E1257" t="inlineStr">
        <is>
          <t>SKELLEFTEÅ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44959-2023</t>
        </is>
      </c>
      <c r="B1258" s="1" t="n">
        <v>45190</v>
      </c>
      <c r="C1258" s="1" t="n">
        <v>45931</v>
      </c>
      <c r="D1258" t="inlineStr">
        <is>
          <t>VÄSTERBOTTENS LÄN</t>
        </is>
      </c>
      <c r="E1258" t="inlineStr">
        <is>
          <t>SKELLEFTEÅ</t>
        </is>
      </c>
      <c r="F1258" t="inlineStr">
        <is>
          <t>Sveaskog</t>
        </is>
      </c>
      <c r="G1258" t="n">
        <v>15.3</v>
      </c>
      <c r="H1258" t="n">
        <v>0</v>
      </c>
      <c r="I1258" t="n">
        <v>0</v>
      </c>
      <c r="J1258" t="n">
        <v>0</v>
      </c>
      <c r="K1258" t="n">
        <v>0</v>
      </c>
      <c r="L1258" t="n">
        <v>0</v>
      </c>
      <c r="M1258" t="n">
        <v>0</v>
      </c>
      <c r="N1258" t="n">
        <v>0</v>
      </c>
      <c r="O1258" t="n">
        <v>0</v>
      </c>
      <c r="P1258" t="n">
        <v>0</v>
      </c>
      <c r="Q1258" t="n">
        <v>0</v>
      </c>
      <c r="R1258" s="2" t="inlineStr"/>
    </row>
    <row r="1259" ht="15" customHeight="1">
      <c r="A1259" t="inlineStr">
        <is>
          <t>A 17628-2025</t>
        </is>
      </c>
      <c r="B1259" s="1" t="n">
        <v>45757.97299768519</v>
      </c>
      <c r="C1259" s="1" t="n">
        <v>45931</v>
      </c>
      <c r="D1259" t="inlineStr">
        <is>
          <t>VÄSTERBOTTENS LÄN</t>
        </is>
      </c>
      <c r="E1259" t="inlineStr">
        <is>
          <t>SKELLEFTEÅ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20378-2025</t>
        </is>
      </c>
      <c r="B1260" s="1" t="n">
        <v>45775.42729166667</v>
      </c>
      <c r="C1260" s="1" t="n">
        <v>45931</v>
      </c>
      <c r="D1260" t="inlineStr">
        <is>
          <t>VÄSTERBOTTENS LÄN</t>
        </is>
      </c>
      <c r="E1260" t="inlineStr">
        <is>
          <t>SKELLEFTEÅ</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52444-2023</t>
        </is>
      </c>
      <c r="B1261" s="1" t="n">
        <v>45225.37877314815</v>
      </c>
      <c r="C1261" s="1" t="n">
        <v>45931</v>
      </c>
      <c r="D1261" t="inlineStr">
        <is>
          <t>VÄSTERBOTTENS LÄN</t>
        </is>
      </c>
      <c r="E1261" t="inlineStr">
        <is>
          <t>SKELLEFTEÅ</t>
        </is>
      </c>
      <c r="F1261" t="inlineStr">
        <is>
          <t>Sveaskog</t>
        </is>
      </c>
      <c r="G1261" t="n">
        <v>28.5</v>
      </c>
      <c r="H1261" t="n">
        <v>0</v>
      </c>
      <c r="I1261" t="n">
        <v>0</v>
      </c>
      <c r="J1261" t="n">
        <v>0</v>
      </c>
      <c r="K1261" t="n">
        <v>0</v>
      </c>
      <c r="L1261" t="n">
        <v>0</v>
      </c>
      <c r="M1261" t="n">
        <v>0</v>
      </c>
      <c r="N1261" t="n">
        <v>0</v>
      </c>
      <c r="O1261" t="n">
        <v>0</v>
      </c>
      <c r="P1261" t="n">
        <v>0</v>
      </c>
      <c r="Q1261" t="n">
        <v>0</v>
      </c>
      <c r="R1261" s="2" t="inlineStr"/>
    </row>
    <row r="1262" ht="15" customHeight="1">
      <c r="A1262" t="inlineStr">
        <is>
          <t>A 15542-2025</t>
        </is>
      </c>
      <c r="B1262" s="1" t="n">
        <v>45747.65768518519</v>
      </c>
      <c r="C1262" s="1" t="n">
        <v>45931</v>
      </c>
      <c r="D1262" t="inlineStr">
        <is>
          <t>VÄSTERBOTTENS LÄN</t>
        </is>
      </c>
      <c r="E1262" t="inlineStr">
        <is>
          <t>SKELLEFTEÅ</t>
        </is>
      </c>
      <c r="F1262" t="inlineStr">
        <is>
          <t>Övriga Aktiebolag</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18098-2025</t>
        </is>
      </c>
      <c r="B1263" s="1" t="n">
        <v>45761.5509375</v>
      </c>
      <c r="C1263" s="1" t="n">
        <v>45931</v>
      </c>
      <c r="D1263" t="inlineStr">
        <is>
          <t>VÄSTERBOTTENS LÄN</t>
        </is>
      </c>
      <c r="E1263" t="inlineStr">
        <is>
          <t>SKELLEFTEÅ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58838-2023</t>
        </is>
      </c>
      <c r="B1264" s="1" t="n">
        <v>45252.41853009259</v>
      </c>
      <c r="C1264" s="1" t="n">
        <v>45931</v>
      </c>
      <c r="D1264" t="inlineStr">
        <is>
          <t>VÄSTERBOTTENS LÄN</t>
        </is>
      </c>
      <c r="E1264" t="inlineStr">
        <is>
          <t>SKELLEFTEÅ</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18070-2022</t>
        </is>
      </c>
      <c r="B1265" s="1" t="n">
        <v>44684</v>
      </c>
      <c r="C1265" s="1" t="n">
        <v>45931</v>
      </c>
      <c r="D1265" t="inlineStr">
        <is>
          <t>VÄSTERBOTTENS LÄN</t>
        </is>
      </c>
      <c r="E1265" t="inlineStr">
        <is>
          <t>SKELLEFTEÅ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11942-2023</t>
        </is>
      </c>
      <c r="B1266" s="1" t="n">
        <v>44995.52376157408</v>
      </c>
      <c r="C1266" s="1" t="n">
        <v>45931</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34622-2024</t>
        </is>
      </c>
      <c r="B1267" s="1" t="n">
        <v>45526.44155092593</v>
      </c>
      <c r="C1267" s="1" t="n">
        <v>45931</v>
      </c>
      <c r="D1267" t="inlineStr">
        <is>
          <t>VÄSTERBOTTENS LÄN</t>
        </is>
      </c>
      <c r="E1267" t="inlineStr">
        <is>
          <t>SKELLEFTEÅ</t>
        </is>
      </c>
      <c r="F1267" t="inlineStr">
        <is>
          <t>Holmen skog AB</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46377-2024</t>
        </is>
      </c>
      <c r="B1268" s="1" t="n">
        <v>45582</v>
      </c>
      <c r="C1268" s="1" t="n">
        <v>45931</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45931</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46557-2024</t>
        </is>
      </c>
      <c r="B1270" s="1" t="n">
        <v>45582.67056712963</v>
      </c>
      <c r="C1270" s="1" t="n">
        <v>45931</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58429-2022</t>
        </is>
      </c>
      <c r="B1271" s="1" t="n">
        <v>44901</v>
      </c>
      <c r="C1271" s="1" t="n">
        <v>45931</v>
      </c>
      <c r="D1271" t="inlineStr">
        <is>
          <t>VÄSTERBOTTENS LÄN</t>
        </is>
      </c>
      <c r="E1271" t="inlineStr">
        <is>
          <t>SKELLEFTEÅ</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45850-2024</t>
        </is>
      </c>
      <c r="B1272" s="1" t="n">
        <v>45580</v>
      </c>
      <c r="C1272" s="1" t="n">
        <v>45931</v>
      </c>
      <c r="D1272" t="inlineStr">
        <is>
          <t>VÄSTERBOTTENS LÄN</t>
        </is>
      </c>
      <c r="E1272" t="inlineStr">
        <is>
          <t>SKELLEFTEÅ</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53903-2022</t>
        </is>
      </c>
      <c r="B1273" s="1" t="n">
        <v>44880</v>
      </c>
      <c r="C1273" s="1" t="n">
        <v>45931</v>
      </c>
      <c r="D1273" t="inlineStr">
        <is>
          <t>VÄSTERBOTTENS LÄN</t>
        </is>
      </c>
      <c r="E1273" t="inlineStr">
        <is>
          <t>SKELLEFTEÅ</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44872-2023</t>
        </is>
      </c>
      <c r="B1274" s="1" t="n">
        <v>45190.60226851852</v>
      </c>
      <c r="C1274" s="1" t="n">
        <v>45931</v>
      </c>
      <c r="D1274" t="inlineStr">
        <is>
          <t>VÄSTERBOTTENS LÄN</t>
        </is>
      </c>
      <c r="E1274" t="inlineStr">
        <is>
          <t>SKELLEFTEÅ</t>
        </is>
      </c>
      <c r="F1274" t="inlineStr">
        <is>
          <t>Holmen skog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3924-2022</t>
        </is>
      </c>
      <c r="B1275" s="1" t="n">
        <v>44587</v>
      </c>
      <c r="C1275" s="1" t="n">
        <v>45931</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7027-2025</t>
        </is>
      </c>
      <c r="B1276" s="1" t="n">
        <v>45701.63026620371</v>
      </c>
      <c r="C1276" s="1" t="n">
        <v>45931</v>
      </c>
      <c r="D1276" t="inlineStr">
        <is>
          <t>VÄSTERBOTTENS LÄN</t>
        </is>
      </c>
      <c r="E1276" t="inlineStr">
        <is>
          <t>SKELLEFTEÅ</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55269-2024</t>
        </is>
      </c>
      <c r="B1277" s="1" t="n">
        <v>45621.61444444444</v>
      </c>
      <c r="C1277" s="1" t="n">
        <v>45931</v>
      </c>
      <c r="D1277" t="inlineStr">
        <is>
          <t>VÄSTERBOTTENS LÄN</t>
        </is>
      </c>
      <c r="E1277" t="inlineStr">
        <is>
          <t>SKELLEFTEÅ</t>
        </is>
      </c>
      <c r="F1277" t="inlineStr">
        <is>
          <t>Sveaskog</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39589-2021</t>
        </is>
      </c>
      <c r="B1278" s="1" t="n">
        <v>44413</v>
      </c>
      <c r="C1278" s="1" t="n">
        <v>45931</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31419-2021</t>
        </is>
      </c>
      <c r="B1279" s="1" t="n">
        <v>44368</v>
      </c>
      <c r="C1279" s="1" t="n">
        <v>45931</v>
      </c>
      <c r="D1279" t="inlineStr">
        <is>
          <t>VÄSTERBOTTENS LÄN</t>
        </is>
      </c>
      <c r="E1279" t="inlineStr">
        <is>
          <t>SKELLEFTEÅ</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46268-2024</t>
        </is>
      </c>
      <c r="B1280" s="1" t="n">
        <v>45581</v>
      </c>
      <c r="C1280" s="1" t="n">
        <v>45931</v>
      </c>
      <c r="D1280" t="inlineStr">
        <is>
          <t>VÄSTERBOTTENS LÄN</t>
        </is>
      </c>
      <c r="E1280" t="inlineStr">
        <is>
          <t>SKELLEFTEÅ</t>
        </is>
      </c>
      <c r="F1280" t="inlineStr">
        <is>
          <t>Holmen skog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26286-2025</t>
        </is>
      </c>
      <c r="B1281" s="1" t="n">
        <v>45805.62082175926</v>
      </c>
      <c r="C1281" s="1" t="n">
        <v>45931</v>
      </c>
      <c r="D1281" t="inlineStr">
        <is>
          <t>VÄSTERBOTTENS LÄN</t>
        </is>
      </c>
      <c r="E1281" t="inlineStr">
        <is>
          <t>SKELLEFTEÅ</t>
        </is>
      </c>
      <c r="F1281" t="inlineStr">
        <is>
          <t>Sveaskog</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34082-2022</t>
        </is>
      </c>
      <c r="B1282" s="1" t="n">
        <v>44791</v>
      </c>
      <c r="C1282" s="1" t="n">
        <v>45931</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40787-2024</t>
        </is>
      </c>
      <c r="B1283" s="1" t="n">
        <v>45558</v>
      </c>
      <c r="C1283" s="1" t="n">
        <v>45931</v>
      </c>
      <c r="D1283" t="inlineStr">
        <is>
          <t>VÄSTERBOTTENS LÄN</t>
        </is>
      </c>
      <c r="E1283" t="inlineStr">
        <is>
          <t>SKELLEFTEÅ</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702-2023</t>
        </is>
      </c>
      <c r="B1284" s="1" t="n">
        <v>44930.92688657407</v>
      </c>
      <c r="C1284" s="1" t="n">
        <v>45931</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61105-2022</t>
        </is>
      </c>
      <c r="B1285" s="1" t="n">
        <v>44915.41087962963</v>
      </c>
      <c r="C1285" s="1" t="n">
        <v>45931</v>
      </c>
      <c r="D1285" t="inlineStr">
        <is>
          <t>VÄSTERBOTTENS LÄN</t>
        </is>
      </c>
      <c r="E1285" t="inlineStr">
        <is>
          <t>SKELLEFTEÅ</t>
        </is>
      </c>
      <c r="F1285" t="inlineStr">
        <is>
          <t>Sveaskog</t>
        </is>
      </c>
      <c r="G1285" t="n">
        <v>19.5</v>
      </c>
      <c r="H1285" t="n">
        <v>0</v>
      </c>
      <c r="I1285" t="n">
        <v>0</v>
      </c>
      <c r="J1285" t="n">
        <v>0</v>
      </c>
      <c r="K1285" t="n">
        <v>0</v>
      </c>
      <c r="L1285" t="n">
        <v>0</v>
      </c>
      <c r="M1285" t="n">
        <v>0</v>
      </c>
      <c r="N1285" t="n">
        <v>0</v>
      </c>
      <c r="O1285" t="n">
        <v>0</v>
      </c>
      <c r="P1285" t="n">
        <v>0</v>
      </c>
      <c r="Q1285" t="n">
        <v>0</v>
      </c>
      <c r="R1285" s="2" t="inlineStr"/>
    </row>
    <row r="1286" ht="15" customHeight="1">
      <c r="A1286" t="inlineStr">
        <is>
          <t>A 16971-2025</t>
        </is>
      </c>
      <c r="B1286" s="1" t="n">
        <v>45755.46940972222</v>
      </c>
      <c r="C1286" s="1" t="n">
        <v>45931</v>
      </c>
      <c r="D1286" t="inlineStr">
        <is>
          <t>VÄSTERBOTTENS LÄN</t>
        </is>
      </c>
      <c r="E1286" t="inlineStr">
        <is>
          <t>SKELLEFTEÅ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26215-2025</t>
        </is>
      </c>
      <c r="B1287" s="1" t="n">
        <v>45805.54438657407</v>
      </c>
      <c r="C1287" s="1" t="n">
        <v>45931</v>
      </c>
      <c r="D1287" t="inlineStr">
        <is>
          <t>VÄSTERBOTTENS LÄN</t>
        </is>
      </c>
      <c r="E1287" t="inlineStr">
        <is>
          <t>SKELLEFTEÅ</t>
        </is>
      </c>
      <c r="G1287" t="n">
        <v>10</v>
      </c>
      <c r="H1287" t="n">
        <v>0</v>
      </c>
      <c r="I1287" t="n">
        <v>0</v>
      </c>
      <c r="J1287" t="n">
        <v>0</v>
      </c>
      <c r="K1287" t="n">
        <v>0</v>
      </c>
      <c r="L1287" t="n">
        <v>0</v>
      </c>
      <c r="M1287" t="n">
        <v>0</v>
      </c>
      <c r="N1287" t="n">
        <v>0</v>
      </c>
      <c r="O1287" t="n">
        <v>0</v>
      </c>
      <c r="P1287" t="n">
        <v>0</v>
      </c>
      <c r="Q1287" t="n">
        <v>0</v>
      </c>
      <c r="R1287" s="2" t="inlineStr"/>
    </row>
    <row r="1288" ht="15" customHeight="1">
      <c r="A1288" t="inlineStr">
        <is>
          <t>A 26601-2025</t>
        </is>
      </c>
      <c r="B1288" s="1" t="n">
        <v>45808.88428240741</v>
      </c>
      <c r="C1288" s="1" t="n">
        <v>45931</v>
      </c>
      <c r="D1288" t="inlineStr">
        <is>
          <t>VÄSTERBOTTENS LÄN</t>
        </is>
      </c>
      <c r="E1288" t="inlineStr">
        <is>
          <t>SKELLEFTEÅ</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45690-2024</t>
        </is>
      </c>
      <c r="B1289" s="1" t="n">
        <v>45579</v>
      </c>
      <c r="C1289" s="1" t="n">
        <v>45931</v>
      </c>
      <c r="D1289" t="inlineStr">
        <is>
          <t>VÄSTERBOTTENS LÄN</t>
        </is>
      </c>
      <c r="E1289" t="inlineStr">
        <is>
          <t>SKELLEFTEÅ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4292-2024</t>
        </is>
      </c>
      <c r="B1290" s="1" t="n">
        <v>45324.6081712963</v>
      </c>
      <c r="C1290" s="1" t="n">
        <v>45931</v>
      </c>
      <c r="D1290" t="inlineStr">
        <is>
          <t>VÄSTERBOTTENS LÄN</t>
        </is>
      </c>
      <c r="E1290" t="inlineStr">
        <is>
          <t>SKELLEFTEÅ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64942-2023</t>
        </is>
      </c>
      <c r="B1291" s="1" t="n">
        <v>45282</v>
      </c>
      <c r="C1291" s="1" t="n">
        <v>45931</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41642-2024</t>
        </is>
      </c>
      <c r="B1292" s="1" t="n">
        <v>45560.63359953704</v>
      </c>
      <c r="C1292" s="1" t="n">
        <v>45931</v>
      </c>
      <c r="D1292" t="inlineStr">
        <is>
          <t>VÄSTERBOTTENS LÄN</t>
        </is>
      </c>
      <c r="E1292" t="inlineStr">
        <is>
          <t>SKELLEFTEÅ</t>
        </is>
      </c>
      <c r="F1292" t="inlineStr">
        <is>
          <t>Holmen skog AB</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41710-2024</t>
        </is>
      </c>
      <c r="B1293" s="1" t="n">
        <v>45560.70313657408</v>
      </c>
      <c r="C1293" s="1" t="n">
        <v>45931</v>
      </c>
      <c r="D1293" t="inlineStr">
        <is>
          <t>VÄSTERBOTTENS LÄN</t>
        </is>
      </c>
      <c r="E1293" t="inlineStr">
        <is>
          <t>SKELLEFTEÅ</t>
        </is>
      </c>
      <c r="F1293" t="inlineStr">
        <is>
          <t>Holmen skog AB</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27817-2022</t>
        </is>
      </c>
      <c r="B1294" s="1" t="n">
        <v>44743</v>
      </c>
      <c r="C1294" s="1" t="n">
        <v>45931</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60614-2023</t>
        </is>
      </c>
      <c r="B1295" s="1" t="n">
        <v>45260</v>
      </c>
      <c r="C1295" s="1" t="n">
        <v>45931</v>
      </c>
      <c r="D1295" t="inlineStr">
        <is>
          <t>VÄSTERBOTTENS LÄN</t>
        </is>
      </c>
      <c r="E1295" t="inlineStr">
        <is>
          <t>SKELLEFTEÅ</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43474-2023</t>
        </is>
      </c>
      <c r="B1296" s="1" t="n">
        <v>45184.42844907408</v>
      </c>
      <c r="C1296" s="1" t="n">
        <v>45931</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55654-2024</t>
        </is>
      </c>
      <c r="B1297" s="1" t="n">
        <v>45621</v>
      </c>
      <c r="C1297" s="1" t="n">
        <v>45931</v>
      </c>
      <c r="D1297" t="inlineStr">
        <is>
          <t>VÄSTERBOTTENS LÄN</t>
        </is>
      </c>
      <c r="E1297" t="inlineStr">
        <is>
          <t>SKELLEFTEÅ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44829-2024</t>
        </is>
      </c>
      <c r="B1298" s="1" t="n">
        <v>45574.67832175926</v>
      </c>
      <c r="C1298" s="1" t="n">
        <v>45931</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21996-2022</t>
        </is>
      </c>
      <c r="B1299" s="1" t="n">
        <v>44711.56952546296</v>
      </c>
      <c r="C1299" s="1" t="n">
        <v>45931</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61033-2023</t>
        </is>
      </c>
      <c r="B1300" s="1" t="n">
        <v>45261</v>
      </c>
      <c r="C1300" s="1" t="n">
        <v>45931</v>
      </c>
      <c r="D1300" t="inlineStr">
        <is>
          <t>VÄSTERBOTTENS LÄN</t>
        </is>
      </c>
      <c r="E1300" t="inlineStr">
        <is>
          <t>SKELLEFTEÅ</t>
        </is>
      </c>
      <c r="F1300" t="inlineStr">
        <is>
          <t>Sveaskog</t>
        </is>
      </c>
      <c r="G1300" t="n">
        <v>16.4</v>
      </c>
      <c r="H1300" t="n">
        <v>0</v>
      </c>
      <c r="I1300" t="n">
        <v>0</v>
      </c>
      <c r="J1300" t="n">
        <v>0</v>
      </c>
      <c r="K1300" t="n">
        <v>0</v>
      </c>
      <c r="L1300" t="n">
        <v>0</v>
      </c>
      <c r="M1300" t="n">
        <v>0</v>
      </c>
      <c r="N1300" t="n">
        <v>0</v>
      </c>
      <c r="O1300" t="n">
        <v>0</v>
      </c>
      <c r="P1300" t="n">
        <v>0</v>
      </c>
      <c r="Q1300" t="n">
        <v>0</v>
      </c>
      <c r="R1300" s="2" t="inlineStr"/>
    </row>
    <row r="1301" ht="15" customHeight="1">
      <c r="A1301" t="inlineStr">
        <is>
          <t>A 26646-2025</t>
        </is>
      </c>
      <c r="B1301" s="1" t="n">
        <v>45810.38410879629</v>
      </c>
      <c r="C1301" s="1" t="n">
        <v>45931</v>
      </c>
      <c r="D1301" t="inlineStr">
        <is>
          <t>VÄSTERBOTTENS LÄN</t>
        </is>
      </c>
      <c r="E1301" t="inlineStr">
        <is>
          <t>SKELLEFTEÅ</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45403-2024</t>
        </is>
      </c>
      <c r="B1302" s="1" t="n">
        <v>45576.57667824074</v>
      </c>
      <c r="C1302" s="1" t="n">
        <v>45931</v>
      </c>
      <c r="D1302" t="inlineStr">
        <is>
          <t>VÄSTERBOTTENS LÄN</t>
        </is>
      </c>
      <c r="E1302" t="inlineStr">
        <is>
          <t>SKELLEFTEÅ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8010-2025</t>
        </is>
      </c>
      <c r="B1303" s="1" t="n">
        <v>45707.55104166667</v>
      </c>
      <c r="C1303" s="1" t="n">
        <v>45931</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21336-2023</t>
        </is>
      </c>
      <c r="B1304" s="1" t="n">
        <v>45062</v>
      </c>
      <c r="C1304" s="1" t="n">
        <v>45931</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49949-2023</t>
        </is>
      </c>
      <c r="B1305" s="1" t="n">
        <v>45215.36532407408</v>
      </c>
      <c r="C1305" s="1" t="n">
        <v>45931</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5740-2023</t>
        </is>
      </c>
      <c r="B1306" s="1" t="n">
        <v>44962.79574074074</v>
      </c>
      <c r="C1306" s="1" t="n">
        <v>45931</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44301-2023</t>
        </is>
      </c>
      <c r="B1307" s="1" t="n">
        <v>45188</v>
      </c>
      <c r="C1307" s="1" t="n">
        <v>45931</v>
      </c>
      <c r="D1307" t="inlineStr">
        <is>
          <t>VÄSTERBOTTENS LÄN</t>
        </is>
      </c>
      <c r="E1307" t="inlineStr">
        <is>
          <t>SKELLEFTEÅ</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57085-2023</t>
        </is>
      </c>
      <c r="B1308" s="1" t="n">
        <v>45245.25636574074</v>
      </c>
      <c r="C1308" s="1" t="n">
        <v>45931</v>
      </c>
      <c r="D1308" t="inlineStr">
        <is>
          <t>VÄSTERBOTTENS LÄN</t>
        </is>
      </c>
      <c r="E1308" t="inlineStr">
        <is>
          <t>SKELLEFTEÅ</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61145-2023</t>
        </is>
      </c>
      <c r="B1309" s="1" t="n">
        <v>45261.96739583334</v>
      </c>
      <c r="C1309" s="1" t="n">
        <v>45931</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16519-2024</t>
        </is>
      </c>
      <c r="B1310" s="1" t="n">
        <v>45408</v>
      </c>
      <c r="C1310" s="1" t="n">
        <v>45931</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9053-2022</t>
        </is>
      </c>
      <c r="B1311" s="1" t="n">
        <v>44615</v>
      </c>
      <c r="C1311" s="1" t="n">
        <v>45931</v>
      </c>
      <c r="D1311" t="inlineStr">
        <is>
          <t>VÄSTERBOTTENS LÄN</t>
        </is>
      </c>
      <c r="E1311" t="inlineStr">
        <is>
          <t>SKELLEFTEÅ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25009-2022</t>
        </is>
      </c>
      <c r="B1312" s="1" t="n">
        <v>44728.92866898148</v>
      </c>
      <c r="C1312" s="1" t="n">
        <v>45931</v>
      </c>
      <c r="D1312" t="inlineStr">
        <is>
          <t>VÄSTERBOTTENS LÄN</t>
        </is>
      </c>
      <c r="E1312" t="inlineStr">
        <is>
          <t>SKELLEFTEÅ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58750-2023</t>
        </is>
      </c>
      <c r="B1313" s="1" t="n">
        <v>45251.92957175926</v>
      </c>
      <c r="C1313" s="1" t="n">
        <v>45931</v>
      </c>
      <c r="D1313" t="inlineStr">
        <is>
          <t>VÄSTERBOTTENS LÄN</t>
        </is>
      </c>
      <c r="E1313" t="inlineStr">
        <is>
          <t>SKELLEFTEÅ</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20163-2025</t>
        </is>
      </c>
      <c r="B1314" s="1" t="n">
        <v>45772.57280092593</v>
      </c>
      <c r="C1314" s="1" t="n">
        <v>45931</v>
      </c>
      <c r="D1314" t="inlineStr">
        <is>
          <t>VÄSTERBOTTENS LÄN</t>
        </is>
      </c>
      <c r="E1314" t="inlineStr">
        <is>
          <t>SKELLEFTEÅ</t>
        </is>
      </c>
      <c r="F1314" t="inlineStr">
        <is>
          <t>Holmen skog AB</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26767-2025</t>
        </is>
      </c>
      <c r="B1315" s="1" t="n">
        <v>45810.56726851852</v>
      </c>
      <c r="C1315" s="1" t="n">
        <v>45931</v>
      </c>
      <c r="D1315" t="inlineStr">
        <is>
          <t>VÄSTERBOTTENS LÄN</t>
        </is>
      </c>
      <c r="E1315" t="inlineStr">
        <is>
          <t>SKELLEFTEÅ</t>
        </is>
      </c>
      <c r="F1315" t="inlineStr">
        <is>
          <t>Holmen skog AB</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55528-2023</t>
        </is>
      </c>
      <c r="B1316" s="1" t="n">
        <v>45238.59362268518</v>
      </c>
      <c r="C1316" s="1" t="n">
        <v>45931</v>
      </c>
      <c r="D1316" t="inlineStr">
        <is>
          <t>VÄSTERBOTTENS LÄN</t>
        </is>
      </c>
      <c r="E1316" t="inlineStr">
        <is>
          <t>SKELLEFTEÅ</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50082-2024</t>
        </is>
      </c>
      <c r="B1317" s="1" t="n">
        <v>45597</v>
      </c>
      <c r="C1317" s="1" t="n">
        <v>45931</v>
      </c>
      <c r="D1317" t="inlineStr">
        <is>
          <t>VÄSTERBOTTENS LÄN</t>
        </is>
      </c>
      <c r="E1317" t="inlineStr">
        <is>
          <t>SKELLEFTEÅ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40927-2024</t>
        </is>
      </c>
      <c r="B1318" s="1" t="n">
        <v>45558.64018518518</v>
      </c>
      <c r="C1318" s="1" t="n">
        <v>45931</v>
      </c>
      <c r="D1318" t="inlineStr">
        <is>
          <t>VÄSTERBOTTENS LÄN</t>
        </is>
      </c>
      <c r="E1318" t="inlineStr">
        <is>
          <t>SKELLEFTEÅ</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26542-2025</t>
        </is>
      </c>
      <c r="B1319" s="1" t="n">
        <v>45807.58521990741</v>
      </c>
      <c r="C1319" s="1" t="n">
        <v>45931</v>
      </c>
      <c r="D1319" t="inlineStr">
        <is>
          <t>VÄSTERBOTTENS LÄN</t>
        </is>
      </c>
      <c r="E1319" t="inlineStr">
        <is>
          <t>SKELLEFTEÅ</t>
        </is>
      </c>
      <c r="F1319" t="inlineStr">
        <is>
          <t>Holmen skog AB</t>
        </is>
      </c>
      <c r="G1319" t="n">
        <v>11.8</v>
      </c>
      <c r="H1319" t="n">
        <v>0</v>
      </c>
      <c r="I1319" t="n">
        <v>0</v>
      </c>
      <c r="J1319" t="n">
        <v>0</v>
      </c>
      <c r="K1319" t="n">
        <v>0</v>
      </c>
      <c r="L1319" t="n">
        <v>0</v>
      </c>
      <c r="M1319" t="n">
        <v>0</v>
      </c>
      <c r="N1319" t="n">
        <v>0</v>
      </c>
      <c r="O1319" t="n">
        <v>0</v>
      </c>
      <c r="P1319" t="n">
        <v>0</v>
      </c>
      <c r="Q1319" t="n">
        <v>0</v>
      </c>
      <c r="R1319" s="2" t="inlineStr"/>
    </row>
    <row r="1320" ht="15" customHeight="1">
      <c r="A1320" t="inlineStr">
        <is>
          <t>A 15706-2023</t>
        </is>
      </c>
      <c r="B1320" s="1" t="n">
        <v>45020</v>
      </c>
      <c r="C1320" s="1" t="n">
        <v>45931</v>
      </c>
      <c r="D1320" t="inlineStr">
        <is>
          <t>VÄSTERBOTTENS LÄN</t>
        </is>
      </c>
      <c r="E1320" t="inlineStr">
        <is>
          <t>SKELLEFTEÅ</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48394-2023</t>
        </is>
      </c>
      <c r="B1321" s="1" t="n">
        <v>45201</v>
      </c>
      <c r="C1321" s="1" t="n">
        <v>45931</v>
      </c>
      <c r="D1321" t="inlineStr">
        <is>
          <t>VÄSTERBOTTENS LÄN</t>
        </is>
      </c>
      <c r="E1321" t="inlineStr">
        <is>
          <t>SKELLEFTEÅ</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22735-2023</t>
        </is>
      </c>
      <c r="B1322" s="1" t="n">
        <v>45071</v>
      </c>
      <c r="C1322" s="1" t="n">
        <v>45931</v>
      </c>
      <c r="D1322" t="inlineStr">
        <is>
          <t>VÄSTERBOTTENS LÄN</t>
        </is>
      </c>
      <c r="E1322" t="inlineStr">
        <is>
          <t>SKELLEFTEÅ</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54162-2024</t>
        </is>
      </c>
      <c r="B1323" s="1" t="n">
        <v>45616</v>
      </c>
      <c r="C1323" s="1" t="n">
        <v>45931</v>
      </c>
      <c r="D1323" t="inlineStr">
        <is>
          <t>VÄSTERBOTTENS LÄN</t>
        </is>
      </c>
      <c r="E1323" t="inlineStr">
        <is>
          <t>SKELLEFTEÅ</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61064-2023</t>
        </is>
      </c>
      <c r="B1324" s="1" t="n">
        <v>45259</v>
      </c>
      <c r="C1324" s="1" t="n">
        <v>45931</v>
      </c>
      <c r="D1324" t="inlineStr">
        <is>
          <t>VÄSTERBOTTENS LÄN</t>
        </is>
      </c>
      <c r="E1324" t="inlineStr">
        <is>
          <t>SKELLEFTEÅ</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4387-2025</t>
        </is>
      </c>
      <c r="B1325" s="1" t="n">
        <v>45686.40269675926</v>
      </c>
      <c r="C1325" s="1" t="n">
        <v>45931</v>
      </c>
      <c r="D1325" t="inlineStr">
        <is>
          <t>VÄSTERBOTTENS LÄN</t>
        </is>
      </c>
      <c r="E1325" t="inlineStr">
        <is>
          <t>SKELLEFTEÅ</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53255-2023</t>
        </is>
      </c>
      <c r="B1326" s="1" t="n">
        <v>45229.5280787037</v>
      </c>
      <c r="C1326" s="1" t="n">
        <v>45931</v>
      </c>
      <c r="D1326" t="inlineStr">
        <is>
          <t>VÄSTERBOTTENS LÄN</t>
        </is>
      </c>
      <c r="E1326" t="inlineStr">
        <is>
          <t>SKELLEFTEÅ</t>
        </is>
      </c>
      <c r="F1326" t="inlineStr">
        <is>
          <t>Sveaskog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61467-2022</t>
        </is>
      </c>
      <c r="B1327" s="1" t="n">
        <v>44916</v>
      </c>
      <c r="C1327" s="1" t="n">
        <v>45931</v>
      </c>
      <c r="D1327" t="inlineStr">
        <is>
          <t>VÄSTERBOTTENS LÄN</t>
        </is>
      </c>
      <c r="E1327" t="inlineStr">
        <is>
          <t>SKELLEFTEÅ</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57362-2022</t>
        </is>
      </c>
      <c r="B1328" s="1" t="n">
        <v>44896.43010416667</v>
      </c>
      <c r="C1328" s="1" t="n">
        <v>45931</v>
      </c>
      <c r="D1328" t="inlineStr">
        <is>
          <t>VÄSTERBOTTENS LÄN</t>
        </is>
      </c>
      <c r="E1328" t="inlineStr">
        <is>
          <t>SKELLEFTEÅ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61089-2023</t>
        </is>
      </c>
      <c r="B1329" s="1" t="n">
        <v>45260</v>
      </c>
      <c r="C1329" s="1" t="n">
        <v>45931</v>
      </c>
      <c r="D1329" t="inlineStr">
        <is>
          <t>VÄSTERBOTTENS LÄN</t>
        </is>
      </c>
      <c r="E1329" t="inlineStr">
        <is>
          <t>SKELLEFTEÅ</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33268-2022</t>
        </is>
      </c>
      <c r="B1330" s="1" t="n">
        <v>44788.32501157407</v>
      </c>
      <c r="C1330" s="1" t="n">
        <v>45931</v>
      </c>
      <c r="D1330" t="inlineStr">
        <is>
          <t>VÄSTERBOTTENS LÄN</t>
        </is>
      </c>
      <c r="E1330" t="inlineStr">
        <is>
          <t>SKELLEFTEÅ</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46482-2024</t>
        </is>
      </c>
      <c r="B1331" s="1" t="n">
        <v>45582.57383101852</v>
      </c>
      <c r="C1331" s="1" t="n">
        <v>45931</v>
      </c>
      <c r="D1331" t="inlineStr">
        <is>
          <t>VÄSTERBOTTENS LÄN</t>
        </is>
      </c>
      <c r="E1331" t="inlineStr">
        <is>
          <t>SKELLEFTEÅ</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58119-2024</t>
        </is>
      </c>
      <c r="B1332" s="1" t="n">
        <v>45632.39261574074</v>
      </c>
      <c r="C1332" s="1" t="n">
        <v>45931</v>
      </c>
      <c r="D1332" t="inlineStr">
        <is>
          <t>VÄSTERBOTTENS LÄN</t>
        </is>
      </c>
      <c r="E1332" t="inlineStr">
        <is>
          <t>SKELLEFTEÅ</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57057-2022</t>
        </is>
      </c>
      <c r="B1333" s="1" t="n">
        <v>44895</v>
      </c>
      <c r="C1333" s="1" t="n">
        <v>45931</v>
      </c>
      <c r="D1333" t="inlineStr">
        <is>
          <t>VÄSTERBOTTENS LÄN</t>
        </is>
      </c>
      <c r="E1333" t="inlineStr">
        <is>
          <t>SKELLEFTEÅ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5636-2024</t>
        </is>
      </c>
      <c r="B1334" s="1" t="n">
        <v>45334.61045138889</v>
      </c>
      <c r="C1334" s="1" t="n">
        <v>45931</v>
      </c>
      <c r="D1334" t="inlineStr">
        <is>
          <t>VÄSTERBOTTENS LÄN</t>
        </is>
      </c>
      <c r="E1334" t="inlineStr">
        <is>
          <t>SKELLEFTEÅ</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11771-2023</t>
        </is>
      </c>
      <c r="B1335" s="1" t="n">
        <v>44994.6418287037</v>
      </c>
      <c r="C1335" s="1" t="n">
        <v>45931</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26425-2025</t>
        </is>
      </c>
      <c r="B1336" s="1" t="n">
        <v>45807.38453703704</v>
      </c>
      <c r="C1336" s="1" t="n">
        <v>45931</v>
      </c>
      <c r="D1336" t="inlineStr">
        <is>
          <t>VÄSTERBOTTENS LÄN</t>
        </is>
      </c>
      <c r="E1336" t="inlineStr">
        <is>
          <t>SKELLEFTEÅ</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14394-2025</t>
        </is>
      </c>
      <c r="B1337" s="1" t="n">
        <v>45741</v>
      </c>
      <c r="C1337" s="1" t="n">
        <v>45931</v>
      </c>
      <c r="D1337" t="inlineStr">
        <is>
          <t>VÄSTERBOTTENS LÄN</t>
        </is>
      </c>
      <c r="E1337" t="inlineStr">
        <is>
          <t>SKELLEFTEÅ</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24505-2022</t>
        </is>
      </c>
      <c r="B1338" s="1" t="n">
        <v>44726.92622685185</v>
      </c>
      <c r="C1338" s="1" t="n">
        <v>45931</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27010-2025</t>
        </is>
      </c>
      <c r="B1339" s="1" t="n">
        <v>45811.56021990741</v>
      </c>
      <c r="C1339" s="1" t="n">
        <v>45931</v>
      </c>
      <c r="D1339" t="inlineStr">
        <is>
          <t>VÄSTERBOTTENS LÄN</t>
        </is>
      </c>
      <c r="E1339" t="inlineStr">
        <is>
          <t>SKELLEFTEÅ</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27082-2025</t>
        </is>
      </c>
      <c r="B1340" s="1" t="n">
        <v>45811.65423611111</v>
      </c>
      <c r="C1340" s="1" t="n">
        <v>45931</v>
      </c>
      <c r="D1340" t="inlineStr">
        <is>
          <t>VÄSTERBOTTENS LÄN</t>
        </is>
      </c>
      <c r="E1340" t="inlineStr">
        <is>
          <t>SKELLEFTEÅ</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16415-2025</t>
        </is>
      </c>
      <c r="B1341" s="1" t="n">
        <v>45751.46192129629</v>
      </c>
      <c r="C1341" s="1" t="n">
        <v>45931</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52105-2023</t>
        </is>
      </c>
      <c r="B1342" s="1" t="n">
        <v>45223.92668981481</v>
      </c>
      <c r="C1342" s="1" t="n">
        <v>45931</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27851-2024</t>
        </is>
      </c>
      <c r="B1343" s="1" t="n">
        <v>45475.6459837963</v>
      </c>
      <c r="C1343" s="1" t="n">
        <v>45931</v>
      </c>
      <c r="D1343" t="inlineStr">
        <is>
          <t>VÄSTERBOTTENS LÄN</t>
        </is>
      </c>
      <c r="E1343" t="inlineStr">
        <is>
          <t>SKELLEFTEÅ</t>
        </is>
      </c>
      <c r="F1343" t="inlineStr">
        <is>
          <t>Sveaskog</t>
        </is>
      </c>
      <c r="G1343" t="n">
        <v>13.3</v>
      </c>
      <c r="H1343" t="n">
        <v>0</v>
      </c>
      <c r="I1343" t="n">
        <v>0</v>
      </c>
      <c r="J1343" t="n">
        <v>0</v>
      </c>
      <c r="K1343" t="n">
        <v>0</v>
      </c>
      <c r="L1343" t="n">
        <v>0</v>
      </c>
      <c r="M1343" t="n">
        <v>0</v>
      </c>
      <c r="N1343" t="n">
        <v>0</v>
      </c>
      <c r="O1343" t="n">
        <v>0</v>
      </c>
      <c r="P1343" t="n">
        <v>0</v>
      </c>
      <c r="Q1343" t="n">
        <v>0</v>
      </c>
      <c r="R1343" s="2" t="inlineStr"/>
    </row>
    <row r="1344" ht="15" customHeight="1">
      <c r="A1344" t="inlineStr">
        <is>
          <t>A 10568-2023</t>
        </is>
      </c>
      <c r="B1344" s="1" t="n">
        <v>44981</v>
      </c>
      <c r="C1344" s="1" t="n">
        <v>45931</v>
      </c>
      <c r="D1344" t="inlineStr">
        <is>
          <t>VÄSTERBOTTENS LÄN</t>
        </is>
      </c>
      <c r="E1344" t="inlineStr">
        <is>
          <t>SKELLEFTEÅ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27157-2025</t>
        </is>
      </c>
      <c r="B1345" s="1" t="n">
        <v>45812.33298611111</v>
      </c>
      <c r="C1345" s="1" t="n">
        <v>45931</v>
      </c>
      <c r="D1345" t="inlineStr">
        <is>
          <t>VÄSTERBOTTENS LÄN</t>
        </is>
      </c>
      <c r="E1345" t="inlineStr">
        <is>
          <t>SKELLEFTEÅ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25182-2022</t>
        </is>
      </c>
      <c r="B1346" s="1" t="n">
        <v>44729.60717592593</v>
      </c>
      <c r="C1346" s="1" t="n">
        <v>45931</v>
      </c>
      <c r="D1346" t="inlineStr">
        <is>
          <t>VÄSTERBOTTENS LÄN</t>
        </is>
      </c>
      <c r="E1346" t="inlineStr">
        <is>
          <t>SKELLEFTEÅ</t>
        </is>
      </c>
      <c r="F1346" t="inlineStr">
        <is>
          <t>Holmen skog AB</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35032-2023</t>
        </is>
      </c>
      <c r="B1347" s="1" t="n">
        <v>45145</v>
      </c>
      <c r="C1347" s="1" t="n">
        <v>45931</v>
      </c>
      <c r="D1347" t="inlineStr">
        <is>
          <t>VÄSTERBOTTENS LÄN</t>
        </is>
      </c>
      <c r="E1347" t="inlineStr">
        <is>
          <t>SKELLEFTEÅ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64258-2023</t>
        </is>
      </c>
      <c r="B1348" s="1" t="n">
        <v>45279</v>
      </c>
      <c r="C1348" s="1" t="n">
        <v>45931</v>
      </c>
      <c r="D1348" t="inlineStr">
        <is>
          <t>VÄSTERBOTTENS LÄN</t>
        </is>
      </c>
      <c r="E1348" t="inlineStr">
        <is>
          <t>SKELLEFTEÅ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27331-2025</t>
        </is>
      </c>
      <c r="B1349" s="1" t="n">
        <v>45812</v>
      </c>
      <c r="C1349" s="1" t="n">
        <v>45931</v>
      </c>
      <c r="D1349" t="inlineStr">
        <is>
          <t>VÄSTERBOTTENS LÄN</t>
        </is>
      </c>
      <c r="E1349" t="inlineStr">
        <is>
          <t>SKELLEFTEÅ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59242-2023</t>
        </is>
      </c>
      <c r="B1350" s="1" t="n">
        <v>45252</v>
      </c>
      <c r="C1350" s="1" t="n">
        <v>45931</v>
      </c>
      <c r="D1350" t="inlineStr">
        <is>
          <t>VÄSTERBOTTENS LÄN</t>
        </is>
      </c>
      <c r="E1350" t="inlineStr">
        <is>
          <t>SKELLEFTEÅ</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9925-2022</t>
        </is>
      </c>
      <c r="B1351" s="1" t="n">
        <v>44620.92208333333</v>
      </c>
      <c r="C1351" s="1" t="n">
        <v>45931</v>
      </c>
      <c r="D1351" t="inlineStr">
        <is>
          <t>VÄSTERBOTTENS LÄN</t>
        </is>
      </c>
      <c r="E1351" t="inlineStr">
        <is>
          <t>SKELLEFTEÅ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6448-2024</t>
        </is>
      </c>
      <c r="B1352" s="1" t="n">
        <v>45338.67314814815</v>
      </c>
      <c r="C1352" s="1" t="n">
        <v>45931</v>
      </c>
      <c r="D1352" t="inlineStr">
        <is>
          <t>VÄSTERBOTTENS LÄN</t>
        </is>
      </c>
      <c r="E1352" t="inlineStr">
        <is>
          <t>SKELLEFTEÅ</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34615-2024</t>
        </is>
      </c>
      <c r="B1353" s="1" t="n">
        <v>45526.41416666667</v>
      </c>
      <c r="C1353" s="1" t="n">
        <v>45931</v>
      </c>
      <c r="D1353" t="inlineStr">
        <is>
          <t>VÄSTERBOTTENS LÄN</t>
        </is>
      </c>
      <c r="E1353" t="inlineStr">
        <is>
          <t>SKELLEFTEÅ</t>
        </is>
      </c>
      <c r="F1353" t="inlineStr">
        <is>
          <t>Holmen skog AB</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26909-2025</t>
        </is>
      </c>
      <c r="B1354" s="1" t="n">
        <v>45811.3458912037</v>
      </c>
      <c r="C1354" s="1" t="n">
        <v>45931</v>
      </c>
      <c r="D1354" t="inlineStr">
        <is>
          <t>VÄSTERBOTTENS LÄN</t>
        </is>
      </c>
      <c r="E1354" t="inlineStr">
        <is>
          <t>SKELLEFTEÅ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16409-2025</t>
        </is>
      </c>
      <c r="B1355" s="1" t="n">
        <v>45751.45391203704</v>
      </c>
      <c r="C1355" s="1" t="n">
        <v>45931</v>
      </c>
      <c r="D1355" t="inlineStr">
        <is>
          <t>VÄSTERBOTTENS LÄN</t>
        </is>
      </c>
      <c r="E1355" t="inlineStr">
        <is>
          <t>SKELLEFTEÅ</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21395-2022</t>
        </is>
      </c>
      <c r="B1356" s="1" t="n">
        <v>44705.92563657407</v>
      </c>
      <c r="C1356" s="1" t="n">
        <v>45931</v>
      </c>
      <c r="D1356" t="inlineStr">
        <is>
          <t>VÄSTERBOTTENS LÄN</t>
        </is>
      </c>
      <c r="E1356" t="inlineStr">
        <is>
          <t>SKELLEFTEÅ</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27144-2025</t>
        </is>
      </c>
      <c r="B1357" s="1" t="n">
        <v>45812.28108796296</v>
      </c>
      <c r="C1357" s="1" t="n">
        <v>45931</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27091-2025</t>
        </is>
      </c>
      <c r="B1358" s="1" t="n">
        <v>45811.66915509259</v>
      </c>
      <c r="C1358" s="1" t="n">
        <v>45931</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30953-2023</t>
        </is>
      </c>
      <c r="B1359" s="1" t="n">
        <v>45113.46905092592</v>
      </c>
      <c r="C1359" s="1" t="n">
        <v>45931</v>
      </c>
      <c r="D1359" t="inlineStr">
        <is>
          <t>VÄSTERBOTTENS LÄN</t>
        </is>
      </c>
      <c r="E1359" t="inlineStr">
        <is>
          <t>SKELLEFTEÅ</t>
        </is>
      </c>
      <c r="F1359" t="inlineStr">
        <is>
          <t>Holmen skog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27400-2025</t>
        </is>
      </c>
      <c r="B1360" s="1" t="n">
        <v>45812.69835648148</v>
      </c>
      <c r="C1360" s="1" t="n">
        <v>45931</v>
      </c>
      <c r="D1360" t="inlineStr">
        <is>
          <t>VÄSTERBOTTENS LÄN</t>
        </is>
      </c>
      <c r="E1360" t="inlineStr">
        <is>
          <t>SKELLEFTEÅ</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49573-2023</t>
        </is>
      </c>
      <c r="B1361" s="1" t="n">
        <v>45205</v>
      </c>
      <c r="C1361" s="1" t="n">
        <v>45931</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29152-2023</t>
        </is>
      </c>
      <c r="B1362" s="1" t="n">
        <v>45105</v>
      </c>
      <c r="C1362" s="1" t="n">
        <v>45931</v>
      </c>
      <c r="D1362" t="inlineStr">
        <is>
          <t>VÄSTERBOTTENS LÄN</t>
        </is>
      </c>
      <c r="E1362" t="inlineStr">
        <is>
          <t>SKELLEFTEÅ</t>
        </is>
      </c>
      <c r="F1362" t="inlineStr">
        <is>
          <t>Holmen skog AB</t>
        </is>
      </c>
      <c r="G1362" t="n">
        <v>18.5</v>
      </c>
      <c r="H1362" t="n">
        <v>0</v>
      </c>
      <c r="I1362" t="n">
        <v>0</v>
      </c>
      <c r="J1362" t="n">
        <v>0</v>
      </c>
      <c r="K1362" t="n">
        <v>0</v>
      </c>
      <c r="L1362" t="n">
        <v>0</v>
      </c>
      <c r="M1362" t="n">
        <v>0</v>
      </c>
      <c r="N1362" t="n">
        <v>0</v>
      </c>
      <c r="O1362" t="n">
        <v>0</v>
      </c>
      <c r="P1362" t="n">
        <v>0</v>
      </c>
      <c r="Q1362" t="n">
        <v>0</v>
      </c>
      <c r="R1362" s="2" t="inlineStr"/>
    </row>
    <row r="1363" ht="15" customHeight="1">
      <c r="A1363" t="inlineStr">
        <is>
          <t>A 121-2023</t>
        </is>
      </c>
      <c r="B1363" s="1" t="n">
        <v>44918</v>
      </c>
      <c r="C1363" s="1" t="n">
        <v>45931</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48722-2022</t>
        </is>
      </c>
      <c r="B1364" s="1" t="n">
        <v>44855</v>
      </c>
      <c r="C1364" s="1" t="n">
        <v>45931</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9192-2021</t>
        </is>
      </c>
      <c r="B1365" s="1" t="n">
        <v>44249</v>
      </c>
      <c r="C1365" s="1" t="n">
        <v>45931</v>
      </c>
      <c r="D1365" t="inlineStr">
        <is>
          <t>VÄSTERBOTTENS LÄN</t>
        </is>
      </c>
      <c r="E1365" t="inlineStr">
        <is>
          <t>SKELLEFTEÅ</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58752-2023</t>
        </is>
      </c>
      <c r="B1366" s="1" t="n">
        <v>45251.92969907408</v>
      </c>
      <c r="C1366" s="1" t="n">
        <v>45931</v>
      </c>
      <c r="D1366" t="inlineStr">
        <is>
          <t>VÄSTERBOTTENS LÄN</t>
        </is>
      </c>
      <c r="E1366" t="inlineStr">
        <is>
          <t>SKELLEFTEÅ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58755-2023</t>
        </is>
      </c>
      <c r="B1367" s="1" t="n">
        <v>45251</v>
      </c>
      <c r="C1367" s="1" t="n">
        <v>45931</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27219-2025</t>
        </is>
      </c>
      <c r="B1368" s="1" t="n">
        <v>45812</v>
      </c>
      <c r="C1368" s="1" t="n">
        <v>45931</v>
      </c>
      <c r="D1368" t="inlineStr">
        <is>
          <t>VÄSTERBOTTENS LÄN</t>
        </is>
      </c>
      <c r="E1368" t="inlineStr">
        <is>
          <t>SKELLEFTEÅ</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55613-2023</t>
        </is>
      </c>
      <c r="B1369" s="1" t="n">
        <v>45238.74128472222</v>
      </c>
      <c r="C1369" s="1" t="n">
        <v>45931</v>
      </c>
      <c r="D1369" t="inlineStr">
        <is>
          <t>VÄSTERBOTTENS LÄN</t>
        </is>
      </c>
      <c r="E1369" t="inlineStr">
        <is>
          <t>SKELLEFTEÅ</t>
        </is>
      </c>
      <c r="F1369" t="inlineStr">
        <is>
          <t>Sveaskog</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6286-2025</t>
        </is>
      </c>
      <c r="B1370" s="1" t="n">
        <v>45698</v>
      </c>
      <c r="C1370" s="1" t="n">
        <v>45931</v>
      </c>
      <c r="D1370" t="inlineStr">
        <is>
          <t>VÄSTERBOTTENS LÄN</t>
        </is>
      </c>
      <c r="E1370" t="inlineStr">
        <is>
          <t>SKELLEFTEÅ</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20216-2025</t>
        </is>
      </c>
      <c r="B1371" s="1" t="n">
        <v>45772</v>
      </c>
      <c r="C1371" s="1" t="n">
        <v>45931</v>
      </c>
      <c r="D1371" t="inlineStr">
        <is>
          <t>VÄSTERBOTTENS LÄN</t>
        </is>
      </c>
      <c r="E1371" t="inlineStr">
        <is>
          <t>SKELLEFTEÅ</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20220-2025</t>
        </is>
      </c>
      <c r="B1372" s="1" t="n">
        <v>45772</v>
      </c>
      <c r="C1372" s="1" t="n">
        <v>45931</v>
      </c>
      <c r="D1372" t="inlineStr">
        <is>
          <t>VÄSTERBOTTENS LÄN</t>
        </is>
      </c>
      <c r="E1372" t="inlineStr">
        <is>
          <t>SKELLEFTEÅ</t>
        </is>
      </c>
      <c r="G1372" t="n">
        <v>18.6</v>
      </c>
      <c r="H1372" t="n">
        <v>0</v>
      </c>
      <c r="I1372" t="n">
        <v>0</v>
      </c>
      <c r="J1372" t="n">
        <v>0</v>
      </c>
      <c r="K1372" t="n">
        <v>0</v>
      </c>
      <c r="L1372" t="n">
        <v>0</v>
      </c>
      <c r="M1372" t="n">
        <v>0</v>
      </c>
      <c r="N1372" t="n">
        <v>0</v>
      </c>
      <c r="O1372" t="n">
        <v>0</v>
      </c>
      <c r="P1372" t="n">
        <v>0</v>
      </c>
      <c r="Q1372" t="n">
        <v>0</v>
      </c>
      <c r="R1372" s="2" t="inlineStr"/>
    </row>
    <row r="1373" ht="15" customHeight="1">
      <c r="A1373" t="inlineStr">
        <is>
          <t>A 27578-2025</t>
        </is>
      </c>
      <c r="B1373" s="1" t="n">
        <v>45813</v>
      </c>
      <c r="C1373" s="1" t="n">
        <v>45931</v>
      </c>
      <c r="D1373" t="inlineStr">
        <is>
          <t>VÄSTERBOTTENS LÄN</t>
        </is>
      </c>
      <c r="E1373" t="inlineStr">
        <is>
          <t>SKELLEFTEÅ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27579-2025</t>
        </is>
      </c>
      <c r="B1374" s="1" t="n">
        <v>45813</v>
      </c>
      <c r="C1374" s="1" t="n">
        <v>45931</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27727-2025</t>
        </is>
      </c>
      <c r="B1375" s="1" t="n">
        <v>45814.5343287037</v>
      </c>
      <c r="C1375" s="1" t="n">
        <v>45931</v>
      </c>
      <c r="D1375" t="inlineStr">
        <is>
          <t>VÄSTERBOTTENS LÄN</t>
        </is>
      </c>
      <c r="E1375" t="inlineStr">
        <is>
          <t>SKELLEFTEÅ</t>
        </is>
      </c>
      <c r="F1375" t="inlineStr">
        <is>
          <t>Sveaskog</t>
        </is>
      </c>
      <c r="G1375" t="n">
        <v>12.5</v>
      </c>
      <c r="H1375" t="n">
        <v>0</v>
      </c>
      <c r="I1375" t="n">
        <v>0</v>
      </c>
      <c r="J1375" t="n">
        <v>0</v>
      </c>
      <c r="K1375" t="n">
        <v>0</v>
      </c>
      <c r="L1375" t="n">
        <v>0</v>
      </c>
      <c r="M1375" t="n">
        <v>0</v>
      </c>
      <c r="N1375" t="n">
        <v>0</v>
      </c>
      <c r="O1375" t="n">
        <v>0</v>
      </c>
      <c r="P1375" t="n">
        <v>0</v>
      </c>
      <c r="Q1375" t="n">
        <v>0</v>
      </c>
      <c r="R1375" s="2" t="inlineStr"/>
    </row>
    <row r="1376" ht="15" customHeight="1">
      <c r="A1376" t="inlineStr">
        <is>
          <t>A 27641-2025</t>
        </is>
      </c>
      <c r="B1376" s="1" t="n">
        <v>45813.58498842592</v>
      </c>
      <c r="C1376" s="1" t="n">
        <v>45931</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48093-2024</t>
        </is>
      </c>
      <c r="B1377" s="1" t="n">
        <v>45589.60805555555</v>
      </c>
      <c r="C1377" s="1" t="n">
        <v>45931</v>
      </c>
      <c r="D1377" t="inlineStr">
        <is>
          <t>VÄSTERBOTTENS LÄN</t>
        </is>
      </c>
      <c r="E1377" t="inlineStr">
        <is>
          <t>SKELLEFTEÅ</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22351-2023</t>
        </is>
      </c>
      <c r="B1378" s="1" t="n">
        <v>45068</v>
      </c>
      <c r="C1378" s="1" t="n">
        <v>45931</v>
      </c>
      <c r="D1378" t="inlineStr">
        <is>
          <t>VÄSTERBOTTENS LÄN</t>
        </is>
      </c>
      <c r="E1378" t="inlineStr">
        <is>
          <t>SKELLEFTEÅ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27442-2025</t>
        </is>
      </c>
      <c r="B1379" s="1" t="n">
        <v>45813.31957175926</v>
      </c>
      <c r="C1379" s="1" t="n">
        <v>45931</v>
      </c>
      <c r="D1379" t="inlineStr">
        <is>
          <t>VÄSTERBOTTENS LÄN</t>
        </is>
      </c>
      <c r="E1379" t="inlineStr">
        <is>
          <t>SKELLEFTEÅ</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12928-2021</t>
        </is>
      </c>
      <c r="B1380" s="1" t="n">
        <v>44270</v>
      </c>
      <c r="C1380" s="1" t="n">
        <v>45931</v>
      </c>
      <c r="D1380" t="inlineStr">
        <is>
          <t>VÄSTERBOTTENS LÄN</t>
        </is>
      </c>
      <c r="E1380" t="inlineStr">
        <is>
          <t>SKELLEFTEÅ</t>
        </is>
      </c>
      <c r="G1380" t="n">
        <v>17.8</v>
      </c>
      <c r="H1380" t="n">
        <v>0</v>
      </c>
      <c r="I1380" t="n">
        <v>0</v>
      </c>
      <c r="J1380" t="n">
        <v>0</v>
      </c>
      <c r="K1380" t="n">
        <v>0</v>
      </c>
      <c r="L1380" t="n">
        <v>0</v>
      </c>
      <c r="M1380" t="n">
        <v>0</v>
      </c>
      <c r="N1380" t="n">
        <v>0</v>
      </c>
      <c r="O1380" t="n">
        <v>0</v>
      </c>
      <c r="P1380" t="n">
        <v>0</v>
      </c>
      <c r="Q1380" t="n">
        <v>0</v>
      </c>
      <c r="R1380" s="2" t="inlineStr"/>
    </row>
    <row r="1381" ht="15" customHeight="1">
      <c r="A1381" t="inlineStr">
        <is>
          <t>A 27715-2025</t>
        </is>
      </c>
      <c r="B1381" s="1" t="n">
        <v>45813.92237268519</v>
      </c>
      <c r="C1381" s="1" t="n">
        <v>45931</v>
      </c>
      <c r="D1381" t="inlineStr">
        <is>
          <t>VÄSTERBOTTENS LÄN</t>
        </is>
      </c>
      <c r="E1381" t="inlineStr">
        <is>
          <t>SKELLEFTEÅ</t>
        </is>
      </c>
      <c r="F1381" t="inlineStr">
        <is>
          <t>Sveaskog</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3951-2021</t>
        </is>
      </c>
      <c r="B1382" s="1" t="n">
        <v>44217</v>
      </c>
      <c r="C1382" s="1" t="n">
        <v>45931</v>
      </c>
      <c r="D1382" t="inlineStr">
        <is>
          <t>VÄSTERBOTTENS LÄN</t>
        </is>
      </c>
      <c r="E1382" t="inlineStr">
        <is>
          <t>SKELLEFTEÅ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27433-2025</t>
        </is>
      </c>
      <c r="B1383" s="1" t="n">
        <v>45813.31068287037</v>
      </c>
      <c r="C1383" s="1" t="n">
        <v>45931</v>
      </c>
      <c r="D1383" t="inlineStr">
        <is>
          <t>VÄSTERBOTTENS LÄN</t>
        </is>
      </c>
      <c r="E1383" t="inlineStr">
        <is>
          <t>SKELLEFTEÅ</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2393-2023</t>
        </is>
      </c>
      <c r="B1384" s="1" t="n">
        <v>44942.9234375</v>
      </c>
      <c r="C1384" s="1" t="n">
        <v>45931</v>
      </c>
      <c r="D1384" t="inlineStr">
        <is>
          <t>VÄSTERBOTTENS LÄN</t>
        </is>
      </c>
      <c r="E1384" t="inlineStr">
        <is>
          <t>SKELLEFTEÅ</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27477-2025</t>
        </is>
      </c>
      <c r="B1385" s="1" t="n">
        <v>45813.37619212963</v>
      </c>
      <c r="C1385" s="1" t="n">
        <v>45931</v>
      </c>
      <c r="D1385" t="inlineStr">
        <is>
          <t>VÄSTERBOTTENS LÄN</t>
        </is>
      </c>
      <c r="E1385" t="inlineStr">
        <is>
          <t>SKELLEFTEÅ</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35168-2024</t>
        </is>
      </c>
      <c r="B1386" s="1" t="n">
        <v>45530.40608796296</v>
      </c>
      <c r="C1386" s="1" t="n">
        <v>45931</v>
      </c>
      <c r="D1386" t="inlineStr">
        <is>
          <t>VÄSTERBOTTENS LÄN</t>
        </is>
      </c>
      <c r="E1386" t="inlineStr">
        <is>
          <t>SKELLEFTEÅ</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4447-2023</t>
        </is>
      </c>
      <c r="B1387" s="1" t="n">
        <v>44951</v>
      </c>
      <c r="C1387" s="1" t="n">
        <v>45931</v>
      </c>
      <c r="D1387" t="inlineStr">
        <is>
          <t>VÄSTERBOTTENS LÄN</t>
        </is>
      </c>
      <c r="E1387" t="inlineStr">
        <is>
          <t>SKELLEFTEÅ</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4458-2023</t>
        </is>
      </c>
      <c r="B1388" s="1" t="n">
        <v>44952</v>
      </c>
      <c r="C1388" s="1" t="n">
        <v>45931</v>
      </c>
      <c r="D1388" t="inlineStr">
        <is>
          <t>VÄSTERBOTTENS LÄN</t>
        </is>
      </c>
      <c r="E1388" t="inlineStr">
        <is>
          <t>SKELLEFTEÅ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27437-2025</t>
        </is>
      </c>
      <c r="B1389" s="1" t="n">
        <v>45813.31398148148</v>
      </c>
      <c r="C1389" s="1" t="n">
        <v>45931</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25404-2022</t>
        </is>
      </c>
      <c r="B1390" s="1" t="n">
        <v>44732</v>
      </c>
      <c r="C1390" s="1" t="n">
        <v>45931</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964-2025</t>
        </is>
      </c>
      <c r="B1391" s="1" t="n">
        <v>45666.38408564815</v>
      </c>
      <c r="C1391" s="1" t="n">
        <v>45931</v>
      </c>
      <c r="D1391" t="inlineStr">
        <is>
          <t>VÄSTERBOTTENS LÄN</t>
        </is>
      </c>
      <c r="E1391" t="inlineStr">
        <is>
          <t>SKELLEFTEÅ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5143-2021</t>
        </is>
      </c>
      <c r="B1392" s="1" t="n">
        <v>44228</v>
      </c>
      <c r="C1392" s="1" t="n">
        <v>45931</v>
      </c>
      <c r="D1392" t="inlineStr">
        <is>
          <t>VÄSTERBOTTENS LÄN</t>
        </is>
      </c>
      <c r="E1392" t="inlineStr">
        <is>
          <t>SKELLEFTEÅ</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2043-2024</t>
        </is>
      </c>
      <c r="B1393" s="1" t="n">
        <v>45308</v>
      </c>
      <c r="C1393" s="1" t="n">
        <v>45931</v>
      </c>
      <c r="D1393" t="inlineStr">
        <is>
          <t>VÄSTERBOTTENS LÄN</t>
        </is>
      </c>
      <c r="E1393" t="inlineStr">
        <is>
          <t>SKELLEFTEÅ</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32677-2022</t>
        </is>
      </c>
      <c r="B1394" s="1" t="n">
        <v>44783.55438657408</v>
      </c>
      <c r="C1394" s="1" t="n">
        <v>45931</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28221-2025</t>
        </is>
      </c>
      <c r="B1395" s="1" t="n">
        <v>45818</v>
      </c>
      <c r="C1395" s="1" t="n">
        <v>45931</v>
      </c>
      <c r="D1395" t="inlineStr">
        <is>
          <t>VÄSTERBOTTENS LÄN</t>
        </is>
      </c>
      <c r="E1395" t="inlineStr">
        <is>
          <t>SKELLEFTEÅ</t>
        </is>
      </c>
      <c r="F1395" t="inlineStr">
        <is>
          <t>Holmen skog AB</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32747-2023</t>
        </is>
      </c>
      <c r="B1396" s="1" t="n">
        <v>45122</v>
      </c>
      <c r="C1396" s="1" t="n">
        <v>45931</v>
      </c>
      <c r="D1396" t="inlineStr">
        <is>
          <t>VÄSTERBOTTENS LÄN</t>
        </is>
      </c>
      <c r="E1396" t="inlineStr">
        <is>
          <t>SKELLEFTEÅ</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30212-2023</t>
        </is>
      </c>
      <c r="B1397" s="1" t="n">
        <v>45110</v>
      </c>
      <c r="C1397" s="1" t="n">
        <v>45931</v>
      </c>
      <c r="D1397" t="inlineStr">
        <is>
          <t>VÄSTERBOTTENS LÄN</t>
        </is>
      </c>
      <c r="E1397" t="inlineStr">
        <is>
          <t>SKELLEFTEÅ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26545-2022</t>
        </is>
      </c>
      <c r="B1398" s="1" t="n">
        <v>44739.46318287037</v>
      </c>
      <c r="C1398" s="1" t="n">
        <v>45931</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28114-2025</t>
        </is>
      </c>
      <c r="B1399" s="1" t="n">
        <v>45817.96760416667</v>
      </c>
      <c r="C1399" s="1" t="n">
        <v>45931</v>
      </c>
      <c r="D1399" t="inlineStr">
        <is>
          <t>VÄSTERBOTTENS LÄN</t>
        </is>
      </c>
      <c r="E1399" t="inlineStr">
        <is>
          <t>SKELLEFTEÅ</t>
        </is>
      </c>
      <c r="F1399" t="inlineStr">
        <is>
          <t>Sveaskog</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27869-2025</t>
        </is>
      </c>
      <c r="B1400" s="1" t="n">
        <v>45817.42847222222</v>
      </c>
      <c r="C1400" s="1" t="n">
        <v>45931</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27875-2025</t>
        </is>
      </c>
      <c r="B1401" s="1" t="n">
        <v>45817.43524305556</v>
      </c>
      <c r="C1401" s="1" t="n">
        <v>45931</v>
      </c>
      <c r="D1401" t="inlineStr">
        <is>
          <t>VÄSTERBOTTENS LÄN</t>
        </is>
      </c>
      <c r="E1401" t="inlineStr">
        <is>
          <t>SKELLEFTEÅ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3944-2022</t>
        </is>
      </c>
      <c r="B1402" s="1" t="n">
        <v>44587</v>
      </c>
      <c r="C1402" s="1" t="n">
        <v>45931</v>
      </c>
      <c r="D1402" t="inlineStr">
        <is>
          <t>VÄSTERBOTTENS LÄN</t>
        </is>
      </c>
      <c r="E1402" t="inlineStr">
        <is>
          <t>SKELLEFTEÅ</t>
        </is>
      </c>
      <c r="F1402" t="inlineStr">
        <is>
          <t>Kommuner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27876-2025</t>
        </is>
      </c>
      <c r="B1403" s="1" t="n">
        <v>45817.43787037037</v>
      </c>
      <c r="C1403" s="1" t="n">
        <v>45931</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28311-2025</t>
        </is>
      </c>
      <c r="B1404" s="1" t="n">
        <v>45818.62216435185</v>
      </c>
      <c r="C1404" s="1" t="n">
        <v>45931</v>
      </c>
      <c r="D1404" t="inlineStr">
        <is>
          <t>VÄSTERBOTTENS LÄN</t>
        </is>
      </c>
      <c r="E1404" t="inlineStr">
        <is>
          <t>SKELLEFTEÅ</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28329-2025</t>
        </is>
      </c>
      <c r="B1405" s="1" t="n">
        <v>45818.65835648148</v>
      </c>
      <c r="C1405" s="1" t="n">
        <v>45931</v>
      </c>
      <c r="D1405" t="inlineStr">
        <is>
          <t>VÄSTERBOTTENS LÄN</t>
        </is>
      </c>
      <c r="E1405" t="inlineStr">
        <is>
          <t>SKELLEFTEÅ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28337-2025</t>
        </is>
      </c>
      <c r="B1406" s="1" t="n">
        <v>45817</v>
      </c>
      <c r="C1406" s="1" t="n">
        <v>45931</v>
      </c>
      <c r="D1406" t="inlineStr">
        <is>
          <t>VÄSTERBOTTENS LÄN</t>
        </is>
      </c>
      <c r="E1406" t="inlineStr">
        <is>
          <t>SKELLEFTEÅ</t>
        </is>
      </c>
      <c r="G1406" t="n">
        <v>16.4</v>
      </c>
      <c r="H1406" t="n">
        <v>0</v>
      </c>
      <c r="I1406" t="n">
        <v>0</v>
      </c>
      <c r="J1406" t="n">
        <v>0</v>
      </c>
      <c r="K1406" t="n">
        <v>0</v>
      </c>
      <c r="L1406" t="n">
        <v>0</v>
      </c>
      <c r="M1406" t="n">
        <v>0</v>
      </c>
      <c r="N1406" t="n">
        <v>0</v>
      </c>
      <c r="O1406" t="n">
        <v>0</v>
      </c>
      <c r="P1406" t="n">
        <v>0</v>
      </c>
      <c r="Q1406" t="n">
        <v>0</v>
      </c>
      <c r="R1406" s="2" t="inlineStr"/>
    </row>
    <row r="1407" ht="15" customHeight="1">
      <c r="A1407" t="inlineStr">
        <is>
          <t>A 45384-2021</t>
        </is>
      </c>
      <c r="B1407" s="1" t="n">
        <v>44440.3184375</v>
      </c>
      <c r="C1407" s="1" t="n">
        <v>45931</v>
      </c>
      <c r="D1407" t="inlineStr">
        <is>
          <t>VÄSTERBOTTENS LÄN</t>
        </is>
      </c>
      <c r="E1407" t="inlineStr">
        <is>
          <t>SKELLEFTEÅ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26999-2022</t>
        </is>
      </c>
      <c r="B1408" s="1" t="n">
        <v>44740</v>
      </c>
      <c r="C1408" s="1" t="n">
        <v>45931</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17173-2025</t>
        </is>
      </c>
      <c r="B1409" s="1" t="n">
        <v>45756.37224537037</v>
      </c>
      <c r="C1409" s="1" t="n">
        <v>45931</v>
      </c>
      <c r="D1409" t="inlineStr">
        <is>
          <t>VÄSTERBOTTENS LÄN</t>
        </is>
      </c>
      <c r="E1409" t="inlineStr">
        <is>
          <t>SKELLEFTEÅ</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27877-2025</t>
        </is>
      </c>
      <c r="B1410" s="1" t="n">
        <v>45817.44212962963</v>
      </c>
      <c r="C1410" s="1" t="n">
        <v>45931</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28316-2025</t>
        </is>
      </c>
      <c r="B1411" s="1" t="n">
        <v>45818.62799768519</v>
      </c>
      <c r="C1411" s="1" t="n">
        <v>45931</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28327-2025</t>
        </is>
      </c>
      <c r="B1412" s="1" t="n">
        <v>45817</v>
      </c>
      <c r="C1412" s="1" t="n">
        <v>45931</v>
      </c>
      <c r="D1412" t="inlineStr">
        <is>
          <t>VÄSTERBOTTENS LÄN</t>
        </is>
      </c>
      <c r="E1412" t="inlineStr">
        <is>
          <t>SKELLEFTEÅ</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20245-2025</t>
        </is>
      </c>
      <c r="B1413" s="1" t="n">
        <v>45772</v>
      </c>
      <c r="C1413" s="1" t="n">
        <v>45931</v>
      </c>
      <c r="D1413" t="inlineStr">
        <is>
          <t>VÄSTERBOTTENS LÄN</t>
        </is>
      </c>
      <c r="E1413" t="inlineStr">
        <is>
          <t>SKELLEFTEÅ</t>
        </is>
      </c>
      <c r="G1413" t="n">
        <v>14.1</v>
      </c>
      <c r="H1413" t="n">
        <v>0</v>
      </c>
      <c r="I1413" t="n">
        <v>0</v>
      </c>
      <c r="J1413" t="n">
        <v>0</v>
      </c>
      <c r="K1413" t="n">
        <v>0</v>
      </c>
      <c r="L1413" t="n">
        <v>0</v>
      </c>
      <c r="M1413" t="n">
        <v>0</v>
      </c>
      <c r="N1413" t="n">
        <v>0</v>
      </c>
      <c r="O1413" t="n">
        <v>0</v>
      </c>
      <c r="P1413" t="n">
        <v>0</v>
      </c>
      <c r="Q1413" t="n">
        <v>0</v>
      </c>
      <c r="R1413" s="2" t="inlineStr"/>
    </row>
    <row r="1414" ht="15" customHeight="1">
      <c r="A1414" t="inlineStr">
        <is>
          <t>A 29085-2022</t>
        </is>
      </c>
      <c r="B1414" s="1" t="n">
        <v>44749</v>
      </c>
      <c r="C1414" s="1" t="n">
        <v>45931</v>
      </c>
      <c r="D1414" t="inlineStr">
        <is>
          <t>VÄSTERBOTTENS LÄN</t>
        </is>
      </c>
      <c r="E1414" t="inlineStr">
        <is>
          <t>SKELLEFTEÅ</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28244-2021</t>
        </is>
      </c>
      <c r="B1415" s="1" t="n">
        <v>44355</v>
      </c>
      <c r="C1415" s="1" t="n">
        <v>45931</v>
      </c>
      <c r="D1415" t="inlineStr">
        <is>
          <t>VÄSTERBOTTENS LÄN</t>
        </is>
      </c>
      <c r="E1415" t="inlineStr">
        <is>
          <t>SKELLEFTEÅ</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16602-2025</t>
        </is>
      </c>
      <c r="B1416" s="1" t="n">
        <v>45753.53373842593</v>
      </c>
      <c r="C1416" s="1" t="n">
        <v>45931</v>
      </c>
      <c r="D1416" t="inlineStr">
        <is>
          <t>VÄSTERBOTTENS LÄN</t>
        </is>
      </c>
      <c r="E1416" t="inlineStr">
        <is>
          <t>SKELLEFTEÅ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28220-2025</t>
        </is>
      </c>
      <c r="B1417" s="1" t="n">
        <v>45818.47373842593</v>
      </c>
      <c r="C1417" s="1" t="n">
        <v>45931</v>
      </c>
      <c r="D1417" t="inlineStr">
        <is>
          <t>VÄSTERBOTTENS LÄN</t>
        </is>
      </c>
      <c r="E1417" t="inlineStr">
        <is>
          <t>SKELLEFTEÅ</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54469-2023</t>
        </is>
      </c>
      <c r="B1418" s="1" t="n">
        <v>45226</v>
      </c>
      <c r="C1418" s="1" t="n">
        <v>45931</v>
      </c>
      <c r="D1418" t="inlineStr">
        <is>
          <t>VÄSTERBOTTENS LÄN</t>
        </is>
      </c>
      <c r="E1418" t="inlineStr">
        <is>
          <t>SKELLEFTEÅ</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43515-2022</t>
        </is>
      </c>
      <c r="B1419" s="1" t="n">
        <v>44837.3690162037</v>
      </c>
      <c r="C1419" s="1" t="n">
        <v>45931</v>
      </c>
      <c r="D1419" t="inlineStr">
        <is>
          <t>VÄSTERBOTTENS LÄN</t>
        </is>
      </c>
      <c r="E1419" t="inlineStr">
        <is>
          <t>SKELLEFTEÅ</t>
        </is>
      </c>
      <c r="F1419" t="inlineStr">
        <is>
          <t>Holmen skog AB</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27864-2025</t>
        </is>
      </c>
      <c r="B1420" s="1" t="n">
        <v>45817.42127314815</v>
      </c>
      <c r="C1420" s="1" t="n">
        <v>45931</v>
      </c>
      <c r="D1420" t="inlineStr">
        <is>
          <t>VÄSTERBOTTENS LÄN</t>
        </is>
      </c>
      <c r="E1420" t="inlineStr">
        <is>
          <t>SKELLEFTEÅ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64920-2023</t>
        </is>
      </c>
      <c r="B1421" s="1" t="n">
        <v>45282.68806712963</v>
      </c>
      <c r="C1421" s="1" t="n">
        <v>45931</v>
      </c>
      <c r="D1421" t="inlineStr">
        <is>
          <t>VÄSTERBOTTENS LÄN</t>
        </is>
      </c>
      <c r="E1421" t="inlineStr">
        <is>
          <t>SKELLEFTEÅ</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21883-2022</t>
        </is>
      </c>
      <c r="B1422" s="1" t="n">
        <v>44711</v>
      </c>
      <c r="C1422" s="1" t="n">
        <v>45931</v>
      </c>
      <c r="D1422" t="inlineStr">
        <is>
          <t>VÄSTERBOTTENS LÄN</t>
        </is>
      </c>
      <c r="E1422" t="inlineStr">
        <is>
          <t>SKELLEFTEÅ</t>
        </is>
      </c>
      <c r="F1422" t="inlineStr">
        <is>
          <t>Holmen skog AB</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28577-2025</t>
        </is>
      </c>
      <c r="B1423" s="1" t="n">
        <v>45819</v>
      </c>
      <c r="C1423" s="1" t="n">
        <v>45931</v>
      </c>
      <c r="D1423" t="inlineStr">
        <is>
          <t>VÄSTERBOTTENS LÄN</t>
        </is>
      </c>
      <c r="E1423" t="inlineStr">
        <is>
          <t>SKELLEFTEÅ</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28377-2025</t>
        </is>
      </c>
      <c r="B1424" s="1" t="n">
        <v>45819</v>
      </c>
      <c r="C1424" s="1" t="n">
        <v>45931</v>
      </c>
      <c r="D1424" t="inlineStr">
        <is>
          <t>VÄSTERBOTTENS LÄN</t>
        </is>
      </c>
      <c r="E1424" t="inlineStr">
        <is>
          <t>SKELLEFTEÅ</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20218-2025</t>
        </is>
      </c>
      <c r="B1425" s="1" t="n">
        <v>45772</v>
      </c>
      <c r="C1425" s="1" t="n">
        <v>45931</v>
      </c>
      <c r="D1425" t="inlineStr">
        <is>
          <t>VÄSTERBOTTENS LÄN</t>
        </is>
      </c>
      <c r="E1425" t="inlineStr">
        <is>
          <t>SKELLEFTEÅ</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28354-2025</t>
        </is>
      </c>
      <c r="B1426" s="1" t="n">
        <v>45818.77484953704</v>
      </c>
      <c r="C1426" s="1" t="n">
        <v>45931</v>
      </c>
      <c r="D1426" t="inlineStr">
        <is>
          <t>VÄSTERBOTTENS LÄN</t>
        </is>
      </c>
      <c r="E1426" t="inlineStr">
        <is>
          <t>SKELLEFTEÅ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28358-2025</t>
        </is>
      </c>
      <c r="B1427" s="1" t="n">
        <v>45818.79246527778</v>
      </c>
      <c r="C1427" s="1" t="n">
        <v>45931</v>
      </c>
      <c r="D1427" t="inlineStr">
        <is>
          <t>VÄSTERBOTTENS LÄN</t>
        </is>
      </c>
      <c r="E1427" t="inlineStr">
        <is>
          <t>SKELLEFTEÅ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41038-2024</t>
        </is>
      </c>
      <c r="B1428" s="1" t="n">
        <v>45559.36113425926</v>
      </c>
      <c r="C1428" s="1" t="n">
        <v>45931</v>
      </c>
      <c r="D1428" t="inlineStr">
        <is>
          <t>VÄSTERBOTTENS LÄN</t>
        </is>
      </c>
      <c r="E1428" t="inlineStr">
        <is>
          <t>SKELLEFTEÅ</t>
        </is>
      </c>
      <c r="F1428" t="inlineStr">
        <is>
          <t>Sveaskog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40798-2024</t>
        </is>
      </c>
      <c r="B1429" s="1" t="n">
        <v>45558.52645833333</v>
      </c>
      <c r="C1429" s="1" t="n">
        <v>45931</v>
      </c>
      <c r="D1429" t="inlineStr">
        <is>
          <t>VÄSTERBOTTENS LÄN</t>
        </is>
      </c>
      <c r="E1429" t="inlineStr">
        <is>
          <t>SKELLEFTEÅ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28804-2025</t>
        </is>
      </c>
      <c r="B1430" s="1" t="n">
        <v>45820.50423611111</v>
      </c>
      <c r="C1430" s="1" t="n">
        <v>45931</v>
      </c>
      <c r="D1430" t="inlineStr">
        <is>
          <t>VÄSTERBOTTENS LÄN</t>
        </is>
      </c>
      <c r="E1430" t="inlineStr">
        <is>
          <t>SKELLEFTEÅ</t>
        </is>
      </c>
      <c r="F1430" t="inlineStr">
        <is>
          <t>Holmen skog AB</t>
        </is>
      </c>
      <c r="G1430" t="n">
        <v>10.5</v>
      </c>
      <c r="H1430" t="n">
        <v>0</v>
      </c>
      <c r="I1430" t="n">
        <v>0</v>
      </c>
      <c r="J1430" t="n">
        <v>0</v>
      </c>
      <c r="K1430" t="n">
        <v>0</v>
      </c>
      <c r="L1430" t="n">
        <v>0</v>
      </c>
      <c r="M1430" t="n">
        <v>0</v>
      </c>
      <c r="N1430" t="n">
        <v>0</v>
      </c>
      <c r="O1430" t="n">
        <v>0</v>
      </c>
      <c r="P1430" t="n">
        <v>0</v>
      </c>
      <c r="Q1430" t="n">
        <v>0</v>
      </c>
      <c r="R1430" s="2" t="inlineStr"/>
    </row>
    <row r="1431" ht="15" customHeight="1">
      <c r="A1431" t="inlineStr">
        <is>
          <t>A 28373-2025</t>
        </is>
      </c>
      <c r="B1431" s="1" t="n">
        <v>45819</v>
      </c>
      <c r="C1431" s="1" t="n">
        <v>45931</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28777-2025</t>
        </is>
      </c>
      <c r="B1432" s="1" t="n">
        <v>45820.44814814815</v>
      </c>
      <c r="C1432" s="1" t="n">
        <v>45931</v>
      </c>
      <c r="D1432" t="inlineStr">
        <is>
          <t>VÄSTERBOTTENS LÄN</t>
        </is>
      </c>
      <c r="E1432" t="inlineStr">
        <is>
          <t>SKELLEFTEÅ</t>
        </is>
      </c>
      <c r="G1432" t="n">
        <v>12.4</v>
      </c>
      <c r="H1432" t="n">
        <v>0</v>
      </c>
      <c r="I1432" t="n">
        <v>0</v>
      </c>
      <c r="J1432" t="n">
        <v>0</v>
      </c>
      <c r="K1432" t="n">
        <v>0</v>
      </c>
      <c r="L1432" t="n">
        <v>0</v>
      </c>
      <c r="M1432" t="n">
        <v>0</v>
      </c>
      <c r="N1432" t="n">
        <v>0</v>
      </c>
      <c r="O1432" t="n">
        <v>0</v>
      </c>
      <c r="P1432" t="n">
        <v>0</v>
      </c>
      <c r="Q1432" t="n">
        <v>0</v>
      </c>
      <c r="R1432" s="2" t="inlineStr"/>
    </row>
    <row r="1433" ht="15" customHeight="1">
      <c r="A1433" t="inlineStr">
        <is>
          <t>A 11642-2023</t>
        </is>
      </c>
      <c r="B1433" s="1" t="n">
        <v>44994.45225694445</v>
      </c>
      <c r="C1433" s="1" t="n">
        <v>45931</v>
      </c>
      <c r="D1433" t="inlineStr">
        <is>
          <t>VÄSTERBOTTENS LÄN</t>
        </is>
      </c>
      <c r="E1433" t="inlineStr">
        <is>
          <t>SKELLEFTEÅ</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26389-2024</t>
        </is>
      </c>
      <c r="B1434" s="1" t="n">
        <v>45469.43194444444</v>
      </c>
      <c r="C1434" s="1" t="n">
        <v>45931</v>
      </c>
      <c r="D1434" t="inlineStr">
        <is>
          <t>VÄSTERBOTTENS LÄN</t>
        </is>
      </c>
      <c r="E1434" t="inlineStr">
        <is>
          <t>SKELLEFTEÅ</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13569-2025</t>
        </is>
      </c>
      <c r="B1435" s="1" t="n">
        <v>45736.57212962963</v>
      </c>
      <c r="C1435" s="1" t="n">
        <v>45931</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35809-2022</t>
        </is>
      </c>
      <c r="B1436" s="1" t="n">
        <v>44802</v>
      </c>
      <c r="C1436" s="1" t="n">
        <v>45931</v>
      </c>
      <c r="D1436" t="inlineStr">
        <is>
          <t>VÄSTERBOTTENS LÄN</t>
        </is>
      </c>
      <c r="E1436" t="inlineStr">
        <is>
          <t>SKELLEFTEÅ</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28573-2025</t>
        </is>
      </c>
      <c r="B1437" s="1" t="n">
        <v>45819</v>
      </c>
      <c r="C1437" s="1" t="n">
        <v>45931</v>
      </c>
      <c r="D1437" t="inlineStr">
        <is>
          <t>VÄSTERBOTTENS LÄN</t>
        </is>
      </c>
      <c r="E1437" t="inlineStr">
        <is>
          <t>SKELLEFTEÅ</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55873-2023</t>
        </is>
      </c>
      <c r="B1438" s="1" t="n">
        <v>45239</v>
      </c>
      <c r="C1438" s="1" t="n">
        <v>45931</v>
      </c>
      <c r="D1438" t="inlineStr">
        <is>
          <t>VÄSTERBOTTENS LÄN</t>
        </is>
      </c>
      <c r="E1438" t="inlineStr">
        <is>
          <t>SKELLEFTEÅ</t>
        </is>
      </c>
      <c r="F1438" t="inlineStr">
        <is>
          <t>Sveaskog</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28787-2025</t>
        </is>
      </c>
      <c r="B1439" s="1" t="n">
        <v>45820.46806712963</v>
      </c>
      <c r="C1439" s="1" t="n">
        <v>45931</v>
      </c>
      <c r="D1439" t="inlineStr">
        <is>
          <t>VÄSTERBOTTENS LÄN</t>
        </is>
      </c>
      <c r="E1439" t="inlineStr">
        <is>
          <t>SKELLEFTEÅ</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28408-2025</t>
        </is>
      </c>
      <c r="B1440" s="1" t="n">
        <v>45819.34600694444</v>
      </c>
      <c r="C1440" s="1" t="n">
        <v>45931</v>
      </c>
      <c r="D1440" t="inlineStr">
        <is>
          <t>VÄSTERBOTTENS LÄN</t>
        </is>
      </c>
      <c r="E1440" t="inlineStr">
        <is>
          <t>SKELLEFTEÅ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22516-2023</t>
        </is>
      </c>
      <c r="B1441" s="1" t="n">
        <v>45069</v>
      </c>
      <c r="C1441" s="1" t="n">
        <v>45931</v>
      </c>
      <c r="D1441" t="inlineStr">
        <is>
          <t>VÄSTERBOTTENS LÄN</t>
        </is>
      </c>
      <c r="E1441" t="inlineStr">
        <is>
          <t>SKELLEFTEÅ</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28360-2025</t>
        </is>
      </c>
      <c r="B1442" s="1" t="n">
        <v>45818.80997685185</v>
      </c>
      <c r="C1442" s="1" t="n">
        <v>45931</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55500-2024</t>
        </is>
      </c>
      <c r="B1443" s="1" t="n">
        <v>45622.45622685185</v>
      </c>
      <c r="C1443" s="1" t="n">
        <v>45931</v>
      </c>
      <c r="D1443" t="inlineStr">
        <is>
          <t>VÄSTERBOTTENS LÄN</t>
        </is>
      </c>
      <c r="E1443" t="inlineStr">
        <is>
          <t>SKELLEFTEÅ</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28359-2025</t>
        </is>
      </c>
      <c r="B1444" s="1" t="n">
        <v>45818.79951388889</v>
      </c>
      <c r="C1444" s="1" t="n">
        <v>45931</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53183-2023</t>
        </is>
      </c>
      <c r="B1445" s="1" t="n">
        <v>45229.41625</v>
      </c>
      <c r="C1445" s="1" t="n">
        <v>45931</v>
      </c>
      <c r="D1445" t="inlineStr">
        <is>
          <t>VÄSTERBOTTENS LÄN</t>
        </is>
      </c>
      <c r="E1445" t="inlineStr">
        <is>
          <t>SKELLEFTEÅ</t>
        </is>
      </c>
      <c r="F1445" t="inlineStr">
        <is>
          <t>Sveaskog</t>
        </is>
      </c>
      <c r="G1445" t="n">
        <v>10.5</v>
      </c>
      <c r="H1445" t="n">
        <v>0</v>
      </c>
      <c r="I1445" t="n">
        <v>0</v>
      </c>
      <c r="J1445" t="n">
        <v>0</v>
      </c>
      <c r="K1445" t="n">
        <v>0</v>
      </c>
      <c r="L1445" t="n">
        <v>0</v>
      </c>
      <c r="M1445" t="n">
        <v>0</v>
      </c>
      <c r="N1445" t="n">
        <v>0</v>
      </c>
      <c r="O1445" t="n">
        <v>0</v>
      </c>
      <c r="P1445" t="n">
        <v>0</v>
      </c>
      <c r="Q1445" t="n">
        <v>0</v>
      </c>
      <c r="R1445" s="2" t="inlineStr"/>
    </row>
    <row r="1446" ht="15" customHeight="1">
      <c r="A1446" t="inlineStr">
        <is>
          <t>A 54449-2023</t>
        </is>
      </c>
      <c r="B1446" s="1" t="n">
        <v>45226</v>
      </c>
      <c r="C1446" s="1" t="n">
        <v>45931</v>
      </c>
      <c r="D1446" t="inlineStr">
        <is>
          <t>VÄSTERBOTTENS LÄN</t>
        </is>
      </c>
      <c r="E1446" t="inlineStr">
        <is>
          <t>SKELLEFTEÅ</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49844-2024</t>
        </is>
      </c>
      <c r="B1447" s="1" t="n">
        <v>45597</v>
      </c>
      <c r="C1447" s="1" t="n">
        <v>45931</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50894-2024</t>
        </is>
      </c>
      <c r="B1448" s="1" t="n">
        <v>45602.67774305555</v>
      </c>
      <c r="C1448" s="1" t="n">
        <v>45931</v>
      </c>
      <c r="D1448" t="inlineStr">
        <is>
          <t>VÄSTERBOTTENS LÄN</t>
        </is>
      </c>
      <c r="E1448" t="inlineStr">
        <is>
          <t>SKELLEFTEÅ</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28989-2025</t>
        </is>
      </c>
      <c r="B1449" s="1" t="n">
        <v>45821.37027777778</v>
      </c>
      <c r="C1449" s="1" t="n">
        <v>45931</v>
      </c>
      <c r="D1449" t="inlineStr">
        <is>
          <t>VÄSTERBOTTENS LÄN</t>
        </is>
      </c>
      <c r="E1449" t="inlineStr">
        <is>
          <t>SKELLEFTEÅ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62300-2023</t>
        </is>
      </c>
      <c r="B1450" s="1" t="n">
        <v>45266</v>
      </c>
      <c r="C1450" s="1" t="n">
        <v>45931</v>
      </c>
      <c r="D1450" t="inlineStr">
        <is>
          <t>VÄSTERBOTTENS LÄN</t>
        </is>
      </c>
      <c r="E1450" t="inlineStr">
        <is>
          <t>SKELLEFTEÅ</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54401-2023</t>
        </is>
      </c>
      <c r="B1451" s="1" t="n">
        <v>45226</v>
      </c>
      <c r="C1451" s="1" t="n">
        <v>45931</v>
      </c>
      <c r="D1451" t="inlineStr">
        <is>
          <t>VÄSTERBOTTENS LÄN</t>
        </is>
      </c>
      <c r="E1451" t="inlineStr">
        <is>
          <t>SKELLEFTEÅ</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28984-2025</t>
        </is>
      </c>
      <c r="B1452" s="1" t="n">
        <v>45821.36861111111</v>
      </c>
      <c r="C1452" s="1" t="n">
        <v>45931</v>
      </c>
      <c r="D1452" t="inlineStr">
        <is>
          <t>VÄSTERBOTTENS LÄN</t>
        </is>
      </c>
      <c r="E1452" t="inlineStr">
        <is>
          <t>SKELLEFTEÅ</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18564-2024</t>
        </is>
      </c>
      <c r="B1453" s="1" t="n">
        <v>45425</v>
      </c>
      <c r="C1453" s="1" t="n">
        <v>45931</v>
      </c>
      <c r="D1453" t="inlineStr">
        <is>
          <t>VÄSTERBOTTENS LÄN</t>
        </is>
      </c>
      <c r="E1453" t="inlineStr">
        <is>
          <t>SKELLEFTEÅ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29134-2025</t>
        </is>
      </c>
      <c r="B1454" s="1" t="n">
        <v>45821.60568287037</v>
      </c>
      <c r="C1454" s="1" t="n">
        <v>45931</v>
      </c>
      <c r="D1454" t="inlineStr">
        <is>
          <t>VÄSTERBOTTENS LÄN</t>
        </is>
      </c>
      <c r="E1454" t="inlineStr">
        <is>
          <t>SKELLEFTEÅ</t>
        </is>
      </c>
      <c r="F1454" t="inlineStr">
        <is>
          <t>Holmen skog AB</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29194-2025</t>
        </is>
      </c>
      <c r="B1455" s="1" t="n">
        <v>45822</v>
      </c>
      <c r="C1455" s="1" t="n">
        <v>45931</v>
      </c>
      <c r="D1455" t="inlineStr">
        <is>
          <t>VÄSTERBOTTENS LÄN</t>
        </is>
      </c>
      <c r="E1455" t="inlineStr">
        <is>
          <t>SKELLEFTEÅ</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28961-2025</t>
        </is>
      </c>
      <c r="B1456" s="1" t="n">
        <v>45821.32046296296</v>
      </c>
      <c r="C1456" s="1" t="n">
        <v>45931</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29442-2025</t>
        </is>
      </c>
      <c r="B1457" s="1" t="n">
        <v>45824.66078703704</v>
      </c>
      <c r="C1457" s="1" t="n">
        <v>45931</v>
      </c>
      <c r="D1457" t="inlineStr">
        <is>
          <t>VÄSTERBOTTENS LÄN</t>
        </is>
      </c>
      <c r="E1457" t="inlineStr">
        <is>
          <t>SKELLEFTEÅ</t>
        </is>
      </c>
      <c r="F1457" t="inlineStr">
        <is>
          <t>Holmen skog AB</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29455-2025</t>
        </is>
      </c>
      <c r="B1458" s="1" t="n">
        <v>45824.68148148148</v>
      </c>
      <c r="C1458" s="1" t="n">
        <v>45931</v>
      </c>
      <c r="D1458" t="inlineStr">
        <is>
          <t>VÄSTERBOTTENS LÄN</t>
        </is>
      </c>
      <c r="E1458" t="inlineStr">
        <is>
          <t>SKELLEFTEÅ</t>
        </is>
      </c>
      <c r="F1458" t="inlineStr">
        <is>
          <t>Holmen skog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54813-2023</t>
        </is>
      </c>
      <c r="B1459" s="1" t="n">
        <v>45236</v>
      </c>
      <c r="C1459" s="1" t="n">
        <v>45931</v>
      </c>
      <c r="D1459" t="inlineStr">
        <is>
          <t>VÄSTERBOTTENS LÄN</t>
        </is>
      </c>
      <c r="E1459" t="inlineStr">
        <is>
          <t>SKELLEFTEÅ</t>
        </is>
      </c>
      <c r="F1459" t="inlineStr">
        <is>
          <t>Sveaskog</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8658-2025</t>
        </is>
      </c>
      <c r="B1460" s="1" t="n">
        <v>45712.38586805556</v>
      </c>
      <c r="C1460" s="1" t="n">
        <v>45931</v>
      </c>
      <c r="D1460" t="inlineStr">
        <is>
          <t>VÄSTERBOTTENS LÄN</t>
        </is>
      </c>
      <c r="E1460" t="inlineStr">
        <is>
          <t>SKELLEFTEÅ</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8689-2025</t>
        </is>
      </c>
      <c r="B1461" s="1" t="n">
        <v>45712</v>
      </c>
      <c r="C1461" s="1" t="n">
        <v>45931</v>
      </c>
      <c r="D1461" t="inlineStr">
        <is>
          <t>VÄSTERBOTTENS LÄN</t>
        </is>
      </c>
      <c r="E1461" t="inlineStr">
        <is>
          <t>SKELLEFTEÅ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14238-2025</t>
        </is>
      </c>
      <c r="B1462" s="1" t="n">
        <v>45740.6105787037</v>
      </c>
      <c r="C1462" s="1" t="n">
        <v>45931</v>
      </c>
      <c r="D1462" t="inlineStr">
        <is>
          <t>VÄSTERBOTTENS LÄN</t>
        </is>
      </c>
      <c r="E1462" t="inlineStr">
        <is>
          <t>SKELLEFTEÅ</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29413-2025</t>
        </is>
      </c>
      <c r="B1463" s="1" t="n">
        <v>45824.62412037037</v>
      </c>
      <c r="C1463" s="1" t="n">
        <v>45931</v>
      </c>
      <c r="D1463" t="inlineStr">
        <is>
          <t>VÄSTERBOTTENS LÄN</t>
        </is>
      </c>
      <c r="E1463" t="inlineStr">
        <is>
          <t>SKELLEFTEÅ</t>
        </is>
      </c>
      <c r="F1463" t="inlineStr">
        <is>
          <t>Holmen skog AB</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53117-2024</t>
        </is>
      </c>
      <c r="B1464" s="1" t="n">
        <v>45611.58105324074</v>
      </c>
      <c r="C1464" s="1" t="n">
        <v>45931</v>
      </c>
      <c r="D1464" t="inlineStr">
        <is>
          <t>VÄSTERBOTTENS LÄN</t>
        </is>
      </c>
      <c r="E1464" t="inlineStr">
        <is>
          <t>SKELLEFTEÅ</t>
        </is>
      </c>
      <c r="F1464" t="inlineStr">
        <is>
          <t>Kommuner</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59945-2023</t>
        </is>
      </c>
      <c r="B1465" s="1" t="n">
        <v>45254</v>
      </c>
      <c r="C1465" s="1" t="n">
        <v>45931</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28169-2025</t>
        </is>
      </c>
      <c r="B1466" s="1" t="n">
        <v>45818</v>
      </c>
      <c r="C1466" s="1" t="n">
        <v>45931</v>
      </c>
      <c r="D1466" t="inlineStr">
        <is>
          <t>VÄSTERBOTTENS LÄN</t>
        </is>
      </c>
      <c r="E1466" t="inlineStr">
        <is>
          <t>SKELLEFTEÅ</t>
        </is>
      </c>
      <c r="F1466" t="inlineStr">
        <is>
          <t>Holmen skog AB</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29277-2025</t>
        </is>
      </c>
      <c r="B1467" s="1" t="n">
        <v>45824.41894675926</v>
      </c>
      <c r="C1467" s="1" t="n">
        <v>45931</v>
      </c>
      <c r="D1467" t="inlineStr">
        <is>
          <t>VÄSTERBOTTENS LÄN</t>
        </is>
      </c>
      <c r="E1467" t="inlineStr">
        <is>
          <t>SKELLEFTEÅ</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55775-2023</t>
        </is>
      </c>
      <c r="B1468" s="1" t="n">
        <v>45232</v>
      </c>
      <c r="C1468" s="1" t="n">
        <v>45931</v>
      </c>
      <c r="D1468" t="inlineStr">
        <is>
          <t>VÄSTERBOTTENS LÄN</t>
        </is>
      </c>
      <c r="E1468" t="inlineStr">
        <is>
          <t>SKELLEFTEÅ</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9840-2025</t>
        </is>
      </c>
      <c r="B1469" s="1" t="n">
        <v>45716</v>
      </c>
      <c r="C1469" s="1" t="n">
        <v>45931</v>
      </c>
      <c r="D1469" t="inlineStr">
        <is>
          <t>VÄSTERBOTTENS LÄN</t>
        </is>
      </c>
      <c r="E1469" t="inlineStr">
        <is>
          <t>SKELLEFTEÅ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3370-2025</t>
        </is>
      </c>
      <c r="B1470" s="1" t="n">
        <v>45679</v>
      </c>
      <c r="C1470" s="1" t="n">
        <v>45931</v>
      </c>
      <c r="D1470" t="inlineStr">
        <is>
          <t>VÄSTERBOTTENS LÄN</t>
        </is>
      </c>
      <c r="E1470" t="inlineStr">
        <is>
          <t>SKELLEFTEÅ</t>
        </is>
      </c>
      <c r="G1470" t="n">
        <v>15.7</v>
      </c>
      <c r="H1470" t="n">
        <v>0</v>
      </c>
      <c r="I1470" t="n">
        <v>0</v>
      </c>
      <c r="J1470" t="n">
        <v>0</v>
      </c>
      <c r="K1470" t="n">
        <v>0</v>
      </c>
      <c r="L1470" t="n">
        <v>0</v>
      </c>
      <c r="M1470" t="n">
        <v>0</v>
      </c>
      <c r="N1470" t="n">
        <v>0</v>
      </c>
      <c r="O1470" t="n">
        <v>0</v>
      </c>
      <c r="P1470" t="n">
        <v>0</v>
      </c>
      <c r="Q1470" t="n">
        <v>0</v>
      </c>
      <c r="R1470" s="2" t="inlineStr"/>
    </row>
    <row r="1471" ht="15" customHeight="1">
      <c r="A1471" t="inlineStr">
        <is>
          <t>A 2955-2024</t>
        </is>
      </c>
      <c r="B1471" s="1" t="n">
        <v>45315.64509259259</v>
      </c>
      <c r="C1471" s="1" t="n">
        <v>45931</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29765-2025</t>
        </is>
      </c>
      <c r="B1472" s="1" t="n">
        <v>45825.61898148148</v>
      </c>
      <c r="C1472" s="1" t="n">
        <v>45931</v>
      </c>
      <c r="D1472" t="inlineStr">
        <is>
          <t>VÄSTERBOTTENS LÄN</t>
        </is>
      </c>
      <c r="E1472" t="inlineStr">
        <is>
          <t>SKELLEFTEÅ</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12873-2025</t>
        </is>
      </c>
      <c r="B1473" s="1" t="n">
        <v>45733</v>
      </c>
      <c r="C1473" s="1" t="n">
        <v>45931</v>
      </c>
      <c r="D1473" t="inlineStr">
        <is>
          <t>VÄSTERBOTTENS LÄN</t>
        </is>
      </c>
      <c r="E1473" t="inlineStr">
        <is>
          <t>SKELLEFTEÅ</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6635-2021</t>
        </is>
      </c>
      <c r="B1474" s="1" t="n">
        <v>44236</v>
      </c>
      <c r="C1474" s="1" t="n">
        <v>45931</v>
      </c>
      <c r="D1474" t="inlineStr">
        <is>
          <t>VÄSTERBOTTENS LÄN</t>
        </is>
      </c>
      <c r="E1474" t="inlineStr">
        <is>
          <t>SKELLEFTEÅ</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27028-2022</t>
        </is>
      </c>
      <c r="B1475" s="1" t="n">
        <v>44740</v>
      </c>
      <c r="C1475" s="1" t="n">
        <v>45931</v>
      </c>
      <c r="D1475" t="inlineStr">
        <is>
          <t>VÄSTERBOTTENS LÄN</t>
        </is>
      </c>
      <c r="E1475" t="inlineStr">
        <is>
          <t>SKELLEFTEÅ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2840-2024</t>
        </is>
      </c>
      <c r="B1476" s="1" t="n">
        <v>45315</v>
      </c>
      <c r="C1476" s="1" t="n">
        <v>45931</v>
      </c>
      <c r="D1476" t="inlineStr">
        <is>
          <t>VÄSTERBOTTENS LÄN</t>
        </is>
      </c>
      <c r="E1476" t="inlineStr">
        <is>
          <t>SKELLEFTEÅ</t>
        </is>
      </c>
      <c r="F1476" t="inlineStr">
        <is>
          <t>Sveaskog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59648-2023</t>
        </is>
      </c>
      <c r="B1477" s="1" t="n">
        <v>45253</v>
      </c>
      <c r="C1477" s="1" t="n">
        <v>45931</v>
      </c>
      <c r="D1477" t="inlineStr">
        <is>
          <t>VÄSTERBOTTENS LÄN</t>
        </is>
      </c>
      <c r="E1477" t="inlineStr">
        <is>
          <t>SKELLEFTEÅ</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26626-2024</t>
        </is>
      </c>
      <c r="B1478" s="1" t="n">
        <v>45469.78458333333</v>
      </c>
      <c r="C1478" s="1" t="n">
        <v>45931</v>
      </c>
      <c r="D1478" t="inlineStr">
        <is>
          <t>VÄSTERBOTTENS LÄN</t>
        </is>
      </c>
      <c r="E1478" t="inlineStr">
        <is>
          <t>SKELLEFTEÅ</t>
        </is>
      </c>
      <c r="F1478" t="inlineStr">
        <is>
          <t>Sveaskog</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58012-2023</t>
        </is>
      </c>
      <c r="B1479" s="1" t="n">
        <v>45244</v>
      </c>
      <c r="C1479" s="1" t="n">
        <v>45931</v>
      </c>
      <c r="D1479" t="inlineStr">
        <is>
          <t>VÄSTERBOTTENS LÄN</t>
        </is>
      </c>
      <c r="E1479" t="inlineStr">
        <is>
          <t>SKELLEFTEÅ</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29665-2025</t>
        </is>
      </c>
      <c r="B1480" s="1" t="n">
        <v>45825.49140046296</v>
      </c>
      <c r="C1480" s="1" t="n">
        <v>45931</v>
      </c>
      <c r="D1480" t="inlineStr">
        <is>
          <t>VÄSTERBOTTENS LÄN</t>
        </is>
      </c>
      <c r="E1480" t="inlineStr">
        <is>
          <t>SKELLEFTEÅ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35119-2022</t>
        </is>
      </c>
      <c r="B1481" s="1" t="n">
        <v>44797</v>
      </c>
      <c r="C1481" s="1" t="n">
        <v>45931</v>
      </c>
      <c r="D1481" t="inlineStr">
        <is>
          <t>VÄSTERBOTTENS LÄN</t>
        </is>
      </c>
      <c r="E1481" t="inlineStr">
        <is>
          <t>SKELLEFTEÅ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11314-2025</t>
        </is>
      </c>
      <c r="B1482" s="1" t="n">
        <v>45726.45561342593</v>
      </c>
      <c r="C1482" s="1" t="n">
        <v>45931</v>
      </c>
      <c r="D1482" t="inlineStr">
        <is>
          <t>VÄSTERBOTTENS LÄN</t>
        </is>
      </c>
      <c r="E1482" t="inlineStr">
        <is>
          <t>SKELLEFTEÅ</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30081-2025</t>
        </is>
      </c>
      <c r="B1483" s="1" t="n">
        <v>45826.65171296296</v>
      </c>
      <c r="C1483" s="1" t="n">
        <v>45931</v>
      </c>
      <c r="D1483" t="inlineStr">
        <is>
          <t>VÄSTERBOTTENS LÄN</t>
        </is>
      </c>
      <c r="E1483" t="inlineStr">
        <is>
          <t>SKELLEFTEÅ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35491-2022</t>
        </is>
      </c>
      <c r="B1484" s="1" t="n">
        <v>44798</v>
      </c>
      <c r="C1484" s="1" t="n">
        <v>45931</v>
      </c>
      <c r="D1484" t="inlineStr">
        <is>
          <t>VÄSTERBOTTENS LÄN</t>
        </is>
      </c>
      <c r="E1484" t="inlineStr">
        <is>
          <t>SKELLEFTEÅ</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29613-2025</t>
        </is>
      </c>
      <c r="B1485" s="1" t="n">
        <v>45825</v>
      </c>
      <c r="C1485" s="1" t="n">
        <v>45931</v>
      </c>
      <c r="D1485" t="inlineStr">
        <is>
          <t>VÄSTERBOTTENS LÄN</t>
        </is>
      </c>
      <c r="E1485" t="inlineStr">
        <is>
          <t>SKELLEFTEÅ</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29694-2025</t>
        </is>
      </c>
      <c r="B1486" s="1" t="n">
        <v>45825.54637731481</v>
      </c>
      <c r="C1486" s="1" t="n">
        <v>45931</v>
      </c>
      <c r="D1486" t="inlineStr">
        <is>
          <t>VÄSTERBOTTENS LÄN</t>
        </is>
      </c>
      <c r="E1486" t="inlineStr">
        <is>
          <t>SKELLEFTEÅ</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29663-2025</t>
        </is>
      </c>
      <c r="B1487" s="1" t="n">
        <v>45825.48967592593</v>
      </c>
      <c r="C1487" s="1" t="n">
        <v>45931</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19778-2025</t>
        </is>
      </c>
      <c r="B1488" s="1" t="n">
        <v>45771.42734953704</v>
      </c>
      <c r="C1488" s="1" t="n">
        <v>45931</v>
      </c>
      <c r="D1488" t="inlineStr">
        <is>
          <t>VÄSTERBOTTENS LÄN</t>
        </is>
      </c>
      <c r="E1488" t="inlineStr">
        <is>
          <t>SKELLEFTEÅ</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10082-2025</t>
        </is>
      </c>
      <c r="B1489" s="1" t="n">
        <v>45719</v>
      </c>
      <c r="C1489" s="1" t="n">
        <v>45931</v>
      </c>
      <c r="D1489" t="inlineStr">
        <is>
          <t>VÄSTERBOTTENS LÄN</t>
        </is>
      </c>
      <c r="E1489" t="inlineStr">
        <is>
          <t>SKELLEFTEÅ</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57003-2024</t>
        </is>
      </c>
      <c r="B1490" s="1" t="n">
        <v>45628.73037037037</v>
      </c>
      <c r="C1490" s="1" t="n">
        <v>45931</v>
      </c>
      <c r="D1490" t="inlineStr">
        <is>
          <t>VÄSTERBOTTENS LÄN</t>
        </is>
      </c>
      <c r="E1490" t="inlineStr">
        <is>
          <t>SKELLEFTEÅ</t>
        </is>
      </c>
      <c r="F1490" t="inlineStr">
        <is>
          <t>Holmen skog AB</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17561-2025</t>
        </is>
      </c>
      <c r="B1491" s="1" t="n">
        <v>45757.63712962963</v>
      </c>
      <c r="C1491" s="1" t="n">
        <v>45931</v>
      </c>
      <c r="D1491" t="inlineStr">
        <is>
          <t>VÄSTERBOTTENS LÄN</t>
        </is>
      </c>
      <c r="E1491" t="inlineStr">
        <is>
          <t>SKELLEFTEÅ</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21035-2022</t>
        </is>
      </c>
      <c r="B1492" s="1" t="n">
        <v>44704</v>
      </c>
      <c r="C1492" s="1" t="n">
        <v>45931</v>
      </c>
      <c r="D1492" t="inlineStr">
        <is>
          <t>VÄSTERBOTTENS LÄN</t>
        </is>
      </c>
      <c r="E1492" t="inlineStr">
        <is>
          <t>SKELLEFTEÅ</t>
        </is>
      </c>
      <c r="G1492" t="n">
        <v>26.9</v>
      </c>
      <c r="H1492" t="n">
        <v>0</v>
      </c>
      <c r="I1492" t="n">
        <v>0</v>
      </c>
      <c r="J1492" t="n">
        <v>0</v>
      </c>
      <c r="K1492" t="n">
        <v>0</v>
      </c>
      <c r="L1492" t="n">
        <v>0</v>
      </c>
      <c r="M1492" t="n">
        <v>0</v>
      </c>
      <c r="N1492" t="n">
        <v>0</v>
      </c>
      <c r="O1492" t="n">
        <v>0</v>
      </c>
      <c r="P1492" t="n">
        <v>0</v>
      </c>
      <c r="Q1492" t="n">
        <v>0</v>
      </c>
      <c r="R1492" s="2" t="inlineStr"/>
    </row>
    <row r="1493" ht="15" customHeight="1">
      <c r="A1493" t="inlineStr">
        <is>
          <t>A 29750-2025</t>
        </is>
      </c>
      <c r="B1493" s="1" t="n">
        <v>45825.60854166667</v>
      </c>
      <c r="C1493" s="1" t="n">
        <v>45931</v>
      </c>
      <c r="D1493" t="inlineStr">
        <is>
          <t>VÄSTERBOTTENS LÄN</t>
        </is>
      </c>
      <c r="E1493" t="inlineStr">
        <is>
          <t>SKELLEFTEÅ</t>
        </is>
      </c>
      <c r="F1493" t="inlineStr">
        <is>
          <t>Holmen skog AB</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29757-2025</t>
        </is>
      </c>
      <c r="B1494" s="1" t="n">
        <v>45825.61582175926</v>
      </c>
      <c r="C1494" s="1" t="n">
        <v>45931</v>
      </c>
      <c r="D1494" t="inlineStr">
        <is>
          <t>VÄSTERBOTTENS LÄN</t>
        </is>
      </c>
      <c r="E1494" t="inlineStr">
        <is>
          <t>SKELLEFTEÅ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1746-2025</t>
        </is>
      </c>
      <c r="B1495" s="1" t="n">
        <v>45671.40643518518</v>
      </c>
      <c r="C1495" s="1" t="n">
        <v>45931</v>
      </c>
      <c r="D1495" t="inlineStr">
        <is>
          <t>VÄSTERBOTTENS LÄN</t>
        </is>
      </c>
      <c r="E1495" t="inlineStr">
        <is>
          <t>SKELLEFTEÅ</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3465-2024</t>
        </is>
      </c>
      <c r="B1496" s="1" t="n">
        <v>45320.40229166667</v>
      </c>
      <c r="C1496" s="1" t="n">
        <v>45931</v>
      </c>
      <c r="D1496" t="inlineStr">
        <is>
          <t>VÄSTERBOTTENS LÄN</t>
        </is>
      </c>
      <c r="E1496" t="inlineStr">
        <is>
          <t>SKELLEFTEÅ</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62599-2023</t>
        </is>
      </c>
      <c r="B1497" s="1" t="n">
        <v>45267</v>
      </c>
      <c r="C1497" s="1" t="n">
        <v>45931</v>
      </c>
      <c r="D1497" t="inlineStr">
        <is>
          <t>VÄSTERBOTTENS LÄN</t>
        </is>
      </c>
      <c r="E1497" t="inlineStr">
        <is>
          <t>SKELLEFTEÅ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62601-2023</t>
        </is>
      </c>
      <c r="B1498" s="1" t="n">
        <v>45267</v>
      </c>
      <c r="C1498" s="1" t="n">
        <v>45931</v>
      </c>
      <c r="D1498" t="inlineStr">
        <is>
          <t>VÄSTERBOTTENS LÄN</t>
        </is>
      </c>
      <c r="E1498" t="inlineStr">
        <is>
          <t>SKELLEFTEÅ</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30195-2025</t>
        </is>
      </c>
      <c r="B1499" s="1" t="n">
        <v>45827.35383101852</v>
      </c>
      <c r="C1499" s="1" t="n">
        <v>45931</v>
      </c>
      <c r="D1499" t="inlineStr">
        <is>
          <t>VÄSTERBOTTENS LÄN</t>
        </is>
      </c>
      <c r="E1499" t="inlineStr">
        <is>
          <t>SKELLEFTEÅ</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30438-2025</t>
        </is>
      </c>
      <c r="B1500" s="1" t="n">
        <v>45827.64153935185</v>
      </c>
      <c r="C1500" s="1" t="n">
        <v>45931</v>
      </c>
      <c r="D1500" t="inlineStr">
        <is>
          <t>VÄSTERBOTTENS LÄN</t>
        </is>
      </c>
      <c r="E1500" t="inlineStr">
        <is>
          <t>SKELLEFTEÅ</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52509-2024</t>
        </is>
      </c>
      <c r="B1501" s="1" t="n">
        <v>45609.59239583334</v>
      </c>
      <c r="C1501" s="1" t="n">
        <v>45931</v>
      </c>
      <c r="D1501" t="inlineStr">
        <is>
          <t>VÄSTERBOTTENS LÄN</t>
        </is>
      </c>
      <c r="E1501" t="inlineStr">
        <is>
          <t>SKELLEFTEÅ</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30172-2025</t>
        </is>
      </c>
      <c r="B1502" s="1" t="n">
        <v>45827</v>
      </c>
      <c r="C1502" s="1" t="n">
        <v>45931</v>
      </c>
      <c r="D1502" t="inlineStr">
        <is>
          <t>VÄSTERBOTTENS LÄN</t>
        </is>
      </c>
      <c r="E1502" t="inlineStr">
        <is>
          <t>SKELLEFTEÅ</t>
        </is>
      </c>
      <c r="F1502" t="inlineStr">
        <is>
          <t>Kyrkan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19119-2025</t>
        </is>
      </c>
      <c r="B1503" s="1" t="n">
        <v>45768.82230324074</v>
      </c>
      <c r="C1503" s="1" t="n">
        <v>45931</v>
      </c>
      <c r="D1503" t="inlineStr">
        <is>
          <t>VÄSTERBOTTENS LÄN</t>
        </is>
      </c>
      <c r="E1503" t="inlineStr">
        <is>
          <t>SKELLEFTEÅ</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54356-2020</t>
        </is>
      </c>
      <c r="B1504" s="1" t="n">
        <v>44125</v>
      </c>
      <c r="C1504" s="1" t="n">
        <v>45931</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18975-2023</t>
        </is>
      </c>
      <c r="B1505" s="1" t="n">
        <v>45044</v>
      </c>
      <c r="C1505" s="1" t="n">
        <v>45931</v>
      </c>
      <c r="D1505" t="inlineStr">
        <is>
          <t>VÄSTERBOTTENS LÄN</t>
        </is>
      </c>
      <c r="E1505" t="inlineStr">
        <is>
          <t>SKELLEFTEÅ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14013-2025</t>
        </is>
      </c>
      <c r="B1506" s="1" t="n">
        <v>45740.31539351852</v>
      </c>
      <c r="C1506" s="1" t="n">
        <v>45931</v>
      </c>
      <c r="D1506" t="inlineStr">
        <is>
          <t>VÄSTERBOTTENS LÄN</t>
        </is>
      </c>
      <c r="E1506" t="inlineStr">
        <is>
          <t>SKELLEFTEÅ</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31168-2025</t>
        </is>
      </c>
      <c r="B1507" s="1" t="n">
        <v>45832.66167824074</v>
      </c>
      <c r="C1507" s="1" t="n">
        <v>45931</v>
      </c>
      <c r="D1507" t="inlineStr">
        <is>
          <t>VÄSTERBOTTENS LÄN</t>
        </is>
      </c>
      <c r="E1507" t="inlineStr">
        <is>
          <t>SKELLEFTEÅ</t>
        </is>
      </c>
      <c r="F1507" t="inlineStr">
        <is>
          <t>Holmen skog AB</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31178-2025</t>
        </is>
      </c>
      <c r="B1508" s="1" t="n">
        <v>45832.67209490741</v>
      </c>
      <c r="C1508" s="1" t="n">
        <v>45931</v>
      </c>
      <c r="D1508" t="inlineStr">
        <is>
          <t>VÄSTERBOTTENS LÄN</t>
        </is>
      </c>
      <c r="E1508" t="inlineStr">
        <is>
          <t>SKELLEFTEÅ</t>
        </is>
      </c>
      <c r="F1508" t="inlineStr">
        <is>
          <t>Holmen skog AB</t>
        </is>
      </c>
      <c r="G1508" t="n">
        <v>19.2</v>
      </c>
      <c r="H1508" t="n">
        <v>0</v>
      </c>
      <c r="I1508" t="n">
        <v>0</v>
      </c>
      <c r="J1508" t="n">
        <v>0</v>
      </c>
      <c r="K1508" t="n">
        <v>0</v>
      </c>
      <c r="L1508" t="n">
        <v>0</v>
      </c>
      <c r="M1508" t="n">
        <v>0</v>
      </c>
      <c r="N1508" t="n">
        <v>0</v>
      </c>
      <c r="O1508" t="n">
        <v>0</v>
      </c>
      <c r="P1508" t="n">
        <v>0</v>
      </c>
      <c r="Q1508" t="n">
        <v>0</v>
      </c>
      <c r="R1508" s="2" t="inlineStr"/>
    </row>
    <row r="1509" ht="15" customHeight="1">
      <c r="A1509" t="inlineStr">
        <is>
          <t>A 5252-2024</t>
        </is>
      </c>
      <c r="B1509" s="1" t="n">
        <v>45330.93219907407</v>
      </c>
      <c r="C1509" s="1" t="n">
        <v>45931</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56806-2024</t>
        </is>
      </c>
      <c r="B1510" s="1" t="n">
        <v>45628.47483796296</v>
      </c>
      <c r="C1510" s="1" t="n">
        <v>45931</v>
      </c>
      <c r="D1510" t="inlineStr">
        <is>
          <t>VÄSTERBOTTENS LÄN</t>
        </is>
      </c>
      <c r="E1510" t="inlineStr">
        <is>
          <t>SKELLEFTEÅ</t>
        </is>
      </c>
      <c r="F1510" t="inlineStr">
        <is>
          <t>Holmen skog AB</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31077-2025</t>
        </is>
      </c>
      <c r="B1511" s="1" t="n">
        <v>45831</v>
      </c>
      <c r="C1511" s="1" t="n">
        <v>45931</v>
      </c>
      <c r="D1511" t="inlineStr">
        <is>
          <t>VÄSTERBOTTENS LÄN</t>
        </is>
      </c>
      <c r="E1511" t="inlineStr">
        <is>
          <t>SKELLEFTEÅ</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60498-2022</t>
        </is>
      </c>
      <c r="B1512" s="1" t="n">
        <v>44911.44347222222</v>
      </c>
      <c r="C1512" s="1" t="n">
        <v>45931</v>
      </c>
      <c r="D1512" t="inlineStr">
        <is>
          <t>VÄSTERBOTTENS LÄN</t>
        </is>
      </c>
      <c r="E1512" t="inlineStr">
        <is>
          <t>SKELLEFTEÅ</t>
        </is>
      </c>
      <c r="F1512" t="inlineStr">
        <is>
          <t>Sveaskog</t>
        </is>
      </c>
      <c r="G1512" t="n">
        <v>21.2</v>
      </c>
      <c r="H1512" t="n">
        <v>0</v>
      </c>
      <c r="I1512" t="n">
        <v>0</v>
      </c>
      <c r="J1512" t="n">
        <v>0</v>
      </c>
      <c r="K1512" t="n">
        <v>0</v>
      </c>
      <c r="L1512" t="n">
        <v>0</v>
      </c>
      <c r="M1512" t="n">
        <v>0</v>
      </c>
      <c r="N1512" t="n">
        <v>0</v>
      </c>
      <c r="O1512" t="n">
        <v>0</v>
      </c>
      <c r="P1512" t="n">
        <v>0</v>
      </c>
      <c r="Q1512" t="n">
        <v>0</v>
      </c>
      <c r="R1512" s="2" t="inlineStr"/>
    </row>
    <row r="1513" ht="15" customHeight="1">
      <c r="A1513" t="inlineStr">
        <is>
          <t>A 55652-2024</t>
        </is>
      </c>
      <c r="B1513" s="1" t="n">
        <v>45621</v>
      </c>
      <c r="C1513" s="1" t="n">
        <v>45931</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46048-2024</t>
        </is>
      </c>
      <c r="B1514" s="1" t="n">
        <v>45580.85511574074</v>
      </c>
      <c r="C1514" s="1" t="n">
        <v>45931</v>
      </c>
      <c r="D1514" t="inlineStr">
        <is>
          <t>VÄSTERBOTTENS LÄN</t>
        </is>
      </c>
      <c r="E1514" t="inlineStr">
        <is>
          <t>SKELLEFTEÅ</t>
        </is>
      </c>
      <c r="F1514" t="inlineStr">
        <is>
          <t>Sveaskog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2170-2024</t>
        </is>
      </c>
      <c r="B1515" s="1" t="n">
        <v>45309.62446759259</v>
      </c>
      <c r="C1515" s="1" t="n">
        <v>45931</v>
      </c>
      <c r="D1515" t="inlineStr">
        <is>
          <t>VÄSTERBOTTENS LÄN</t>
        </is>
      </c>
      <c r="E1515" t="inlineStr">
        <is>
          <t>SKELLEFTEÅ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57186-2024</t>
        </is>
      </c>
      <c r="B1516" s="1" t="n">
        <v>45629.45423611111</v>
      </c>
      <c r="C1516" s="1" t="n">
        <v>45931</v>
      </c>
      <c r="D1516" t="inlineStr">
        <is>
          <t>VÄSTERBOTTENS LÄN</t>
        </is>
      </c>
      <c r="E1516" t="inlineStr">
        <is>
          <t>SKELLEFTEÅ</t>
        </is>
      </c>
      <c r="F1516" t="inlineStr">
        <is>
          <t>Holmen skog AB</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56154-2024</t>
        </is>
      </c>
      <c r="B1517" s="1" t="n">
        <v>45623</v>
      </c>
      <c r="C1517" s="1" t="n">
        <v>45931</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31108-2025</t>
        </is>
      </c>
      <c r="B1518" s="1" t="n">
        <v>45832</v>
      </c>
      <c r="C1518" s="1" t="n">
        <v>45931</v>
      </c>
      <c r="D1518" t="inlineStr">
        <is>
          <t>VÄSTERBOTTENS LÄN</t>
        </is>
      </c>
      <c r="E1518" t="inlineStr">
        <is>
          <t>SKELLEFTEÅ</t>
        </is>
      </c>
      <c r="F1518" t="inlineStr">
        <is>
          <t>Holmen skog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10825-2024</t>
        </is>
      </c>
      <c r="B1519" s="1" t="n">
        <v>45369</v>
      </c>
      <c r="C1519" s="1" t="n">
        <v>45931</v>
      </c>
      <c r="D1519" t="inlineStr">
        <is>
          <t>VÄSTERBOTTENS LÄN</t>
        </is>
      </c>
      <c r="E1519" t="inlineStr">
        <is>
          <t>SKELLEFTEÅ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900-2023</t>
        </is>
      </c>
      <c r="B1520" s="1" t="n">
        <v>44931.9255324074</v>
      </c>
      <c r="C1520" s="1" t="n">
        <v>45931</v>
      </c>
      <c r="D1520" t="inlineStr">
        <is>
          <t>VÄSTERBOTTENS LÄN</t>
        </is>
      </c>
      <c r="E1520" t="inlineStr">
        <is>
          <t>SKELLEFTEÅ</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9079-2023</t>
        </is>
      </c>
      <c r="B1521" s="1" t="n">
        <v>44979.92408564815</v>
      </c>
      <c r="C1521" s="1" t="n">
        <v>45931</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65009-2023</t>
        </is>
      </c>
      <c r="B1522" s="1" t="n">
        <v>45287.37836805556</v>
      </c>
      <c r="C1522" s="1" t="n">
        <v>45931</v>
      </c>
      <c r="D1522" t="inlineStr">
        <is>
          <t>VÄSTERBOTTENS LÄN</t>
        </is>
      </c>
      <c r="E1522" t="inlineStr">
        <is>
          <t>SKELLEFTEÅ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57848-2022</t>
        </is>
      </c>
      <c r="B1523" s="1" t="n">
        <v>44898.00032407408</v>
      </c>
      <c r="C1523" s="1" t="n">
        <v>45931</v>
      </c>
      <c r="D1523" t="inlineStr">
        <is>
          <t>VÄSTERBOTTENS LÄN</t>
        </is>
      </c>
      <c r="E1523" t="inlineStr">
        <is>
          <t>SKELLEFTEÅ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58830-2024</t>
        </is>
      </c>
      <c r="B1524" s="1" t="n">
        <v>45636</v>
      </c>
      <c r="C1524" s="1" t="n">
        <v>45931</v>
      </c>
      <c r="D1524" t="inlineStr">
        <is>
          <t>VÄSTERBOTTENS LÄN</t>
        </is>
      </c>
      <c r="E1524" t="inlineStr">
        <is>
          <t>SKELLEFTEÅ</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16202-2025</t>
        </is>
      </c>
      <c r="B1525" s="1" t="n">
        <v>45750.61587962963</v>
      </c>
      <c r="C1525" s="1" t="n">
        <v>45931</v>
      </c>
      <c r="D1525" t="inlineStr">
        <is>
          <t>VÄSTERBOTTENS LÄN</t>
        </is>
      </c>
      <c r="E1525" t="inlineStr">
        <is>
          <t>SKELLEFTEÅ</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16219-2025</t>
        </is>
      </c>
      <c r="B1526" s="1" t="n">
        <v>45750</v>
      </c>
      <c r="C1526" s="1" t="n">
        <v>45931</v>
      </c>
      <c r="D1526" t="inlineStr">
        <is>
          <t>VÄSTERBOTTENS LÄN</t>
        </is>
      </c>
      <c r="E1526" t="inlineStr">
        <is>
          <t>SKELLEFTEÅ</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23169-2024</t>
        </is>
      </c>
      <c r="B1527" s="1" t="n">
        <v>45450</v>
      </c>
      <c r="C1527" s="1" t="n">
        <v>45931</v>
      </c>
      <c r="D1527" t="inlineStr">
        <is>
          <t>VÄSTERBOTTENS LÄN</t>
        </is>
      </c>
      <c r="E1527" t="inlineStr">
        <is>
          <t>SKELLEFTEÅ</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57199-2024</t>
        </is>
      </c>
      <c r="B1528" s="1" t="n">
        <v>45628</v>
      </c>
      <c r="C1528" s="1" t="n">
        <v>45931</v>
      </c>
      <c r="D1528" t="inlineStr">
        <is>
          <t>VÄSTERBOTTENS LÄN</t>
        </is>
      </c>
      <c r="E1528" t="inlineStr">
        <is>
          <t>SKELLEFTEÅ</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58250-2022</t>
        </is>
      </c>
      <c r="B1529" s="1" t="n">
        <v>44894</v>
      </c>
      <c r="C1529" s="1" t="n">
        <v>45931</v>
      </c>
      <c r="D1529" t="inlineStr">
        <is>
          <t>VÄSTERBOTTENS LÄN</t>
        </is>
      </c>
      <c r="E1529" t="inlineStr">
        <is>
          <t>SKELLEFTEÅ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4022-2024</t>
        </is>
      </c>
      <c r="B1530" s="1" t="n">
        <v>45323</v>
      </c>
      <c r="C1530" s="1" t="n">
        <v>45931</v>
      </c>
      <c r="D1530" t="inlineStr">
        <is>
          <t>VÄSTERBOTTENS LÄN</t>
        </is>
      </c>
      <c r="E1530" t="inlineStr">
        <is>
          <t>SKELLEFTEÅ</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24327-2023</t>
        </is>
      </c>
      <c r="B1531" s="1" t="n">
        <v>45080</v>
      </c>
      <c r="C1531" s="1" t="n">
        <v>45931</v>
      </c>
      <c r="D1531" t="inlineStr">
        <is>
          <t>VÄSTERBOTTENS LÄN</t>
        </is>
      </c>
      <c r="E1531" t="inlineStr">
        <is>
          <t>SKELLEFTEÅ</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5602-2023</t>
        </is>
      </c>
      <c r="B1532" s="1" t="n">
        <v>44960.55158564815</v>
      </c>
      <c r="C1532" s="1" t="n">
        <v>45931</v>
      </c>
      <c r="D1532" t="inlineStr">
        <is>
          <t>VÄSTERBOTTENS LÄN</t>
        </is>
      </c>
      <c r="E1532" t="inlineStr">
        <is>
          <t>SKELLEFTEÅ</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31197-2024</t>
        </is>
      </c>
      <c r="B1533" s="1" t="n">
        <v>45503.51806712963</v>
      </c>
      <c r="C1533" s="1" t="n">
        <v>45931</v>
      </c>
      <c r="D1533" t="inlineStr">
        <is>
          <t>VÄSTERBOTTENS LÄN</t>
        </is>
      </c>
      <c r="E1533" t="inlineStr">
        <is>
          <t>SKELLEFTEÅ</t>
        </is>
      </c>
      <c r="F1533" t="inlineStr">
        <is>
          <t>Holmen skog AB</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36208-2022</t>
        </is>
      </c>
      <c r="B1534" s="1" t="n">
        <v>44803</v>
      </c>
      <c r="C1534" s="1" t="n">
        <v>45931</v>
      </c>
      <c r="D1534" t="inlineStr">
        <is>
          <t>VÄSTERBOTTENS LÄN</t>
        </is>
      </c>
      <c r="E1534" t="inlineStr">
        <is>
          <t>SKELLEFTEÅ</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30711-2025</t>
        </is>
      </c>
      <c r="B1535" s="1" t="n">
        <v>45831.55188657407</v>
      </c>
      <c r="C1535" s="1" t="n">
        <v>45931</v>
      </c>
      <c r="D1535" t="inlineStr">
        <is>
          <t>VÄSTERBOTTENS LÄN</t>
        </is>
      </c>
      <c r="E1535" t="inlineStr">
        <is>
          <t>SKELLEFTEÅ</t>
        </is>
      </c>
      <c r="F1535" t="inlineStr">
        <is>
          <t>Sveaskog</t>
        </is>
      </c>
      <c r="G1535" t="n">
        <v>21.5</v>
      </c>
      <c r="H1535" t="n">
        <v>0</v>
      </c>
      <c r="I1535" t="n">
        <v>0</v>
      </c>
      <c r="J1535" t="n">
        <v>0</v>
      </c>
      <c r="K1535" t="n">
        <v>0</v>
      </c>
      <c r="L1535" t="n">
        <v>0</v>
      </c>
      <c r="M1535" t="n">
        <v>0</v>
      </c>
      <c r="N1535" t="n">
        <v>0</v>
      </c>
      <c r="O1535" t="n">
        <v>0</v>
      </c>
      <c r="P1535" t="n">
        <v>0</v>
      </c>
      <c r="Q1535" t="n">
        <v>0</v>
      </c>
      <c r="R1535" s="2" t="inlineStr"/>
    </row>
    <row r="1536" ht="15" customHeight="1">
      <c r="A1536" t="inlineStr">
        <is>
          <t>A 30791-2025</t>
        </is>
      </c>
      <c r="B1536" s="1" t="n">
        <v>45831.63576388889</v>
      </c>
      <c r="C1536" s="1" t="n">
        <v>45931</v>
      </c>
      <c r="D1536" t="inlineStr">
        <is>
          <t>VÄSTERBOTTENS LÄN</t>
        </is>
      </c>
      <c r="E1536" t="inlineStr">
        <is>
          <t>SKELLEFTEÅ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41198-2024</t>
        </is>
      </c>
      <c r="B1537" s="1" t="n">
        <v>45559.51533564815</v>
      </c>
      <c r="C1537" s="1" t="n">
        <v>45931</v>
      </c>
      <c r="D1537" t="inlineStr">
        <is>
          <t>VÄSTERBOTTENS LÄN</t>
        </is>
      </c>
      <c r="E1537" t="inlineStr">
        <is>
          <t>SKELLEFTEÅ</t>
        </is>
      </c>
      <c r="F1537" t="inlineStr">
        <is>
          <t>Holmen skog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49981-2024</t>
        </is>
      </c>
      <c r="B1538" s="1" t="n">
        <v>45597.75133101852</v>
      </c>
      <c r="C1538" s="1" t="n">
        <v>45931</v>
      </c>
      <c r="D1538" t="inlineStr">
        <is>
          <t>VÄSTERBOTTENS LÄN</t>
        </is>
      </c>
      <c r="E1538" t="inlineStr">
        <is>
          <t>SKELLEFTEÅ</t>
        </is>
      </c>
      <c r="F1538" t="inlineStr">
        <is>
          <t>Sveaskog</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52157-2024</t>
        </is>
      </c>
      <c r="B1539" s="1" t="n">
        <v>45608.52555555556</v>
      </c>
      <c r="C1539" s="1" t="n">
        <v>45931</v>
      </c>
      <c r="D1539" t="inlineStr">
        <is>
          <t>VÄSTERBOTTENS LÄN</t>
        </is>
      </c>
      <c r="E1539" t="inlineStr">
        <is>
          <t>SKELLEFTEÅ</t>
        </is>
      </c>
      <c r="F1539" t="inlineStr">
        <is>
          <t>Holmen skog AB</t>
        </is>
      </c>
      <c r="G1539" t="n">
        <v>10.3</v>
      </c>
      <c r="H1539" t="n">
        <v>0</v>
      </c>
      <c r="I1539" t="n">
        <v>0</v>
      </c>
      <c r="J1539" t="n">
        <v>0</v>
      </c>
      <c r="K1539" t="n">
        <v>0</v>
      </c>
      <c r="L1539" t="n">
        <v>0</v>
      </c>
      <c r="M1539" t="n">
        <v>0</v>
      </c>
      <c r="N1539" t="n">
        <v>0</v>
      </c>
      <c r="O1539" t="n">
        <v>0</v>
      </c>
      <c r="P1539" t="n">
        <v>0</v>
      </c>
      <c r="Q1539" t="n">
        <v>0</v>
      </c>
      <c r="R1539" s="2" t="inlineStr"/>
    </row>
    <row r="1540" ht="15" customHeight="1">
      <c r="A1540" t="inlineStr">
        <is>
          <t>A 52920-2024</t>
        </is>
      </c>
      <c r="B1540" s="1" t="n">
        <v>45610</v>
      </c>
      <c r="C1540" s="1" t="n">
        <v>45931</v>
      </c>
      <c r="D1540" t="inlineStr">
        <is>
          <t>VÄSTERBOTTENS LÄN</t>
        </is>
      </c>
      <c r="E1540" t="inlineStr">
        <is>
          <t>SKELLEFTEÅ</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19491-2023</t>
        </is>
      </c>
      <c r="B1541" s="1" t="n">
        <v>45049</v>
      </c>
      <c r="C1541" s="1" t="n">
        <v>45931</v>
      </c>
      <c r="D1541" t="inlineStr">
        <is>
          <t>VÄSTERBOTTENS LÄN</t>
        </is>
      </c>
      <c r="E1541" t="inlineStr">
        <is>
          <t>SKELLEFTEÅ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31627-2025</t>
        </is>
      </c>
      <c r="B1542" s="1" t="n">
        <v>45834.30527777778</v>
      </c>
      <c r="C1542" s="1" t="n">
        <v>45931</v>
      </c>
      <c r="D1542" t="inlineStr">
        <is>
          <t>VÄSTERBOTTENS LÄN</t>
        </is>
      </c>
      <c r="E1542" t="inlineStr">
        <is>
          <t>SKELLEFTEÅ</t>
        </is>
      </c>
      <c r="F1542" t="inlineStr">
        <is>
          <t>Holmen skog AB</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42357-2022</t>
        </is>
      </c>
      <c r="B1543" s="1" t="n">
        <v>44827</v>
      </c>
      <c r="C1543" s="1" t="n">
        <v>45931</v>
      </c>
      <c r="D1543" t="inlineStr">
        <is>
          <t>VÄSTERBOTTENS LÄN</t>
        </is>
      </c>
      <c r="E1543" t="inlineStr">
        <is>
          <t>SKELLEFTEÅ</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31628-2025</t>
        </is>
      </c>
      <c r="B1544" s="1" t="n">
        <v>45834.30734953703</v>
      </c>
      <c r="C1544" s="1" t="n">
        <v>45931</v>
      </c>
      <c r="D1544" t="inlineStr">
        <is>
          <t>VÄSTERBOTTENS LÄN</t>
        </is>
      </c>
      <c r="E1544" t="inlineStr">
        <is>
          <t>SKELLEFTEÅ</t>
        </is>
      </c>
      <c r="F1544" t="inlineStr">
        <is>
          <t>Holmen skog AB</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31670-2025</t>
        </is>
      </c>
      <c r="B1545" s="1" t="n">
        <v>45834.36549768518</v>
      </c>
      <c r="C1545" s="1" t="n">
        <v>45931</v>
      </c>
      <c r="D1545" t="inlineStr">
        <is>
          <t>VÄSTERBOTTENS LÄN</t>
        </is>
      </c>
      <c r="E1545" t="inlineStr">
        <is>
          <t>SKELLEFTEÅ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31355-2025</t>
        </is>
      </c>
      <c r="B1546" s="1" t="n">
        <v>45833.43050925926</v>
      </c>
      <c r="C1546" s="1" t="n">
        <v>45931</v>
      </c>
      <c r="D1546" t="inlineStr">
        <is>
          <t>VÄSTERBOTTENS LÄN</t>
        </is>
      </c>
      <c r="E1546" t="inlineStr">
        <is>
          <t>SKELLEFTEÅ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31797-2025</t>
        </is>
      </c>
      <c r="B1547" s="1" t="n">
        <v>45834.55078703703</v>
      </c>
      <c r="C1547" s="1" t="n">
        <v>45931</v>
      </c>
      <c r="D1547" t="inlineStr">
        <is>
          <t>VÄSTERBOTTENS LÄN</t>
        </is>
      </c>
      <c r="E1547" t="inlineStr">
        <is>
          <t>SKELLEFTEÅ</t>
        </is>
      </c>
      <c r="G1547" t="n">
        <v>19.1</v>
      </c>
      <c r="H1547" t="n">
        <v>0</v>
      </c>
      <c r="I1547" t="n">
        <v>0</v>
      </c>
      <c r="J1547" t="n">
        <v>0</v>
      </c>
      <c r="K1547" t="n">
        <v>0</v>
      </c>
      <c r="L1547" t="n">
        <v>0</v>
      </c>
      <c r="M1547" t="n">
        <v>0</v>
      </c>
      <c r="N1547" t="n">
        <v>0</v>
      </c>
      <c r="O1547" t="n">
        <v>0</v>
      </c>
      <c r="P1547" t="n">
        <v>0</v>
      </c>
      <c r="Q1547" t="n">
        <v>0</v>
      </c>
      <c r="R1547" s="2" t="inlineStr"/>
    </row>
    <row r="1548" ht="15" customHeight="1">
      <c r="A1548" t="inlineStr">
        <is>
          <t>A 31780-2025</t>
        </is>
      </c>
      <c r="B1548" s="1" t="n">
        <v>45834.52940972222</v>
      </c>
      <c r="C1548" s="1" t="n">
        <v>45931</v>
      </c>
      <c r="D1548" t="inlineStr">
        <is>
          <t>VÄSTERBOTTENS LÄN</t>
        </is>
      </c>
      <c r="E1548" t="inlineStr">
        <is>
          <t>SKELLEFTEÅ</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31520-2025</t>
        </is>
      </c>
      <c r="B1549" s="1" t="n">
        <v>45833.60758101852</v>
      </c>
      <c r="C1549" s="1" t="n">
        <v>45931</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31257-2025</t>
        </is>
      </c>
      <c r="B1550" s="1" t="n">
        <v>45833.32091435185</v>
      </c>
      <c r="C1550" s="1" t="n">
        <v>45931</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11629-2023</t>
        </is>
      </c>
      <c r="B1551" s="1" t="n">
        <v>44994.43855324074</v>
      </c>
      <c r="C1551" s="1" t="n">
        <v>45931</v>
      </c>
      <c r="D1551" t="inlineStr">
        <is>
          <t>VÄSTERBOTTENS LÄN</t>
        </is>
      </c>
      <c r="E1551" t="inlineStr">
        <is>
          <t>SKELLEFTEÅ</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31727-2025</t>
        </is>
      </c>
      <c r="B1552" s="1" t="n">
        <v>45834.46859953704</v>
      </c>
      <c r="C1552" s="1" t="n">
        <v>45931</v>
      </c>
      <c r="D1552" t="inlineStr">
        <is>
          <t>VÄSTERBOTTENS LÄN</t>
        </is>
      </c>
      <c r="E1552" t="inlineStr">
        <is>
          <t>SKELLEFTEÅ</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57530-2021</t>
        </is>
      </c>
      <c r="B1553" s="1" t="n">
        <v>44483</v>
      </c>
      <c r="C1553" s="1" t="n">
        <v>45931</v>
      </c>
      <c r="D1553" t="inlineStr">
        <is>
          <t>VÄSTERBOTTENS LÄN</t>
        </is>
      </c>
      <c r="E1553" t="inlineStr">
        <is>
          <t>SKELLEFTEÅ</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31271-2025</t>
        </is>
      </c>
      <c r="B1554" s="1" t="n">
        <v>45833.33717592592</v>
      </c>
      <c r="C1554" s="1" t="n">
        <v>45931</v>
      </c>
      <c r="D1554" t="inlineStr">
        <is>
          <t>VÄSTERBOTTENS LÄN</t>
        </is>
      </c>
      <c r="E1554" t="inlineStr">
        <is>
          <t>SKELLEFTEÅ</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1666-2023</t>
        </is>
      </c>
      <c r="B1555" s="1" t="n">
        <v>44938.36417824074</v>
      </c>
      <c r="C1555" s="1" t="n">
        <v>45931</v>
      </c>
      <c r="D1555" t="inlineStr">
        <is>
          <t>VÄSTERBOTTENS LÄN</t>
        </is>
      </c>
      <c r="E1555" t="inlineStr">
        <is>
          <t>SKELLEFTEÅ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22859-2024</t>
        </is>
      </c>
      <c r="B1556" s="1" t="n">
        <v>45448</v>
      </c>
      <c r="C1556" s="1" t="n">
        <v>45931</v>
      </c>
      <c r="D1556" t="inlineStr">
        <is>
          <t>VÄSTERBOTTENS LÄN</t>
        </is>
      </c>
      <c r="E1556" t="inlineStr">
        <is>
          <t>SKELLEFTEÅ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2090-2024</t>
        </is>
      </c>
      <c r="B1557" s="1" t="n">
        <v>45309.434375</v>
      </c>
      <c r="C1557" s="1" t="n">
        <v>45931</v>
      </c>
      <c r="D1557" t="inlineStr">
        <is>
          <t>VÄSTERBOTTENS LÄN</t>
        </is>
      </c>
      <c r="E1557" t="inlineStr">
        <is>
          <t>SKELLEFTEÅ</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56952-2024</t>
        </is>
      </c>
      <c r="B1558" s="1" t="n">
        <v>45628</v>
      </c>
      <c r="C1558" s="1" t="n">
        <v>45931</v>
      </c>
      <c r="D1558" t="inlineStr">
        <is>
          <t>VÄSTERBOTTENS LÄN</t>
        </is>
      </c>
      <c r="E1558" t="inlineStr">
        <is>
          <t>SKELLEFTEÅ</t>
        </is>
      </c>
      <c r="F1558" t="inlineStr">
        <is>
          <t>Holmen skog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56983-2024</t>
        </is>
      </c>
      <c r="B1559" s="1" t="n">
        <v>45628.69109953703</v>
      </c>
      <c r="C1559" s="1" t="n">
        <v>45931</v>
      </c>
      <c r="D1559" t="inlineStr">
        <is>
          <t>VÄSTERBOTTENS LÄN</t>
        </is>
      </c>
      <c r="E1559" t="inlineStr">
        <is>
          <t>SKELLEFTEÅ</t>
        </is>
      </c>
      <c r="F1559" t="inlineStr">
        <is>
          <t>Holmen skog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46282-2024</t>
        </is>
      </c>
      <c r="B1560" s="1" t="n">
        <v>45581.6378587963</v>
      </c>
      <c r="C1560" s="1" t="n">
        <v>45931</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31743-2025</t>
        </is>
      </c>
      <c r="B1561" s="1" t="n">
        <v>45834.47671296296</v>
      </c>
      <c r="C1561" s="1" t="n">
        <v>45931</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31779-2025</t>
        </is>
      </c>
      <c r="B1562" s="1" t="n">
        <v>45834.52873842593</v>
      </c>
      <c r="C1562" s="1" t="n">
        <v>45931</v>
      </c>
      <c r="D1562" t="inlineStr">
        <is>
          <t>VÄSTERBOTTENS LÄN</t>
        </is>
      </c>
      <c r="E1562" t="inlineStr">
        <is>
          <t>SKELLEFTEÅ</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31717-2025</t>
        </is>
      </c>
      <c r="B1563" s="1" t="n">
        <v>45834.46008101852</v>
      </c>
      <c r="C1563" s="1" t="n">
        <v>45931</v>
      </c>
      <c r="D1563" t="inlineStr">
        <is>
          <t>VÄSTERBOTTENS LÄN</t>
        </is>
      </c>
      <c r="E1563" t="inlineStr">
        <is>
          <t>SKELLEFTEÅ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31739-2025</t>
        </is>
      </c>
      <c r="B1564" s="1" t="n">
        <v>45834.47350694444</v>
      </c>
      <c r="C1564" s="1" t="n">
        <v>45931</v>
      </c>
      <c r="D1564" t="inlineStr">
        <is>
          <t>VÄSTERBOTTENS LÄN</t>
        </is>
      </c>
      <c r="E1564" t="inlineStr">
        <is>
          <t>SKELLEFTEÅ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15899-2023</t>
        </is>
      </c>
      <c r="B1565" s="1" t="n">
        <v>45021</v>
      </c>
      <c r="C1565" s="1" t="n">
        <v>45931</v>
      </c>
      <c r="D1565" t="inlineStr">
        <is>
          <t>VÄSTERBOTTENS LÄN</t>
        </is>
      </c>
      <c r="E1565" t="inlineStr">
        <is>
          <t>SKELLEFTEÅ</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31669-2025</t>
        </is>
      </c>
      <c r="B1566" s="1" t="n">
        <v>45834.36547453704</v>
      </c>
      <c r="C1566" s="1" t="n">
        <v>45931</v>
      </c>
      <c r="D1566" t="inlineStr">
        <is>
          <t>VÄSTERBOTTENS LÄN</t>
        </is>
      </c>
      <c r="E1566" t="inlineStr">
        <is>
          <t>SKELLEFTEÅ</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31688-2025</t>
        </is>
      </c>
      <c r="B1567" s="1" t="n">
        <v>45834.40149305556</v>
      </c>
      <c r="C1567" s="1" t="n">
        <v>45931</v>
      </c>
      <c r="D1567" t="inlineStr">
        <is>
          <t>VÄSTERBOTTENS LÄN</t>
        </is>
      </c>
      <c r="E1567" t="inlineStr">
        <is>
          <t>SKELLEFTEÅ</t>
        </is>
      </c>
      <c r="F1567" t="inlineStr">
        <is>
          <t>Holmen skog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61730-2023</t>
        </is>
      </c>
      <c r="B1568" s="1" t="n">
        <v>45264</v>
      </c>
      <c r="C1568" s="1" t="n">
        <v>45931</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28567-2025</t>
        </is>
      </c>
      <c r="B1569" s="1" t="n">
        <v>45819</v>
      </c>
      <c r="C1569" s="1" t="n">
        <v>45931</v>
      </c>
      <c r="D1569" t="inlineStr">
        <is>
          <t>VÄSTERBOTTENS LÄN</t>
        </is>
      </c>
      <c r="E1569" t="inlineStr">
        <is>
          <t>SKELLEFTEÅ</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32640-2025</t>
        </is>
      </c>
      <c r="B1570" s="1" t="n">
        <v>45838.65730324074</v>
      </c>
      <c r="C1570" s="1" t="n">
        <v>45931</v>
      </c>
      <c r="D1570" t="inlineStr">
        <is>
          <t>VÄSTERBOTTENS LÄN</t>
        </is>
      </c>
      <c r="E1570" t="inlineStr">
        <is>
          <t>SKELLEFTEÅ</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31988-2025</t>
        </is>
      </c>
      <c r="B1571" s="1" t="n">
        <v>45835.363125</v>
      </c>
      <c r="C1571" s="1" t="n">
        <v>45931</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32066-2025</t>
        </is>
      </c>
      <c r="B1572" s="1" t="n">
        <v>45835.44824074074</v>
      </c>
      <c r="C1572" s="1" t="n">
        <v>45931</v>
      </c>
      <c r="D1572" t="inlineStr">
        <is>
          <t>VÄSTERBOTTENS LÄN</t>
        </is>
      </c>
      <c r="E1572" t="inlineStr">
        <is>
          <t>SKELLEFTEÅ</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31938-2025</t>
        </is>
      </c>
      <c r="B1573" s="1" t="n">
        <v>45835.29355324074</v>
      </c>
      <c r="C1573" s="1" t="n">
        <v>45931</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5876-2025</t>
        </is>
      </c>
      <c r="B1574" s="1" t="n">
        <v>45694</v>
      </c>
      <c r="C1574" s="1" t="n">
        <v>45931</v>
      </c>
      <c r="D1574" t="inlineStr">
        <is>
          <t>VÄSTERBOTTENS LÄN</t>
        </is>
      </c>
      <c r="E1574" t="inlineStr">
        <is>
          <t>SKELLEFTEÅ</t>
        </is>
      </c>
      <c r="G1574" t="n">
        <v>60.7</v>
      </c>
      <c r="H1574" t="n">
        <v>0</v>
      </c>
      <c r="I1574" t="n">
        <v>0</v>
      </c>
      <c r="J1574" t="n">
        <v>0</v>
      </c>
      <c r="K1574" t="n">
        <v>0</v>
      </c>
      <c r="L1574" t="n">
        <v>0</v>
      </c>
      <c r="M1574" t="n">
        <v>0</v>
      </c>
      <c r="N1574" t="n">
        <v>0</v>
      </c>
      <c r="O1574" t="n">
        <v>0</v>
      </c>
      <c r="P1574" t="n">
        <v>0</v>
      </c>
      <c r="Q1574" t="n">
        <v>0</v>
      </c>
      <c r="R1574" s="2" t="inlineStr"/>
    </row>
    <row r="1575" ht="15" customHeight="1">
      <c r="A1575" t="inlineStr">
        <is>
          <t>A 32450-2025</t>
        </is>
      </c>
      <c r="B1575" s="1" t="n">
        <v>45838.38953703704</v>
      </c>
      <c r="C1575" s="1" t="n">
        <v>45931</v>
      </c>
      <c r="D1575" t="inlineStr">
        <is>
          <t>VÄSTERBOTTENS LÄN</t>
        </is>
      </c>
      <c r="E1575" t="inlineStr">
        <is>
          <t>SKELLEFTEÅ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8648-2023</t>
        </is>
      </c>
      <c r="B1576" s="1" t="n">
        <v>44977.98358796296</v>
      </c>
      <c r="C1576" s="1" t="n">
        <v>45931</v>
      </c>
      <c r="D1576" t="inlineStr">
        <is>
          <t>VÄSTERBOTTENS LÄN</t>
        </is>
      </c>
      <c r="E1576" t="inlineStr">
        <is>
          <t>SKELLEFTEÅ</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32639-2025</t>
        </is>
      </c>
      <c r="B1577" s="1" t="n">
        <v>45838.65726851852</v>
      </c>
      <c r="C1577" s="1" t="n">
        <v>45931</v>
      </c>
      <c r="D1577" t="inlineStr">
        <is>
          <t>VÄSTERBOTTENS LÄN</t>
        </is>
      </c>
      <c r="E1577" t="inlineStr">
        <is>
          <t>SKELLEFTEÅ</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32638-2025</t>
        </is>
      </c>
      <c r="B1578" s="1" t="n">
        <v>45838.65724537037</v>
      </c>
      <c r="C1578" s="1" t="n">
        <v>45931</v>
      </c>
      <c r="D1578" t="inlineStr">
        <is>
          <t>VÄSTERBOTTENS LÄN</t>
        </is>
      </c>
      <c r="E1578" t="inlineStr">
        <is>
          <t>SKELLEFTEÅ</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32578-2025</t>
        </is>
      </c>
      <c r="B1579" s="1" t="n">
        <v>45838.59311342592</v>
      </c>
      <c r="C1579" s="1" t="n">
        <v>45931</v>
      </c>
      <c r="D1579" t="inlineStr">
        <is>
          <t>VÄSTERBOTTENS LÄN</t>
        </is>
      </c>
      <c r="E1579" t="inlineStr">
        <is>
          <t>SKELLEFTEÅ</t>
        </is>
      </c>
      <c r="F1579" t="inlineStr">
        <is>
          <t>Holmen skog AB</t>
        </is>
      </c>
      <c r="G1579" t="n">
        <v>12.3</v>
      </c>
      <c r="H1579" t="n">
        <v>0</v>
      </c>
      <c r="I1579" t="n">
        <v>0</v>
      </c>
      <c r="J1579" t="n">
        <v>0</v>
      </c>
      <c r="K1579" t="n">
        <v>0</v>
      </c>
      <c r="L1579" t="n">
        <v>0</v>
      </c>
      <c r="M1579" t="n">
        <v>0</v>
      </c>
      <c r="N1579" t="n">
        <v>0</v>
      </c>
      <c r="O1579" t="n">
        <v>0</v>
      </c>
      <c r="P1579" t="n">
        <v>0</v>
      </c>
      <c r="Q1579" t="n">
        <v>0</v>
      </c>
      <c r="R1579" s="2" t="inlineStr"/>
    </row>
    <row r="1580" ht="15" customHeight="1">
      <c r="A1580" t="inlineStr">
        <is>
          <t>A 32329-2025</t>
        </is>
      </c>
      <c r="B1580" s="1" t="n">
        <v>45836.48517361111</v>
      </c>
      <c r="C1580" s="1" t="n">
        <v>45931</v>
      </c>
      <c r="D1580" t="inlineStr">
        <is>
          <t>VÄSTERBOTTENS LÄN</t>
        </is>
      </c>
      <c r="E1580" t="inlineStr">
        <is>
          <t>SKELLEFTEÅ</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32451-2025</t>
        </is>
      </c>
      <c r="B1581" s="1" t="n">
        <v>45838.39283564815</v>
      </c>
      <c r="C1581" s="1" t="n">
        <v>45931</v>
      </c>
      <c r="D1581" t="inlineStr">
        <is>
          <t>VÄSTERBOTTENS LÄN</t>
        </is>
      </c>
      <c r="E1581" t="inlineStr">
        <is>
          <t>SKELLEFTEÅ</t>
        </is>
      </c>
      <c r="F1581" t="inlineStr">
        <is>
          <t>Holmen skog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32550-2025</t>
        </is>
      </c>
      <c r="B1582" s="1" t="n">
        <v>45838.54916666666</v>
      </c>
      <c r="C1582" s="1" t="n">
        <v>45931</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17086-2023</t>
        </is>
      </c>
      <c r="B1583" s="1" t="n">
        <v>45030</v>
      </c>
      <c r="C1583" s="1" t="n">
        <v>45931</v>
      </c>
      <c r="D1583" t="inlineStr">
        <is>
          <t>VÄSTERBOTTENS LÄN</t>
        </is>
      </c>
      <c r="E1583" t="inlineStr">
        <is>
          <t>SKELLEFTEÅ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32551-2025</t>
        </is>
      </c>
      <c r="B1584" s="1" t="n">
        <v>45838.5503587963</v>
      </c>
      <c r="C1584" s="1" t="n">
        <v>45931</v>
      </c>
      <c r="D1584" t="inlineStr">
        <is>
          <t>VÄSTERBOTTENS LÄN</t>
        </is>
      </c>
      <c r="E1584" t="inlineStr">
        <is>
          <t>SKELLEFTEÅ</t>
        </is>
      </c>
      <c r="F1584" t="inlineStr">
        <is>
          <t>Holmen skog AB</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57440-2023</t>
        </is>
      </c>
      <c r="B1585" s="1" t="n">
        <v>45240</v>
      </c>
      <c r="C1585" s="1" t="n">
        <v>45931</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46181-2022</t>
        </is>
      </c>
      <c r="B1586" s="1" t="n">
        <v>44845</v>
      </c>
      <c r="C1586" s="1" t="n">
        <v>45931</v>
      </c>
      <c r="D1586" t="inlineStr">
        <is>
          <t>VÄSTERBOTTENS LÄN</t>
        </is>
      </c>
      <c r="E1586" t="inlineStr">
        <is>
          <t>SKELLEFTEÅ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32601-2025</t>
        </is>
      </c>
      <c r="B1587" s="1" t="n">
        <v>45838.62275462963</v>
      </c>
      <c r="C1587" s="1" t="n">
        <v>45931</v>
      </c>
      <c r="D1587" t="inlineStr">
        <is>
          <t>VÄSTERBOTTENS LÄN</t>
        </is>
      </c>
      <c r="E1587" t="inlineStr">
        <is>
          <t>SKELLEFTEÅ</t>
        </is>
      </c>
      <c r="F1587" t="inlineStr">
        <is>
          <t>Holmen skog AB</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32486-2025</t>
        </is>
      </c>
      <c r="B1588" s="1" t="n">
        <v>45838.44112268519</v>
      </c>
      <c r="C1588" s="1" t="n">
        <v>45931</v>
      </c>
      <c r="D1588" t="inlineStr">
        <is>
          <t>VÄSTERBOTTENS LÄN</t>
        </is>
      </c>
      <c r="E1588" t="inlineStr">
        <is>
          <t>SKELLEFTEÅ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64370-2023</t>
        </is>
      </c>
      <c r="B1589" s="1" t="n">
        <v>45280</v>
      </c>
      <c r="C1589" s="1" t="n">
        <v>45931</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48264-2023</t>
        </is>
      </c>
      <c r="B1590" s="1" t="n">
        <v>45205.53902777778</v>
      </c>
      <c r="C1590" s="1" t="n">
        <v>45931</v>
      </c>
      <c r="D1590" t="inlineStr">
        <is>
          <t>VÄSTERBOTTENS LÄN</t>
        </is>
      </c>
      <c r="E1590" t="inlineStr">
        <is>
          <t>SKELLEFTEÅ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52141-2022</t>
        </is>
      </c>
      <c r="B1591" s="1" t="n">
        <v>44868</v>
      </c>
      <c r="C1591" s="1" t="n">
        <v>45931</v>
      </c>
      <c r="D1591" t="inlineStr">
        <is>
          <t>VÄSTERBOTTENS LÄN</t>
        </is>
      </c>
      <c r="E1591" t="inlineStr">
        <is>
          <t>SKELLEFTEÅ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31958-2025</t>
        </is>
      </c>
      <c r="B1592" s="1" t="n">
        <v>45835.34219907408</v>
      </c>
      <c r="C1592" s="1" t="n">
        <v>45931</v>
      </c>
      <c r="D1592" t="inlineStr">
        <is>
          <t>VÄSTERBOTTENS LÄN</t>
        </is>
      </c>
      <c r="E1592" t="inlineStr">
        <is>
          <t>SKELLEFTEÅ</t>
        </is>
      </c>
      <c r="F1592" t="inlineStr">
        <is>
          <t>Holmen skog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31997-2025</t>
        </is>
      </c>
      <c r="B1593" s="1" t="n">
        <v>45835.37637731482</v>
      </c>
      <c r="C1593" s="1" t="n">
        <v>45931</v>
      </c>
      <c r="D1593" t="inlineStr">
        <is>
          <t>VÄSTERBOTTENS LÄN</t>
        </is>
      </c>
      <c r="E1593" t="inlineStr">
        <is>
          <t>SKELLEFTEÅ</t>
        </is>
      </c>
      <c r="F1593" t="inlineStr">
        <is>
          <t>Holmen skog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62642-2022</t>
        </is>
      </c>
      <c r="B1594" s="1" t="n">
        <v>44925</v>
      </c>
      <c r="C1594" s="1" t="n">
        <v>45931</v>
      </c>
      <c r="D1594" t="inlineStr">
        <is>
          <t>VÄSTERBOTTENS LÄN</t>
        </is>
      </c>
      <c r="E1594" t="inlineStr">
        <is>
          <t>SKELLEFTEÅ</t>
        </is>
      </c>
      <c r="F1594" t="inlineStr">
        <is>
          <t>Holmen skog AB</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26253-2024</t>
        </is>
      </c>
      <c r="B1595" s="1" t="n">
        <v>45468.64837962963</v>
      </c>
      <c r="C1595" s="1" t="n">
        <v>45931</v>
      </c>
      <c r="D1595" t="inlineStr">
        <is>
          <t>VÄSTERBOTTENS LÄN</t>
        </is>
      </c>
      <c r="E1595" t="inlineStr">
        <is>
          <t>SKELLEFTEÅ</t>
        </is>
      </c>
      <c r="F1595" t="inlineStr">
        <is>
          <t>Holmen skog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1859-2023</t>
        </is>
      </c>
      <c r="B1596" s="1" t="n">
        <v>44938.92320601852</v>
      </c>
      <c r="C1596" s="1" t="n">
        <v>45931</v>
      </c>
      <c r="D1596" t="inlineStr">
        <is>
          <t>VÄSTERBOTTENS LÄN</t>
        </is>
      </c>
      <c r="E1596" t="inlineStr">
        <is>
          <t>SKELLEFTEÅ</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32485-2025</t>
        </is>
      </c>
      <c r="B1597" s="1" t="n">
        <v>45838.43662037037</v>
      </c>
      <c r="C1597" s="1" t="n">
        <v>45931</v>
      </c>
      <c r="D1597" t="inlineStr">
        <is>
          <t>VÄSTERBOTTENS LÄN</t>
        </is>
      </c>
      <c r="E1597" t="inlineStr">
        <is>
          <t>SKELLEFTEÅ</t>
        </is>
      </c>
      <c r="F1597" t="inlineStr">
        <is>
          <t>Holmen skog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47007-2024</t>
        </is>
      </c>
      <c r="B1598" s="1" t="n">
        <v>45586.38399305556</v>
      </c>
      <c r="C1598" s="1" t="n">
        <v>45931</v>
      </c>
      <c r="D1598" t="inlineStr">
        <is>
          <t>VÄSTERBOTTENS LÄN</t>
        </is>
      </c>
      <c r="E1598" t="inlineStr">
        <is>
          <t>SKELLEFTEÅ</t>
        </is>
      </c>
      <c r="G1598" t="n">
        <v>22.2</v>
      </c>
      <c r="H1598" t="n">
        <v>0</v>
      </c>
      <c r="I1598" t="n">
        <v>0</v>
      </c>
      <c r="J1598" t="n">
        <v>0</v>
      </c>
      <c r="K1598" t="n">
        <v>0</v>
      </c>
      <c r="L1598" t="n">
        <v>0</v>
      </c>
      <c r="M1598" t="n">
        <v>0</v>
      </c>
      <c r="N1598" t="n">
        <v>0</v>
      </c>
      <c r="O1598" t="n">
        <v>0</v>
      </c>
      <c r="P1598" t="n">
        <v>0</v>
      </c>
      <c r="Q1598" t="n">
        <v>0</v>
      </c>
      <c r="R1598" s="2" t="inlineStr"/>
    </row>
    <row r="1599" ht="15" customHeight="1">
      <c r="A1599" t="inlineStr">
        <is>
          <t>A 36800-2024</t>
        </is>
      </c>
      <c r="B1599" s="1" t="n">
        <v>45538.45694444444</v>
      </c>
      <c r="C1599" s="1" t="n">
        <v>45931</v>
      </c>
      <c r="D1599" t="inlineStr">
        <is>
          <t>VÄSTERBOTTENS LÄN</t>
        </is>
      </c>
      <c r="E1599" t="inlineStr">
        <is>
          <t>SKELLEFTEÅ</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32047-2025</t>
        </is>
      </c>
      <c r="B1600" s="1" t="n">
        <v>45835.44034722223</v>
      </c>
      <c r="C1600" s="1" t="n">
        <v>45931</v>
      </c>
      <c r="D1600" t="inlineStr">
        <is>
          <t>VÄSTERBOTTENS LÄN</t>
        </is>
      </c>
      <c r="E1600" t="inlineStr">
        <is>
          <t>SKELLEFTEÅ</t>
        </is>
      </c>
      <c r="F1600" t="inlineStr">
        <is>
          <t>Holmen skog AB</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32781-2025</t>
        </is>
      </c>
      <c r="B1601" s="1" t="n">
        <v>45839.47243055556</v>
      </c>
      <c r="C1601" s="1" t="n">
        <v>45931</v>
      </c>
      <c r="D1601" t="inlineStr">
        <is>
          <t>VÄSTERBOTTENS LÄN</t>
        </is>
      </c>
      <c r="E1601" t="inlineStr">
        <is>
          <t>SKELLEFTEÅ</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33154-2025</t>
        </is>
      </c>
      <c r="B1602" s="1" t="n">
        <v>45840.55459490741</v>
      </c>
      <c r="C1602" s="1" t="n">
        <v>45931</v>
      </c>
      <c r="D1602" t="inlineStr">
        <is>
          <t>VÄSTERBOTTENS LÄN</t>
        </is>
      </c>
      <c r="E1602" t="inlineStr">
        <is>
          <t>SKELLEFTEÅ</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24653-2021</t>
        </is>
      </c>
      <c r="B1603" s="1" t="n">
        <v>44340</v>
      </c>
      <c r="C1603" s="1" t="n">
        <v>45931</v>
      </c>
      <c r="D1603" t="inlineStr">
        <is>
          <t>VÄSTERBOTTENS LÄN</t>
        </is>
      </c>
      <c r="E1603" t="inlineStr">
        <is>
          <t>SKELLEFTEÅ</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5563-2025</t>
        </is>
      </c>
      <c r="B1604" s="1" t="n">
        <v>45693</v>
      </c>
      <c r="C1604" s="1" t="n">
        <v>45931</v>
      </c>
      <c r="D1604" t="inlineStr">
        <is>
          <t>VÄSTERBOTTENS LÄN</t>
        </is>
      </c>
      <c r="E1604" t="inlineStr">
        <is>
          <t>SKELLEFTEÅ</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32780-2025</t>
        </is>
      </c>
      <c r="B1605" s="1" t="n">
        <v>45839.46975694445</v>
      </c>
      <c r="C1605" s="1" t="n">
        <v>45931</v>
      </c>
      <c r="D1605" t="inlineStr">
        <is>
          <t>VÄSTERBOTTENS LÄN</t>
        </is>
      </c>
      <c r="E1605" t="inlineStr">
        <is>
          <t>SKELLEFTEÅ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15479-2023</t>
        </is>
      </c>
      <c r="B1606" s="1" t="n">
        <v>45020.45726851852</v>
      </c>
      <c r="C1606" s="1" t="n">
        <v>45931</v>
      </c>
      <c r="D1606" t="inlineStr">
        <is>
          <t>VÄSTERBOTTENS LÄN</t>
        </is>
      </c>
      <c r="E1606" t="inlineStr">
        <is>
          <t>SKELLEFTEÅ</t>
        </is>
      </c>
      <c r="F1606" t="inlineStr">
        <is>
          <t>Sveaskog</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58008-2024</t>
        </is>
      </c>
      <c r="B1607" s="1" t="n">
        <v>45631.65482638889</v>
      </c>
      <c r="C1607" s="1" t="n">
        <v>45931</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24496-2025</t>
        </is>
      </c>
      <c r="B1608" s="1" t="n">
        <v>45798</v>
      </c>
      <c r="C1608" s="1" t="n">
        <v>45931</v>
      </c>
      <c r="D1608" t="inlineStr">
        <is>
          <t>VÄSTERBOTTENS LÄN</t>
        </is>
      </c>
      <c r="E1608" t="inlineStr">
        <is>
          <t>SKELLEFTEÅ</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29263-2025</t>
        </is>
      </c>
      <c r="B1609" s="1" t="n">
        <v>45824.39538194444</v>
      </c>
      <c r="C1609" s="1" t="n">
        <v>45931</v>
      </c>
      <c r="D1609" t="inlineStr">
        <is>
          <t>VÄSTERBOTTENS LÄN</t>
        </is>
      </c>
      <c r="E1609" t="inlineStr">
        <is>
          <t>SKELLEFTEÅ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23709-2023</t>
        </is>
      </c>
      <c r="B1610" s="1" t="n">
        <v>45075</v>
      </c>
      <c r="C1610" s="1" t="n">
        <v>45931</v>
      </c>
      <c r="D1610" t="inlineStr">
        <is>
          <t>VÄSTERBOTTENS LÄN</t>
        </is>
      </c>
      <c r="E1610" t="inlineStr">
        <is>
          <t>SKELLEFTEÅ</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11971-2025</t>
        </is>
      </c>
      <c r="B1611" s="1" t="n">
        <v>45728</v>
      </c>
      <c r="C1611" s="1" t="n">
        <v>45931</v>
      </c>
      <c r="D1611" t="inlineStr">
        <is>
          <t>VÄSTERBOTTENS LÄN</t>
        </is>
      </c>
      <c r="E1611" t="inlineStr">
        <is>
          <t>SKELLEFTEÅ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51418-2023</t>
        </is>
      </c>
      <c r="B1612" s="1" t="n">
        <v>45219</v>
      </c>
      <c r="C1612" s="1" t="n">
        <v>45931</v>
      </c>
      <c r="D1612" t="inlineStr">
        <is>
          <t>VÄSTERBOTTENS LÄN</t>
        </is>
      </c>
      <c r="E1612" t="inlineStr">
        <is>
          <t>SKELLEFTEÅ</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12855-2025</t>
        </is>
      </c>
      <c r="B1613" s="1" t="n">
        <v>45733.66163194444</v>
      </c>
      <c r="C1613" s="1" t="n">
        <v>45931</v>
      </c>
      <c r="D1613" t="inlineStr">
        <is>
          <t>VÄSTERBOTTENS LÄN</t>
        </is>
      </c>
      <c r="E1613" t="inlineStr">
        <is>
          <t>SKELLEFTEÅ</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33073-2025</t>
        </is>
      </c>
      <c r="B1614" s="1" t="n">
        <v>45840.45332175926</v>
      </c>
      <c r="C1614" s="1" t="n">
        <v>45931</v>
      </c>
      <c r="D1614" t="inlineStr">
        <is>
          <t>VÄSTERBOTTENS LÄN</t>
        </is>
      </c>
      <c r="E1614" t="inlineStr">
        <is>
          <t>SKELLEFTEÅ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31955-2025</t>
        </is>
      </c>
      <c r="B1615" s="1" t="n">
        <v>45835</v>
      </c>
      <c r="C1615" s="1" t="n">
        <v>45931</v>
      </c>
      <c r="D1615" t="inlineStr">
        <is>
          <t>VÄSTERBOTTENS LÄN</t>
        </is>
      </c>
      <c r="E1615" t="inlineStr">
        <is>
          <t>SKELLEFTEÅ</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32931-2025</t>
        </is>
      </c>
      <c r="B1616" s="1" t="n">
        <v>45839.66858796297</v>
      </c>
      <c r="C1616" s="1" t="n">
        <v>45931</v>
      </c>
      <c r="D1616" t="inlineStr">
        <is>
          <t>VÄSTERBOTTENS LÄN</t>
        </is>
      </c>
      <c r="E1616" t="inlineStr">
        <is>
          <t>SKELLEFTEÅ</t>
        </is>
      </c>
      <c r="F1616" t="inlineStr">
        <is>
          <t>Holmen skog AB</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33289-2023</t>
        </is>
      </c>
      <c r="B1617" s="1" t="n">
        <v>45116</v>
      </c>
      <c r="C1617" s="1" t="n">
        <v>45931</v>
      </c>
      <c r="D1617" t="inlineStr">
        <is>
          <t>VÄSTERBOTTENS LÄN</t>
        </is>
      </c>
      <c r="E1617" t="inlineStr">
        <is>
          <t>SKELLEFTEÅ</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32933-2025</t>
        </is>
      </c>
      <c r="B1618" s="1" t="n">
        <v>45839.67144675926</v>
      </c>
      <c r="C1618" s="1" t="n">
        <v>45931</v>
      </c>
      <c r="D1618" t="inlineStr">
        <is>
          <t>VÄSTERBOTTENS LÄN</t>
        </is>
      </c>
      <c r="E1618" t="inlineStr">
        <is>
          <t>SKELLEFTEÅ</t>
        </is>
      </c>
      <c r="F1618" t="inlineStr">
        <is>
          <t>Holmen skog AB</t>
        </is>
      </c>
      <c r="G1618" t="n">
        <v>11.9</v>
      </c>
      <c r="H1618" t="n">
        <v>0</v>
      </c>
      <c r="I1618" t="n">
        <v>0</v>
      </c>
      <c r="J1618" t="n">
        <v>0</v>
      </c>
      <c r="K1618" t="n">
        <v>0</v>
      </c>
      <c r="L1618" t="n">
        <v>0</v>
      </c>
      <c r="M1618" t="n">
        <v>0</v>
      </c>
      <c r="N1618" t="n">
        <v>0</v>
      </c>
      <c r="O1618" t="n">
        <v>0</v>
      </c>
      <c r="P1618" t="n">
        <v>0</v>
      </c>
      <c r="Q1618" t="n">
        <v>0</v>
      </c>
      <c r="R1618" s="2" t="inlineStr"/>
    </row>
    <row r="1619" ht="15" customHeight="1">
      <c r="A1619" t="inlineStr">
        <is>
          <t>A 22548-2023</t>
        </is>
      </c>
      <c r="B1619" s="1" t="n">
        <v>45069</v>
      </c>
      <c r="C1619" s="1" t="n">
        <v>45931</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35732-2023</t>
        </is>
      </c>
      <c r="B1620" s="1" t="n">
        <v>45147</v>
      </c>
      <c r="C1620" s="1" t="n">
        <v>45931</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32955-2025</t>
        </is>
      </c>
      <c r="B1621" s="1" t="n">
        <v>45839</v>
      </c>
      <c r="C1621" s="1" t="n">
        <v>45931</v>
      </c>
      <c r="D1621" t="inlineStr">
        <is>
          <t>VÄSTERBOTTENS LÄN</t>
        </is>
      </c>
      <c r="E1621" t="inlineStr">
        <is>
          <t>SKELLEFTEÅ</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59932-2024</t>
        </is>
      </c>
      <c r="B1622" s="1" t="n">
        <v>45642.31251157408</v>
      </c>
      <c r="C1622" s="1" t="n">
        <v>45931</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28365-2025</t>
        </is>
      </c>
      <c r="B1623" s="1" t="n">
        <v>45818.83288194444</v>
      </c>
      <c r="C1623" s="1" t="n">
        <v>45931</v>
      </c>
      <c r="D1623" t="inlineStr">
        <is>
          <t>VÄSTERBOTTENS LÄN</t>
        </is>
      </c>
      <c r="E1623" t="inlineStr">
        <is>
          <t>SKELLEFTEÅ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52693-2024</t>
        </is>
      </c>
      <c r="B1624" s="1" t="n">
        <v>45610.39756944445</v>
      </c>
      <c r="C1624" s="1" t="n">
        <v>45931</v>
      </c>
      <c r="D1624" t="inlineStr">
        <is>
          <t>VÄSTERBOTTENS LÄN</t>
        </is>
      </c>
      <c r="E1624" t="inlineStr">
        <is>
          <t>SKELLEFTEÅ</t>
        </is>
      </c>
      <c r="F1624" t="inlineStr">
        <is>
          <t>Holmen skog AB</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58555-2023</t>
        </is>
      </c>
      <c r="B1625" s="1" t="n">
        <v>45251.43552083334</v>
      </c>
      <c r="C1625" s="1" t="n">
        <v>45931</v>
      </c>
      <c r="D1625" t="inlineStr">
        <is>
          <t>VÄSTERBOTTENS LÄN</t>
        </is>
      </c>
      <c r="E1625" t="inlineStr">
        <is>
          <t>SKELLEFTEÅ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62708-2023</t>
        </is>
      </c>
      <c r="B1626" s="1" t="n">
        <v>45271.55337962963</v>
      </c>
      <c r="C1626" s="1" t="n">
        <v>45931</v>
      </c>
      <c r="D1626" t="inlineStr">
        <is>
          <t>VÄSTERBOTTENS LÄN</t>
        </is>
      </c>
      <c r="E1626" t="inlineStr">
        <is>
          <t>SKELLEFTEÅ</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33104-2025</t>
        </is>
      </c>
      <c r="B1627" s="1" t="n">
        <v>45840.48296296296</v>
      </c>
      <c r="C1627" s="1" t="n">
        <v>45931</v>
      </c>
      <c r="D1627" t="inlineStr">
        <is>
          <t>VÄSTERBOTTENS LÄN</t>
        </is>
      </c>
      <c r="E1627" t="inlineStr">
        <is>
          <t>SKELLEFTEÅ</t>
        </is>
      </c>
      <c r="F1627" t="inlineStr">
        <is>
          <t>Holmen skog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33093-2025</t>
        </is>
      </c>
      <c r="B1628" s="1" t="n">
        <v>45840.47180555556</v>
      </c>
      <c r="C1628" s="1" t="n">
        <v>45931</v>
      </c>
      <c r="D1628" t="inlineStr">
        <is>
          <t>VÄSTERBOTTENS LÄN</t>
        </is>
      </c>
      <c r="E1628" t="inlineStr">
        <is>
          <t>SKELLEFTEÅ</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33303-2025</t>
        </is>
      </c>
      <c r="B1629" s="1" t="n">
        <v>45841.29267361111</v>
      </c>
      <c r="C1629" s="1" t="n">
        <v>45931</v>
      </c>
      <c r="D1629" t="inlineStr">
        <is>
          <t>VÄSTERBOTTENS LÄN</t>
        </is>
      </c>
      <c r="E1629" t="inlineStr">
        <is>
          <t>SKELLEFTEÅ</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33305-2025</t>
        </is>
      </c>
      <c r="B1630" s="1" t="n">
        <v>45841.30456018518</v>
      </c>
      <c r="C1630" s="1" t="n">
        <v>45931</v>
      </c>
      <c r="D1630" t="inlineStr">
        <is>
          <t>VÄSTERBOTTENS LÄN</t>
        </is>
      </c>
      <c r="E1630" t="inlineStr">
        <is>
          <t>SKELLEFTEÅ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64977-2020</t>
        </is>
      </c>
      <c r="B1631" s="1" t="n">
        <v>44167</v>
      </c>
      <c r="C1631" s="1" t="n">
        <v>45931</v>
      </c>
      <c r="D1631" t="inlineStr">
        <is>
          <t>VÄSTERBOTTENS LÄN</t>
        </is>
      </c>
      <c r="E1631" t="inlineStr">
        <is>
          <t>SKELLEFTEÅ</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51222-2022</t>
        </is>
      </c>
      <c r="B1632" s="1" t="n">
        <v>44868.63834490741</v>
      </c>
      <c r="C1632" s="1" t="n">
        <v>45931</v>
      </c>
      <c r="D1632" t="inlineStr">
        <is>
          <t>VÄSTERBOTTENS LÄN</t>
        </is>
      </c>
      <c r="E1632" t="inlineStr">
        <is>
          <t>SKELLEFTEÅ</t>
        </is>
      </c>
      <c r="F1632" t="inlineStr">
        <is>
          <t>Holmen skog AB</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54974-2024</t>
        </is>
      </c>
      <c r="B1633" s="1" t="n">
        <v>45620.67599537037</v>
      </c>
      <c r="C1633" s="1" t="n">
        <v>45931</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30743-2023</t>
        </is>
      </c>
      <c r="B1634" s="1" t="n">
        <v>45112.6362037037</v>
      </c>
      <c r="C1634" s="1" t="n">
        <v>45931</v>
      </c>
      <c r="D1634" t="inlineStr">
        <is>
          <t>VÄSTERBOTTENS LÄN</t>
        </is>
      </c>
      <c r="E1634" t="inlineStr">
        <is>
          <t>SKELLEFTEÅ</t>
        </is>
      </c>
      <c r="F1634" t="inlineStr">
        <is>
          <t>Sveaskog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20340-2025</t>
        </is>
      </c>
      <c r="B1635" s="1" t="n">
        <v>45775.36581018518</v>
      </c>
      <c r="C1635" s="1" t="n">
        <v>45931</v>
      </c>
      <c r="D1635" t="inlineStr">
        <is>
          <t>VÄSTERBOTTENS LÄN</t>
        </is>
      </c>
      <c r="E1635" t="inlineStr">
        <is>
          <t>SKELLEFTEÅ</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1233-2025</t>
        </is>
      </c>
      <c r="B1636" s="1" t="n">
        <v>45667.44528935185</v>
      </c>
      <c r="C1636" s="1" t="n">
        <v>45931</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17026-2023</t>
        </is>
      </c>
      <c r="B1637" s="1" t="n">
        <v>45030</v>
      </c>
      <c r="C1637" s="1" t="n">
        <v>45931</v>
      </c>
      <c r="D1637" t="inlineStr">
        <is>
          <t>VÄSTERBOTTENS LÄN</t>
        </is>
      </c>
      <c r="E1637" t="inlineStr">
        <is>
          <t>SKELLEFTEÅ</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33579-2025</t>
        </is>
      </c>
      <c r="B1638" s="1" t="n">
        <v>45841.59310185185</v>
      </c>
      <c r="C1638" s="1" t="n">
        <v>45931</v>
      </c>
      <c r="D1638" t="inlineStr">
        <is>
          <t>VÄSTERBOTTENS LÄN</t>
        </is>
      </c>
      <c r="E1638" t="inlineStr">
        <is>
          <t>SKELLEFTEÅ</t>
        </is>
      </c>
      <c r="F1638" t="inlineStr">
        <is>
          <t>Holmen skog AB</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33304-2025</t>
        </is>
      </c>
      <c r="B1639" s="1" t="n">
        <v>45841.29636574074</v>
      </c>
      <c r="C1639" s="1" t="n">
        <v>45931</v>
      </c>
      <c r="D1639" t="inlineStr">
        <is>
          <t>VÄSTERBOTTENS LÄN</t>
        </is>
      </c>
      <c r="E1639" t="inlineStr">
        <is>
          <t>SKELLEFTEÅ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33892-2025</t>
        </is>
      </c>
      <c r="B1640" s="1" t="n">
        <v>45842.5753125</v>
      </c>
      <c r="C1640" s="1" t="n">
        <v>45931</v>
      </c>
      <c r="D1640" t="inlineStr">
        <is>
          <t>VÄSTERBOTTENS LÄN</t>
        </is>
      </c>
      <c r="E1640" t="inlineStr">
        <is>
          <t>SKELLEFTEÅ</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36546-2024</t>
        </is>
      </c>
      <c r="B1641" s="1" t="n">
        <v>45537</v>
      </c>
      <c r="C1641" s="1" t="n">
        <v>45931</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12004-2024</t>
        </is>
      </c>
      <c r="B1642" s="1" t="n">
        <v>45377.31299768519</v>
      </c>
      <c r="C1642" s="1" t="n">
        <v>45931</v>
      </c>
      <c r="D1642" t="inlineStr">
        <is>
          <t>VÄSTERBOTTENS LÄN</t>
        </is>
      </c>
      <c r="E1642" t="inlineStr">
        <is>
          <t>SKELLEFTEÅ</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19066-2023</t>
        </is>
      </c>
      <c r="B1643" s="1" t="n">
        <v>45043</v>
      </c>
      <c r="C1643" s="1" t="n">
        <v>45931</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33785-2025</t>
        </is>
      </c>
      <c r="B1644" s="1" t="n">
        <v>45842.40923611111</v>
      </c>
      <c r="C1644" s="1" t="n">
        <v>45931</v>
      </c>
      <c r="D1644" t="inlineStr">
        <is>
          <t>VÄSTERBOTTENS LÄN</t>
        </is>
      </c>
      <c r="E1644" t="inlineStr">
        <is>
          <t>SKELLEFTEÅ</t>
        </is>
      </c>
      <c r="F1644" t="inlineStr">
        <is>
          <t>Holmen skog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33800-2025</t>
        </is>
      </c>
      <c r="B1645" s="1" t="n">
        <v>45842.44159722222</v>
      </c>
      <c r="C1645" s="1" t="n">
        <v>45931</v>
      </c>
      <c r="D1645" t="inlineStr">
        <is>
          <t>VÄSTERBOTTENS LÄN</t>
        </is>
      </c>
      <c r="E1645" t="inlineStr">
        <is>
          <t>SKELLEFTEÅ</t>
        </is>
      </c>
      <c r="F1645" t="inlineStr">
        <is>
          <t>Holmen skog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33810-2025</t>
        </is>
      </c>
      <c r="B1646" s="1" t="n">
        <v>45842.45144675926</v>
      </c>
      <c r="C1646" s="1" t="n">
        <v>45931</v>
      </c>
      <c r="D1646" t="inlineStr">
        <is>
          <t>VÄSTERBOTTENS LÄN</t>
        </is>
      </c>
      <c r="E1646" t="inlineStr">
        <is>
          <t>SKELLEFTEÅ</t>
        </is>
      </c>
      <c r="F1646" t="inlineStr">
        <is>
          <t>Holmen skog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6016-2023</t>
        </is>
      </c>
      <c r="B1647" s="1" t="n">
        <v>44959</v>
      </c>
      <c r="C1647" s="1" t="n">
        <v>45931</v>
      </c>
      <c r="D1647" t="inlineStr">
        <is>
          <t>VÄSTERBOTTENS LÄN</t>
        </is>
      </c>
      <c r="E1647" t="inlineStr">
        <is>
          <t>SKELLEFTEÅ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11254-2025</t>
        </is>
      </c>
      <c r="B1648" s="1" t="n">
        <v>45726.38625</v>
      </c>
      <c r="C1648" s="1" t="n">
        <v>45931</v>
      </c>
      <c r="D1648" t="inlineStr">
        <is>
          <t>VÄSTERBOTTENS LÄN</t>
        </is>
      </c>
      <c r="E1648" t="inlineStr">
        <is>
          <t>SKELLEFTEÅ</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54193-2021</t>
        </is>
      </c>
      <c r="B1649" s="1" t="n">
        <v>44470</v>
      </c>
      <c r="C1649" s="1" t="n">
        <v>45931</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573-2025</t>
        </is>
      </c>
      <c r="B1650" s="1" t="n">
        <v>45660</v>
      </c>
      <c r="C1650" s="1" t="n">
        <v>45931</v>
      </c>
      <c r="D1650" t="inlineStr">
        <is>
          <t>VÄSTERBOTTENS LÄN</t>
        </is>
      </c>
      <c r="E1650" t="inlineStr">
        <is>
          <t>SKELLEFTEÅ</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5959-2023</t>
        </is>
      </c>
      <c r="B1651" s="1" t="n">
        <v>44963.95042824074</v>
      </c>
      <c r="C1651" s="1" t="n">
        <v>45931</v>
      </c>
      <c r="D1651" t="inlineStr">
        <is>
          <t>VÄSTERBOTTENS LÄN</t>
        </is>
      </c>
      <c r="E1651" t="inlineStr">
        <is>
          <t>SKELLEFTEÅ</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580-2025</t>
        </is>
      </c>
      <c r="B1652" s="1" t="n">
        <v>45660</v>
      </c>
      <c r="C1652" s="1" t="n">
        <v>45931</v>
      </c>
      <c r="D1652" t="inlineStr">
        <is>
          <t>VÄSTERBOTTENS LÄN</t>
        </is>
      </c>
      <c r="E1652" t="inlineStr">
        <is>
          <t>SKELLEFTEÅ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33918-2025</t>
        </is>
      </c>
      <c r="B1653" s="1" t="n">
        <v>45842.61505787037</v>
      </c>
      <c r="C1653" s="1" t="n">
        <v>45931</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57926-2023</t>
        </is>
      </c>
      <c r="B1654" s="1" t="n">
        <v>45247.54817129629</v>
      </c>
      <c r="C1654" s="1" t="n">
        <v>45931</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33736-2025</t>
        </is>
      </c>
      <c r="B1655" s="1" t="n">
        <v>45842.33180555556</v>
      </c>
      <c r="C1655" s="1" t="n">
        <v>45931</v>
      </c>
      <c r="D1655" t="inlineStr">
        <is>
          <t>VÄSTERBOTTENS LÄN</t>
        </is>
      </c>
      <c r="E1655" t="inlineStr">
        <is>
          <t>SKELLEFTEÅ</t>
        </is>
      </c>
      <c r="F1655" t="inlineStr">
        <is>
          <t>Holmen skog AB</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33737-2025</t>
        </is>
      </c>
      <c r="B1656" s="1" t="n">
        <v>45842.33768518519</v>
      </c>
      <c r="C1656" s="1" t="n">
        <v>45931</v>
      </c>
      <c r="D1656" t="inlineStr">
        <is>
          <t>VÄSTERBOTTENS LÄN</t>
        </is>
      </c>
      <c r="E1656" t="inlineStr">
        <is>
          <t>SKELLEFTEÅ</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3626-2025</t>
        </is>
      </c>
      <c r="B1657" s="1" t="n">
        <v>45681.37163194444</v>
      </c>
      <c r="C1657" s="1" t="n">
        <v>45931</v>
      </c>
      <c r="D1657" t="inlineStr">
        <is>
          <t>VÄSTERBOTTENS LÄN</t>
        </is>
      </c>
      <c r="E1657" t="inlineStr">
        <is>
          <t>SKELLEFTEÅ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9466-2024</t>
        </is>
      </c>
      <c r="B1658" s="1" t="n">
        <v>45359</v>
      </c>
      <c r="C1658" s="1" t="n">
        <v>45931</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2326-2025</t>
        </is>
      </c>
      <c r="B1659" s="1" t="n">
        <v>45673.63425925926</v>
      </c>
      <c r="C1659" s="1" t="n">
        <v>45931</v>
      </c>
      <c r="D1659" t="inlineStr">
        <is>
          <t>VÄSTERBOTTENS LÄN</t>
        </is>
      </c>
      <c r="E1659" t="inlineStr">
        <is>
          <t>SKELLEFTEÅ</t>
        </is>
      </c>
      <c r="F1659" t="inlineStr">
        <is>
          <t>Holmen skog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26190-2024</t>
        </is>
      </c>
      <c r="B1660" s="1" t="n">
        <v>45468.5712037037</v>
      </c>
      <c r="C1660" s="1" t="n">
        <v>45931</v>
      </c>
      <c r="D1660" t="inlineStr">
        <is>
          <t>VÄSTERBOTTENS LÄN</t>
        </is>
      </c>
      <c r="E1660" t="inlineStr">
        <is>
          <t>SKELLEFTEÅ</t>
        </is>
      </c>
      <c r="F1660" t="inlineStr">
        <is>
          <t>Holmen skog AB</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26257-2024</t>
        </is>
      </c>
      <c r="B1661" s="1" t="n">
        <v>45468</v>
      </c>
      <c r="C1661" s="1" t="n">
        <v>45931</v>
      </c>
      <c r="D1661" t="inlineStr">
        <is>
          <t>VÄSTERBOTTENS LÄN</t>
        </is>
      </c>
      <c r="E1661" t="inlineStr">
        <is>
          <t>SKELLEFTEÅ</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34437-2025</t>
        </is>
      </c>
      <c r="B1662" s="1" t="n">
        <v>45846.68461805556</v>
      </c>
      <c r="C1662" s="1" t="n">
        <v>45931</v>
      </c>
      <c r="D1662" t="inlineStr">
        <is>
          <t>VÄSTERBOTTENS LÄN</t>
        </is>
      </c>
      <c r="E1662" t="inlineStr">
        <is>
          <t>SKELLEFTEÅ</t>
        </is>
      </c>
      <c r="F1662" t="inlineStr">
        <is>
          <t>Holmen skog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54821-2023</t>
        </is>
      </c>
      <c r="B1663" s="1" t="n">
        <v>45236</v>
      </c>
      <c r="C1663" s="1" t="n">
        <v>45931</v>
      </c>
      <c r="D1663" t="inlineStr">
        <is>
          <t>VÄSTERBOTTENS LÄN</t>
        </is>
      </c>
      <c r="E1663" t="inlineStr">
        <is>
          <t>SKELLEFTEÅ</t>
        </is>
      </c>
      <c r="F1663" t="inlineStr">
        <is>
          <t>Kommuner</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3143-2024</t>
        </is>
      </c>
      <c r="B1664" s="1" t="n">
        <v>45316.58484953704</v>
      </c>
      <c r="C1664" s="1" t="n">
        <v>45931</v>
      </c>
      <c r="D1664" t="inlineStr">
        <is>
          <t>VÄSTERBOTTENS LÄN</t>
        </is>
      </c>
      <c r="E1664" t="inlineStr">
        <is>
          <t>SKELLEFTEÅ</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2811-2025</t>
        </is>
      </c>
      <c r="B1665" s="1" t="n">
        <v>45677.59689814815</v>
      </c>
      <c r="C1665" s="1" t="n">
        <v>45931</v>
      </c>
      <c r="D1665" t="inlineStr">
        <is>
          <t>VÄSTERBOTTENS LÄN</t>
        </is>
      </c>
      <c r="E1665" t="inlineStr">
        <is>
          <t>SKELLEFTEÅ</t>
        </is>
      </c>
      <c r="F1665" t="inlineStr">
        <is>
          <t>Holmen skog AB</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51874-2022</t>
        </is>
      </c>
      <c r="B1666" s="1" t="n">
        <v>44872.59645833333</v>
      </c>
      <c r="C1666" s="1" t="n">
        <v>45931</v>
      </c>
      <c r="D1666" t="inlineStr">
        <is>
          <t>VÄSTERBOTTENS LÄN</t>
        </is>
      </c>
      <c r="E1666" t="inlineStr">
        <is>
          <t>SKELLEFTEÅ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34362-2025</t>
        </is>
      </c>
      <c r="B1667" s="1" t="n">
        <v>45846.48827546297</v>
      </c>
      <c r="C1667" s="1" t="n">
        <v>45931</v>
      </c>
      <c r="D1667" t="inlineStr">
        <is>
          <t>VÄSTERBOTTENS LÄN</t>
        </is>
      </c>
      <c r="E1667" t="inlineStr">
        <is>
          <t>SKELLEFTEÅ</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65178-2023</t>
        </is>
      </c>
      <c r="B1668" s="1" t="n">
        <v>45288.93209490741</v>
      </c>
      <c r="C1668" s="1" t="n">
        <v>45931</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33994-2025</t>
        </is>
      </c>
      <c r="B1669" s="1" t="n">
        <v>45843.66199074074</v>
      </c>
      <c r="C1669" s="1" t="n">
        <v>45931</v>
      </c>
      <c r="D1669" t="inlineStr">
        <is>
          <t>VÄSTERBOTTENS LÄN</t>
        </is>
      </c>
      <c r="E1669" t="inlineStr">
        <is>
          <t>SKELLEFTEÅ</t>
        </is>
      </c>
      <c r="G1669" t="n">
        <v>13.2</v>
      </c>
      <c r="H1669" t="n">
        <v>0</v>
      </c>
      <c r="I1669" t="n">
        <v>0</v>
      </c>
      <c r="J1669" t="n">
        <v>0</v>
      </c>
      <c r="K1669" t="n">
        <v>0</v>
      </c>
      <c r="L1669" t="n">
        <v>0</v>
      </c>
      <c r="M1669" t="n">
        <v>0</v>
      </c>
      <c r="N1669" t="n">
        <v>0</v>
      </c>
      <c r="O1669" t="n">
        <v>0</v>
      </c>
      <c r="P1669" t="n">
        <v>0</v>
      </c>
      <c r="Q1669" t="n">
        <v>0</v>
      </c>
      <c r="R1669" s="2" t="inlineStr"/>
    </row>
    <row r="1670" ht="15" customHeight="1">
      <c r="A1670" t="inlineStr">
        <is>
          <t>A 34315-2025</t>
        </is>
      </c>
      <c r="B1670" s="1" t="n">
        <v>45846.4034837963</v>
      </c>
      <c r="C1670" s="1" t="n">
        <v>45931</v>
      </c>
      <c r="D1670" t="inlineStr">
        <is>
          <t>VÄSTERBOTTENS LÄN</t>
        </is>
      </c>
      <c r="E1670" t="inlineStr">
        <is>
          <t>SKELLEFTEÅ</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36792-2024</t>
        </is>
      </c>
      <c r="B1671" s="1" t="n">
        <v>45538.44001157407</v>
      </c>
      <c r="C1671" s="1" t="n">
        <v>45931</v>
      </c>
      <c r="D1671" t="inlineStr">
        <is>
          <t>VÄSTERBOTTENS LÄN</t>
        </is>
      </c>
      <c r="E1671" t="inlineStr">
        <is>
          <t>SKELLEFTEÅ</t>
        </is>
      </c>
      <c r="F1671" t="inlineStr">
        <is>
          <t>Sveaskog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36794-2024</t>
        </is>
      </c>
      <c r="B1672" s="1" t="n">
        <v>45538.44354166667</v>
      </c>
      <c r="C1672" s="1" t="n">
        <v>45931</v>
      </c>
      <c r="D1672" t="inlineStr">
        <is>
          <t>VÄSTERBOTTENS LÄN</t>
        </is>
      </c>
      <c r="E1672" t="inlineStr">
        <is>
          <t>SKELLEFTEÅ</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34273-2025</t>
        </is>
      </c>
      <c r="B1673" s="1" t="n">
        <v>45845.85751157408</v>
      </c>
      <c r="C1673" s="1" t="n">
        <v>45931</v>
      </c>
      <c r="D1673" t="inlineStr">
        <is>
          <t>VÄSTERBOTTENS LÄN</t>
        </is>
      </c>
      <c r="E1673" t="inlineStr">
        <is>
          <t>SKELLEFTEÅ</t>
        </is>
      </c>
      <c r="G1673" t="n">
        <v>28.4</v>
      </c>
      <c r="H1673" t="n">
        <v>0</v>
      </c>
      <c r="I1673" t="n">
        <v>0</v>
      </c>
      <c r="J1673" t="n">
        <v>0</v>
      </c>
      <c r="K1673" t="n">
        <v>0</v>
      </c>
      <c r="L1673" t="n">
        <v>0</v>
      </c>
      <c r="M1673" t="n">
        <v>0</v>
      </c>
      <c r="N1673" t="n">
        <v>0</v>
      </c>
      <c r="O1673" t="n">
        <v>0</v>
      </c>
      <c r="P1673" t="n">
        <v>0</v>
      </c>
      <c r="Q1673" t="n">
        <v>0</v>
      </c>
      <c r="R1673" s="2" t="inlineStr"/>
    </row>
    <row r="1674" ht="15" customHeight="1">
      <c r="A1674" t="inlineStr">
        <is>
          <t>A 20497-2024</t>
        </is>
      </c>
      <c r="B1674" s="1" t="n">
        <v>45435</v>
      </c>
      <c r="C1674" s="1" t="n">
        <v>45931</v>
      </c>
      <c r="D1674" t="inlineStr">
        <is>
          <t>VÄSTERBOTTENS LÄN</t>
        </is>
      </c>
      <c r="E1674" t="inlineStr">
        <is>
          <t>SKELLEFTEÅ</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29323-2024</t>
        </is>
      </c>
      <c r="B1675" s="1" t="n">
        <v>45483.43054398148</v>
      </c>
      <c r="C1675" s="1" t="n">
        <v>45931</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43599-2024</t>
        </is>
      </c>
      <c r="B1676" s="1" t="n">
        <v>45569</v>
      </c>
      <c r="C1676" s="1" t="n">
        <v>45931</v>
      </c>
      <c r="D1676" t="inlineStr">
        <is>
          <t>VÄSTERBOTTENS LÄN</t>
        </is>
      </c>
      <c r="E1676" t="inlineStr">
        <is>
          <t>SKELLEFTEÅ</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34405-2025</t>
        </is>
      </c>
      <c r="B1677" s="1" t="n">
        <v>45846.6277662037</v>
      </c>
      <c r="C1677" s="1" t="n">
        <v>45931</v>
      </c>
      <c r="D1677" t="inlineStr">
        <is>
          <t>VÄSTERBOTTENS LÄN</t>
        </is>
      </c>
      <c r="E1677" t="inlineStr">
        <is>
          <t>SKELLEFTEÅ</t>
        </is>
      </c>
      <c r="G1677" t="n">
        <v>13.6</v>
      </c>
      <c r="H1677" t="n">
        <v>0</v>
      </c>
      <c r="I1677" t="n">
        <v>0</v>
      </c>
      <c r="J1677" t="n">
        <v>0</v>
      </c>
      <c r="K1677" t="n">
        <v>0</v>
      </c>
      <c r="L1677" t="n">
        <v>0</v>
      </c>
      <c r="M1677" t="n">
        <v>0</v>
      </c>
      <c r="N1677" t="n">
        <v>0</v>
      </c>
      <c r="O1677" t="n">
        <v>0</v>
      </c>
      <c r="P1677" t="n">
        <v>0</v>
      </c>
      <c r="Q1677" t="n">
        <v>0</v>
      </c>
      <c r="R1677" s="2" t="inlineStr"/>
    </row>
    <row r="1678" ht="15" customHeight="1">
      <c r="A1678" t="inlineStr">
        <is>
          <t>A 10074-2025</t>
        </is>
      </c>
      <c r="B1678" s="1" t="n">
        <v>45719</v>
      </c>
      <c r="C1678" s="1" t="n">
        <v>45931</v>
      </c>
      <c r="D1678" t="inlineStr">
        <is>
          <t>VÄSTERBOTTENS LÄN</t>
        </is>
      </c>
      <c r="E1678" t="inlineStr">
        <is>
          <t>SKELLEFTEÅ</t>
        </is>
      </c>
      <c r="G1678" t="n">
        <v>9.699999999999999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19073-2023</t>
        </is>
      </c>
      <c r="B1679" s="1" t="n">
        <v>45048.37394675926</v>
      </c>
      <c r="C1679" s="1" t="n">
        <v>45931</v>
      </c>
      <c r="D1679" t="inlineStr">
        <is>
          <t>VÄSTERBOTTENS LÄN</t>
        </is>
      </c>
      <c r="E1679" t="inlineStr">
        <is>
          <t>SKELLEFTEÅ</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34056-2025</t>
        </is>
      </c>
      <c r="B1680" s="1" t="n">
        <v>45845.41228009259</v>
      </c>
      <c r="C1680" s="1" t="n">
        <v>45931</v>
      </c>
      <c r="D1680" t="inlineStr">
        <is>
          <t>VÄSTERBOTTENS LÄN</t>
        </is>
      </c>
      <c r="E1680" t="inlineStr">
        <is>
          <t>SKELLEFTEÅ</t>
        </is>
      </c>
      <c r="F1680" t="inlineStr">
        <is>
          <t>Holmen skog AB</t>
        </is>
      </c>
      <c r="G1680" t="n">
        <v>11.3</v>
      </c>
      <c r="H1680" t="n">
        <v>0</v>
      </c>
      <c r="I1680" t="n">
        <v>0</v>
      </c>
      <c r="J1680" t="n">
        <v>0</v>
      </c>
      <c r="K1680" t="n">
        <v>0</v>
      </c>
      <c r="L1680" t="n">
        <v>0</v>
      </c>
      <c r="M1680" t="n">
        <v>0</v>
      </c>
      <c r="N1680" t="n">
        <v>0</v>
      </c>
      <c r="O1680" t="n">
        <v>0</v>
      </c>
      <c r="P1680" t="n">
        <v>0</v>
      </c>
      <c r="Q1680" t="n">
        <v>0</v>
      </c>
      <c r="R1680" s="2" t="inlineStr"/>
    </row>
    <row r="1681" ht="15" customHeight="1">
      <c r="A1681" t="inlineStr">
        <is>
          <t>A 34082-2025</t>
        </is>
      </c>
      <c r="B1681" s="1" t="n">
        <v>45845.46190972222</v>
      </c>
      <c r="C1681" s="1" t="n">
        <v>45931</v>
      </c>
      <c r="D1681" t="inlineStr">
        <is>
          <t>VÄSTERBOTTENS LÄN</t>
        </is>
      </c>
      <c r="E1681" t="inlineStr">
        <is>
          <t>SKELLEFTEÅ</t>
        </is>
      </c>
      <c r="F1681" t="inlineStr">
        <is>
          <t>Holmen skog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50476-2024</t>
        </is>
      </c>
      <c r="B1682" s="1" t="n">
        <v>45601.47450231481</v>
      </c>
      <c r="C1682" s="1" t="n">
        <v>45931</v>
      </c>
      <c r="D1682" t="inlineStr">
        <is>
          <t>VÄSTERBOTTENS LÄN</t>
        </is>
      </c>
      <c r="E1682" t="inlineStr">
        <is>
          <t>SKELLEFTEÅ</t>
        </is>
      </c>
      <c r="F1682" t="inlineStr">
        <is>
          <t>Holmen skog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34027-2025</t>
        </is>
      </c>
      <c r="B1683" s="1" t="n">
        <v>45845.35981481482</v>
      </c>
      <c r="C1683" s="1" t="n">
        <v>45931</v>
      </c>
      <c r="D1683" t="inlineStr">
        <is>
          <t>VÄSTERBOTTENS LÄN</t>
        </is>
      </c>
      <c r="E1683" t="inlineStr">
        <is>
          <t>SKELLEFTEÅ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10696-2023</t>
        </is>
      </c>
      <c r="B1684" s="1" t="n">
        <v>44984</v>
      </c>
      <c r="C1684" s="1" t="n">
        <v>45931</v>
      </c>
      <c r="D1684" t="inlineStr">
        <is>
          <t>VÄSTERBOTTENS LÄN</t>
        </is>
      </c>
      <c r="E1684" t="inlineStr">
        <is>
          <t>SKELLEFTEÅ</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34274-2025</t>
        </is>
      </c>
      <c r="B1685" s="1" t="n">
        <v>45845.86229166666</v>
      </c>
      <c r="C1685" s="1" t="n">
        <v>45931</v>
      </c>
      <c r="D1685" t="inlineStr">
        <is>
          <t>VÄSTERBOTTENS LÄN</t>
        </is>
      </c>
      <c r="E1685" t="inlineStr">
        <is>
          <t>SKELLEFTEÅ</t>
        </is>
      </c>
      <c r="G1685" t="n">
        <v>15.3</v>
      </c>
      <c r="H1685" t="n">
        <v>0</v>
      </c>
      <c r="I1685" t="n">
        <v>0</v>
      </c>
      <c r="J1685" t="n">
        <v>0</v>
      </c>
      <c r="K1685" t="n">
        <v>0</v>
      </c>
      <c r="L1685" t="n">
        <v>0</v>
      </c>
      <c r="M1685" t="n">
        <v>0</v>
      </c>
      <c r="N1685" t="n">
        <v>0</v>
      </c>
      <c r="O1685" t="n">
        <v>0</v>
      </c>
      <c r="P1685" t="n">
        <v>0</v>
      </c>
      <c r="Q1685" t="n">
        <v>0</v>
      </c>
      <c r="R1685" s="2" t="inlineStr"/>
    </row>
    <row r="1686" ht="15" customHeight="1">
      <c r="A1686" t="inlineStr">
        <is>
          <t>A 31872-2024</t>
        </is>
      </c>
      <c r="B1686" s="1" t="n">
        <v>45509.9290625</v>
      </c>
      <c r="C1686" s="1" t="n">
        <v>45931</v>
      </c>
      <c r="D1686" t="inlineStr">
        <is>
          <t>VÄSTERBOTTENS LÄN</t>
        </is>
      </c>
      <c r="E1686" t="inlineStr">
        <is>
          <t>SKELLEFTEÅ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49279-2024</t>
        </is>
      </c>
      <c r="B1687" s="1" t="n">
        <v>45595.50831018519</v>
      </c>
      <c r="C1687" s="1" t="n">
        <v>45931</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39259-2025</t>
        </is>
      </c>
      <c r="B1688" s="1" t="n">
        <v>45889.37043981482</v>
      </c>
      <c r="C1688" s="1" t="n">
        <v>45931</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34471-2025</t>
        </is>
      </c>
      <c r="B1689" s="1" t="n">
        <v>45847</v>
      </c>
      <c r="C1689" s="1" t="n">
        <v>45931</v>
      </c>
      <c r="D1689" t="inlineStr">
        <is>
          <t>VÄSTERBOTTENS LÄN</t>
        </is>
      </c>
      <c r="E1689" t="inlineStr">
        <is>
          <t>SKELLEFTEÅ</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44616-2022</t>
        </is>
      </c>
      <c r="B1690" s="1" t="n">
        <v>44839</v>
      </c>
      <c r="C1690" s="1" t="n">
        <v>45931</v>
      </c>
      <c r="D1690" t="inlineStr">
        <is>
          <t>VÄSTERBOTTENS LÄN</t>
        </is>
      </c>
      <c r="E1690" t="inlineStr">
        <is>
          <t>SKELLEFTEÅ</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34724-2025</t>
        </is>
      </c>
      <c r="B1691" s="1" t="n">
        <v>45848.55504629629</v>
      </c>
      <c r="C1691" s="1" t="n">
        <v>45931</v>
      </c>
      <c r="D1691" t="inlineStr">
        <is>
          <t>VÄSTERBOTTENS LÄN</t>
        </is>
      </c>
      <c r="E1691" t="inlineStr">
        <is>
          <t>SKELLEFTEÅ</t>
        </is>
      </c>
      <c r="F1691" t="inlineStr">
        <is>
          <t>Holmen skog AB</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39613-2025</t>
        </is>
      </c>
      <c r="B1692" s="1" t="n">
        <v>45890.56368055556</v>
      </c>
      <c r="C1692" s="1" t="n">
        <v>45931</v>
      </c>
      <c r="D1692" t="inlineStr">
        <is>
          <t>VÄSTERBOTTENS LÄN</t>
        </is>
      </c>
      <c r="E1692" t="inlineStr">
        <is>
          <t>SKELLEFTEÅ</t>
        </is>
      </c>
      <c r="F1692" t="inlineStr">
        <is>
          <t>Holmen skog AB</t>
        </is>
      </c>
      <c r="G1692" t="n">
        <v>12.8</v>
      </c>
      <c r="H1692" t="n">
        <v>0</v>
      </c>
      <c r="I1692" t="n">
        <v>0</v>
      </c>
      <c r="J1692" t="n">
        <v>0</v>
      </c>
      <c r="K1692" t="n">
        <v>0</v>
      </c>
      <c r="L1692" t="n">
        <v>0</v>
      </c>
      <c r="M1692" t="n">
        <v>0</v>
      </c>
      <c r="N1692" t="n">
        <v>0</v>
      </c>
      <c r="O1692" t="n">
        <v>0</v>
      </c>
      <c r="P1692" t="n">
        <v>0</v>
      </c>
      <c r="Q1692" t="n">
        <v>0</v>
      </c>
      <c r="R1692" s="2" t="inlineStr"/>
    </row>
    <row r="1693" ht="15" customHeight="1">
      <c r="A1693" t="inlineStr">
        <is>
          <t>A 61551-2024</t>
        </is>
      </c>
      <c r="B1693" s="1" t="n">
        <v>45646.6046875</v>
      </c>
      <c r="C1693" s="1" t="n">
        <v>45931</v>
      </c>
      <c r="D1693" t="inlineStr">
        <is>
          <t>VÄSTERBOTTENS LÄN</t>
        </is>
      </c>
      <c r="E1693" t="inlineStr">
        <is>
          <t>SKELLEFTEÅ</t>
        </is>
      </c>
      <c r="F1693" t="inlineStr">
        <is>
          <t>Sveaskog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39328-2025</t>
        </is>
      </c>
      <c r="B1694" s="1" t="n">
        <v>45889</v>
      </c>
      <c r="C1694" s="1" t="n">
        <v>45931</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39522-2025</t>
        </is>
      </c>
      <c r="B1695" s="1" t="n">
        <v>45890.43673611111</v>
      </c>
      <c r="C1695" s="1" t="n">
        <v>45931</v>
      </c>
      <c r="D1695" t="inlineStr">
        <is>
          <t>VÄSTERBOTTENS LÄN</t>
        </is>
      </c>
      <c r="E1695" t="inlineStr">
        <is>
          <t>SKELLEFTEÅ</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39477-2025</t>
        </is>
      </c>
      <c r="B1696" s="1" t="n">
        <v>45890.34474537037</v>
      </c>
      <c r="C1696" s="1" t="n">
        <v>45931</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34716-2025</t>
        </is>
      </c>
      <c r="B1697" s="1" t="n">
        <v>45848.52747685185</v>
      </c>
      <c r="C1697" s="1" t="n">
        <v>45931</v>
      </c>
      <c r="D1697" t="inlineStr">
        <is>
          <t>VÄSTERBOTTENS LÄN</t>
        </is>
      </c>
      <c r="E1697" t="inlineStr">
        <is>
          <t>SKELLEFTEÅ</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52999-2024</t>
        </is>
      </c>
      <c r="B1698" s="1" t="n">
        <v>45611.38667824074</v>
      </c>
      <c r="C1698" s="1" t="n">
        <v>45931</v>
      </c>
      <c r="D1698" t="inlineStr">
        <is>
          <t>VÄSTERBOTTENS LÄN</t>
        </is>
      </c>
      <c r="E1698" t="inlineStr">
        <is>
          <t>SKELLEFTEÅ</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55420-2023</t>
        </is>
      </c>
      <c r="B1699" s="1" t="n">
        <v>45231</v>
      </c>
      <c r="C1699" s="1" t="n">
        <v>45931</v>
      </c>
      <c r="D1699" t="inlineStr">
        <is>
          <t>VÄSTERBOTTENS LÄN</t>
        </is>
      </c>
      <c r="E1699" t="inlineStr">
        <is>
          <t>SKELLEFTEÅ</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23521-2024</t>
        </is>
      </c>
      <c r="B1700" s="1" t="n">
        <v>45453.92469907407</v>
      </c>
      <c r="C1700" s="1" t="n">
        <v>45931</v>
      </c>
      <c r="D1700" t="inlineStr">
        <is>
          <t>VÄSTERBOTTENS LÄN</t>
        </is>
      </c>
      <c r="E1700" t="inlineStr">
        <is>
          <t>SKELLEFTEÅ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160-2025</t>
        </is>
      </c>
      <c r="B1701" s="1" t="n">
        <v>45649</v>
      </c>
      <c r="C1701" s="1" t="n">
        <v>45931</v>
      </c>
      <c r="D1701" t="inlineStr">
        <is>
          <t>VÄSTERBOTTENS LÄN</t>
        </is>
      </c>
      <c r="E1701" t="inlineStr">
        <is>
          <t>SKELLEFTEÅ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39530-2025</t>
        </is>
      </c>
      <c r="B1702" s="1" t="n">
        <v>45890.44736111111</v>
      </c>
      <c r="C1702" s="1" t="n">
        <v>45931</v>
      </c>
      <c r="D1702" t="inlineStr">
        <is>
          <t>VÄSTERBOTTENS LÄN</t>
        </is>
      </c>
      <c r="E1702" t="inlineStr">
        <is>
          <t>SKELLEFTEÅ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39589-2025</t>
        </is>
      </c>
      <c r="B1703" s="1" t="n">
        <v>45890.5162037037</v>
      </c>
      <c r="C1703" s="1" t="n">
        <v>45931</v>
      </c>
      <c r="D1703" t="inlineStr">
        <is>
          <t>VÄSTERBOTTENS LÄN</t>
        </is>
      </c>
      <c r="E1703" t="inlineStr">
        <is>
          <t>SKELLEFTEÅ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34657-2025</t>
        </is>
      </c>
      <c r="B1704" s="1" t="n">
        <v>45848.36267361111</v>
      </c>
      <c r="C1704" s="1" t="n">
        <v>45931</v>
      </c>
      <c r="D1704" t="inlineStr">
        <is>
          <t>VÄSTERBOTTENS LÄN</t>
        </is>
      </c>
      <c r="E1704" t="inlineStr">
        <is>
          <t>SKELLEFTEÅ</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34672-2025</t>
        </is>
      </c>
      <c r="B1705" s="1" t="n">
        <v>45847</v>
      </c>
      <c r="C1705" s="1" t="n">
        <v>45931</v>
      </c>
      <c r="D1705" t="inlineStr">
        <is>
          <t>VÄSTERBOTTENS LÄN</t>
        </is>
      </c>
      <c r="E1705" t="inlineStr">
        <is>
          <t>SKELLEFTEÅ</t>
        </is>
      </c>
      <c r="G1705" t="n">
        <v>12.8</v>
      </c>
      <c r="H1705" t="n">
        <v>0</v>
      </c>
      <c r="I1705" t="n">
        <v>0</v>
      </c>
      <c r="J1705" t="n">
        <v>0</v>
      </c>
      <c r="K1705" t="n">
        <v>0</v>
      </c>
      <c r="L1705" t="n">
        <v>0</v>
      </c>
      <c r="M1705" t="n">
        <v>0</v>
      </c>
      <c r="N1705" t="n">
        <v>0</v>
      </c>
      <c r="O1705" t="n">
        <v>0</v>
      </c>
      <c r="P1705" t="n">
        <v>0</v>
      </c>
      <c r="Q1705" t="n">
        <v>0</v>
      </c>
      <c r="R1705" s="2" t="inlineStr"/>
    </row>
    <row r="1706" ht="15" customHeight="1">
      <c r="A1706" t="inlineStr">
        <is>
          <t>A 34678-2025</t>
        </is>
      </c>
      <c r="B1706" s="1" t="n">
        <v>45848.42638888889</v>
      </c>
      <c r="C1706" s="1" t="n">
        <v>45931</v>
      </c>
      <c r="D1706" t="inlineStr">
        <is>
          <t>VÄSTERBOTTENS LÄN</t>
        </is>
      </c>
      <c r="E1706" t="inlineStr">
        <is>
          <t>SKELLEFTEÅ</t>
        </is>
      </c>
      <c r="F1706" t="inlineStr">
        <is>
          <t>Holmen skog AB</t>
        </is>
      </c>
      <c r="G1706" t="n">
        <v>12.6</v>
      </c>
      <c r="H1706" t="n">
        <v>0</v>
      </c>
      <c r="I1706" t="n">
        <v>0</v>
      </c>
      <c r="J1706" t="n">
        <v>0</v>
      </c>
      <c r="K1706" t="n">
        <v>0</v>
      </c>
      <c r="L1706" t="n">
        <v>0</v>
      </c>
      <c r="M1706" t="n">
        <v>0</v>
      </c>
      <c r="N1706" t="n">
        <v>0</v>
      </c>
      <c r="O1706" t="n">
        <v>0</v>
      </c>
      <c r="P1706" t="n">
        <v>0</v>
      </c>
      <c r="Q1706" t="n">
        <v>0</v>
      </c>
      <c r="R1706" s="2" t="inlineStr"/>
    </row>
    <row r="1707" ht="15" customHeight="1">
      <c r="A1707" t="inlineStr">
        <is>
          <t>A 35771-2022</t>
        </is>
      </c>
      <c r="B1707" s="1" t="n">
        <v>44801</v>
      </c>
      <c r="C1707" s="1" t="n">
        <v>45931</v>
      </c>
      <c r="D1707" t="inlineStr">
        <is>
          <t>VÄSTERBOTTENS LÄN</t>
        </is>
      </c>
      <c r="E1707" t="inlineStr">
        <is>
          <t>SKELLEFTEÅ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25473-2021</t>
        </is>
      </c>
      <c r="B1708" s="1" t="n">
        <v>44342.76399305555</v>
      </c>
      <c r="C1708" s="1" t="n">
        <v>45931</v>
      </c>
      <c r="D1708" t="inlineStr">
        <is>
          <t>VÄSTERBOTTENS LÄN</t>
        </is>
      </c>
      <c r="E1708" t="inlineStr">
        <is>
          <t>SKELLEFTEÅ</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25512-2021</t>
        </is>
      </c>
      <c r="B1709" s="1" t="n">
        <v>44342</v>
      </c>
      <c r="C1709" s="1" t="n">
        <v>45931</v>
      </c>
      <c r="D1709" t="inlineStr">
        <is>
          <t>VÄSTERBOTTENS LÄN</t>
        </is>
      </c>
      <c r="E1709" t="inlineStr">
        <is>
          <t>SKELLEFTEÅ</t>
        </is>
      </c>
      <c r="F1709" t="inlineStr">
        <is>
          <t>SCA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34791-2025</t>
        </is>
      </c>
      <c r="B1710" s="1" t="n">
        <v>45848</v>
      </c>
      <c r="C1710" s="1" t="n">
        <v>45931</v>
      </c>
      <c r="D1710" t="inlineStr">
        <is>
          <t>VÄSTERBOTTENS LÄN</t>
        </is>
      </c>
      <c r="E1710" t="inlineStr">
        <is>
          <t>SKELLEFTEÅ</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54662-2024</t>
        </is>
      </c>
      <c r="B1711" s="1" t="n">
        <v>45618.31710648148</v>
      </c>
      <c r="C1711" s="1" t="n">
        <v>45931</v>
      </c>
      <c r="D1711" t="inlineStr">
        <is>
          <t>VÄSTERBOTTENS LÄN</t>
        </is>
      </c>
      <c r="E1711" t="inlineStr">
        <is>
          <t>SKELLEFTEÅ</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8839-2025</t>
        </is>
      </c>
      <c r="B1712" s="1" t="n">
        <v>45713</v>
      </c>
      <c r="C1712" s="1" t="n">
        <v>45931</v>
      </c>
      <c r="D1712" t="inlineStr">
        <is>
          <t>VÄSTERBOTTENS LÄN</t>
        </is>
      </c>
      <c r="E1712" t="inlineStr">
        <is>
          <t>SKELLEFTEÅ</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8840-2025</t>
        </is>
      </c>
      <c r="B1713" s="1" t="n">
        <v>45713.30810185185</v>
      </c>
      <c r="C1713" s="1" t="n">
        <v>45931</v>
      </c>
      <c r="D1713" t="inlineStr">
        <is>
          <t>VÄSTERBOTTENS LÄN</t>
        </is>
      </c>
      <c r="E1713" t="inlineStr">
        <is>
          <t>SKELLEFTEÅ</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39681-2025</t>
        </is>
      </c>
      <c r="B1714" s="1" t="n">
        <v>45890.65736111111</v>
      </c>
      <c r="C1714" s="1" t="n">
        <v>45931</v>
      </c>
      <c r="D1714" t="inlineStr">
        <is>
          <t>VÄSTERBOTTENS LÄN</t>
        </is>
      </c>
      <c r="E1714" t="inlineStr">
        <is>
          <t>SKELLEFTEÅ</t>
        </is>
      </c>
      <c r="F1714" t="inlineStr">
        <is>
          <t>Holmen skog AB</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39705-2025</t>
        </is>
      </c>
      <c r="B1715" s="1" t="n">
        <v>45890.73013888889</v>
      </c>
      <c r="C1715" s="1" t="n">
        <v>45931</v>
      </c>
      <c r="D1715" t="inlineStr">
        <is>
          <t>VÄSTERBOTTENS LÄN</t>
        </is>
      </c>
      <c r="E1715" t="inlineStr">
        <is>
          <t>SKELLEFTEÅ</t>
        </is>
      </c>
      <c r="F1715" t="inlineStr">
        <is>
          <t>Sveaskog</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38395-2023</t>
        </is>
      </c>
      <c r="B1716" s="1" t="n">
        <v>45162.31554398148</v>
      </c>
      <c r="C1716" s="1" t="n">
        <v>45931</v>
      </c>
      <c r="D1716" t="inlineStr">
        <is>
          <t>VÄSTERBOTTENS LÄN</t>
        </is>
      </c>
      <c r="E1716" t="inlineStr">
        <is>
          <t>SKELLEFTEÅ</t>
        </is>
      </c>
      <c r="F1716" t="inlineStr">
        <is>
          <t>Sveaskog</t>
        </is>
      </c>
      <c r="G1716" t="n">
        <v>18.9</v>
      </c>
      <c r="H1716" t="n">
        <v>0</v>
      </c>
      <c r="I1716" t="n">
        <v>0</v>
      </c>
      <c r="J1716" t="n">
        <v>0</v>
      </c>
      <c r="K1716" t="n">
        <v>0</v>
      </c>
      <c r="L1716" t="n">
        <v>0</v>
      </c>
      <c r="M1716" t="n">
        <v>0</v>
      </c>
      <c r="N1716" t="n">
        <v>0</v>
      </c>
      <c r="O1716" t="n">
        <v>0</v>
      </c>
      <c r="P1716" t="n">
        <v>0</v>
      </c>
      <c r="Q1716" t="n">
        <v>0</v>
      </c>
      <c r="R1716" s="2" t="inlineStr"/>
    </row>
    <row r="1717" ht="15" customHeight="1">
      <c r="A1717" t="inlineStr">
        <is>
          <t>A 34536-2025</t>
        </is>
      </c>
      <c r="B1717" s="1" t="n">
        <v>45847.5141087963</v>
      </c>
      <c r="C1717" s="1" t="n">
        <v>45931</v>
      </c>
      <c r="D1717" t="inlineStr">
        <is>
          <t>VÄSTERBOTTENS LÄN</t>
        </is>
      </c>
      <c r="E1717" t="inlineStr">
        <is>
          <t>SKELLEFTEÅ</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59324-2024</t>
        </is>
      </c>
      <c r="B1718" s="1" t="n">
        <v>45637.72047453704</v>
      </c>
      <c r="C1718" s="1" t="n">
        <v>45931</v>
      </c>
      <c r="D1718" t="inlineStr">
        <is>
          <t>VÄSTERBOTTENS LÄN</t>
        </is>
      </c>
      <c r="E1718" t="inlineStr">
        <is>
          <t>SKELLEFTEÅ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39254-2025</t>
        </is>
      </c>
      <c r="B1719" s="1" t="n">
        <v>45889.36454861111</v>
      </c>
      <c r="C1719" s="1" t="n">
        <v>45931</v>
      </c>
      <c r="D1719" t="inlineStr">
        <is>
          <t>VÄSTERBOTTENS LÄN</t>
        </is>
      </c>
      <c r="E1719" t="inlineStr">
        <is>
          <t>SKELLEFTEÅ</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39349-2025</t>
        </is>
      </c>
      <c r="B1720" s="1" t="n">
        <v>45889.5431712963</v>
      </c>
      <c r="C1720" s="1" t="n">
        <v>45931</v>
      </c>
      <c r="D1720" t="inlineStr">
        <is>
          <t>VÄSTERBOTTENS LÄN</t>
        </is>
      </c>
      <c r="E1720" t="inlineStr">
        <is>
          <t>SKELLEFTEÅ</t>
        </is>
      </c>
      <c r="F1720" t="inlineStr">
        <is>
          <t>Kommuner</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57908-2022</t>
        </is>
      </c>
      <c r="B1721" s="1" t="n">
        <v>44900.35597222222</v>
      </c>
      <c r="C1721" s="1" t="n">
        <v>45931</v>
      </c>
      <c r="D1721" t="inlineStr">
        <is>
          <t>VÄSTERBOTTENS LÄN</t>
        </is>
      </c>
      <c r="E1721" t="inlineStr">
        <is>
          <t>SKELLEFTEÅ</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15709-2023</t>
        </is>
      </c>
      <c r="B1722" s="1" t="n">
        <v>45020</v>
      </c>
      <c r="C1722" s="1" t="n">
        <v>45931</v>
      </c>
      <c r="D1722" t="inlineStr">
        <is>
          <t>VÄSTERBOTTENS LÄN</t>
        </is>
      </c>
      <c r="E1722" t="inlineStr">
        <is>
          <t>SKELLEFTEÅ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4958-2025</t>
        </is>
      </c>
      <c r="B1723" s="1" t="n">
        <v>45689.58603009259</v>
      </c>
      <c r="C1723" s="1" t="n">
        <v>45931</v>
      </c>
      <c r="D1723" t="inlineStr">
        <is>
          <t>VÄSTERBOTTENS LÄN</t>
        </is>
      </c>
      <c r="E1723" t="inlineStr">
        <is>
          <t>SKELLEFTEÅ</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4959-2025</t>
        </is>
      </c>
      <c r="B1724" s="1" t="n">
        <v>45689.59054398148</v>
      </c>
      <c r="C1724" s="1" t="n">
        <v>45931</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28283-2024</t>
        </is>
      </c>
      <c r="B1725" s="1" t="n">
        <v>45477.46223379629</v>
      </c>
      <c r="C1725" s="1" t="n">
        <v>45931</v>
      </c>
      <c r="D1725" t="inlineStr">
        <is>
          <t>VÄSTERBOTTENS LÄN</t>
        </is>
      </c>
      <c r="E1725" t="inlineStr">
        <is>
          <t>SKELLEFTEÅ</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66061-2020</t>
        </is>
      </c>
      <c r="B1726" s="1" t="n">
        <v>44173</v>
      </c>
      <c r="C1726" s="1" t="n">
        <v>45931</v>
      </c>
      <c r="D1726" t="inlineStr">
        <is>
          <t>VÄSTERBOTTENS LÄN</t>
        </is>
      </c>
      <c r="E1726" t="inlineStr">
        <is>
          <t>SKELLEFTEÅ</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59744-2022</t>
        </is>
      </c>
      <c r="B1727" s="1" t="n">
        <v>44908</v>
      </c>
      <c r="C1727" s="1" t="n">
        <v>45931</v>
      </c>
      <c r="D1727" t="inlineStr">
        <is>
          <t>VÄSTERBOTTENS LÄN</t>
        </is>
      </c>
      <c r="E1727" t="inlineStr">
        <is>
          <t>SKELLEFTEÅ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9080-2023</t>
        </is>
      </c>
      <c r="B1728" s="1" t="n">
        <v>44979</v>
      </c>
      <c r="C1728" s="1" t="n">
        <v>45931</v>
      </c>
      <c r="D1728" t="inlineStr">
        <is>
          <t>VÄSTERBOTTENS LÄN</t>
        </is>
      </c>
      <c r="E1728" t="inlineStr">
        <is>
          <t>SKELLEFTEÅ</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58926-2022</t>
        </is>
      </c>
      <c r="B1729" s="1" t="n">
        <v>44896</v>
      </c>
      <c r="C1729" s="1" t="n">
        <v>45931</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39379-2025</t>
        </is>
      </c>
      <c r="B1730" s="1" t="n">
        <v>45889.59917824074</v>
      </c>
      <c r="C1730" s="1" t="n">
        <v>45931</v>
      </c>
      <c r="D1730" t="inlineStr">
        <is>
          <t>VÄSTERBOTTENS LÄN</t>
        </is>
      </c>
      <c r="E1730" t="inlineStr">
        <is>
          <t>SKELLEFTEÅ</t>
        </is>
      </c>
      <c r="F1730" t="inlineStr">
        <is>
          <t>Holmen skog AB</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34455-2023</t>
        </is>
      </c>
      <c r="B1731" s="1" t="n">
        <v>45139.68733796296</v>
      </c>
      <c r="C1731" s="1" t="n">
        <v>45931</v>
      </c>
      <c r="D1731" t="inlineStr">
        <is>
          <t>VÄSTERBOTTENS LÄN</t>
        </is>
      </c>
      <c r="E1731" t="inlineStr">
        <is>
          <t>SKELLEFTEÅ</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39445-2025</t>
        </is>
      </c>
      <c r="B1732" s="1" t="n">
        <v>45889.7028125</v>
      </c>
      <c r="C1732" s="1" t="n">
        <v>45931</v>
      </c>
      <c r="D1732" t="inlineStr">
        <is>
          <t>VÄSTERBOTTENS LÄN</t>
        </is>
      </c>
      <c r="E1732" t="inlineStr">
        <is>
          <t>SKELLEFTEÅ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39447-2025</t>
        </is>
      </c>
      <c r="B1733" s="1" t="n">
        <v>45889.70673611111</v>
      </c>
      <c r="C1733" s="1" t="n">
        <v>45931</v>
      </c>
      <c r="D1733" t="inlineStr">
        <is>
          <t>VÄSTERBOTTENS LÄN</t>
        </is>
      </c>
      <c r="E1733" t="inlineStr">
        <is>
          <t>SKELLEFTEÅ</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12939-2025</t>
        </is>
      </c>
      <c r="B1734" s="1" t="n">
        <v>45734.36378472222</v>
      </c>
      <c r="C1734" s="1" t="n">
        <v>45931</v>
      </c>
      <c r="D1734" t="inlineStr">
        <is>
          <t>VÄSTERBOTTENS LÄN</t>
        </is>
      </c>
      <c r="E1734" t="inlineStr">
        <is>
          <t>SKELLEFTEÅ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7028-2025</t>
        </is>
      </c>
      <c r="B1735" s="1" t="n">
        <v>45701.63065972222</v>
      </c>
      <c r="C1735" s="1" t="n">
        <v>45931</v>
      </c>
      <c r="D1735" t="inlineStr">
        <is>
          <t>VÄSTERBOTTENS LÄN</t>
        </is>
      </c>
      <c r="E1735" t="inlineStr">
        <is>
          <t>SKELLEFTEÅ</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47519-2024</t>
        </is>
      </c>
      <c r="B1736" s="1" t="n">
        <v>45587</v>
      </c>
      <c r="C1736" s="1" t="n">
        <v>45931</v>
      </c>
      <c r="D1736" t="inlineStr">
        <is>
          <t>VÄSTERBOTTENS LÄN</t>
        </is>
      </c>
      <c r="E1736" t="inlineStr">
        <is>
          <t>SKELLEFTEÅ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26154-2023</t>
        </is>
      </c>
      <c r="B1737" s="1" t="n">
        <v>45091.50071759259</v>
      </c>
      <c r="C1737" s="1" t="n">
        <v>45931</v>
      </c>
      <c r="D1737" t="inlineStr">
        <is>
          <t>VÄSTERBOTTENS LÄN</t>
        </is>
      </c>
      <c r="E1737" t="inlineStr">
        <is>
          <t>SKELLEFTEÅ</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18104-2021</t>
        </is>
      </c>
      <c r="B1738" s="1" t="n">
        <v>44302</v>
      </c>
      <c r="C1738" s="1" t="n">
        <v>45931</v>
      </c>
      <c r="D1738" t="inlineStr">
        <is>
          <t>VÄSTERBOTTENS LÄN</t>
        </is>
      </c>
      <c r="E1738" t="inlineStr">
        <is>
          <t>SKELLEFTEÅ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61479-2024</t>
        </is>
      </c>
      <c r="B1739" s="1" t="n">
        <v>45646.52488425926</v>
      </c>
      <c r="C1739" s="1" t="n">
        <v>45931</v>
      </c>
      <c r="D1739" t="inlineStr">
        <is>
          <t>VÄSTERBOTTENS LÄN</t>
        </is>
      </c>
      <c r="E1739" t="inlineStr">
        <is>
          <t>SKELLEFTEÅ</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58557-2024</t>
        </is>
      </c>
      <c r="B1740" s="1" t="n">
        <v>45635.46780092592</v>
      </c>
      <c r="C1740" s="1" t="n">
        <v>45931</v>
      </c>
      <c r="D1740" t="inlineStr">
        <is>
          <t>VÄSTERBOTTENS LÄN</t>
        </is>
      </c>
      <c r="E1740" t="inlineStr">
        <is>
          <t>SKELLEFTEÅ</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3268-2022</t>
        </is>
      </c>
      <c r="B1741" s="1" t="n">
        <v>44583.89641203704</v>
      </c>
      <c r="C1741" s="1" t="n">
        <v>45931</v>
      </c>
      <c r="D1741" t="inlineStr">
        <is>
          <t>VÄSTERBOTTENS LÄN</t>
        </is>
      </c>
      <c r="E1741" t="inlineStr">
        <is>
          <t>SKELLEFTEÅ</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39733-2025</t>
        </is>
      </c>
      <c r="B1742" s="1" t="n">
        <v>45891.36577546296</v>
      </c>
      <c r="C1742" s="1" t="n">
        <v>45931</v>
      </c>
      <c r="D1742" t="inlineStr">
        <is>
          <t>VÄSTERBOTTENS LÄN</t>
        </is>
      </c>
      <c r="E1742" t="inlineStr">
        <is>
          <t>SKELLEFTEÅ</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54913-2020</t>
        </is>
      </c>
      <c r="B1743" s="1" t="n">
        <v>44127</v>
      </c>
      <c r="C1743" s="1" t="n">
        <v>45931</v>
      </c>
      <c r="D1743" t="inlineStr">
        <is>
          <t>VÄSTERBOTTENS LÄN</t>
        </is>
      </c>
      <c r="E1743" t="inlineStr">
        <is>
          <t>SKELLEFTEÅ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40020-2025</t>
        </is>
      </c>
      <c r="B1744" s="1" t="n">
        <v>45894.35414351852</v>
      </c>
      <c r="C1744" s="1" t="n">
        <v>45931</v>
      </c>
      <c r="D1744" t="inlineStr">
        <is>
          <t>VÄSTERBOTTENS LÄN</t>
        </is>
      </c>
      <c r="E1744" t="inlineStr">
        <is>
          <t>SKELLEFTEÅ</t>
        </is>
      </c>
      <c r="F1744" t="inlineStr">
        <is>
          <t>Holmen skog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35090-2025</t>
        </is>
      </c>
      <c r="B1745" s="1" t="n">
        <v>45852.52563657407</v>
      </c>
      <c r="C1745" s="1" t="n">
        <v>45931</v>
      </c>
      <c r="D1745" t="inlineStr">
        <is>
          <t>VÄSTERBOTTENS LÄN</t>
        </is>
      </c>
      <c r="E1745" t="inlineStr">
        <is>
          <t>SKELLEFTEÅ</t>
        </is>
      </c>
      <c r="F1745" t="inlineStr">
        <is>
          <t>Holmen skog AB</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46480-2024</t>
        </is>
      </c>
      <c r="B1746" s="1" t="n">
        <v>45582.57158564815</v>
      </c>
      <c r="C1746" s="1" t="n">
        <v>45931</v>
      </c>
      <c r="D1746" t="inlineStr">
        <is>
          <t>VÄSTERBOTTENS LÄN</t>
        </is>
      </c>
      <c r="E1746" t="inlineStr">
        <is>
          <t>SKELLEFTEÅ</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33776-2024</t>
        </is>
      </c>
      <c r="B1747" s="1" t="n">
        <v>45520.57944444445</v>
      </c>
      <c r="C1747" s="1" t="n">
        <v>45931</v>
      </c>
      <c r="D1747" t="inlineStr">
        <is>
          <t>VÄSTERBOTTENS LÄN</t>
        </is>
      </c>
      <c r="E1747" t="inlineStr">
        <is>
          <t>SKELLEFTEÅ</t>
        </is>
      </c>
      <c r="F1747" t="inlineStr">
        <is>
          <t>Sveaskog</t>
        </is>
      </c>
      <c r="G1747" t="n">
        <v>16.4</v>
      </c>
      <c r="H1747" t="n">
        <v>0</v>
      </c>
      <c r="I1747" t="n">
        <v>0</v>
      </c>
      <c r="J1747" t="n">
        <v>0</v>
      </c>
      <c r="K1747" t="n">
        <v>0</v>
      </c>
      <c r="L1747" t="n">
        <v>0</v>
      </c>
      <c r="M1747" t="n">
        <v>0</v>
      </c>
      <c r="N1747" t="n">
        <v>0</v>
      </c>
      <c r="O1747" t="n">
        <v>0</v>
      </c>
      <c r="P1747" t="n">
        <v>0</v>
      </c>
      <c r="Q1747" t="n">
        <v>0</v>
      </c>
      <c r="R1747" s="2" t="inlineStr"/>
    </row>
    <row r="1748" ht="15" customHeight="1">
      <c r="A1748" t="inlineStr">
        <is>
          <t>A 16653-2022</t>
        </is>
      </c>
      <c r="B1748" s="1" t="n">
        <v>44672</v>
      </c>
      <c r="C1748" s="1" t="n">
        <v>45931</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39870-2025</t>
        </is>
      </c>
      <c r="B1749" s="1" t="n">
        <v>45891</v>
      </c>
      <c r="C1749" s="1" t="n">
        <v>45931</v>
      </c>
      <c r="D1749" t="inlineStr">
        <is>
          <t>VÄSTERBOTTENS LÄN</t>
        </is>
      </c>
      <c r="E1749" t="inlineStr">
        <is>
          <t>SKELLEFTEÅ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39875-2025</t>
        </is>
      </c>
      <c r="B1750" s="1" t="n">
        <v>45891.61512731481</v>
      </c>
      <c r="C1750" s="1" t="n">
        <v>45931</v>
      </c>
      <c r="D1750" t="inlineStr">
        <is>
          <t>VÄSTERBOTTENS LÄN</t>
        </is>
      </c>
      <c r="E1750" t="inlineStr">
        <is>
          <t>SKELLEFTEÅ</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22618-2022</t>
        </is>
      </c>
      <c r="B1751" s="1" t="n">
        <v>44714</v>
      </c>
      <c r="C1751" s="1" t="n">
        <v>45931</v>
      </c>
      <c r="D1751" t="inlineStr">
        <is>
          <t>VÄSTERBOTTENS LÄN</t>
        </is>
      </c>
      <c r="E1751" t="inlineStr">
        <is>
          <t>SKELLEFTEÅ</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38957-2024</t>
        </is>
      </c>
      <c r="B1752" s="1" t="n">
        <v>45548.35662037037</v>
      </c>
      <c r="C1752" s="1" t="n">
        <v>45931</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39871-2025</t>
        </is>
      </c>
      <c r="B1753" s="1" t="n">
        <v>45891.61135416666</v>
      </c>
      <c r="C1753" s="1" t="n">
        <v>45931</v>
      </c>
      <c r="D1753" t="inlineStr">
        <is>
          <t>VÄSTERBOTTENS LÄN</t>
        </is>
      </c>
      <c r="E1753" t="inlineStr">
        <is>
          <t>SKELLEFTEÅ</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56501-2024</t>
        </is>
      </c>
      <c r="B1754" s="1" t="n">
        <v>45625.49784722222</v>
      </c>
      <c r="C1754" s="1" t="n">
        <v>45931</v>
      </c>
      <c r="D1754" t="inlineStr">
        <is>
          <t>VÄSTERBOTTENS LÄN</t>
        </is>
      </c>
      <c r="E1754" t="inlineStr">
        <is>
          <t>SKELLEFTEÅ</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71798-2021</t>
        </is>
      </c>
      <c r="B1755" s="1" t="n">
        <v>44543.56943287037</v>
      </c>
      <c r="C1755" s="1" t="n">
        <v>45931</v>
      </c>
      <c r="D1755" t="inlineStr">
        <is>
          <t>VÄSTERBOTTENS LÄN</t>
        </is>
      </c>
      <c r="E1755" t="inlineStr">
        <is>
          <t>SKELLEFTEÅ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39866-2025</t>
        </is>
      </c>
      <c r="B1756" s="1" t="n">
        <v>45891.60517361111</v>
      </c>
      <c r="C1756" s="1" t="n">
        <v>45931</v>
      </c>
      <c r="D1756" t="inlineStr">
        <is>
          <t>VÄSTERBOTTENS LÄN</t>
        </is>
      </c>
      <c r="E1756" t="inlineStr">
        <is>
          <t>SKELLEFTEÅ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11260-2022</t>
        </is>
      </c>
      <c r="B1757" s="1" t="n">
        <v>44629</v>
      </c>
      <c r="C1757" s="1" t="n">
        <v>45931</v>
      </c>
      <c r="D1757" t="inlineStr">
        <is>
          <t>VÄSTERBOTTENS LÄN</t>
        </is>
      </c>
      <c r="E1757" t="inlineStr">
        <is>
          <t>SKELLEFTEÅ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62047-2024</t>
        </is>
      </c>
      <c r="B1758" s="1" t="n">
        <v>45656.36306712963</v>
      </c>
      <c r="C1758" s="1" t="n">
        <v>45931</v>
      </c>
      <c r="D1758" t="inlineStr">
        <is>
          <t>VÄSTERBOTTENS LÄN</t>
        </is>
      </c>
      <c r="E1758" t="inlineStr">
        <is>
          <t>SKELLEFTEÅ</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29264-2025</t>
        </is>
      </c>
      <c r="B1759" s="1" t="n">
        <v>45824.39657407408</v>
      </c>
      <c r="C1759" s="1" t="n">
        <v>45931</v>
      </c>
      <c r="D1759" t="inlineStr">
        <is>
          <t>VÄSTERBOTTENS LÄN</t>
        </is>
      </c>
      <c r="E1759" t="inlineStr">
        <is>
          <t>SKELLEFTEÅ</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57714-2021</t>
        </is>
      </c>
      <c r="B1760" s="1" t="n">
        <v>44484.48947916667</v>
      </c>
      <c r="C1760" s="1" t="n">
        <v>45931</v>
      </c>
      <c r="D1760" t="inlineStr">
        <is>
          <t>VÄSTERBOTTENS LÄN</t>
        </is>
      </c>
      <c r="E1760" t="inlineStr">
        <is>
          <t>SKELLEFTEÅ</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8928-2024</t>
        </is>
      </c>
      <c r="B1761" s="1" t="n">
        <v>45357.39643518518</v>
      </c>
      <c r="C1761" s="1" t="n">
        <v>45931</v>
      </c>
      <c r="D1761" t="inlineStr">
        <is>
          <t>VÄSTERBOTTENS LÄN</t>
        </is>
      </c>
      <c r="E1761" t="inlineStr">
        <is>
          <t>SKELLEFTEÅ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53725-2024</t>
        </is>
      </c>
      <c r="B1762" s="1" t="n">
        <v>45615.45043981481</v>
      </c>
      <c r="C1762" s="1" t="n">
        <v>45931</v>
      </c>
      <c r="D1762" t="inlineStr">
        <is>
          <t>VÄSTERBOTTENS LÄN</t>
        </is>
      </c>
      <c r="E1762" t="inlineStr">
        <is>
          <t>SKELLEFTEÅ</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803-2022</t>
        </is>
      </c>
      <c r="B1763" s="1" t="n">
        <v>44568</v>
      </c>
      <c r="C1763" s="1" t="n">
        <v>45931</v>
      </c>
      <c r="D1763" t="inlineStr">
        <is>
          <t>VÄSTERBOTTENS LÄN</t>
        </is>
      </c>
      <c r="E1763" t="inlineStr">
        <is>
          <t>SKELLEFTEÅ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39890-2025</t>
        </is>
      </c>
      <c r="B1764" s="1" t="n">
        <v>45891.62754629629</v>
      </c>
      <c r="C1764" s="1" t="n">
        <v>45931</v>
      </c>
      <c r="D1764" t="inlineStr">
        <is>
          <t>VÄSTERBOTTENS LÄN</t>
        </is>
      </c>
      <c r="E1764" t="inlineStr">
        <is>
          <t>SKELLEFTEÅ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39888-2025</t>
        </is>
      </c>
      <c r="B1765" s="1" t="n">
        <v>45891</v>
      </c>
      <c r="C1765" s="1" t="n">
        <v>45931</v>
      </c>
      <c r="D1765" t="inlineStr">
        <is>
          <t>VÄSTERBOTTENS LÄN</t>
        </is>
      </c>
      <c r="E1765" t="inlineStr">
        <is>
          <t>SKELLEFTEÅ</t>
        </is>
      </c>
      <c r="G1765" t="n">
        <v>11.5</v>
      </c>
      <c r="H1765" t="n">
        <v>0</v>
      </c>
      <c r="I1765" t="n">
        <v>0</v>
      </c>
      <c r="J1765" t="n">
        <v>0</v>
      </c>
      <c r="K1765" t="n">
        <v>0</v>
      </c>
      <c r="L1765" t="n">
        <v>0</v>
      </c>
      <c r="M1765" t="n">
        <v>0</v>
      </c>
      <c r="N1765" t="n">
        <v>0</v>
      </c>
      <c r="O1765" t="n">
        <v>0</v>
      </c>
      <c r="P1765" t="n">
        <v>0</v>
      </c>
      <c r="Q1765" t="n">
        <v>0</v>
      </c>
      <c r="R1765" s="2" t="inlineStr"/>
    </row>
    <row r="1766" ht="15" customHeight="1">
      <c r="A1766" t="inlineStr">
        <is>
          <t>A 39921-2025</t>
        </is>
      </c>
      <c r="B1766" s="1" t="n">
        <v>45891.66770833333</v>
      </c>
      <c r="C1766" s="1" t="n">
        <v>45931</v>
      </c>
      <c r="D1766" t="inlineStr">
        <is>
          <t>VÄSTERBOTTENS LÄN</t>
        </is>
      </c>
      <c r="E1766" t="inlineStr">
        <is>
          <t>SKELLEFTEÅ</t>
        </is>
      </c>
      <c r="F1766" t="inlineStr">
        <is>
          <t>Holmen skog AB</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40295-2025</t>
        </is>
      </c>
      <c r="B1767" s="1" t="n">
        <v>45895.38805555556</v>
      </c>
      <c r="C1767" s="1" t="n">
        <v>45931</v>
      </c>
      <c r="D1767" t="inlineStr">
        <is>
          <t>VÄSTERBOTTENS LÄN</t>
        </is>
      </c>
      <c r="E1767" t="inlineStr">
        <is>
          <t>SKELLEFTEÅ</t>
        </is>
      </c>
      <c r="F1767" t="inlineStr">
        <is>
          <t>Sveaskog</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51991-2024</t>
        </is>
      </c>
      <c r="B1768" s="1" t="n">
        <v>45607</v>
      </c>
      <c r="C1768" s="1" t="n">
        <v>45931</v>
      </c>
      <c r="D1768" t="inlineStr">
        <is>
          <t>VÄSTERBOTTENS LÄN</t>
        </is>
      </c>
      <c r="E1768" t="inlineStr">
        <is>
          <t>SKELLEFTEÅ</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19748-2021</t>
        </is>
      </c>
      <c r="B1769" s="1" t="n">
        <v>44312</v>
      </c>
      <c r="C1769" s="1" t="n">
        <v>45931</v>
      </c>
      <c r="D1769" t="inlineStr">
        <is>
          <t>VÄSTERBOTTENS LÄN</t>
        </is>
      </c>
      <c r="E1769" t="inlineStr">
        <is>
          <t>SKELLEFTEÅ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46565-2024</t>
        </is>
      </c>
      <c r="B1770" s="1" t="n">
        <v>45582</v>
      </c>
      <c r="C1770" s="1" t="n">
        <v>45931</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40615-2025</t>
        </is>
      </c>
      <c r="B1771" s="1" t="n">
        <v>45896.57956018519</v>
      </c>
      <c r="C1771" s="1" t="n">
        <v>45931</v>
      </c>
      <c r="D1771" t="inlineStr">
        <is>
          <t>VÄSTERBOTTENS LÄN</t>
        </is>
      </c>
      <c r="E1771" t="inlineStr">
        <is>
          <t>SKELLEFTEÅ</t>
        </is>
      </c>
      <c r="F1771" t="inlineStr">
        <is>
          <t>Holmen skog AB</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21812-2024</t>
        </is>
      </c>
      <c r="B1772" s="1" t="n">
        <v>45442.67990740741</v>
      </c>
      <c r="C1772" s="1" t="n">
        <v>45931</v>
      </c>
      <c r="D1772" t="inlineStr">
        <is>
          <t>VÄSTERBOTTENS LÄN</t>
        </is>
      </c>
      <c r="E1772" t="inlineStr">
        <is>
          <t>SKELLEFTEÅ</t>
        </is>
      </c>
      <c r="F1772" t="inlineStr">
        <is>
          <t>Holmen skog AB</t>
        </is>
      </c>
      <c r="G1772" t="n">
        <v>10.1</v>
      </c>
      <c r="H1772" t="n">
        <v>0</v>
      </c>
      <c r="I1772" t="n">
        <v>0</v>
      </c>
      <c r="J1772" t="n">
        <v>0</v>
      </c>
      <c r="K1772" t="n">
        <v>0</v>
      </c>
      <c r="L1772" t="n">
        <v>0</v>
      </c>
      <c r="M1772" t="n">
        <v>0</v>
      </c>
      <c r="N1772" t="n">
        <v>0</v>
      </c>
      <c r="O1772" t="n">
        <v>0</v>
      </c>
      <c r="P1772" t="n">
        <v>0</v>
      </c>
      <c r="Q1772" t="n">
        <v>0</v>
      </c>
      <c r="R1772" s="2" t="inlineStr"/>
    </row>
    <row r="1773" ht="15" customHeight="1">
      <c r="A1773" t="inlineStr">
        <is>
          <t>A 13493-2025</t>
        </is>
      </c>
      <c r="B1773" s="1" t="n">
        <v>45736.43454861111</v>
      </c>
      <c r="C1773" s="1" t="n">
        <v>45931</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14088-2022</t>
        </is>
      </c>
      <c r="B1774" s="1" t="n">
        <v>44650</v>
      </c>
      <c r="C1774" s="1" t="n">
        <v>45931</v>
      </c>
      <c r="D1774" t="inlineStr">
        <is>
          <t>VÄSTERBOTTENS LÄN</t>
        </is>
      </c>
      <c r="E1774" t="inlineStr">
        <is>
          <t>SKELLEFTEÅ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46304-2024</t>
        </is>
      </c>
      <c r="B1775" s="1" t="n">
        <v>45581</v>
      </c>
      <c r="C1775" s="1" t="n">
        <v>45931</v>
      </c>
      <c r="D1775" t="inlineStr">
        <is>
          <t>VÄSTERBOTTENS LÄN</t>
        </is>
      </c>
      <c r="E1775" t="inlineStr">
        <is>
          <t>SKELLEFTEÅ</t>
        </is>
      </c>
      <c r="F1775" t="inlineStr">
        <is>
          <t>Holmen skog AB</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40271-2025</t>
        </is>
      </c>
      <c r="B1776" s="1" t="n">
        <v>45895.345625</v>
      </c>
      <c r="C1776" s="1" t="n">
        <v>45931</v>
      </c>
      <c r="D1776" t="inlineStr">
        <is>
          <t>VÄSTERBOTTENS LÄN</t>
        </is>
      </c>
      <c r="E1776" t="inlineStr">
        <is>
          <t>SKELLEFTEÅ</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57620-2020</t>
        </is>
      </c>
      <c r="B1777" s="1" t="n">
        <v>44140</v>
      </c>
      <c r="C1777" s="1" t="n">
        <v>45931</v>
      </c>
      <c r="D1777" t="inlineStr">
        <is>
          <t>VÄSTERBOTTENS LÄN</t>
        </is>
      </c>
      <c r="E1777" t="inlineStr">
        <is>
          <t>SKELLEFTEÅ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62592-2020</t>
        </is>
      </c>
      <c r="B1778" s="1" t="n">
        <v>44161</v>
      </c>
      <c r="C1778" s="1" t="n">
        <v>45931</v>
      </c>
      <c r="D1778" t="inlineStr">
        <is>
          <t>VÄSTERBOTTENS LÄN</t>
        </is>
      </c>
      <c r="E1778" t="inlineStr">
        <is>
          <t>SKELLEFTEÅ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14846-2025</t>
        </is>
      </c>
      <c r="B1779" s="1" t="n">
        <v>45743.38820601852</v>
      </c>
      <c r="C1779" s="1" t="n">
        <v>45931</v>
      </c>
      <c r="D1779" t="inlineStr">
        <is>
          <t>VÄSTERBOTTENS LÄN</t>
        </is>
      </c>
      <c r="E1779" t="inlineStr">
        <is>
          <t>SKELLEFTEÅ</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35223-2025</t>
        </is>
      </c>
      <c r="B1780" s="1" t="n">
        <v>45853.55226851852</v>
      </c>
      <c r="C1780" s="1" t="n">
        <v>45931</v>
      </c>
      <c r="D1780" t="inlineStr">
        <is>
          <t>VÄSTERBOTTENS LÄN</t>
        </is>
      </c>
      <c r="E1780" t="inlineStr">
        <is>
          <t>SKELLEFTEÅ</t>
        </is>
      </c>
      <c r="F1780" t="inlineStr">
        <is>
          <t>Holmen skog AB</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40771-2025</t>
        </is>
      </c>
      <c r="B1781" s="1" t="n">
        <v>45897.40736111111</v>
      </c>
      <c r="C1781" s="1" t="n">
        <v>45931</v>
      </c>
      <c r="D1781" t="inlineStr">
        <is>
          <t>VÄSTERBOTTENS LÄN</t>
        </is>
      </c>
      <c r="E1781" t="inlineStr">
        <is>
          <t>SKELLEFTEÅ</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41150-2025</t>
        </is>
      </c>
      <c r="B1782" s="1" t="n">
        <v>45898.50738425926</v>
      </c>
      <c r="C1782" s="1" t="n">
        <v>45931</v>
      </c>
      <c r="D1782" t="inlineStr">
        <is>
          <t>VÄSTERBOTTENS LÄN</t>
        </is>
      </c>
      <c r="E1782" t="inlineStr">
        <is>
          <t>SKELLEFTEÅ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38505-2021</t>
        </is>
      </c>
      <c r="B1783" s="1" t="n">
        <v>44407.49136574074</v>
      </c>
      <c r="C1783" s="1" t="n">
        <v>45931</v>
      </c>
      <c r="D1783" t="inlineStr">
        <is>
          <t>VÄSTERBOTTENS LÄN</t>
        </is>
      </c>
      <c r="E1783" t="inlineStr">
        <is>
          <t>SKELLEFTEÅ</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37792-2021</t>
        </is>
      </c>
      <c r="B1784" s="1" t="n">
        <v>44401</v>
      </c>
      <c r="C1784" s="1" t="n">
        <v>45931</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41058-2025</t>
        </is>
      </c>
      <c r="B1785" s="1" t="n">
        <v>45898.40689814815</v>
      </c>
      <c r="C1785" s="1" t="n">
        <v>45931</v>
      </c>
      <c r="D1785" t="inlineStr">
        <is>
          <t>VÄSTERBOTTENS LÄN</t>
        </is>
      </c>
      <c r="E1785" t="inlineStr">
        <is>
          <t>SKELLEFTEÅ</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15745-2025</t>
        </is>
      </c>
      <c r="B1786" s="1" t="n">
        <v>45748.5515162037</v>
      </c>
      <c r="C1786" s="1" t="n">
        <v>45931</v>
      </c>
      <c r="D1786" t="inlineStr">
        <is>
          <t>VÄSTERBOTTENS LÄN</t>
        </is>
      </c>
      <c r="E1786" t="inlineStr">
        <is>
          <t>SKELLEFTEÅ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41102-2025</t>
        </is>
      </c>
      <c r="B1787" s="1" t="n">
        <v>45898.45258101852</v>
      </c>
      <c r="C1787" s="1" t="n">
        <v>45931</v>
      </c>
      <c r="D1787" t="inlineStr">
        <is>
          <t>VÄSTERBOTTENS LÄN</t>
        </is>
      </c>
      <c r="E1787" t="inlineStr">
        <is>
          <t>SKELLEFTEÅ</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8203-2022</t>
        </is>
      </c>
      <c r="B1788" s="1" t="n">
        <v>44609</v>
      </c>
      <c r="C1788" s="1" t="n">
        <v>45931</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28291-2021</t>
        </is>
      </c>
      <c r="B1789" s="1" t="n">
        <v>44356.27717592593</v>
      </c>
      <c r="C1789" s="1" t="n">
        <v>45931</v>
      </c>
      <c r="D1789" t="inlineStr">
        <is>
          <t>VÄSTERBOTTENS LÄN</t>
        </is>
      </c>
      <c r="E1789" t="inlineStr">
        <is>
          <t>SKELLEFTEÅ</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35433-2025</t>
        </is>
      </c>
      <c r="B1790" s="1" t="n">
        <v>45855.4525462963</v>
      </c>
      <c r="C1790" s="1" t="n">
        <v>45931</v>
      </c>
      <c r="D1790" t="inlineStr">
        <is>
          <t>VÄSTERBOTTENS LÄN</t>
        </is>
      </c>
      <c r="E1790" t="inlineStr">
        <is>
          <t>SKELLEFTEÅ</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40730-2025</t>
        </is>
      </c>
      <c r="B1791" s="1" t="n">
        <v>45897.35766203704</v>
      </c>
      <c r="C1791" s="1" t="n">
        <v>45931</v>
      </c>
      <c r="D1791" t="inlineStr">
        <is>
          <t>VÄSTERBOTTENS LÄN</t>
        </is>
      </c>
      <c r="E1791" t="inlineStr">
        <is>
          <t>SKELLEFTEÅ</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15327-2023</t>
        </is>
      </c>
      <c r="B1792" s="1" t="n">
        <v>45016</v>
      </c>
      <c r="C1792" s="1" t="n">
        <v>45931</v>
      </c>
      <c r="D1792" t="inlineStr">
        <is>
          <t>VÄSTERBOTTENS LÄN</t>
        </is>
      </c>
      <c r="E1792" t="inlineStr">
        <is>
          <t>SKELLEFTEÅ</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30395-2024</t>
        </is>
      </c>
      <c r="B1793" s="1" t="n">
        <v>45491</v>
      </c>
      <c r="C1793" s="1" t="n">
        <v>45931</v>
      </c>
      <c r="D1793" t="inlineStr">
        <is>
          <t>VÄSTERBOTTENS LÄN</t>
        </is>
      </c>
      <c r="E1793" t="inlineStr">
        <is>
          <t>SKELLEFTEÅ</t>
        </is>
      </c>
      <c r="F1793" t="inlineStr">
        <is>
          <t>Holmen skog AB</t>
        </is>
      </c>
      <c r="G1793" t="n">
        <v>15.8</v>
      </c>
      <c r="H1793" t="n">
        <v>0</v>
      </c>
      <c r="I1793" t="n">
        <v>0</v>
      </c>
      <c r="J1793" t="n">
        <v>0</v>
      </c>
      <c r="K1793" t="n">
        <v>0</v>
      </c>
      <c r="L1793" t="n">
        <v>0</v>
      </c>
      <c r="M1793" t="n">
        <v>0</v>
      </c>
      <c r="N1793" t="n">
        <v>0</v>
      </c>
      <c r="O1793" t="n">
        <v>0</v>
      </c>
      <c r="P1793" t="n">
        <v>0</v>
      </c>
      <c r="Q1793" t="n">
        <v>0</v>
      </c>
      <c r="R1793" s="2" t="inlineStr"/>
    </row>
    <row r="1794" ht="15" customHeight="1">
      <c r="A1794" t="inlineStr">
        <is>
          <t>A 34332-2024</t>
        </is>
      </c>
      <c r="B1794" s="1" t="n">
        <v>45524.89719907408</v>
      </c>
      <c r="C1794" s="1" t="n">
        <v>45931</v>
      </c>
      <c r="D1794" t="inlineStr">
        <is>
          <t>VÄSTERBOTTENS LÄN</t>
        </is>
      </c>
      <c r="E1794" t="inlineStr">
        <is>
          <t>SKELLEFTEÅ</t>
        </is>
      </c>
      <c r="F1794" t="inlineStr">
        <is>
          <t>Sveaskog</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35428-2025</t>
        </is>
      </c>
      <c r="B1795" s="1" t="n">
        <v>45855.44019675926</v>
      </c>
      <c r="C1795" s="1" t="n">
        <v>45931</v>
      </c>
      <c r="D1795" t="inlineStr">
        <is>
          <t>VÄSTERBOTTENS LÄN</t>
        </is>
      </c>
      <c r="E1795" t="inlineStr">
        <is>
          <t>SKELLEFTEÅ</t>
        </is>
      </c>
      <c r="F1795" t="inlineStr">
        <is>
          <t>Holmen skog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57245-2024</t>
        </is>
      </c>
      <c r="B1796" s="1" t="n">
        <v>45629.55153935185</v>
      </c>
      <c r="C1796" s="1" t="n">
        <v>45931</v>
      </c>
      <c r="D1796" t="inlineStr">
        <is>
          <t>VÄSTERBOTTENS LÄN</t>
        </is>
      </c>
      <c r="E1796" t="inlineStr">
        <is>
          <t>SKELLEFTEÅ</t>
        </is>
      </c>
      <c r="F1796" t="inlineStr">
        <is>
          <t>Sveaskog</t>
        </is>
      </c>
      <c r="G1796" t="n">
        <v>15.6</v>
      </c>
      <c r="H1796" t="n">
        <v>0</v>
      </c>
      <c r="I1796" t="n">
        <v>0</v>
      </c>
      <c r="J1796" t="n">
        <v>0</v>
      </c>
      <c r="K1796" t="n">
        <v>0</v>
      </c>
      <c r="L1796" t="n">
        <v>0</v>
      </c>
      <c r="M1796" t="n">
        <v>0</v>
      </c>
      <c r="N1796" t="n">
        <v>0</v>
      </c>
      <c r="O1796" t="n">
        <v>0</v>
      </c>
      <c r="P1796" t="n">
        <v>0</v>
      </c>
      <c r="Q1796" t="n">
        <v>0</v>
      </c>
      <c r="R1796" s="2" t="inlineStr"/>
    </row>
    <row r="1797" ht="15" customHeight="1">
      <c r="A1797" t="inlineStr">
        <is>
          <t>A 41720-2025</t>
        </is>
      </c>
      <c r="B1797" s="1" t="n">
        <v>45902.4481712963</v>
      </c>
      <c r="C1797" s="1" t="n">
        <v>45931</v>
      </c>
      <c r="D1797" t="inlineStr">
        <is>
          <t>VÄSTERBOTTENS LÄN</t>
        </is>
      </c>
      <c r="E1797" t="inlineStr">
        <is>
          <t>SKELLEFTEÅ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41721-2025</t>
        </is>
      </c>
      <c r="B1798" s="1" t="n">
        <v>45902.44825231482</v>
      </c>
      <c r="C1798" s="1" t="n">
        <v>45931</v>
      </c>
      <c r="D1798" t="inlineStr">
        <is>
          <t>VÄSTERBOTTENS LÄN</t>
        </is>
      </c>
      <c r="E1798" t="inlineStr">
        <is>
          <t>SKELLEFTEÅ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29267-2025</t>
        </is>
      </c>
      <c r="B1799" s="1" t="n">
        <v>45824.40275462963</v>
      </c>
      <c r="C1799" s="1" t="n">
        <v>45931</v>
      </c>
      <c r="D1799" t="inlineStr">
        <is>
          <t>VÄSTERBOTTENS LÄN</t>
        </is>
      </c>
      <c r="E1799" t="inlineStr">
        <is>
          <t>SKELLEFTEÅ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59993-2024</t>
        </is>
      </c>
      <c r="B1800" s="1" t="n">
        <v>45642.40476851852</v>
      </c>
      <c r="C1800" s="1" t="n">
        <v>45931</v>
      </c>
      <c r="D1800" t="inlineStr">
        <is>
          <t>VÄSTERBOTTENS LÄN</t>
        </is>
      </c>
      <c r="E1800" t="inlineStr">
        <is>
          <t>SKELLEFTEÅ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31760-2023</t>
        </is>
      </c>
      <c r="B1801" s="1" t="n">
        <v>45106</v>
      </c>
      <c r="C1801" s="1" t="n">
        <v>45931</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12256-2025</t>
        </is>
      </c>
      <c r="B1802" s="1" t="n">
        <v>45729.61527777778</v>
      </c>
      <c r="C1802" s="1" t="n">
        <v>45931</v>
      </c>
      <c r="D1802" t="inlineStr">
        <is>
          <t>VÄSTERBOTTENS LÄN</t>
        </is>
      </c>
      <c r="E1802" t="inlineStr">
        <is>
          <t>SKELLEFTEÅ</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41507-2025</t>
        </is>
      </c>
      <c r="B1803" s="1" t="n">
        <v>45901.52850694444</v>
      </c>
      <c r="C1803" s="1" t="n">
        <v>45931</v>
      </c>
      <c r="D1803" t="inlineStr">
        <is>
          <t>VÄSTERBOTTENS LÄN</t>
        </is>
      </c>
      <c r="E1803" t="inlineStr">
        <is>
          <t>SKELLEFTEÅ</t>
        </is>
      </c>
      <c r="F1803" t="inlineStr">
        <is>
          <t>Holmen skog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41534-2025</t>
        </is>
      </c>
      <c r="B1804" s="1" t="n">
        <v>45901.56</v>
      </c>
      <c r="C1804" s="1" t="n">
        <v>45931</v>
      </c>
      <c r="D1804" t="inlineStr">
        <is>
          <t>VÄSTERBOTTENS LÄN</t>
        </is>
      </c>
      <c r="E1804" t="inlineStr">
        <is>
          <t>SKELLEFTEÅ</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41670-2025</t>
        </is>
      </c>
      <c r="B1805" s="1" t="n">
        <v>45902.361875</v>
      </c>
      <c r="C1805" s="1" t="n">
        <v>45931</v>
      </c>
      <c r="D1805" t="inlineStr">
        <is>
          <t>VÄSTERBOTTENS LÄN</t>
        </is>
      </c>
      <c r="E1805" t="inlineStr">
        <is>
          <t>SKELLEFTEÅ</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41677-2025</t>
        </is>
      </c>
      <c r="B1806" s="1" t="n">
        <v>45902.37362268518</v>
      </c>
      <c r="C1806" s="1" t="n">
        <v>45931</v>
      </c>
      <c r="D1806" t="inlineStr">
        <is>
          <t>VÄSTERBOTTENS LÄN</t>
        </is>
      </c>
      <c r="E1806" t="inlineStr">
        <is>
          <t>SKELLEFTEÅ</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41701-2025</t>
        </is>
      </c>
      <c r="B1807" s="1" t="n">
        <v>45902.41085648148</v>
      </c>
      <c r="C1807" s="1" t="n">
        <v>45931</v>
      </c>
      <c r="D1807" t="inlineStr">
        <is>
          <t>VÄSTERBOTTENS LÄN</t>
        </is>
      </c>
      <c r="E1807" t="inlineStr">
        <is>
          <t>SKELLEFTEÅ</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35633-2025</t>
        </is>
      </c>
      <c r="B1808" s="1" t="n">
        <v>45859.45072916667</v>
      </c>
      <c r="C1808" s="1" t="n">
        <v>45931</v>
      </c>
      <c r="D1808" t="inlineStr">
        <is>
          <t>VÄSTERBOTTENS LÄN</t>
        </is>
      </c>
      <c r="E1808" t="inlineStr">
        <is>
          <t>SKELLEFTEÅ</t>
        </is>
      </c>
      <c r="F1808" t="inlineStr">
        <is>
          <t>Holmen skog AB</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45374-2024</t>
        </is>
      </c>
      <c r="B1809" s="1" t="n">
        <v>45576.51516203704</v>
      </c>
      <c r="C1809" s="1" t="n">
        <v>45931</v>
      </c>
      <c r="D1809" t="inlineStr">
        <is>
          <t>VÄSTERBOTTENS LÄN</t>
        </is>
      </c>
      <c r="E1809" t="inlineStr">
        <is>
          <t>SKELLEFTEÅ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7462-2022</t>
        </is>
      </c>
      <c r="B1810" s="1" t="n">
        <v>44606</v>
      </c>
      <c r="C1810" s="1" t="n">
        <v>45931</v>
      </c>
      <c r="D1810" t="inlineStr">
        <is>
          <t>VÄSTERBOTTENS LÄN</t>
        </is>
      </c>
      <c r="E1810" t="inlineStr">
        <is>
          <t>SKELLEFTEÅ</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11956-2025</t>
        </is>
      </c>
      <c r="B1811" s="1" t="n">
        <v>45728.56809027777</v>
      </c>
      <c r="C1811" s="1" t="n">
        <v>45931</v>
      </c>
      <c r="D1811" t="inlineStr">
        <is>
          <t>VÄSTERBOTTENS LÄN</t>
        </is>
      </c>
      <c r="E1811" t="inlineStr">
        <is>
          <t>SKELLEFTEÅ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14016-2025</t>
        </is>
      </c>
      <c r="B1812" s="1" t="n">
        <v>45740.31862268518</v>
      </c>
      <c r="C1812" s="1" t="n">
        <v>45931</v>
      </c>
      <c r="D1812" t="inlineStr">
        <is>
          <t>VÄSTERBOTTENS LÄN</t>
        </is>
      </c>
      <c r="E1812" t="inlineStr">
        <is>
          <t>SKELLEFTEÅ</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45418-2024</t>
        </is>
      </c>
      <c r="B1813" s="1" t="n">
        <v>45576.59891203704</v>
      </c>
      <c r="C1813" s="1" t="n">
        <v>45931</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45421-2024</t>
        </is>
      </c>
      <c r="B1814" s="1" t="n">
        <v>45576.60200231482</v>
      </c>
      <c r="C1814" s="1" t="n">
        <v>45931</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17154-2025</t>
        </is>
      </c>
      <c r="B1815" s="1" t="n">
        <v>45756.33802083333</v>
      </c>
      <c r="C1815" s="1" t="n">
        <v>45931</v>
      </c>
      <c r="D1815" t="inlineStr">
        <is>
          <t>VÄSTERBOTTENS LÄN</t>
        </is>
      </c>
      <c r="E1815" t="inlineStr">
        <is>
          <t>SKELLEFTEÅ</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17160-2025</t>
        </is>
      </c>
      <c r="B1816" s="1" t="n">
        <v>45756.34784722222</v>
      </c>
      <c r="C1816" s="1" t="n">
        <v>45931</v>
      </c>
      <c r="D1816" t="inlineStr">
        <is>
          <t>VÄSTERBOTTENS LÄN</t>
        </is>
      </c>
      <c r="E1816" t="inlineStr">
        <is>
          <t>SKELLEFTEÅ</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41532-2025</t>
        </is>
      </c>
      <c r="B1817" s="1" t="n">
        <v>45901.55744212963</v>
      </c>
      <c r="C1817" s="1" t="n">
        <v>45931</v>
      </c>
      <c r="D1817" t="inlineStr">
        <is>
          <t>VÄSTERBOTTENS LÄN</t>
        </is>
      </c>
      <c r="E1817" t="inlineStr">
        <is>
          <t>SKELLEFTEÅ</t>
        </is>
      </c>
      <c r="F1817" t="inlineStr">
        <is>
          <t>Holmen skog AB</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42861-2024</t>
        </is>
      </c>
      <c r="B1818" s="1" t="n">
        <v>45566.65780092592</v>
      </c>
      <c r="C1818" s="1" t="n">
        <v>45931</v>
      </c>
      <c r="D1818" t="inlineStr">
        <is>
          <t>VÄSTERBOTTENS LÄN</t>
        </is>
      </c>
      <c r="E1818" t="inlineStr">
        <is>
          <t>SKELLEFTEÅ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42877-2024</t>
        </is>
      </c>
      <c r="B1819" s="1" t="n">
        <v>45566.68878472222</v>
      </c>
      <c r="C1819" s="1" t="n">
        <v>45931</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41554-2025</t>
        </is>
      </c>
      <c r="B1820" s="1" t="n">
        <v>45901.59134259259</v>
      </c>
      <c r="C1820" s="1" t="n">
        <v>45931</v>
      </c>
      <c r="D1820" t="inlineStr">
        <is>
          <t>VÄSTERBOTTENS LÄN</t>
        </is>
      </c>
      <c r="E1820" t="inlineStr">
        <is>
          <t>SKELLEFTEÅ</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35772-2025</t>
        </is>
      </c>
      <c r="B1821" s="1" t="n">
        <v>45860.67483796296</v>
      </c>
      <c r="C1821" s="1" t="n">
        <v>45931</v>
      </c>
      <c r="D1821" t="inlineStr">
        <is>
          <t>VÄSTERBOTTENS LÄN</t>
        </is>
      </c>
      <c r="E1821" t="inlineStr">
        <is>
          <t>SKELLEFTEÅ</t>
        </is>
      </c>
      <c r="F1821" t="inlineStr">
        <is>
          <t>Holmen skog AB</t>
        </is>
      </c>
      <c r="G1821" t="n">
        <v>12.4</v>
      </c>
      <c r="H1821" t="n">
        <v>0</v>
      </c>
      <c r="I1821" t="n">
        <v>0</v>
      </c>
      <c r="J1821" t="n">
        <v>0</v>
      </c>
      <c r="K1821" t="n">
        <v>0</v>
      </c>
      <c r="L1821" t="n">
        <v>0</v>
      </c>
      <c r="M1821" t="n">
        <v>0</v>
      </c>
      <c r="N1821" t="n">
        <v>0</v>
      </c>
      <c r="O1821" t="n">
        <v>0</v>
      </c>
      <c r="P1821" t="n">
        <v>0</v>
      </c>
      <c r="Q1821" t="n">
        <v>0</v>
      </c>
      <c r="R1821" s="2" t="inlineStr"/>
    </row>
    <row r="1822" ht="15" customHeight="1">
      <c r="A1822" t="inlineStr">
        <is>
          <t>A 3852-2023</t>
        </is>
      </c>
      <c r="B1822" s="1" t="n">
        <v>44950</v>
      </c>
      <c r="C1822" s="1" t="n">
        <v>45931</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32200-2022</t>
        </is>
      </c>
      <c r="B1823" s="1" t="n">
        <v>44781</v>
      </c>
      <c r="C1823" s="1" t="n">
        <v>45931</v>
      </c>
      <c r="D1823" t="inlineStr">
        <is>
          <t>VÄSTERBOTTENS LÄN</t>
        </is>
      </c>
      <c r="E1823" t="inlineStr">
        <is>
          <t>SKELLEFTEÅ</t>
        </is>
      </c>
      <c r="F1823" t="inlineStr">
        <is>
          <t>Kommuner</t>
        </is>
      </c>
      <c r="G1823" t="n">
        <v>20.6</v>
      </c>
      <c r="H1823" t="n">
        <v>0</v>
      </c>
      <c r="I1823" t="n">
        <v>0</v>
      </c>
      <c r="J1823" t="n">
        <v>0</v>
      </c>
      <c r="K1823" t="n">
        <v>0</v>
      </c>
      <c r="L1823" t="n">
        <v>0</v>
      </c>
      <c r="M1823" t="n">
        <v>0</v>
      </c>
      <c r="N1823" t="n">
        <v>0</v>
      </c>
      <c r="O1823" t="n">
        <v>0</v>
      </c>
      <c r="P1823" t="n">
        <v>0</v>
      </c>
      <c r="Q1823" t="n">
        <v>0</v>
      </c>
      <c r="R1823" s="2" t="inlineStr"/>
    </row>
    <row r="1824" ht="15" customHeight="1">
      <c r="A1824" t="inlineStr">
        <is>
          <t>A 20592-2024</t>
        </is>
      </c>
      <c r="B1824" s="1" t="n">
        <v>45436</v>
      </c>
      <c r="C1824" s="1" t="n">
        <v>45931</v>
      </c>
      <c r="D1824" t="inlineStr">
        <is>
          <t>VÄSTERBOTTENS LÄN</t>
        </is>
      </c>
      <c r="E1824" t="inlineStr">
        <is>
          <t>SKELLEFTEÅ</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65382-2020</t>
        </is>
      </c>
      <c r="B1825" s="1" t="n">
        <v>44173</v>
      </c>
      <c r="C1825" s="1" t="n">
        <v>45931</v>
      </c>
      <c r="D1825" t="inlineStr">
        <is>
          <t>VÄSTERBOTTENS LÄN</t>
        </is>
      </c>
      <c r="E1825" t="inlineStr">
        <is>
          <t>SKELLEFTEÅ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41697-2025</t>
        </is>
      </c>
      <c r="B1826" s="1" t="n">
        <v>45902.4074537037</v>
      </c>
      <c r="C1826" s="1" t="n">
        <v>45931</v>
      </c>
      <c r="D1826" t="inlineStr">
        <is>
          <t>VÄSTERBOTTENS LÄN</t>
        </is>
      </c>
      <c r="E1826" t="inlineStr">
        <is>
          <t>SKELLEFTEÅ</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24181-2025</t>
        </is>
      </c>
      <c r="B1827" s="1" t="n">
        <v>45796.78885416667</v>
      </c>
      <c r="C1827" s="1" t="n">
        <v>45931</v>
      </c>
      <c r="D1827" t="inlineStr">
        <is>
          <t>VÄSTERBOTTENS LÄN</t>
        </is>
      </c>
      <c r="E1827" t="inlineStr">
        <is>
          <t>SKELLEFTEÅ</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21842-2022</t>
        </is>
      </c>
      <c r="B1828" s="1" t="n">
        <v>44711.30804398148</v>
      </c>
      <c r="C1828" s="1" t="n">
        <v>45931</v>
      </c>
      <c r="D1828" t="inlineStr">
        <is>
          <t>VÄSTERBOTTENS LÄN</t>
        </is>
      </c>
      <c r="E1828" t="inlineStr">
        <is>
          <t>SKELLEFTEÅ</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41326-2025</t>
        </is>
      </c>
      <c r="B1829" s="1" t="n">
        <v>45899.28303240741</v>
      </c>
      <c r="C1829" s="1" t="n">
        <v>45931</v>
      </c>
      <c r="D1829" t="inlineStr">
        <is>
          <t>VÄSTERBOTTENS LÄN</t>
        </is>
      </c>
      <c r="E1829" t="inlineStr">
        <is>
          <t>SKELLEFTEÅ</t>
        </is>
      </c>
      <c r="F1829" t="inlineStr">
        <is>
          <t>Holmen skog AB</t>
        </is>
      </c>
      <c r="G1829" t="n">
        <v>21.6</v>
      </c>
      <c r="H1829" t="n">
        <v>0</v>
      </c>
      <c r="I1829" t="n">
        <v>0</v>
      </c>
      <c r="J1829" t="n">
        <v>0</v>
      </c>
      <c r="K1829" t="n">
        <v>0</v>
      </c>
      <c r="L1829" t="n">
        <v>0</v>
      </c>
      <c r="M1829" t="n">
        <v>0</v>
      </c>
      <c r="N1829" t="n">
        <v>0</v>
      </c>
      <c r="O1829" t="n">
        <v>0</v>
      </c>
      <c r="P1829" t="n">
        <v>0</v>
      </c>
      <c r="Q1829" t="n">
        <v>0</v>
      </c>
      <c r="R1829" s="2" t="inlineStr"/>
    </row>
    <row r="1830" ht="15" customHeight="1">
      <c r="A1830" t="inlineStr">
        <is>
          <t>A 27698-2021</t>
        </is>
      </c>
      <c r="B1830" s="1" t="n">
        <v>44354.44306712963</v>
      </c>
      <c r="C1830" s="1" t="n">
        <v>45931</v>
      </c>
      <c r="D1830" t="inlineStr">
        <is>
          <t>VÄSTERBOTTENS LÄN</t>
        </is>
      </c>
      <c r="E1830" t="inlineStr">
        <is>
          <t>SKELLEFTEÅ</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12694-2025</t>
        </is>
      </c>
      <c r="B1831" s="1" t="n">
        <v>45733.46015046296</v>
      </c>
      <c r="C1831" s="1" t="n">
        <v>45931</v>
      </c>
      <c r="D1831" t="inlineStr">
        <is>
          <t>VÄSTERBOTTENS LÄN</t>
        </is>
      </c>
      <c r="E1831" t="inlineStr">
        <is>
          <t>SKELLEFTEÅ</t>
        </is>
      </c>
      <c r="F1831" t="inlineStr">
        <is>
          <t>Kommuner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23823-2024</t>
        </is>
      </c>
      <c r="B1832" s="1" t="n">
        <v>45455</v>
      </c>
      <c r="C1832" s="1" t="n">
        <v>45931</v>
      </c>
      <c r="D1832" t="inlineStr">
        <is>
          <t>VÄSTERBOTTENS LÄN</t>
        </is>
      </c>
      <c r="E1832" t="inlineStr">
        <is>
          <t>SKELLEFTEÅ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42248-2025</t>
        </is>
      </c>
      <c r="B1833" s="1" t="n">
        <v>45903</v>
      </c>
      <c r="C1833" s="1" t="n">
        <v>45931</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42250-2025</t>
        </is>
      </c>
      <c r="B1834" s="1" t="n">
        <v>45903</v>
      </c>
      <c r="C1834" s="1" t="n">
        <v>45931</v>
      </c>
      <c r="D1834" t="inlineStr">
        <is>
          <t>VÄSTERBOTTENS LÄN</t>
        </is>
      </c>
      <c r="E1834" t="inlineStr">
        <is>
          <t>SKELLEFTEÅ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12090-2025</t>
        </is>
      </c>
      <c r="B1835" s="1" t="n">
        <v>45729.30722222223</v>
      </c>
      <c r="C1835" s="1" t="n">
        <v>45931</v>
      </c>
      <c r="D1835" t="inlineStr">
        <is>
          <t>VÄSTERBOTTENS LÄN</t>
        </is>
      </c>
      <c r="E1835" t="inlineStr">
        <is>
          <t>SKELLEFTEÅ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12715-2022</t>
        </is>
      </c>
      <c r="B1836" s="1" t="n">
        <v>44641</v>
      </c>
      <c r="C1836" s="1" t="n">
        <v>45931</v>
      </c>
      <c r="D1836" t="inlineStr">
        <is>
          <t>VÄSTERBOTTENS LÄN</t>
        </is>
      </c>
      <c r="E1836" t="inlineStr">
        <is>
          <t>SKELLEFTEÅ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42241-2025</t>
        </is>
      </c>
      <c r="B1837" s="1" t="n">
        <v>45903</v>
      </c>
      <c r="C1837" s="1" t="n">
        <v>45931</v>
      </c>
      <c r="D1837" t="inlineStr">
        <is>
          <t>VÄSTERBOTTENS LÄN</t>
        </is>
      </c>
      <c r="E1837" t="inlineStr">
        <is>
          <t>SKELLEFTEÅ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42234-2025</t>
        </is>
      </c>
      <c r="B1838" s="1" t="n">
        <v>45903</v>
      </c>
      <c r="C1838" s="1" t="n">
        <v>45931</v>
      </c>
      <c r="D1838" t="inlineStr">
        <is>
          <t>VÄSTERBOTTENS LÄN</t>
        </is>
      </c>
      <c r="E1838" t="inlineStr">
        <is>
          <t>SKELLEFTEÅ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41953-2025</t>
        </is>
      </c>
      <c r="B1839" s="1" t="n">
        <v>45903.45978009259</v>
      </c>
      <c r="C1839" s="1" t="n">
        <v>45931</v>
      </c>
      <c r="D1839" t="inlineStr">
        <is>
          <t>VÄSTERBOTTENS LÄN</t>
        </is>
      </c>
      <c r="E1839" t="inlineStr">
        <is>
          <t>SKELLEFTEÅ</t>
        </is>
      </c>
      <c r="F1839" t="inlineStr">
        <is>
          <t>Holmen skog AB</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42020-2025</t>
        </is>
      </c>
      <c r="B1840" s="1" t="n">
        <v>45903.58728009259</v>
      </c>
      <c r="C1840" s="1" t="n">
        <v>45931</v>
      </c>
      <c r="D1840" t="inlineStr">
        <is>
          <t>VÄSTERBOTTENS LÄN</t>
        </is>
      </c>
      <c r="E1840" t="inlineStr">
        <is>
          <t>SKELLEFTEÅ</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52500-2022</t>
        </is>
      </c>
      <c r="B1841" s="1" t="n">
        <v>44869</v>
      </c>
      <c r="C1841" s="1" t="n">
        <v>45931</v>
      </c>
      <c r="D1841" t="inlineStr">
        <is>
          <t>VÄSTERBOTTENS LÄN</t>
        </is>
      </c>
      <c r="E1841" t="inlineStr">
        <is>
          <t>SKELLEFTEÅ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33520-2021</t>
        </is>
      </c>
      <c r="B1842" s="1" t="n">
        <v>44377.75653935185</v>
      </c>
      <c r="C1842" s="1" t="n">
        <v>45931</v>
      </c>
      <c r="D1842" t="inlineStr">
        <is>
          <t>VÄSTERBOTTENS LÄN</t>
        </is>
      </c>
      <c r="E1842" t="inlineStr">
        <is>
          <t>SKELLEFTEÅ</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21265-2021</t>
        </is>
      </c>
      <c r="B1843" s="1" t="n">
        <v>44320.5741087963</v>
      </c>
      <c r="C1843" s="1" t="n">
        <v>45931</v>
      </c>
      <c r="D1843" t="inlineStr">
        <is>
          <t>VÄSTERBOTTENS LÄN</t>
        </is>
      </c>
      <c r="E1843" t="inlineStr">
        <is>
          <t>SKELLEFTEÅ</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1025-2025</t>
        </is>
      </c>
      <c r="B1844" s="1" t="n">
        <v>45665</v>
      </c>
      <c r="C1844" s="1" t="n">
        <v>45931</v>
      </c>
      <c r="D1844" t="inlineStr">
        <is>
          <t>VÄSTERBOTTENS LÄN</t>
        </is>
      </c>
      <c r="E1844" t="inlineStr">
        <is>
          <t>SKELLEFTEÅ</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1933-2023</t>
        </is>
      </c>
      <c r="B1845" s="1" t="n">
        <v>44938</v>
      </c>
      <c r="C1845" s="1" t="n">
        <v>45931</v>
      </c>
      <c r="D1845" t="inlineStr">
        <is>
          <t>VÄSTERBOTTENS LÄN</t>
        </is>
      </c>
      <c r="E1845" t="inlineStr">
        <is>
          <t>SKELLEFTEÅ</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42007-2025</t>
        </is>
      </c>
      <c r="B1846" s="1" t="n">
        <v>45903.55988425926</v>
      </c>
      <c r="C1846" s="1" t="n">
        <v>45931</v>
      </c>
      <c r="D1846" t="inlineStr">
        <is>
          <t>VÄSTERBOTTENS LÄN</t>
        </is>
      </c>
      <c r="E1846" t="inlineStr">
        <is>
          <t>SKELLEFTEÅ</t>
        </is>
      </c>
      <c r="F1846" t="inlineStr">
        <is>
          <t>Holmen skog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37819-2022</t>
        </is>
      </c>
      <c r="B1847" s="1" t="n">
        <v>44810</v>
      </c>
      <c r="C1847" s="1" t="n">
        <v>45931</v>
      </c>
      <c r="D1847" t="inlineStr">
        <is>
          <t>VÄSTERBOTTENS LÄN</t>
        </is>
      </c>
      <c r="E1847" t="inlineStr">
        <is>
          <t>SKELLEFTEÅ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8887-2025</t>
        </is>
      </c>
      <c r="B1848" s="1" t="n">
        <v>45713.39284722223</v>
      </c>
      <c r="C1848" s="1" t="n">
        <v>45931</v>
      </c>
      <c r="D1848" t="inlineStr">
        <is>
          <t>VÄSTERBOTTENS LÄN</t>
        </is>
      </c>
      <c r="E1848" t="inlineStr">
        <is>
          <t>SKELLEFTEÅ</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42121-2025</t>
        </is>
      </c>
      <c r="B1849" s="1" t="n">
        <v>45904.34252314815</v>
      </c>
      <c r="C1849" s="1" t="n">
        <v>45931</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8927-2025</t>
        </is>
      </c>
      <c r="B1850" s="1" t="n">
        <v>45713.44215277778</v>
      </c>
      <c r="C1850" s="1" t="n">
        <v>45931</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10567-2023</t>
        </is>
      </c>
      <c r="B1851" s="1" t="n">
        <v>44981</v>
      </c>
      <c r="C1851" s="1" t="n">
        <v>45931</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35887-2025</t>
        </is>
      </c>
      <c r="B1852" s="1" t="n">
        <v>45862.43923611111</v>
      </c>
      <c r="C1852" s="1" t="n">
        <v>45931</v>
      </c>
      <c r="D1852" t="inlineStr">
        <is>
          <t>VÄSTERBOTTENS LÄN</t>
        </is>
      </c>
      <c r="E1852" t="inlineStr">
        <is>
          <t>SKELLEFTEÅ</t>
        </is>
      </c>
      <c r="F1852" t="inlineStr">
        <is>
          <t>Holmen skog AB</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21066-2021</t>
        </is>
      </c>
      <c r="B1853" s="1" t="n">
        <v>44319</v>
      </c>
      <c r="C1853" s="1" t="n">
        <v>45931</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41909-2025</t>
        </is>
      </c>
      <c r="B1854" s="1" t="n">
        <v>45903.4078125</v>
      </c>
      <c r="C1854" s="1" t="n">
        <v>45931</v>
      </c>
      <c r="D1854" t="inlineStr">
        <is>
          <t>VÄSTERBOTTENS LÄN</t>
        </is>
      </c>
      <c r="E1854" t="inlineStr">
        <is>
          <t>SKELLEFTEÅ</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42849-2024</t>
        </is>
      </c>
      <c r="B1855" s="1" t="n">
        <v>45566.64021990741</v>
      </c>
      <c r="C1855" s="1" t="n">
        <v>45931</v>
      </c>
      <c r="D1855" t="inlineStr">
        <is>
          <t>VÄSTERBOTTENS LÄN</t>
        </is>
      </c>
      <c r="E1855" t="inlineStr">
        <is>
          <t>SKELLEFTEÅ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44100-2024</t>
        </is>
      </c>
      <c r="B1856" s="1" t="n">
        <v>45572.62739583333</v>
      </c>
      <c r="C1856" s="1" t="n">
        <v>45931</v>
      </c>
      <c r="D1856" t="inlineStr">
        <is>
          <t>VÄSTERBOTTENS LÄN</t>
        </is>
      </c>
      <c r="E1856" t="inlineStr">
        <is>
          <t>SKELLEFTEÅ</t>
        </is>
      </c>
      <c r="F1856" t="inlineStr">
        <is>
          <t>Holmen skog AB</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4791-2022</t>
        </is>
      </c>
      <c r="B1857" s="1" t="n">
        <v>44592</v>
      </c>
      <c r="C1857" s="1" t="n">
        <v>45931</v>
      </c>
      <c r="D1857" t="inlineStr">
        <is>
          <t>VÄSTERBOTTENS LÄN</t>
        </is>
      </c>
      <c r="E1857" t="inlineStr">
        <is>
          <t>SKELLEFTEÅ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42137-2025</t>
        </is>
      </c>
      <c r="B1858" s="1" t="n">
        <v>45904.35496527778</v>
      </c>
      <c r="C1858" s="1" t="n">
        <v>45931</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42116-2025</t>
        </is>
      </c>
      <c r="B1859" s="1" t="n">
        <v>45904.33420138889</v>
      </c>
      <c r="C1859" s="1" t="n">
        <v>45931</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35923-2025</t>
        </is>
      </c>
      <c r="B1860" s="1" t="n">
        <v>45862.57084490741</v>
      </c>
      <c r="C1860" s="1" t="n">
        <v>45931</v>
      </c>
      <c r="D1860" t="inlineStr">
        <is>
          <t>VÄSTERBOTTENS LÄN</t>
        </is>
      </c>
      <c r="E1860" t="inlineStr">
        <is>
          <t>SKELLEFTEÅ</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9740-2023</t>
        </is>
      </c>
      <c r="B1861" s="1" t="n">
        <v>44978</v>
      </c>
      <c r="C1861" s="1" t="n">
        <v>45931</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4005-2022</t>
        </is>
      </c>
      <c r="B1862" s="1" t="n">
        <v>44587.92012731481</v>
      </c>
      <c r="C1862" s="1" t="n">
        <v>45931</v>
      </c>
      <c r="D1862" t="inlineStr">
        <is>
          <t>VÄSTERBOTTENS LÄN</t>
        </is>
      </c>
      <c r="E1862" t="inlineStr">
        <is>
          <t>SKELLEFTEÅ</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35811-2025</t>
        </is>
      </c>
      <c r="B1863" s="1" t="n">
        <v>45861.43084490741</v>
      </c>
      <c r="C1863" s="1" t="n">
        <v>45931</v>
      </c>
      <c r="D1863" t="inlineStr">
        <is>
          <t>VÄSTERBOTTENS LÄN</t>
        </is>
      </c>
      <c r="E1863" t="inlineStr">
        <is>
          <t>SKELLEFTEÅ</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42086-2025</t>
        </is>
      </c>
      <c r="B1864" s="1" t="n">
        <v>45903.69359953704</v>
      </c>
      <c r="C1864" s="1" t="n">
        <v>45931</v>
      </c>
      <c r="D1864" t="inlineStr">
        <is>
          <t>VÄSTERBOTTENS LÄN</t>
        </is>
      </c>
      <c r="E1864" t="inlineStr">
        <is>
          <t>SKELLEFTEÅ</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42107-2025</t>
        </is>
      </c>
      <c r="B1865" s="1" t="n">
        <v>45903.90503472222</v>
      </c>
      <c r="C1865" s="1" t="n">
        <v>45931</v>
      </c>
      <c r="D1865" t="inlineStr">
        <is>
          <t>VÄSTERBOTTENS LÄN</t>
        </is>
      </c>
      <c r="E1865" t="inlineStr">
        <is>
          <t>SKELLEFTEÅ</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42114-2025</t>
        </is>
      </c>
      <c r="B1866" s="1" t="n">
        <v>45904.33050925926</v>
      </c>
      <c r="C1866" s="1" t="n">
        <v>45931</v>
      </c>
      <c r="D1866" t="inlineStr">
        <is>
          <t>VÄSTERBOTTENS LÄN</t>
        </is>
      </c>
      <c r="E1866" t="inlineStr">
        <is>
          <t>SKELLEFTEÅ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42118-2025</t>
        </is>
      </c>
      <c r="B1867" s="1" t="n">
        <v>45904.33653935185</v>
      </c>
      <c r="C1867" s="1" t="n">
        <v>45931</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35925-2025</t>
        </is>
      </c>
      <c r="B1868" s="1" t="n">
        <v>45862.5902662037</v>
      </c>
      <c r="C1868" s="1" t="n">
        <v>45931</v>
      </c>
      <c r="D1868" t="inlineStr">
        <is>
          <t>VÄSTERBOTTENS LÄN</t>
        </is>
      </c>
      <c r="E1868" t="inlineStr">
        <is>
          <t>SKELLEFTEÅ</t>
        </is>
      </c>
      <c r="F1868" t="inlineStr">
        <is>
          <t>Holmen skog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27555-2022</t>
        </is>
      </c>
      <c r="B1869" s="1" t="n">
        <v>44742.92666666667</v>
      </c>
      <c r="C1869" s="1" t="n">
        <v>45931</v>
      </c>
      <c r="D1869" t="inlineStr">
        <is>
          <t>VÄSTERBOTTENS LÄN</t>
        </is>
      </c>
      <c r="E1869" t="inlineStr">
        <is>
          <t>SKELLEFTEÅ</t>
        </is>
      </c>
      <c r="F1869" t="inlineStr">
        <is>
          <t>Kommuner</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41908-2025</t>
        </is>
      </c>
      <c r="B1870" s="1" t="n">
        <v>45903.40730324074</v>
      </c>
      <c r="C1870" s="1" t="n">
        <v>45931</v>
      </c>
      <c r="D1870" t="inlineStr">
        <is>
          <t>VÄSTERBOTTENS LÄN</t>
        </is>
      </c>
      <c r="E1870" t="inlineStr">
        <is>
          <t>SKELLEFTEÅ</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41917-2025</t>
        </is>
      </c>
      <c r="B1871" s="1" t="n">
        <v>45903.42202546296</v>
      </c>
      <c r="C1871" s="1" t="n">
        <v>45931</v>
      </c>
      <c r="D1871" t="inlineStr">
        <is>
          <t>VÄSTERBOTTENS LÄN</t>
        </is>
      </c>
      <c r="E1871" t="inlineStr">
        <is>
          <t>SKELLEFTEÅ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42133-2025</t>
        </is>
      </c>
      <c r="B1872" s="1" t="n">
        <v>45904.34597222223</v>
      </c>
      <c r="C1872" s="1" t="n">
        <v>45931</v>
      </c>
      <c r="D1872" t="inlineStr">
        <is>
          <t>VÄSTERBOTTENS LÄN</t>
        </is>
      </c>
      <c r="E1872" t="inlineStr">
        <is>
          <t>SKELLEFTEÅ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41320-2024</t>
        </is>
      </c>
      <c r="B1873" s="1" t="n">
        <v>45559</v>
      </c>
      <c r="C1873" s="1" t="n">
        <v>45931</v>
      </c>
      <c r="D1873" t="inlineStr">
        <is>
          <t>VÄSTERBOTTENS LÄN</t>
        </is>
      </c>
      <c r="E1873" t="inlineStr">
        <is>
          <t>SKELLEFTEÅ</t>
        </is>
      </c>
      <c r="G1873" t="n">
        <v>24.7</v>
      </c>
      <c r="H1873" t="n">
        <v>0</v>
      </c>
      <c r="I1873" t="n">
        <v>0</v>
      </c>
      <c r="J1873" t="n">
        <v>0</v>
      </c>
      <c r="K1873" t="n">
        <v>0</v>
      </c>
      <c r="L1873" t="n">
        <v>0</v>
      </c>
      <c r="M1873" t="n">
        <v>0</v>
      </c>
      <c r="N1873" t="n">
        <v>0</v>
      </c>
      <c r="O1873" t="n">
        <v>0</v>
      </c>
      <c r="P1873" t="n">
        <v>0</v>
      </c>
      <c r="Q1873" t="n">
        <v>0</v>
      </c>
      <c r="R1873" s="2" t="inlineStr"/>
    </row>
    <row r="1874" ht="15" customHeight="1">
      <c r="A1874" t="inlineStr">
        <is>
          <t>A 35731-2023</t>
        </is>
      </c>
      <c r="B1874" s="1" t="n">
        <v>45147</v>
      </c>
      <c r="C1874" s="1" t="n">
        <v>45931</v>
      </c>
      <c r="D1874" t="inlineStr">
        <is>
          <t>VÄSTERBOTTENS LÄN</t>
        </is>
      </c>
      <c r="E1874" t="inlineStr">
        <is>
          <t>SKELLEFTEÅ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15116-2025</t>
        </is>
      </c>
      <c r="B1875" s="1" t="n">
        <v>45744.36479166667</v>
      </c>
      <c r="C1875" s="1" t="n">
        <v>45931</v>
      </c>
      <c r="D1875" t="inlineStr">
        <is>
          <t>VÄSTERBOTTENS LÄN</t>
        </is>
      </c>
      <c r="E1875" t="inlineStr">
        <is>
          <t>SKELLEFTEÅ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41910-2025</t>
        </is>
      </c>
      <c r="B1876" s="1" t="n">
        <v>45903.40789351852</v>
      </c>
      <c r="C1876" s="1" t="n">
        <v>45931</v>
      </c>
      <c r="D1876" t="inlineStr">
        <is>
          <t>VÄSTERBOTTENS LÄN</t>
        </is>
      </c>
      <c r="E1876" t="inlineStr">
        <is>
          <t>SKELLEFTEÅ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54081-2022</t>
        </is>
      </c>
      <c r="B1877" s="1" t="n">
        <v>44881</v>
      </c>
      <c r="C1877" s="1" t="n">
        <v>45931</v>
      </c>
      <c r="D1877" t="inlineStr">
        <is>
          <t>VÄSTERBOTTENS LÄN</t>
        </is>
      </c>
      <c r="E1877" t="inlineStr">
        <is>
          <t>SKELLEFTEÅ</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35914-2025</t>
        </is>
      </c>
      <c r="B1878" s="1" t="n">
        <v>45862.5441087963</v>
      </c>
      <c r="C1878" s="1" t="n">
        <v>45931</v>
      </c>
      <c r="D1878" t="inlineStr">
        <is>
          <t>VÄSTERBOTTENS LÄN</t>
        </is>
      </c>
      <c r="E1878" t="inlineStr">
        <is>
          <t>SKELLEFTEÅ</t>
        </is>
      </c>
      <c r="F1878" t="inlineStr">
        <is>
          <t>Holmen skog AB</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41973-2025</t>
        </is>
      </c>
      <c r="B1879" s="1" t="n">
        <v>45903.49407407407</v>
      </c>
      <c r="C1879" s="1" t="n">
        <v>45931</v>
      </c>
      <c r="D1879" t="inlineStr">
        <is>
          <t>VÄSTERBOTTENS LÄN</t>
        </is>
      </c>
      <c r="E1879" t="inlineStr">
        <is>
          <t>SKELLEFTEÅ</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26473-2021</t>
        </is>
      </c>
      <c r="B1880" s="1" t="n">
        <v>44348</v>
      </c>
      <c r="C1880" s="1" t="n">
        <v>45931</v>
      </c>
      <c r="D1880" t="inlineStr">
        <is>
          <t>VÄSTERBOTTENS LÄN</t>
        </is>
      </c>
      <c r="E1880" t="inlineStr">
        <is>
          <t>SKELLEFTEÅ</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33184-2023</t>
        </is>
      </c>
      <c r="B1881" s="1" t="n">
        <v>45114</v>
      </c>
      <c r="C1881" s="1" t="n">
        <v>45931</v>
      </c>
      <c r="D1881" t="inlineStr">
        <is>
          <t>VÄSTERBOTTENS LÄN</t>
        </is>
      </c>
      <c r="E1881" t="inlineStr">
        <is>
          <t>SKELLEFTEÅ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25515-2021</t>
        </is>
      </c>
      <c r="B1882" s="1" t="n">
        <v>44342.94759259259</v>
      </c>
      <c r="C1882" s="1" t="n">
        <v>45931</v>
      </c>
      <c r="D1882" t="inlineStr">
        <is>
          <t>VÄSTERBOTTENS LÄN</t>
        </is>
      </c>
      <c r="E1882" t="inlineStr">
        <is>
          <t>SKELLEFTEÅ</t>
        </is>
      </c>
      <c r="F1882" t="inlineStr">
        <is>
          <t>SCA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43435-2023</t>
        </is>
      </c>
      <c r="B1883" s="1" t="n">
        <v>45184.32165509259</v>
      </c>
      <c r="C1883" s="1" t="n">
        <v>45931</v>
      </c>
      <c r="D1883" t="inlineStr">
        <is>
          <t>VÄSTERBOTTENS LÄN</t>
        </is>
      </c>
      <c r="E1883" t="inlineStr">
        <is>
          <t>SKELLEFTEÅ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45757-2024</t>
        </is>
      </c>
      <c r="B1884" s="1" t="n">
        <v>45579.63565972223</v>
      </c>
      <c r="C1884" s="1" t="n">
        <v>45931</v>
      </c>
      <c r="D1884" t="inlineStr">
        <is>
          <t>VÄSTERBOTTENS LÄN</t>
        </is>
      </c>
      <c r="E1884" t="inlineStr">
        <is>
          <t>SKELLEFTEÅ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56960-2022</t>
        </is>
      </c>
      <c r="B1885" s="1" t="n">
        <v>44894</v>
      </c>
      <c r="C1885" s="1" t="n">
        <v>45931</v>
      </c>
      <c r="D1885" t="inlineStr">
        <is>
          <t>VÄSTERBOTTENS LÄN</t>
        </is>
      </c>
      <c r="E1885" t="inlineStr">
        <is>
          <t>SKELLEFTEÅ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46968-2024</t>
        </is>
      </c>
      <c r="B1886" s="1" t="n">
        <v>45586</v>
      </c>
      <c r="C1886" s="1" t="n">
        <v>45931</v>
      </c>
      <c r="D1886" t="inlineStr">
        <is>
          <t>VÄSTERBOTTENS LÄN</t>
        </is>
      </c>
      <c r="E1886" t="inlineStr">
        <is>
          <t>SKELLEFTEÅ</t>
        </is>
      </c>
      <c r="F1886" t="inlineStr">
        <is>
          <t>Sveaskog</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47496-2024</t>
        </is>
      </c>
      <c r="B1887" s="1" t="n">
        <v>45587</v>
      </c>
      <c r="C1887" s="1" t="n">
        <v>45931</v>
      </c>
      <c r="D1887" t="inlineStr">
        <is>
          <t>VÄSTERBOTTENS LÄN</t>
        </is>
      </c>
      <c r="E1887" t="inlineStr">
        <is>
          <t>SKELLEFTEÅ</t>
        </is>
      </c>
      <c r="F1887" t="inlineStr">
        <is>
          <t>Holmen skog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45036-2021</t>
        </is>
      </c>
      <c r="B1888" s="1" t="n">
        <v>44438</v>
      </c>
      <c r="C1888" s="1" t="n">
        <v>45931</v>
      </c>
      <c r="D1888" t="inlineStr">
        <is>
          <t>VÄSTERBOTTENS LÄN</t>
        </is>
      </c>
      <c r="E1888" t="inlineStr">
        <is>
          <t>SKELLEFTEÅ</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42796-2025</t>
        </is>
      </c>
      <c r="B1889" s="1" t="n">
        <v>45908.52939814814</v>
      </c>
      <c r="C1889" s="1" t="n">
        <v>45931</v>
      </c>
      <c r="D1889" t="inlineStr">
        <is>
          <t>VÄSTERBOTTENS LÄN</t>
        </is>
      </c>
      <c r="E1889" t="inlineStr">
        <is>
          <t>SKELLEFTEÅ</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51476-2021</t>
        </is>
      </c>
      <c r="B1890" s="1" t="n">
        <v>44462</v>
      </c>
      <c r="C1890" s="1" t="n">
        <v>45931</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56945-2020</t>
        </is>
      </c>
      <c r="B1891" s="1" t="n">
        <v>44138</v>
      </c>
      <c r="C1891" s="1" t="n">
        <v>45931</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34669-2023</t>
        </is>
      </c>
      <c r="B1892" s="1" t="n">
        <v>45140.83063657407</v>
      </c>
      <c r="C1892" s="1" t="n">
        <v>45931</v>
      </c>
      <c r="D1892" t="inlineStr">
        <is>
          <t>VÄSTERBOTTENS LÄN</t>
        </is>
      </c>
      <c r="E1892" t="inlineStr">
        <is>
          <t>SKELLEFTEÅ</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42401-2025</t>
        </is>
      </c>
      <c r="B1893" s="1" t="n">
        <v>45905.37298611111</v>
      </c>
      <c r="C1893" s="1" t="n">
        <v>45931</v>
      </c>
      <c r="D1893" t="inlineStr">
        <is>
          <t>VÄSTERBOTTENS LÄN</t>
        </is>
      </c>
      <c r="E1893" t="inlineStr">
        <is>
          <t>SKELLEFTEÅ</t>
        </is>
      </c>
      <c r="F1893" t="inlineStr">
        <is>
          <t>Holmen skog AB</t>
        </is>
      </c>
      <c r="G1893" t="n">
        <v>11.9</v>
      </c>
      <c r="H1893" t="n">
        <v>0</v>
      </c>
      <c r="I1893" t="n">
        <v>0</v>
      </c>
      <c r="J1893" t="n">
        <v>0</v>
      </c>
      <c r="K1893" t="n">
        <v>0</v>
      </c>
      <c r="L1893" t="n">
        <v>0</v>
      </c>
      <c r="M1893" t="n">
        <v>0</v>
      </c>
      <c r="N1893" t="n">
        <v>0</v>
      </c>
      <c r="O1893" t="n">
        <v>0</v>
      </c>
      <c r="P1893" t="n">
        <v>0</v>
      </c>
      <c r="Q1893" t="n">
        <v>0</v>
      </c>
      <c r="R1893" s="2" t="inlineStr"/>
    </row>
    <row r="1894" ht="15" customHeight="1">
      <c r="A1894" t="inlineStr">
        <is>
          <t>A 32593-2024</t>
        </is>
      </c>
      <c r="B1894" s="1" t="n">
        <v>45513.60165509259</v>
      </c>
      <c r="C1894" s="1" t="n">
        <v>45931</v>
      </c>
      <c r="D1894" t="inlineStr">
        <is>
          <t>VÄSTERBOTTENS LÄN</t>
        </is>
      </c>
      <c r="E1894" t="inlineStr">
        <is>
          <t>SKELLEFTEÅ</t>
        </is>
      </c>
      <c r="F1894" t="inlineStr">
        <is>
          <t>Holmen skog AB</t>
        </is>
      </c>
      <c r="G1894" t="n">
        <v>9.300000000000001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42661-2025</t>
        </is>
      </c>
      <c r="B1895" s="1" t="n">
        <v>45907.60118055555</v>
      </c>
      <c r="C1895" s="1" t="n">
        <v>45931</v>
      </c>
      <c r="D1895" t="inlineStr">
        <is>
          <t>VÄSTERBOTTENS LÄN</t>
        </is>
      </c>
      <c r="E1895" t="inlineStr">
        <is>
          <t>SKELLEFTEÅ</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35954-2025</t>
        </is>
      </c>
      <c r="B1896" s="1" t="n">
        <v>45863.31778935185</v>
      </c>
      <c r="C1896" s="1" t="n">
        <v>45931</v>
      </c>
      <c r="D1896" t="inlineStr">
        <is>
          <t>VÄSTERBOTTENS LÄN</t>
        </is>
      </c>
      <c r="E1896" t="inlineStr">
        <is>
          <t>SKELLEFTEÅ</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16494-2023</t>
        </is>
      </c>
      <c r="B1897" s="1" t="n">
        <v>45029.60325231482</v>
      </c>
      <c r="C1897" s="1" t="n">
        <v>45931</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35988-2025</t>
        </is>
      </c>
      <c r="B1898" s="1" t="n">
        <v>45863.46273148148</v>
      </c>
      <c r="C1898" s="1" t="n">
        <v>45931</v>
      </c>
      <c r="D1898" t="inlineStr">
        <is>
          <t>VÄSTERBOTTENS LÄN</t>
        </is>
      </c>
      <c r="E1898" t="inlineStr">
        <is>
          <t>SKELLEFTEÅ</t>
        </is>
      </c>
      <c r="F1898" t="inlineStr">
        <is>
          <t>Holmen skog AB</t>
        </is>
      </c>
      <c r="G1898" t="n">
        <v>17.8</v>
      </c>
      <c r="H1898" t="n">
        <v>0</v>
      </c>
      <c r="I1898" t="n">
        <v>0</v>
      </c>
      <c r="J1898" t="n">
        <v>0</v>
      </c>
      <c r="K1898" t="n">
        <v>0</v>
      </c>
      <c r="L1898" t="n">
        <v>0</v>
      </c>
      <c r="M1898" t="n">
        <v>0</v>
      </c>
      <c r="N1898" t="n">
        <v>0</v>
      </c>
      <c r="O1898" t="n">
        <v>0</v>
      </c>
      <c r="P1898" t="n">
        <v>0</v>
      </c>
      <c r="Q1898" t="n">
        <v>0</v>
      </c>
      <c r="R1898" s="2" t="inlineStr"/>
    </row>
    <row r="1899" ht="15" customHeight="1">
      <c r="A1899" t="inlineStr">
        <is>
          <t>A 3600-2023</t>
        </is>
      </c>
      <c r="B1899" s="1" t="n">
        <v>44946</v>
      </c>
      <c r="C1899" s="1" t="n">
        <v>45931</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39544-2023</t>
        </is>
      </c>
      <c r="B1900" s="1" t="n">
        <v>45167.35682870371</v>
      </c>
      <c r="C1900" s="1" t="n">
        <v>45931</v>
      </c>
      <c r="D1900" t="inlineStr">
        <is>
          <t>VÄSTERBOTTENS LÄN</t>
        </is>
      </c>
      <c r="E1900" t="inlineStr">
        <is>
          <t>SKELLEFTEÅ</t>
        </is>
      </c>
      <c r="F1900" t="inlineStr">
        <is>
          <t>Sveaskog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39553-2023</t>
        </is>
      </c>
      <c r="B1901" s="1" t="n">
        <v>45167</v>
      </c>
      <c r="C1901" s="1" t="n">
        <v>45931</v>
      </c>
      <c r="D1901" t="inlineStr">
        <is>
          <t>VÄSTERBOTTENS LÄN</t>
        </is>
      </c>
      <c r="E1901" t="inlineStr">
        <is>
          <t>SKELLEFTEÅ</t>
        </is>
      </c>
      <c r="F1901" t="inlineStr">
        <is>
          <t>Holmen skog AB</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62056-2024</t>
        </is>
      </c>
      <c r="B1902" s="1" t="n">
        <v>45656.37664351852</v>
      </c>
      <c r="C1902" s="1" t="n">
        <v>45931</v>
      </c>
      <c r="D1902" t="inlineStr">
        <is>
          <t>VÄSTERBOTTENS LÄN</t>
        </is>
      </c>
      <c r="E1902" t="inlineStr">
        <is>
          <t>SKELLEFTEÅ</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35951-2025</t>
        </is>
      </c>
      <c r="B1903" s="1" t="n">
        <v>45863.30952546297</v>
      </c>
      <c r="C1903" s="1" t="n">
        <v>45931</v>
      </c>
      <c r="D1903" t="inlineStr">
        <is>
          <t>VÄSTERBOTTENS LÄN</t>
        </is>
      </c>
      <c r="E1903" t="inlineStr">
        <is>
          <t>SKELLEFTEÅ</t>
        </is>
      </c>
      <c r="F1903" t="inlineStr">
        <is>
          <t>Holmen skog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50276-2024</t>
        </is>
      </c>
      <c r="B1904" s="1" t="n">
        <v>45600.60181712963</v>
      </c>
      <c r="C1904" s="1" t="n">
        <v>45931</v>
      </c>
      <c r="D1904" t="inlineStr">
        <is>
          <t>VÄSTERBOTTENS LÄN</t>
        </is>
      </c>
      <c r="E1904" t="inlineStr">
        <is>
          <t>SKELLEFTEÅ</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42059-2025</t>
        </is>
      </c>
      <c r="B1905" s="1" t="n">
        <v>45903</v>
      </c>
      <c r="C1905" s="1" t="n">
        <v>45931</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56529-2024</t>
        </is>
      </c>
      <c r="B1906" s="1" t="n">
        <v>45625.5534837963</v>
      </c>
      <c r="C1906" s="1" t="n">
        <v>45931</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56530-2024</t>
        </is>
      </c>
      <c r="B1907" s="1" t="n">
        <v>45625</v>
      </c>
      <c r="C1907" s="1" t="n">
        <v>45931</v>
      </c>
      <c r="D1907" t="inlineStr">
        <is>
          <t>VÄSTERBOTTENS LÄN</t>
        </is>
      </c>
      <c r="E1907" t="inlineStr">
        <is>
          <t>SKELLEFTEÅ</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62064-2024</t>
        </is>
      </c>
      <c r="B1908" s="1" t="n">
        <v>45656</v>
      </c>
      <c r="C1908" s="1" t="n">
        <v>45931</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43325-2025</t>
        </is>
      </c>
      <c r="B1909" s="1" t="n">
        <v>45910.66576388889</v>
      </c>
      <c r="C1909" s="1" t="n">
        <v>45931</v>
      </c>
      <c r="D1909" t="inlineStr">
        <is>
          <t>VÄSTERBOTTENS LÄN</t>
        </is>
      </c>
      <c r="E1909" t="inlineStr">
        <is>
          <t>SKELLEFTEÅ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16156-2025</t>
        </is>
      </c>
      <c r="B1910" s="1" t="n">
        <v>45750.49013888889</v>
      </c>
      <c r="C1910" s="1" t="n">
        <v>45931</v>
      </c>
      <c r="D1910" t="inlineStr">
        <is>
          <t>VÄSTERBOTTENS LÄN</t>
        </is>
      </c>
      <c r="E1910" t="inlineStr">
        <is>
          <t>SKELLEFTEÅ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54456-2022</t>
        </is>
      </c>
      <c r="B1911" s="1" t="n">
        <v>44880</v>
      </c>
      <c r="C1911" s="1" t="n">
        <v>45931</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42367-2021</t>
        </is>
      </c>
      <c r="B1912" s="1" t="n">
        <v>44427</v>
      </c>
      <c r="C1912" s="1" t="n">
        <v>45931</v>
      </c>
      <c r="D1912" t="inlineStr">
        <is>
          <t>VÄSTERBOTTENS LÄN</t>
        </is>
      </c>
      <c r="E1912" t="inlineStr">
        <is>
          <t>SKELLEFTEÅ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3611-2025</t>
        </is>
      </c>
      <c r="B1913" s="1" t="n">
        <v>45681.36076388889</v>
      </c>
      <c r="C1913" s="1" t="n">
        <v>45931</v>
      </c>
      <c r="D1913" t="inlineStr">
        <is>
          <t>VÄSTERBOTTENS LÄN</t>
        </is>
      </c>
      <c r="E1913" t="inlineStr">
        <is>
          <t>SKELLEFTEÅ</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1640-2023</t>
        </is>
      </c>
      <c r="B1914" s="1" t="n">
        <v>44937</v>
      </c>
      <c r="C1914" s="1" t="n">
        <v>45931</v>
      </c>
      <c r="D1914" t="inlineStr">
        <is>
          <t>VÄSTERBOTTENS LÄN</t>
        </is>
      </c>
      <c r="E1914" t="inlineStr">
        <is>
          <t>SKELLEFTEÅ</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5374-2025</t>
        </is>
      </c>
      <c r="B1915" s="1" t="n">
        <v>45692</v>
      </c>
      <c r="C1915" s="1" t="n">
        <v>45931</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43307-2025</t>
        </is>
      </c>
      <c r="B1916" s="1" t="n">
        <v>45910.64238425926</v>
      </c>
      <c r="C1916" s="1" t="n">
        <v>45931</v>
      </c>
      <c r="D1916" t="inlineStr">
        <is>
          <t>VÄSTERBOTTENS LÄN</t>
        </is>
      </c>
      <c r="E1916" t="inlineStr">
        <is>
          <t>SKELLEFTEÅ</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43309-2025</t>
        </is>
      </c>
      <c r="B1917" s="1" t="n">
        <v>45910.64689814814</v>
      </c>
      <c r="C1917" s="1" t="n">
        <v>45931</v>
      </c>
      <c r="D1917" t="inlineStr">
        <is>
          <t>VÄSTERBOTTENS LÄN</t>
        </is>
      </c>
      <c r="E1917" t="inlineStr">
        <is>
          <t>SKELLEFTEÅ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43312-2025</t>
        </is>
      </c>
      <c r="B1918" s="1" t="n">
        <v>45910.65115740741</v>
      </c>
      <c r="C1918" s="1" t="n">
        <v>45931</v>
      </c>
      <c r="D1918" t="inlineStr">
        <is>
          <t>VÄSTERBOTTENS LÄN</t>
        </is>
      </c>
      <c r="E1918" t="inlineStr">
        <is>
          <t>SKELLEFTEÅ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52686-2023</t>
        </is>
      </c>
      <c r="B1919" s="1" t="n">
        <v>45225.73399305555</v>
      </c>
      <c r="C1919" s="1" t="n">
        <v>45931</v>
      </c>
      <c r="D1919" t="inlineStr">
        <is>
          <t>VÄSTERBOTTENS LÄN</t>
        </is>
      </c>
      <c r="E1919" t="inlineStr">
        <is>
          <t>SKELLEFTEÅ</t>
        </is>
      </c>
      <c r="F1919" t="inlineStr">
        <is>
          <t>Sveaskog</t>
        </is>
      </c>
      <c r="G1919" t="n">
        <v>18.1</v>
      </c>
      <c r="H1919" t="n">
        <v>0</v>
      </c>
      <c r="I1919" t="n">
        <v>0</v>
      </c>
      <c r="J1919" t="n">
        <v>0</v>
      </c>
      <c r="K1919" t="n">
        <v>0</v>
      </c>
      <c r="L1919" t="n">
        <v>0</v>
      </c>
      <c r="M1919" t="n">
        <v>0</v>
      </c>
      <c r="N1919" t="n">
        <v>0</v>
      </c>
      <c r="O1919" t="n">
        <v>0</v>
      </c>
      <c r="P1919" t="n">
        <v>0</v>
      </c>
      <c r="Q1919" t="n">
        <v>0</v>
      </c>
      <c r="R1919" s="2" t="inlineStr"/>
    </row>
    <row r="1920" ht="15" customHeight="1">
      <c r="A1920" t="inlineStr">
        <is>
          <t>A 36215-2025</t>
        </is>
      </c>
      <c r="B1920" s="1" t="n">
        <v>45867.49079861111</v>
      </c>
      <c r="C1920" s="1" t="n">
        <v>45931</v>
      </c>
      <c r="D1920" t="inlineStr">
        <is>
          <t>VÄSTERBOTTENS LÄN</t>
        </is>
      </c>
      <c r="E1920" t="inlineStr">
        <is>
          <t>SKELLEFTEÅ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8241-2025</t>
        </is>
      </c>
      <c r="B1921" s="1" t="n">
        <v>45708.48162037037</v>
      </c>
      <c r="C1921" s="1" t="n">
        <v>45931</v>
      </c>
      <c r="D1921" t="inlineStr">
        <is>
          <t>VÄSTERBOTTENS LÄN</t>
        </is>
      </c>
      <c r="E1921" t="inlineStr">
        <is>
          <t>SKELLEFTEÅ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46584-2023</t>
        </is>
      </c>
      <c r="B1922" s="1" t="n">
        <v>45198</v>
      </c>
      <c r="C1922" s="1" t="n">
        <v>45931</v>
      </c>
      <c r="D1922" t="inlineStr">
        <is>
          <t>VÄSTERBOTTENS LÄN</t>
        </is>
      </c>
      <c r="E1922" t="inlineStr">
        <is>
          <t>SKELLEFTEÅ</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30719-2021</t>
        </is>
      </c>
      <c r="B1923" s="1" t="n">
        <v>44365.43997685185</v>
      </c>
      <c r="C1923" s="1" t="n">
        <v>45931</v>
      </c>
      <c r="D1923" t="inlineStr">
        <is>
          <t>VÄSTERBOTTENS LÄN</t>
        </is>
      </c>
      <c r="E1923" t="inlineStr">
        <is>
          <t>SKELLEFTEÅ</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7364-2023</t>
        </is>
      </c>
      <c r="B1924" s="1" t="n">
        <v>44971</v>
      </c>
      <c r="C1924" s="1" t="n">
        <v>45931</v>
      </c>
      <c r="D1924" t="inlineStr">
        <is>
          <t>VÄSTERBOTTENS LÄN</t>
        </is>
      </c>
      <c r="E1924" t="inlineStr">
        <is>
          <t>SKELLEFTEÅ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51332-2024</t>
        </is>
      </c>
      <c r="B1925" s="1" t="n">
        <v>45604.34377314815</v>
      </c>
      <c r="C1925" s="1" t="n">
        <v>45931</v>
      </c>
      <c r="D1925" t="inlineStr">
        <is>
          <t>VÄSTERBOTTENS LÄN</t>
        </is>
      </c>
      <c r="E1925" t="inlineStr">
        <is>
          <t>SKELLEFTEÅ</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58960-2024</t>
        </is>
      </c>
      <c r="B1926" s="1" t="n">
        <v>45635</v>
      </c>
      <c r="C1926" s="1" t="n">
        <v>45931</v>
      </c>
      <c r="D1926" t="inlineStr">
        <is>
          <t>VÄSTERBOTTENS LÄN</t>
        </is>
      </c>
      <c r="E1926" t="inlineStr">
        <is>
          <t>SKELLEFTEÅ</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26955-2023</t>
        </is>
      </c>
      <c r="B1927" s="1" t="n">
        <v>45091</v>
      </c>
      <c r="C1927" s="1" t="n">
        <v>45931</v>
      </c>
      <c r="D1927" t="inlineStr">
        <is>
          <t>VÄSTERBOTTENS LÄN</t>
        </is>
      </c>
      <c r="E1927" t="inlineStr">
        <is>
          <t>SKELLEFTEÅ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11454-2021</t>
        </is>
      </c>
      <c r="B1928" s="1" t="n">
        <v>44264</v>
      </c>
      <c r="C1928" s="1" t="n">
        <v>45931</v>
      </c>
      <c r="D1928" t="inlineStr">
        <is>
          <t>VÄSTERBOTTENS LÄN</t>
        </is>
      </c>
      <c r="E1928" t="inlineStr">
        <is>
          <t>SKELLEFTEÅ</t>
        </is>
      </c>
      <c r="G1928" t="n">
        <v>14.6</v>
      </c>
      <c r="H1928" t="n">
        <v>0</v>
      </c>
      <c r="I1928" t="n">
        <v>0</v>
      </c>
      <c r="J1928" t="n">
        <v>0</v>
      </c>
      <c r="K1928" t="n">
        <v>0</v>
      </c>
      <c r="L1928" t="n">
        <v>0</v>
      </c>
      <c r="M1928" t="n">
        <v>0</v>
      </c>
      <c r="N1928" t="n">
        <v>0</v>
      </c>
      <c r="O1928" t="n">
        <v>0</v>
      </c>
      <c r="P1928" t="n">
        <v>0</v>
      </c>
      <c r="Q1928" t="n">
        <v>0</v>
      </c>
      <c r="R1928" s="2" t="inlineStr"/>
    </row>
    <row r="1929" ht="15" customHeight="1">
      <c r="A1929" t="inlineStr">
        <is>
          <t>A 11499-2021</t>
        </is>
      </c>
      <c r="B1929" s="1" t="n">
        <v>44264.37333333334</v>
      </c>
      <c r="C1929" s="1" t="n">
        <v>45931</v>
      </c>
      <c r="D1929" t="inlineStr">
        <is>
          <t>VÄSTERBOTTENS LÄN</t>
        </is>
      </c>
      <c r="E1929" t="inlineStr">
        <is>
          <t>SKELLEFTEÅ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60000-2022</t>
        </is>
      </c>
      <c r="B1930" s="1" t="n">
        <v>44909.4678125</v>
      </c>
      <c r="C1930" s="1" t="n">
        <v>45931</v>
      </c>
      <c r="D1930" t="inlineStr">
        <is>
          <t>VÄSTERBOTTENS LÄN</t>
        </is>
      </c>
      <c r="E1930" t="inlineStr">
        <is>
          <t>SKELLEFTEÅ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55233-2024</t>
        </is>
      </c>
      <c r="B1931" s="1" t="n">
        <v>45620</v>
      </c>
      <c r="C1931" s="1" t="n">
        <v>45931</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37946-2024</t>
        </is>
      </c>
      <c r="B1932" s="1" t="n">
        <v>45544.50325231482</v>
      </c>
      <c r="C1932" s="1" t="n">
        <v>45931</v>
      </c>
      <c r="D1932" t="inlineStr">
        <is>
          <t>VÄSTERBOTTENS LÄN</t>
        </is>
      </c>
      <c r="E1932" t="inlineStr">
        <is>
          <t>SKELLEFTEÅ</t>
        </is>
      </c>
      <c r="F1932" t="inlineStr">
        <is>
          <t>Holmen skog AB</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43327-2025</t>
        </is>
      </c>
      <c r="B1933" s="1" t="n">
        <v>45910.67043981481</v>
      </c>
      <c r="C1933" s="1" t="n">
        <v>45931</v>
      </c>
      <c r="D1933" t="inlineStr">
        <is>
          <t>VÄSTERBOTTENS LÄN</t>
        </is>
      </c>
      <c r="E1933" t="inlineStr">
        <is>
          <t>SKELLEFTEÅ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20193-2025</t>
        </is>
      </c>
      <c r="B1934" s="1" t="n">
        <v>45772</v>
      </c>
      <c r="C1934" s="1" t="n">
        <v>45931</v>
      </c>
      <c r="D1934" t="inlineStr">
        <is>
          <t>VÄSTERBOTTENS LÄN</t>
        </is>
      </c>
      <c r="E1934" t="inlineStr">
        <is>
          <t>SKELLEFTEÅ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43317-2025</t>
        </is>
      </c>
      <c r="B1935" s="1" t="n">
        <v>45910.65524305555</v>
      </c>
      <c r="C1935" s="1" t="n">
        <v>45931</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43318-2025</t>
        </is>
      </c>
      <c r="B1936" s="1" t="n">
        <v>45910</v>
      </c>
      <c r="C1936" s="1" t="n">
        <v>45931</v>
      </c>
      <c r="D1936" t="inlineStr">
        <is>
          <t>VÄSTERBOTTENS LÄN</t>
        </is>
      </c>
      <c r="E1936" t="inlineStr">
        <is>
          <t>SKELLEFTEÅ</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43683-2025</t>
        </is>
      </c>
      <c r="B1937" s="1" t="n">
        <v>45912.37668981482</v>
      </c>
      <c r="C1937" s="1" t="n">
        <v>45931</v>
      </c>
      <c r="D1937" t="inlineStr">
        <is>
          <t>VÄSTERBOTTENS LÄN</t>
        </is>
      </c>
      <c r="E1937" t="inlineStr">
        <is>
          <t>SKELLEFTEÅ</t>
        </is>
      </c>
      <c r="F1937" t="inlineStr">
        <is>
          <t>Holmen skog AB</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43463-2025</t>
        </is>
      </c>
      <c r="B1938" s="1" t="n">
        <v>45911.46953703704</v>
      </c>
      <c r="C1938" s="1" t="n">
        <v>45931</v>
      </c>
      <c r="D1938" t="inlineStr">
        <is>
          <t>VÄSTERBOTTENS LÄN</t>
        </is>
      </c>
      <c r="E1938" t="inlineStr">
        <is>
          <t>SKELLEFTEÅ</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43596-2025</t>
        </is>
      </c>
      <c r="B1939" s="1" t="n">
        <v>45911.66240740741</v>
      </c>
      <c r="C1939" s="1" t="n">
        <v>45931</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43797-2025</t>
        </is>
      </c>
      <c r="B1940" s="1" t="n">
        <v>45912.5659837963</v>
      </c>
      <c r="C1940" s="1" t="n">
        <v>45931</v>
      </c>
      <c r="D1940" t="inlineStr">
        <is>
          <t>VÄSTERBOTTENS LÄN</t>
        </is>
      </c>
      <c r="E1940" t="inlineStr">
        <is>
          <t>SKELLEFTEÅ</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14756-2022</t>
        </is>
      </c>
      <c r="B1941" s="1" t="n">
        <v>44656</v>
      </c>
      <c r="C1941" s="1" t="n">
        <v>45931</v>
      </c>
      <c r="D1941" t="inlineStr">
        <is>
          <t>VÄSTERBOTTENS LÄN</t>
        </is>
      </c>
      <c r="E1941" t="inlineStr">
        <is>
          <t>SKELLEFTEÅ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43894-2025</t>
        </is>
      </c>
      <c r="B1942" s="1" t="n">
        <v>45912.73649305556</v>
      </c>
      <c r="C1942" s="1" t="n">
        <v>45931</v>
      </c>
      <c r="D1942" t="inlineStr">
        <is>
          <t>VÄSTERBOTTENS LÄN</t>
        </is>
      </c>
      <c r="E1942" t="inlineStr">
        <is>
          <t>SKELLEFTEÅ</t>
        </is>
      </c>
      <c r="F1942" t="inlineStr">
        <is>
          <t>Sveaskog</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43895-2025</t>
        </is>
      </c>
      <c r="B1943" s="1" t="n">
        <v>45912.73758101852</v>
      </c>
      <c r="C1943" s="1" t="n">
        <v>45931</v>
      </c>
      <c r="D1943" t="inlineStr">
        <is>
          <t>VÄSTERBOTTENS LÄN</t>
        </is>
      </c>
      <c r="E1943" t="inlineStr">
        <is>
          <t>SKELLEFTEÅ</t>
        </is>
      </c>
      <c r="F1943" t="inlineStr">
        <is>
          <t>Sveaskog</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43727-2025</t>
        </is>
      </c>
      <c r="B1944" s="1" t="n">
        <v>45912.42981481482</v>
      </c>
      <c r="C1944" s="1" t="n">
        <v>45931</v>
      </c>
      <c r="D1944" t="inlineStr">
        <is>
          <t>VÄSTERBOTTENS LÄN</t>
        </is>
      </c>
      <c r="E1944" t="inlineStr">
        <is>
          <t>SKELLEFTEÅ</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43791-2025</t>
        </is>
      </c>
      <c r="B1945" s="1" t="n">
        <v>45912.54636574074</v>
      </c>
      <c r="C1945" s="1" t="n">
        <v>45931</v>
      </c>
      <c r="D1945" t="inlineStr">
        <is>
          <t>VÄSTERBOTTENS LÄN</t>
        </is>
      </c>
      <c r="E1945" t="inlineStr">
        <is>
          <t>SKELLEFTEÅ</t>
        </is>
      </c>
      <c r="F1945" t="inlineStr">
        <is>
          <t>Holmen skog AB</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43800-2025</t>
        </is>
      </c>
      <c r="B1946" s="1" t="n">
        <v>45912.57226851852</v>
      </c>
      <c r="C1946" s="1" t="n">
        <v>45931</v>
      </c>
      <c r="D1946" t="inlineStr">
        <is>
          <t>VÄSTERBOTTENS LÄN</t>
        </is>
      </c>
      <c r="E1946" t="inlineStr">
        <is>
          <t>SKELLEFTEÅ</t>
        </is>
      </c>
      <c r="F1946" t="inlineStr">
        <is>
          <t>Sveaskog</t>
        </is>
      </c>
      <c r="G1946" t="n">
        <v>25.3</v>
      </c>
      <c r="H1946" t="n">
        <v>0</v>
      </c>
      <c r="I1946" t="n">
        <v>0</v>
      </c>
      <c r="J1946" t="n">
        <v>0</v>
      </c>
      <c r="K1946" t="n">
        <v>0</v>
      </c>
      <c r="L1946" t="n">
        <v>0</v>
      </c>
      <c r="M1946" t="n">
        <v>0</v>
      </c>
      <c r="N1946" t="n">
        <v>0</v>
      </c>
      <c r="O1946" t="n">
        <v>0</v>
      </c>
      <c r="P1946" t="n">
        <v>0</v>
      </c>
      <c r="Q1946" t="n">
        <v>0</v>
      </c>
      <c r="R1946" s="2" t="inlineStr"/>
    </row>
    <row r="1947" ht="15" customHeight="1">
      <c r="A1947" t="inlineStr">
        <is>
          <t>A 43825-2025</t>
        </is>
      </c>
      <c r="B1947" s="1" t="n">
        <v>45912.61891203704</v>
      </c>
      <c r="C1947" s="1" t="n">
        <v>45931</v>
      </c>
      <c r="D1947" t="inlineStr">
        <is>
          <t>VÄSTERBOTTENS LÄN</t>
        </is>
      </c>
      <c r="E1947" t="inlineStr">
        <is>
          <t>SKELLEFTEÅ</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33519-2021</t>
        </is>
      </c>
      <c r="B1948" s="1" t="n">
        <v>44377.75302083333</v>
      </c>
      <c r="C1948" s="1" t="n">
        <v>45931</v>
      </c>
      <c r="D1948" t="inlineStr">
        <is>
          <t>VÄSTERBOTTENS LÄN</t>
        </is>
      </c>
      <c r="E1948" t="inlineStr">
        <is>
          <t>SKELLEFTEÅ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40373-2023</t>
        </is>
      </c>
      <c r="B1949" s="1" t="n">
        <v>45169</v>
      </c>
      <c r="C1949" s="1" t="n">
        <v>45931</v>
      </c>
      <c r="D1949" t="inlineStr">
        <is>
          <t>VÄSTERBOTTENS LÄN</t>
        </is>
      </c>
      <c r="E1949" t="inlineStr">
        <is>
          <t>SKELLEFTEÅ</t>
        </is>
      </c>
      <c r="F1949" t="inlineStr">
        <is>
          <t>Sveaskog</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43600-2025</t>
        </is>
      </c>
      <c r="B1950" s="1" t="n">
        <v>45911.66473379629</v>
      </c>
      <c r="C1950" s="1" t="n">
        <v>45931</v>
      </c>
      <c r="D1950" t="inlineStr">
        <is>
          <t>VÄSTERBOTTENS LÄN</t>
        </is>
      </c>
      <c r="E1950" t="inlineStr">
        <is>
          <t>SKELLEFTEÅ</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11077-2024</t>
        </is>
      </c>
      <c r="B1951" s="1" t="n">
        <v>45370.92724537037</v>
      </c>
      <c r="C1951" s="1" t="n">
        <v>45931</v>
      </c>
      <c r="D1951" t="inlineStr">
        <is>
          <t>VÄSTERBOTTENS LÄN</t>
        </is>
      </c>
      <c r="E1951" t="inlineStr">
        <is>
          <t>SKELLEFTEÅ</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11079-2024</t>
        </is>
      </c>
      <c r="B1952" s="1" t="n">
        <v>45370.92737268518</v>
      </c>
      <c r="C1952" s="1" t="n">
        <v>45931</v>
      </c>
      <c r="D1952" t="inlineStr">
        <is>
          <t>VÄSTERBOTTENS LÄN</t>
        </is>
      </c>
      <c r="E1952" t="inlineStr">
        <is>
          <t>SKELLEFTEÅ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10570-2023</t>
        </is>
      </c>
      <c r="B1953" s="1" t="n">
        <v>44981</v>
      </c>
      <c r="C1953" s="1" t="n">
        <v>45931</v>
      </c>
      <c r="D1953" t="inlineStr">
        <is>
          <t>VÄSTERBOTTENS LÄN</t>
        </is>
      </c>
      <c r="E1953" t="inlineStr">
        <is>
          <t>SKELLEFTEÅ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19498-2023</t>
        </is>
      </c>
      <c r="B1954" s="1" t="n">
        <v>45049</v>
      </c>
      <c r="C1954" s="1" t="n">
        <v>45931</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61584-2024</t>
        </is>
      </c>
      <c r="B1955" s="1" t="n">
        <v>45646.62739583333</v>
      </c>
      <c r="C1955" s="1" t="n">
        <v>45931</v>
      </c>
      <c r="D1955" t="inlineStr">
        <is>
          <t>VÄSTERBOTTENS LÄN</t>
        </is>
      </c>
      <c r="E1955" t="inlineStr">
        <is>
          <t>SKELLEFTEÅ</t>
        </is>
      </c>
      <c r="F1955" t="inlineStr">
        <is>
          <t>Sveaskog</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8301-2025</t>
        </is>
      </c>
      <c r="B1956" s="1" t="n">
        <v>45708</v>
      </c>
      <c r="C1956" s="1" t="n">
        <v>45931</v>
      </c>
      <c r="D1956" t="inlineStr">
        <is>
          <t>VÄSTERBOTTENS LÄN</t>
        </is>
      </c>
      <c r="E1956" t="inlineStr">
        <is>
          <t>SKELLEFTEÅ</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43861-2025</t>
        </is>
      </c>
      <c r="B1957" s="1" t="n">
        <v>45912.65596064815</v>
      </c>
      <c r="C1957" s="1" t="n">
        <v>45931</v>
      </c>
      <c r="D1957" t="inlineStr">
        <is>
          <t>VÄSTERBOTTENS LÄN</t>
        </is>
      </c>
      <c r="E1957" t="inlineStr">
        <is>
          <t>SKELLEFTEÅ</t>
        </is>
      </c>
      <c r="F1957" t="inlineStr">
        <is>
          <t>Sveaskog</t>
        </is>
      </c>
      <c r="G1957" t="n">
        <v>15.6</v>
      </c>
      <c r="H1957" t="n">
        <v>0</v>
      </c>
      <c r="I1957" t="n">
        <v>0</v>
      </c>
      <c r="J1957" t="n">
        <v>0</v>
      </c>
      <c r="K1957" t="n">
        <v>0</v>
      </c>
      <c r="L1957" t="n">
        <v>0</v>
      </c>
      <c r="M1957" t="n">
        <v>0</v>
      </c>
      <c r="N1957" t="n">
        <v>0</v>
      </c>
      <c r="O1957" t="n">
        <v>0</v>
      </c>
      <c r="P1957" t="n">
        <v>0</v>
      </c>
      <c r="Q1957" t="n">
        <v>0</v>
      </c>
      <c r="R1957" s="2" t="inlineStr"/>
    </row>
    <row r="1958" ht="15" customHeight="1">
      <c r="A1958" t="inlineStr">
        <is>
          <t>A 43729-2025</t>
        </is>
      </c>
      <c r="B1958" s="1" t="n">
        <v>45912.43429398148</v>
      </c>
      <c r="C1958" s="1" t="n">
        <v>45931</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51993-2024</t>
        </is>
      </c>
      <c r="B1959" s="1" t="n">
        <v>45607</v>
      </c>
      <c r="C1959" s="1" t="n">
        <v>45931</v>
      </c>
      <c r="D1959" t="inlineStr">
        <is>
          <t>VÄSTERBOTTENS LÄN</t>
        </is>
      </c>
      <c r="E1959" t="inlineStr">
        <is>
          <t>SKELLEFTEÅ</t>
        </is>
      </c>
      <c r="F1959" t="inlineStr">
        <is>
          <t>Kommuner</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43427-2025</t>
        </is>
      </c>
      <c r="B1960" s="1" t="n">
        <v>45911.419375</v>
      </c>
      <c r="C1960" s="1" t="n">
        <v>45931</v>
      </c>
      <c r="D1960" t="inlineStr">
        <is>
          <t>VÄSTERBOTTENS LÄN</t>
        </is>
      </c>
      <c r="E1960" t="inlineStr">
        <is>
          <t>SKELLEFTEÅ</t>
        </is>
      </c>
      <c r="G1960" t="n">
        <v>9.800000000000001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31975-2024</t>
        </is>
      </c>
      <c r="B1961" s="1" t="n">
        <v>45510.56052083334</v>
      </c>
      <c r="C1961" s="1" t="n">
        <v>45931</v>
      </c>
      <c r="D1961" t="inlineStr">
        <is>
          <t>VÄSTERBOTTENS LÄN</t>
        </is>
      </c>
      <c r="E1961" t="inlineStr">
        <is>
          <t>SKELLEFTEÅ</t>
        </is>
      </c>
      <c r="F1961" t="inlineStr">
        <is>
          <t>Holmen skog AB</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19905-2024</t>
        </is>
      </c>
      <c r="B1962" s="1" t="n">
        <v>45433.56965277778</v>
      </c>
      <c r="C1962" s="1" t="n">
        <v>45931</v>
      </c>
      <c r="D1962" t="inlineStr">
        <is>
          <t>VÄSTERBOTTENS LÄN</t>
        </is>
      </c>
      <c r="E1962" t="inlineStr">
        <is>
          <t>SKELLEFTEÅ</t>
        </is>
      </c>
      <c r="F1962" t="inlineStr">
        <is>
          <t>Holmen skog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43677-2025</t>
        </is>
      </c>
      <c r="B1963" s="1" t="n">
        <v>45912.3656712963</v>
      </c>
      <c r="C1963" s="1" t="n">
        <v>45931</v>
      </c>
      <c r="D1963" t="inlineStr">
        <is>
          <t>VÄSTERBOTTENS LÄN</t>
        </is>
      </c>
      <c r="E1963" t="inlineStr">
        <is>
          <t>SKELLEFTEÅ</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43372-2025</t>
        </is>
      </c>
      <c r="B1964" s="1" t="n">
        <v>45911.35015046296</v>
      </c>
      <c r="C1964" s="1" t="n">
        <v>45931</v>
      </c>
      <c r="D1964" t="inlineStr">
        <is>
          <t>VÄSTERBOTTENS LÄN</t>
        </is>
      </c>
      <c r="E1964" t="inlineStr">
        <is>
          <t>SKELLEFTEÅ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68251-2021</t>
        </is>
      </c>
      <c r="B1965" s="1" t="n">
        <v>44525</v>
      </c>
      <c r="C1965" s="1" t="n">
        <v>45931</v>
      </c>
      <c r="D1965" t="inlineStr">
        <is>
          <t>VÄSTERBOTTENS LÄN</t>
        </is>
      </c>
      <c r="E1965" t="inlineStr">
        <is>
          <t>SKELLEFTEÅ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38503-2024</t>
        </is>
      </c>
      <c r="B1966" s="1" t="n">
        <v>45546.52896990741</v>
      </c>
      <c r="C1966" s="1" t="n">
        <v>45931</v>
      </c>
      <c r="D1966" t="inlineStr">
        <is>
          <t>VÄSTERBOTTENS LÄN</t>
        </is>
      </c>
      <c r="E1966" t="inlineStr">
        <is>
          <t>SKELLEFTEÅ</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9051-2021</t>
        </is>
      </c>
      <c r="B1967" s="1" t="n">
        <v>44249</v>
      </c>
      <c r="C1967" s="1" t="n">
        <v>45931</v>
      </c>
      <c r="D1967" t="inlineStr">
        <is>
          <t>VÄSTERBOTTENS LÄN</t>
        </is>
      </c>
      <c r="E1967" t="inlineStr">
        <is>
          <t>SKELLEFTEÅ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51592-2024</t>
        </is>
      </c>
      <c r="B1968" s="1" t="n">
        <v>45604.64886574074</v>
      </c>
      <c r="C1968" s="1" t="n">
        <v>45931</v>
      </c>
      <c r="D1968" t="inlineStr">
        <is>
          <t>VÄSTERBOTTENS LÄN</t>
        </is>
      </c>
      <c r="E1968" t="inlineStr">
        <is>
          <t>SKELLEFTEÅ</t>
        </is>
      </c>
      <c r="F1968" t="inlineStr">
        <is>
          <t>Sveaskog</t>
        </is>
      </c>
      <c r="G1968" t="n">
        <v>15.1</v>
      </c>
      <c r="H1968" t="n">
        <v>0</v>
      </c>
      <c r="I1968" t="n">
        <v>0</v>
      </c>
      <c r="J1968" t="n">
        <v>0</v>
      </c>
      <c r="K1968" t="n">
        <v>0</v>
      </c>
      <c r="L1968" t="n">
        <v>0</v>
      </c>
      <c r="M1968" t="n">
        <v>0</v>
      </c>
      <c r="N1968" t="n">
        <v>0</v>
      </c>
      <c r="O1968" t="n">
        <v>0</v>
      </c>
      <c r="P1968" t="n">
        <v>0</v>
      </c>
      <c r="Q1968" t="n">
        <v>0</v>
      </c>
      <c r="R1968" s="2" t="inlineStr"/>
    </row>
    <row r="1969" ht="15" customHeight="1">
      <c r="A1969" t="inlineStr">
        <is>
          <t>A 528-2022</t>
        </is>
      </c>
      <c r="B1969" s="1" t="n">
        <v>44566.59707175926</v>
      </c>
      <c r="C1969" s="1" t="n">
        <v>45931</v>
      </c>
      <c r="D1969" t="inlineStr">
        <is>
          <t>VÄSTERBOTTENS LÄN</t>
        </is>
      </c>
      <c r="E1969" t="inlineStr">
        <is>
          <t>SKELLEFTEÅ</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18584-2022</t>
        </is>
      </c>
      <c r="B1970" s="1" t="n">
        <v>44687</v>
      </c>
      <c r="C1970" s="1" t="n">
        <v>45931</v>
      </c>
      <c r="D1970" t="inlineStr">
        <is>
          <t>VÄSTERBOTTENS LÄN</t>
        </is>
      </c>
      <c r="E1970" t="inlineStr">
        <is>
          <t>SKELLEFTEÅ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36903-2025</t>
        </is>
      </c>
      <c r="B1971" s="1" t="n">
        <v>45874.48923611111</v>
      </c>
      <c r="C1971" s="1" t="n">
        <v>45931</v>
      </c>
      <c r="D1971" t="inlineStr">
        <is>
          <t>VÄSTERBOTTENS LÄN</t>
        </is>
      </c>
      <c r="E1971" t="inlineStr">
        <is>
          <t>SKELLEFTEÅ</t>
        </is>
      </c>
      <c r="F1971" t="inlineStr">
        <is>
          <t>Sveaskog</t>
        </is>
      </c>
      <c r="G1971" t="n">
        <v>20.5</v>
      </c>
      <c r="H1971" t="n">
        <v>0</v>
      </c>
      <c r="I1971" t="n">
        <v>0</v>
      </c>
      <c r="J1971" t="n">
        <v>0</v>
      </c>
      <c r="K1971" t="n">
        <v>0</v>
      </c>
      <c r="L1971" t="n">
        <v>0</v>
      </c>
      <c r="M1971" t="n">
        <v>0</v>
      </c>
      <c r="N1971" t="n">
        <v>0</v>
      </c>
      <c r="O1971" t="n">
        <v>0</v>
      </c>
      <c r="P1971" t="n">
        <v>0</v>
      </c>
      <c r="Q1971" t="n">
        <v>0</v>
      </c>
      <c r="R1971" s="2" t="inlineStr"/>
    </row>
    <row r="1972" ht="15" customHeight="1">
      <c r="A1972" t="inlineStr">
        <is>
          <t>A 36888-2025</t>
        </is>
      </c>
      <c r="B1972" s="1" t="n">
        <v>45874.44873842593</v>
      </c>
      <c r="C1972" s="1" t="n">
        <v>45931</v>
      </c>
      <c r="D1972" t="inlineStr">
        <is>
          <t>VÄSTERBOTTENS LÄN</t>
        </is>
      </c>
      <c r="E1972" t="inlineStr">
        <is>
          <t>SKELLEFTEÅ</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36762-2025</t>
        </is>
      </c>
      <c r="B1973" s="1" t="n">
        <v>45873.57332175926</v>
      </c>
      <c r="C1973" s="1" t="n">
        <v>45931</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30986-2024</t>
        </is>
      </c>
      <c r="B1974" s="1" t="n">
        <v>45499.52881944444</v>
      </c>
      <c r="C1974" s="1" t="n">
        <v>45931</v>
      </c>
      <c r="D1974" t="inlineStr">
        <is>
          <t>VÄSTERBOTTENS LÄN</t>
        </is>
      </c>
      <c r="E1974" t="inlineStr">
        <is>
          <t>SKELLEFTEÅ</t>
        </is>
      </c>
      <c r="F1974" t="inlineStr">
        <is>
          <t>Sveaskog</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44408-2025</t>
        </is>
      </c>
      <c r="B1975" s="1" t="n">
        <v>45916.53047453704</v>
      </c>
      <c r="C1975" s="1" t="n">
        <v>45931</v>
      </c>
      <c r="D1975" t="inlineStr">
        <is>
          <t>VÄSTERBOTTENS LÄN</t>
        </is>
      </c>
      <c r="E1975" t="inlineStr">
        <is>
          <t>SKELLEFTEÅ</t>
        </is>
      </c>
      <c r="F1975" t="inlineStr">
        <is>
          <t>Holmen skog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36925-2025</t>
        </is>
      </c>
      <c r="B1976" s="1" t="n">
        <v>45874.5504050926</v>
      </c>
      <c r="C1976" s="1" t="n">
        <v>45931</v>
      </c>
      <c r="D1976" t="inlineStr">
        <is>
          <t>VÄSTERBOTTENS LÄN</t>
        </is>
      </c>
      <c r="E1976" t="inlineStr">
        <is>
          <t>SKELLEFTEÅ</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25634-2023</t>
        </is>
      </c>
      <c r="B1977" s="1" t="n">
        <v>45084</v>
      </c>
      <c r="C1977" s="1" t="n">
        <v>45931</v>
      </c>
      <c r="D1977" t="inlineStr">
        <is>
          <t>VÄSTERBOTTENS LÄN</t>
        </is>
      </c>
      <c r="E1977" t="inlineStr">
        <is>
          <t>SKELLEFTEÅ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44082-2025</t>
        </is>
      </c>
      <c r="B1978" s="1" t="n">
        <v>45915.55302083334</v>
      </c>
      <c r="C1978" s="1" t="n">
        <v>45931</v>
      </c>
      <c r="D1978" t="inlineStr">
        <is>
          <t>VÄSTERBOTTENS LÄN</t>
        </is>
      </c>
      <c r="E1978" t="inlineStr">
        <is>
          <t>SKELLEFTEÅ</t>
        </is>
      </c>
      <c r="F1978" t="inlineStr">
        <is>
          <t>Sveaskog</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706-2023</t>
        </is>
      </c>
      <c r="B1979" s="1" t="n">
        <v>44930</v>
      </c>
      <c r="C1979" s="1" t="n">
        <v>45931</v>
      </c>
      <c r="D1979" t="inlineStr">
        <is>
          <t>VÄSTERBOTTENS LÄN</t>
        </is>
      </c>
      <c r="E1979" t="inlineStr">
        <is>
          <t>SKELLEFTEÅ</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31395-2021</t>
        </is>
      </c>
      <c r="B1980" s="1" t="n">
        <v>44369.31599537037</v>
      </c>
      <c r="C1980" s="1" t="n">
        <v>45931</v>
      </c>
      <c r="D1980" t="inlineStr">
        <is>
          <t>VÄSTERBOTTENS LÄN</t>
        </is>
      </c>
      <c r="E1980" t="inlineStr">
        <is>
          <t>SKELLEFTEÅ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36848-2025</t>
        </is>
      </c>
      <c r="B1981" s="1" t="n">
        <v>45874.38707175926</v>
      </c>
      <c r="C1981" s="1" t="n">
        <v>45931</v>
      </c>
      <c r="D1981" t="inlineStr">
        <is>
          <t>VÄSTERBOTTENS LÄN</t>
        </is>
      </c>
      <c r="E1981" t="inlineStr">
        <is>
          <t>SKELLEFTEÅ</t>
        </is>
      </c>
      <c r="F1981" t="inlineStr">
        <is>
          <t>Holmen skog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11994-2025</t>
        </is>
      </c>
      <c r="B1982" s="1" t="n">
        <v>45728</v>
      </c>
      <c r="C1982" s="1" t="n">
        <v>45931</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713-2025</t>
        </is>
      </c>
      <c r="B1983" s="1" t="n">
        <v>45664</v>
      </c>
      <c r="C1983" s="1" t="n">
        <v>45931</v>
      </c>
      <c r="D1983" t="inlineStr">
        <is>
          <t>VÄSTERBOTTENS LÄN</t>
        </is>
      </c>
      <c r="E1983" t="inlineStr">
        <is>
          <t>SKELLEFTEÅ</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3209-2025</t>
        </is>
      </c>
      <c r="B1984" s="1" t="n">
        <v>45679.45376157408</v>
      </c>
      <c r="C1984" s="1" t="n">
        <v>45931</v>
      </c>
      <c r="D1984" t="inlineStr">
        <is>
          <t>VÄSTERBOTTENS LÄN</t>
        </is>
      </c>
      <c r="E1984" t="inlineStr">
        <is>
          <t>SKELLEFTEÅ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44353-2025</t>
        </is>
      </c>
      <c r="B1985" s="1" t="n">
        <v>45916.44612268519</v>
      </c>
      <c r="C1985" s="1" t="n">
        <v>45931</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41574-2025</t>
        </is>
      </c>
      <c r="B1986" s="1" t="n">
        <v>45901</v>
      </c>
      <c r="C1986" s="1" t="n">
        <v>45931</v>
      </c>
      <c r="D1986" t="inlineStr">
        <is>
          <t>VÄSTERBOTTENS LÄN</t>
        </is>
      </c>
      <c r="E1986" t="inlineStr">
        <is>
          <t>SKELLEFTEÅ</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9432-2025</t>
        </is>
      </c>
      <c r="B1987" s="1" t="n">
        <v>45715.40805555556</v>
      </c>
      <c r="C1987" s="1" t="n">
        <v>45931</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1667-2025</t>
        </is>
      </c>
      <c r="B1988" s="1" t="n">
        <v>45670</v>
      </c>
      <c r="C1988" s="1" t="n">
        <v>45931</v>
      </c>
      <c r="D1988" t="inlineStr">
        <is>
          <t>VÄSTERBOTTENS LÄN</t>
        </is>
      </c>
      <c r="E1988" t="inlineStr">
        <is>
          <t>SKELLEFTEÅ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24577-2022</t>
        </is>
      </c>
      <c r="B1989" s="1" t="n">
        <v>44727</v>
      </c>
      <c r="C1989" s="1" t="n">
        <v>45931</v>
      </c>
      <c r="D1989" t="inlineStr">
        <is>
          <t>VÄSTERBOTTENS LÄN</t>
        </is>
      </c>
      <c r="E1989" t="inlineStr">
        <is>
          <t>SKELLEFTEÅ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36761-2025</t>
        </is>
      </c>
      <c r="B1990" s="1" t="n">
        <v>45873.57328703703</v>
      </c>
      <c r="C1990" s="1" t="n">
        <v>45931</v>
      </c>
      <c r="D1990" t="inlineStr">
        <is>
          <t>VÄSTERBOTTENS LÄN</t>
        </is>
      </c>
      <c r="E1990" t="inlineStr">
        <is>
          <t>SKELLEFTEÅ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17444-2023</t>
        </is>
      </c>
      <c r="B1991" s="1" t="n">
        <v>45035.94489583333</v>
      </c>
      <c r="C1991" s="1" t="n">
        <v>45931</v>
      </c>
      <c r="D1991" t="inlineStr">
        <is>
          <t>VÄSTERBOTTENS LÄN</t>
        </is>
      </c>
      <c r="E1991" t="inlineStr">
        <is>
          <t>SKELLEFTEÅ</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55907-2024</t>
        </is>
      </c>
      <c r="B1992" s="1" t="n">
        <v>45623.58414351852</v>
      </c>
      <c r="C1992" s="1" t="n">
        <v>45931</v>
      </c>
      <c r="D1992" t="inlineStr">
        <is>
          <t>VÄSTERBOTTENS LÄN</t>
        </is>
      </c>
      <c r="E1992" t="inlineStr">
        <is>
          <t>SKELLEFTEÅ</t>
        </is>
      </c>
      <c r="F1992" t="inlineStr">
        <is>
          <t>Holmen skog AB</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41409-2022</t>
        </is>
      </c>
      <c r="B1993" s="1" t="n">
        <v>44826.63581018519</v>
      </c>
      <c r="C1993" s="1" t="n">
        <v>45931</v>
      </c>
      <c r="D1993" t="inlineStr">
        <is>
          <t>VÄSTERBOTTENS LÄN</t>
        </is>
      </c>
      <c r="E1993" t="inlineStr">
        <is>
          <t>SKELLEFTEÅ</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9841-2025</t>
        </is>
      </c>
      <c r="B1994" s="1" t="n">
        <v>45716.60512731481</v>
      </c>
      <c r="C1994" s="1" t="n">
        <v>45931</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29649-2021</t>
        </is>
      </c>
      <c r="B1995" s="1" t="n">
        <v>44362</v>
      </c>
      <c r="C1995" s="1" t="n">
        <v>45931</v>
      </c>
      <c r="D1995" t="inlineStr">
        <is>
          <t>VÄSTERBOTTENS LÄN</t>
        </is>
      </c>
      <c r="E1995" t="inlineStr">
        <is>
          <t>SKELLEFTEÅ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52453-2021</t>
        </is>
      </c>
      <c r="B1996" s="1" t="n">
        <v>44463</v>
      </c>
      <c r="C1996" s="1" t="n">
        <v>45931</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2439-2023</t>
        </is>
      </c>
      <c r="B1997" s="1" t="n">
        <v>44942</v>
      </c>
      <c r="C1997" s="1" t="n">
        <v>45931</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10841-2025</t>
        </is>
      </c>
      <c r="B1998" s="1" t="n">
        <v>45722.57315972223</v>
      </c>
      <c r="C1998" s="1" t="n">
        <v>45931</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44009-2025</t>
        </is>
      </c>
      <c r="B1999" s="1" t="n">
        <v>45915.46326388889</v>
      </c>
      <c r="C1999" s="1" t="n">
        <v>45931</v>
      </c>
      <c r="D1999" t="inlineStr">
        <is>
          <t>VÄSTERBOTTENS LÄN</t>
        </is>
      </c>
      <c r="E1999" t="inlineStr">
        <is>
          <t>SKELLEFTEÅ</t>
        </is>
      </c>
      <c r="F1999" t="inlineStr">
        <is>
          <t>Holmen skog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4645-2025</t>
        </is>
      </c>
      <c r="B2000" s="1" t="n">
        <v>45687</v>
      </c>
      <c r="C2000" s="1" t="n">
        <v>45931</v>
      </c>
      <c r="D2000" t="inlineStr">
        <is>
          <t>VÄSTERBOTTENS LÄN</t>
        </is>
      </c>
      <c r="E2000" t="inlineStr">
        <is>
          <t>SKELLEFTEÅ</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44113-2025</t>
        </is>
      </c>
      <c r="B2001" s="1" t="n">
        <v>45915.57501157407</v>
      </c>
      <c r="C2001" s="1" t="n">
        <v>45931</v>
      </c>
      <c r="D2001" t="inlineStr">
        <is>
          <t>VÄSTERBOTTENS LÄN</t>
        </is>
      </c>
      <c r="E2001" t="inlineStr">
        <is>
          <t>SKELLEFTEÅ</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52548-2022</t>
        </is>
      </c>
      <c r="B2002" s="1" t="n">
        <v>44874</v>
      </c>
      <c r="C2002" s="1" t="n">
        <v>45931</v>
      </c>
      <c r="D2002" t="inlineStr">
        <is>
          <t>VÄSTERBOTTENS LÄN</t>
        </is>
      </c>
      <c r="E2002" t="inlineStr">
        <is>
          <t>SKELLEFTEÅ</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36954-2025</t>
        </is>
      </c>
      <c r="B2003" s="1" t="n">
        <v>45874.61121527778</v>
      </c>
      <c r="C2003" s="1" t="n">
        <v>45931</v>
      </c>
      <c r="D2003" t="inlineStr">
        <is>
          <t>VÄSTERBOTTENS LÄN</t>
        </is>
      </c>
      <c r="E2003" t="inlineStr">
        <is>
          <t>SKELLEFTEÅ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36763-2025</t>
        </is>
      </c>
      <c r="B2004" s="1" t="n">
        <v>45873.5733912037</v>
      </c>
      <c r="C2004" s="1" t="n">
        <v>45931</v>
      </c>
      <c r="D2004" t="inlineStr">
        <is>
          <t>VÄSTERBOTTENS LÄN</t>
        </is>
      </c>
      <c r="E2004" t="inlineStr">
        <is>
          <t>SKELLEFTEÅ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16201-2025</t>
        </is>
      </c>
      <c r="B2005" s="1" t="n">
        <v>45750</v>
      </c>
      <c r="C2005" s="1" t="n">
        <v>45931</v>
      </c>
      <c r="D2005" t="inlineStr">
        <is>
          <t>VÄSTERBOTTENS LÄN</t>
        </is>
      </c>
      <c r="E2005" t="inlineStr">
        <is>
          <t>SKELLEFTEÅ</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39590-2021</t>
        </is>
      </c>
      <c r="B2006" s="1" t="n">
        <v>44413</v>
      </c>
      <c r="C2006" s="1" t="n">
        <v>45931</v>
      </c>
      <c r="D2006" t="inlineStr">
        <is>
          <t>VÄSTERBOTTENS LÄN</t>
        </is>
      </c>
      <c r="E2006" t="inlineStr">
        <is>
          <t>SKELLEFTEÅ</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1419-2023</t>
        </is>
      </c>
      <c r="B2007" s="1" t="n">
        <v>44936</v>
      </c>
      <c r="C2007" s="1" t="n">
        <v>45931</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59180-2021</t>
        </is>
      </c>
      <c r="B2008" s="1" t="n">
        <v>44489</v>
      </c>
      <c r="C2008" s="1" t="n">
        <v>45931</v>
      </c>
      <c r="D2008" t="inlineStr">
        <is>
          <t>VÄSTERBOTTENS LÄN</t>
        </is>
      </c>
      <c r="E2008" t="inlineStr">
        <is>
          <t>SKELLEFTEÅ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18291-2025</t>
        </is>
      </c>
      <c r="B2009" s="1" t="n">
        <v>45762.41027777778</v>
      </c>
      <c r="C2009" s="1" t="n">
        <v>45931</v>
      </c>
      <c r="D2009" t="inlineStr">
        <is>
          <t>VÄSTERBOTTENS LÄN</t>
        </is>
      </c>
      <c r="E2009" t="inlineStr">
        <is>
          <t>SKELLEFTEÅ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44070-2025</t>
        </is>
      </c>
      <c r="B2010" s="1" t="n">
        <v>45915.54528935185</v>
      </c>
      <c r="C2010" s="1" t="n">
        <v>45931</v>
      </c>
      <c r="D2010" t="inlineStr">
        <is>
          <t>VÄSTERBOTTENS LÄN</t>
        </is>
      </c>
      <c r="E2010" t="inlineStr">
        <is>
          <t>SKELLEFTEÅ</t>
        </is>
      </c>
      <c r="F2010" t="inlineStr">
        <is>
          <t>Sveaskog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43948-2025</t>
        </is>
      </c>
      <c r="B2011" s="1" t="n">
        <v>45915.37621527778</v>
      </c>
      <c r="C2011" s="1" t="n">
        <v>45931</v>
      </c>
      <c r="D2011" t="inlineStr">
        <is>
          <t>VÄSTERBOTTENS LÄN</t>
        </is>
      </c>
      <c r="E2011" t="inlineStr">
        <is>
          <t>SKELLEFTEÅ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36962-2025</t>
        </is>
      </c>
      <c r="B2012" s="1" t="n">
        <v>45874.63052083334</v>
      </c>
      <c r="C2012" s="1" t="n">
        <v>45931</v>
      </c>
      <c r="D2012" t="inlineStr">
        <is>
          <t>VÄSTERBOTTENS LÄN</t>
        </is>
      </c>
      <c r="E2012" t="inlineStr">
        <is>
          <t>SKELLEFTEÅ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72692-2021</t>
        </is>
      </c>
      <c r="B2013" s="1" t="n">
        <v>44545</v>
      </c>
      <c r="C2013" s="1" t="n">
        <v>45931</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41242-2024</t>
        </is>
      </c>
      <c r="B2014" s="1" t="n">
        <v>45559.57296296296</v>
      </c>
      <c r="C2014" s="1" t="n">
        <v>45931</v>
      </c>
      <c r="D2014" t="inlineStr">
        <is>
          <t>VÄSTERBOTTENS LÄN</t>
        </is>
      </c>
      <c r="E2014" t="inlineStr">
        <is>
          <t>SKELLEFTEÅ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44061-2025</t>
        </is>
      </c>
      <c r="B2015" s="1" t="n">
        <v>45915.53731481481</v>
      </c>
      <c r="C2015" s="1" t="n">
        <v>45931</v>
      </c>
      <c r="D2015" t="inlineStr">
        <is>
          <t>VÄSTERBOTTENS LÄN</t>
        </is>
      </c>
      <c r="E2015" t="inlineStr">
        <is>
          <t>SKELLEFTEÅ</t>
        </is>
      </c>
      <c r="F2015" t="inlineStr">
        <is>
          <t>Sveaskog</t>
        </is>
      </c>
      <c r="G2015" t="n">
        <v>11.8</v>
      </c>
      <c r="H2015" t="n">
        <v>0</v>
      </c>
      <c r="I2015" t="n">
        <v>0</v>
      </c>
      <c r="J2015" t="n">
        <v>0</v>
      </c>
      <c r="K2015" t="n">
        <v>0</v>
      </c>
      <c r="L2015" t="n">
        <v>0</v>
      </c>
      <c r="M2015" t="n">
        <v>0</v>
      </c>
      <c r="N2015" t="n">
        <v>0</v>
      </c>
      <c r="O2015" t="n">
        <v>0</v>
      </c>
      <c r="P2015" t="n">
        <v>0</v>
      </c>
      <c r="Q2015" t="n">
        <v>0</v>
      </c>
      <c r="R2015" s="2" t="inlineStr"/>
    </row>
    <row r="2016" ht="15" customHeight="1">
      <c r="A2016" t="inlineStr">
        <is>
          <t>A 26645-2023</t>
        </is>
      </c>
      <c r="B2016" s="1" t="n">
        <v>45092.92415509259</v>
      </c>
      <c r="C2016" s="1" t="n">
        <v>45931</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44106-2025</t>
        </is>
      </c>
      <c r="B2017" s="1" t="n">
        <v>45915.57119212963</v>
      </c>
      <c r="C2017" s="1" t="n">
        <v>45931</v>
      </c>
      <c r="D2017" t="inlineStr">
        <is>
          <t>VÄSTERBOTTENS LÄN</t>
        </is>
      </c>
      <c r="E2017" t="inlineStr">
        <is>
          <t>SKELLEFTEÅ</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44120-2025</t>
        </is>
      </c>
      <c r="B2018" s="1" t="n">
        <v>45915.57791666667</v>
      </c>
      <c r="C2018" s="1" t="n">
        <v>45931</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51478-2023</t>
        </is>
      </c>
      <c r="B2019" s="1" t="n">
        <v>45221.89737268518</v>
      </c>
      <c r="C2019" s="1" t="n">
        <v>45931</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44182-2025</t>
        </is>
      </c>
      <c r="B2020" s="1" t="n">
        <v>45915.60943287037</v>
      </c>
      <c r="C2020" s="1" t="n">
        <v>45931</v>
      </c>
      <c r="D2020" t="inlineStr">
        <is>
          <t>VÄSTERBOTTENS LÄN</t>
        </is>
      </c>
      <c r="E2020" t="inlineStr">
        <is>
          <t>SKELLEFTEÅ</t>
        </is>
      </c>
      <c r="F2020" t="inlineStr">
        <is>
          <t>Sveaskog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36640-2025</t>
        </is>
      </c>
      <c r="B2021" s="1" t="n">
        <v>45871.05299768518</v>
      </c>
      <c r="C2021" s="1" t="n">
        <v>45931</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53505-2024</t>
        </is>
      </c>
      <c r="B2022" s="1" t="n">
        <v>45614.59049768518</v>
      </c>
      <c r="C2022" s="1" t="n">
        <v>45931</v>
      </c>
      <c r="D2022" t="inlineStr">
        <is>
          <t>VÄSTERBOTTENS LÄN</t>
        </is>
      </c>
      <c r="E2022" t="inlineStr">
        <is>
          <t>SKELLEFTEÅ</t>
        </is>
      </c>
      <c r="F2022" t="inlineStr">
        <is>
          <t>Holmen skog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5470-2023</t>
        </is>
      </c>
      <c r="B2023" s="1" t="n">
        <v>44960</v>
      </c>
      <c r="C2023" s="1" t="n">
        <v>45931</v>
      </c>
      <c r="D2023" t="inlineStr">
        <is>
          <t>VÄSTERBOTTENS LÄN</t>
        </is>
      </c>
      <c r="E2023" t="inlineStr">
        <is>
          <t>SKELLEFTEÅ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61937-2020</t>
        </is>
      </c>
      <c r="B2024" s="1" t="n">
        <v>44155</v>
      </c>
      <c r="C2024" s="1" t="n">
        <v>45931</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44063-2025</t>
        </is>
      </c>
      <c r="B2025" s="1" t="n">
        <v>45915.53975694445</v>
      </c>
      <c r="C2025" s="1" t="n">
        <v>45931</v>
      </c>
      <c r="D2025" t="inlineStr">
        <is>
          <t>VÄSTERBOTTENS LÄN</t>
        </is>
      </c>
      <c r="E2025" t="inlineStr">
        <is>
          <t>SKELLEFTEÅ</t>
        </is>
      </c>
      <c r="F2025" t="inlineStr">
        <is>
          <t>Sveaskog</t>
        </is>
      </c>
      <c r="G2025" t="n">
        <v>16.1</v>
      </c>
      <c r="H2025" t="n">
        <v>0</v>
      </c>
      <c r="I2025" t="n">
        <v>0</v>
      </c>
      <c r="J2025" t="n">
        <v>0</v>
      </c>
      <c r="K2025" t="n">
        <v>0</v>
      </c>
      <c r="L2025" t="n">
        <v>0</v>
      </c>
      <c r="M2025" t="n">
        <v>0</v>
      </c>
      <c r="N2025" t="n">
        <v>0</v>
      </c>
      <c r="O2025" t="n">
        <v>0</v>
      </c>
      <c r="P2025" t="n">
        <v>0</v>
      </c>
      <c r="Q2025" t="n">
        <v>0</v>
      </c>
      <c r="R2025" s="2" t="inlineStr"/>
    </row>
    <row r="2026" ht="15" customHeight="1">
      <c r="A2026" t="inlineStr">
        <is>
          <t>A 44101-2025</t>
        </is>
      </c>
      <c r="B2026" s="1" t="n">
        <v>45915.56788194444</v>
      </c>
      <c r="C2026" s="1" t="n">
        <v>45931</v>
      </c>
      <c r="D2026" t="inlineStr">
        <is>
          <t>VÄSTERBOTTENS LÄN</t>
        </is>
      </c>
      <c r="E2026" t="inlineStr">
        <is>
          <t>SKELLEFTEÅ</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33792-2024</t>
        </is>
      </c>
      <c r="B2027" s="1" t="n">
        <v>45520</v>
      </c>
      <c r="C2027" s="1" t="n">
        <v>45931</v>
      </c>
      <c r="D2027" t="inlineStr">
        <is>
          <t>VÄSTERBOTTENS LÄN</t>
        </is>
      </c>
      <c r="E2027" t="inlineStr">
        <is>
          <t>SKELLEFTEÅ</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48620-2024</t>
        </is>
      </c>
      <c r="B2028" s="1" t="n">
        <v>45593</v>
      </c>
      <c r="C2028" s="1" t="n">
        <v>45931</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38935-2024</t>
        </is>
      </c>
      <c r="B2029" s="1" t="n">
        <v>45548.3350462963</v>
      </c>
      <c r="C2029" s="1" t="n">
        <v>45931</v>
      </c>
      <c r="D2029" t="inlineStr">
        <is>
          <t>VÄSTERBOTTENS LÄN</t>
        </is>
      </c>
      <c r="E2029" t="inlineStr">
        <is>
          <t>SKELLEFTEÅ</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61348-2022</t>
        </is>
      </c>
      <c r="B2030" s="1" t="n">
        <v>44915.69402777778</v>
      </c>
      <c r="C2030" s="1" t="n">
        <v>45931</v>
      </c>
      <c r="D2030" t="inlineStr">
        <is>
          <t>VÄSTERBOTTENS LÄN</t>
        </is>
      </c>
      <c r="E2030" t="inlineStr">
        <is>
          <t>SKELLEFTEÅ</t>
        </is>
      </c>
      <c r="F2030" t="inlineStr">
        <is>
          <t>Sveaskog</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2354-2025</t>
        </is>
      </c>
      <c r="B2031" s="1" t="n">
        <v>45673</v>
      </c>
      <c r="C2031" s="1" t="n">
        <v>45931</v>
      </c>
      <c r="D2031" t="inlineStr">
        <is>
          <t>VÄSTERBOTTENS LÄN</t>
        </is>
      </c>
      <c r="E2031" t="inlineStr">
        <is>
          <t>SKELLEFTEÅ</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8801-2025</t>
        </is>
      </c>
      <c r="B2032" s="1" t="n">
        <v>45712.65678240741</v>
      </c>
      <c r="C2032" s="1" t="n">
        <v>45931</v>
      </c>
      <c r="D2032" t="inlineStr">
        <is>
          <t>VÄSTERBOTTENS LÄN</t>
        </is>
      </c>
      <c r="E2032" t="inlineStr">
        <is>
          <t>SKELLEFTEÅ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8821-2025</t>
        </is>
      </c>
      <c r="B2033" s="1" t="n">
        <v>45712.77956018518</v>
      </c>
      <c r="C2033" s="1" t="n">
        <v>45931</v>
      </c>
      <c r="D2033" t="inlineStr">
        <is>
          <t>VÄSTERBOTTENS LÄN</t>
        </is>
      </c>
      <c r="E2033" t="inlineStr">
        <is>
          <t>SKELLEFTEÅ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35189-2022</t>
        </is>
      </c>
      <c r="B2034" s="1" t="n">
        <v>44797</v>
      </c>
      <c r="C2034" s="1" t="n">
        <v>45931</v>
      </c>
      <c r="D2034" t="inlineStr">
        <is>
          <t>VÄSTERBOTTENS LÄN</t>
        </is>
      </c>
      <c r="E2034" t="inlineStr">
        <is>
          <t>SKELLEFTEÅ</t>
        </is>
      </c>
      <c r="F2034" t="inlineStr">
        <is>
          <t>Holmen skog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44823-2025</t>
        </is>
      </c>
      <c r="B2035" s="1" t="n">
        <v>45918.38574074074</v>
      </c>
      <c r="C2035" s="1" t="n">
        <v>45931</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44908-2025</t>
        </is>
      </c>
      <c r="B2036" s="1" t="n">
        <v>45918.53197916667</v>
      </c>
      <c r="C2036" s="1" t="n">
        <v>45931</v>
      </c>
      <c r="D2036" t="inlineStr">
        <is>
          <t>VÄSTERBOTTENS LÄN</t>
        </is>
      </c>
      <c r="E2036" t="inlineStr">
        <is>
          <t>SKELLEFTEÅ</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44911-2025</t>
        </is>
      </c>
      <c r="B2037" s="1" t="n">
        <v>45918.53216435185</v>
      </c>
      <c r="C2037" s="1" t="n">
        <v>45931</v>
      </c>
      <c r="D2037" t="inlineStr">
        <is>
          <t>VÄSTERBOTTENS LÄN</t>
        </is>
      </c>
      <c r="E2037" t="inlineStr">
        <is>
          <t>SKELLEFTEÅ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44922-2025</t>
        </is>
      </c>
      <c r="B2038" s="1" t="n">
        <v>45918.55274305555</v>
      </c>
      <c r="C2038" s="1" t="n">
        <v>45931</v>
      </c>
      <c r="D2038" t="inlineStr">
        <is>
          <t>VÄSTERBOTTENS LÄN</t>
        </is>
      </c>
      <c r="E2038" t="inlineStr">
        <is>
          <t>SKELLEFTEÅ</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44826-2025</t>
        </is>
      </c>
      <c r="B2039" s="1" t="n">
        <v>45918.38855324074</v>
      </c>
      <c r="C2039" s="1" t="n">
        <v>45931</v>
      </c>
      <c r="D2039" t="inlineStr">
        <is>
          <t>VÄSTERBOTTENS LÄN</t>
        </is>
      </c>
      <c r="E2039" t="inlineStr">
        <is>
          <t>SKELLEFTEÅ</t>
        </is>
      </c>
      <c r="F2039" t="inlineStr">
        <is>
          <t>Holmen skog AB</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44602-2025</t>
        </is>
      </c>
      <c r="B2040" s="1" t="n">
        <v>45917.43920138889</v>
      </c>
      <c r="C2040" s="1" t="n">
        <v>45931</v>
      </c>
      <c r="D2040" t="inlineStr">
        <is>
          <t>VÄSTERBOTTENS LÄN</t>
        </is>
      </c>
      <c r="E2040" t="inlineStr">
        <is>
          <t>SKELLEFTEÅ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61132-2022</t>
        </is>
      </c>
      <c r="B2041" s="1" t="n">
        <v>44915.44849537037</v>
      </c>
      <c r="C2041" s="1" t="n">
        <v>45931</v>
      </c>
      <c r="D2041" t="inlineStr">
        <is>
          <t>VÄSTERBOTTENS LÄN</t>
        </is>
      </c>
      <c r="E2041" t="inlineStr">
        <is>
          <t>SKELLEFTEÅ</t>
        </is>
      </c>
      <c r="F2041" t="inlineStr">
        <is>
          <t>Sveaskog</t>
        </is>
      </c>
      <c r="G2041" t="n">
        <v>14.5</v>
      </c>
      <c r="H2041" t="n">
        <v>0</v>
      </c>
      <c r="I2041" t="n">
        <v>0</v>
      </c>
      <c r="J2041" t="n">
        <v>0</v>
      </c>
      <c r="K2041" t="n">
        <v>0</v>
      </c>
      <c r="L2041" t="n">
        <v>0</v>
      </c>
      <c r="M2041" t="n">
        <v>0</v>
      </c>
      <c r="N2041" t="n">
        <v>0</v>
      </c>
      <c r="O2041" t="n">
        <v>0</v>
      </c>
      <c r="P2041" t="n">
        <v>0</v>
      </c>
      <c r="Q2041" t="n">
        <v>0</v>
      </c>
      <c r="R2041" s="2" t="inlineStr"/>
    </row>
    <row r="2042" ht="15" customHeight="1">
      <c r="A2042" t="inlineStr">
        <is>
          <t>A 37318-2025</t>
        </is>
      </c>
      <c r="B2042" s="1" t="n">
        <v>45876.61952546296</v>
      </c>
      <c r="C2042" s="1" t="n">
        <v>45931</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37322-2025</t>
        </is>
      </c>
      <c r="B2043" s="1" t="n">
        <v>45876.62466435185</v>
      </c>
      <c r="C2043" s="1" t="n">
        <v>45931</v>
      </c>
      <c r="D2043" t="inlineStr">
        <is>
          <t>VÄSTERBOTTENS LÄN</t>
        </is>
      </c>
      <c r="E2043" t="inlineStr">
        <is>
          <t>SKELLEFTEÅ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44920-2025</t>
        </is>
      </c>
      <c r="B2044" s="1" t="n">
        <v>45918.55259259259</v>
      </c>
      <c r="C2044" s="1" t="n">
        <v>45931</v>
      </c>
      <c r="D2044" t="inlineStr">
        <is>
          <t>VÄSTERBOTTENS LÄN</t>
        </is>
      </c>
      <c r="E2044" t="inlineStr">
        <is>
          <t>SKELLEFTEÅ</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62319-2022</t>
        </is>
      </c>
      <c r="B2045" s="1" t="n">
        <v>44923</v>
      </c>
      <c r="C2045" s="1" t="n">
        <v>45931</v>
      </c>
      <c r="D2045" t="inlineStr">
        <is>
          <t>VÄSTERBOTTENS LÄN</t>
        </is>
      </c>
      <c r="E2045" t="inlineStr">
        <is>
          <t>SKELLEFTEÅ</t>
        </is>
      </c>
      <c r="F2045" t="inlineStr">
        <is>
          <t>Sveaskog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11963-2023</t>
        </is>
      </c>
      <c r="B2046" s="1" t="n">
        <v>44994</v>
      </c>
      <c r="C2046" s="1" t="n">
        <v>45931</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36149-2025</t>
        </is>
      </c>
      <c r="B2047" s="1" t="n">
        <v>45866</v>
      </c>
      <c r="C2047" s="1" t="n">
        <v>45931</v>
      </c>
      <c r="D2047" t="inlineStr">
        <is>
          <t>VÄSTERBOTTENS LÄN</t>
        </is>
      </c>
      <c r="E2047" t="inlineStr">
        <is>
          <t>SKELLEFTEÅ</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44726-2025</t>
        </is>
      </c>
      <c r="B2048" s="1" t="n">
        <v>45917.64392361111</v>
      </c>
      <c r="C2048" s="1" t="n">
        <v>45931</v>
      </c>
      <c r="D2048" t="inlineStr">
        <is>
          <t>VÄSTERBOTTENS LÄN</t>
        </is>
      </c>
      <c r="E2048" t="inlineStr">
        <is>
          <t>SKELLEFTEÅ</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44729-2025</t>
        </is>
      </c>
      <c r="B2049" s="1" t="n">
        <v>45917.64934027778</v>
      </c>
      <c r="C2049" s="1" t="n">
        <v>45931</v>
      </c>
      <c r="D2049" t="inlineStr">
        <is>
          <t>VÄSTERBOTTENS LÄN</t>
        </is>
      </c>
      <c r="E2049" t="inlineStr">
        <is>
          <t>SKELLEFTEÅ</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13478-2025</t>
        </is>
      </c>
      <c r="B2050" s="1" t="n">
        <v>45736.41761574074</v>
      </c>
      <c r="C2050" s="1" t="n">
        <v>45931</v>
      </c>
      <c r="D2050" t="inlineStr">
        <is>
          <t>VÄSTERBOTTENS LÄN</t>
        </is>
      </c>
      <c r="E2050" t="inlineStr">
        <is>
          <t>SKELLEFTEÅ</t>
        </is>
      </c>
      <c r="G2050" t="n">
        <v>10.4</v>
      </c>
      <c r="H2050" t="n">
        <v>0</v>
      </c>
      <c r="I2050" t="n">
        <v>0</v>
      </c>
      <c r="J2050" t="n">
        <v>0</v>
      </c>
      <c r="K2050" t="n">
        <v>0</v>
      </c>
      <c r="L2050" t="n">
        <v>0</v>
      </c>
      <c r="M2050" t="n">
        <v>0</v>
      </c>
      <c r="N2050" t="n">
        <v>0</v>
      </c>
      <c r="O2050" t="n">
        <v>0</v>
      </c>
      <c r="P2050" t="n">
        <v>0</v>
      </c>
      <c r="Q2050" t="n">
        <v>0</v>
      </c>
      <c r="R2050" s="2" t="inlineStr"/>
    </row>
    <row r="2051" ht="15" customHeight="1">
      <c r="A2051" t="inlineStr">
        <is>
          <t>A 44637-2025</t>
        </is>
      </c>
      <c r="B2051" s="1" t="n">
        <v>45917.50743055555</v>
      </c>
      <c r="C2051" s="1" t="n">
        <v>45931</v>
      </c>
      <c r="D2051" t="inlineStr">
        <is>
          <t>VÄSTERBOTTENS LÄN</t>
        </is>
      </c>
      <c r="E2051" t="inlineStr">
        <is>
          <t>SKELLEFTEÅ</t>
        </is>
      </c>
      <c r="F2051" t="inlineStr">
        <is>
          <t>Holmen skog AB</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5783-2025</t>
        </is>
      </c>
      <c r="B2052" s="1" t="n">
        <v>45694.63975694445</v>
      </c>
      <c r="C2052" s="1" t="n">
        <v>45931</v>
      </c>
      <c r="D2052" t="inlineStr">
        <is>
          <t>VÄSTERBOTTENS LÄN</t>
        </is>
      </c>
      <c r="E2052" t="inlineStr">
        <is>
          <t>SKELLEFTEÅ</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5147-2025</t>
        </is>
      </c>
      <c r="B2053" s="1" t="n">
        <v>45691.58826388889</v>
      </c>
      <c r="C2053" s="1" t="n">
        <v>45931</v>
      </c>
      <c r="D2053" t="inlineStr">
        <is>
          <t>VÄSTERBOTTENS LÄN</t>
        </is>
      </c>
      <c r="E2053" t="inlineStr">
        <is>
          <t>SKELLEFTEÅ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40409-2025</t>
        </is>
      </c>
      <c r="B2054" s="1" t="n">
        <v>45895</v>
      </c>
      <c r="C2054" s="1" t="n">
        <v>45931</v>
      </c>
      <c r="D2054" t="inlineStr">
        <is>
          <t>VÄSTERBOTTENS LÄN</t>
        </is>
      </c>
      <c r="E2054" t="inlineStr">
        <is>
          <t>SKELLEFTEÅ</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14384-2025</t>
        </is>
      </c>
      <c r="B2055" s="1" t="n">
        <v>45741.41962962963</v>
      </c>
      <c r="C2055" s="1" t="n">
        <v>45931</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44714-2025</t>
        </is>
      </c>
      <c r="B2056" s="1" t="n">
        <v>45917.62650462963</v>
      </c>
      <c r="C2056" s="1" t="n">
        <v>45931</v>
      </c>
      <c r="D2056" t="inlineStr">
        <is>
          <t>VÄSTERBOTTENS LÄN</t>
        </is>
      </c>
      <c r="E2056" t="inlineStr">
        <is>
          <t>SKELLEFTEÅ</t>
        </is>
      </c>
      <c r="F2056" t="inlineStr">
        <is>
          <t>Sveaskog</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49171-2024</t>
        </is>
      </c>
      <c r="B2057" s="1" t="n">
        <v>45595.30685185185</v>
      </c>
      <c r="C2057" s="1" t="n">
        <v>45931</v>
      </c>
      <c r="D2057" t="inlineStr">
        <is>
          <t>VÄSTERBOTTENS LÄN</t>
        </is>
      </c>
      <c r="E2057" t="inlineStr">
        <is>
          <t>SKELLEFTEÅ</t>
        </is>
      </c>
      <c r="F2057" t="inlineStr">
        <is>
          <t>Sveaskog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54874-2024</t>
        </is>
      </c>
      <c r="B2058" s="1" t="n">
        <v>45618.60230324074</v>
      </c>
      <c r="C2058" s="1" t="n">
        <v>45931</v>
      </c>
      <c r="D2058" t="inlineStr">
        <is>
          <t>VÄSTERBOTTENS LÄN</t>
        </is>
      </c>
      <c r="E2058" t="inlineStr">
        <is>
          <t>SKELLEFTEÅ</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44739-2025</t>
        </is>
      </c>
      <c r="B2059" s="1" t="n">
        <v>45917.66063657407</v>
      </c>
      <c r="C2059" s="1" t="n">
        <v>45931</v>
      </c>
      <c r="D2059" t="inlineStr">
        <is>
          <t>VÄSTERBOTTENS LÄN</t>
        </is>
      </c>
      <c r="E2059" t="inlineStr">
        <is>
          <t>SKELLEFTEÅ</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44910-2025</t>
        </is>
      </c>
      <c r="B2060" s="1" t="n">
        <v>45918.5321412037</v>
      </c>
      <c r="C2060" s="1" t="n">
        <v>45931</v>
      </c>
      <c r="D2060" t="inlineStr">
        <is>
          <t>VÄSTERBOTTENS LÄN</t>
        </is>
      </c>
      <c r="E2060" t="inlineStr">
        <is>
          <t>SKELLEFTEÅ</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44921-2025</t>
        </is>
      </c>
      <c r="B2061" s="1" t="n">
        <v>45918.55270833334</v>
      </c>
      <c r="C2061" s="1" t="n">
        <v>45931</v>
      </c>
      <c r="D2061" t="inlineStr">
        <is>
          <t>VÄSTERBOTTENS LÄN</t>
        </is>
      </c>
      <c r="E2061" t="inlineStr">
        <is>
          <t>SKELLEFTEÅ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19422-2023</t>
        </is>
      </c>
      <c r="B2062" s="1" t="n">
        <v>45049</v>
      </c>
      <c r="C2062" s="1" t="n">
        <v>45931</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32420-2022</t>
        </is>
      </c>
      <c r="B2063" s="1" t="n">
        <v>44782</v>
      </c>
      <c r="C2063" s="1" t="n">
        <v>45931</v>
      </c>
      <c r="D2063" t="inlineStr">
        <is>
          <t>VÄSTERBOTTENS LÄN</t>
        </is>
      </c>
      <c r="E2063" t="inlineStr">
        <is>
          <t>SKELLEFTEÅ</t>
        </is>
      </c>
      <c r="F2063" t="inlineStr">
        <is>
          <t>Kommuner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32427-2022</t>
        </is>
      </c>
      <c r="B2064" s="1" t="n">
        <v>44782</v>
      </c>
      <c r="C2064" s="1" t="n">
        <v>45931</v>
      </c>
      <c r="D2064" t="inlineStr">
        <is>
          <t>VÄSTERBOTTENS LÄN</t>
        </is>
      </c>
      <c r="E2064" t="inlineStr">
        <is>
          <t>SKELLEFTEÅ</t>
        </is>
      </c>
      <c r="F2064" t="inlineStr">
        <is>
          <t>Kommuner</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44909-2025</t>
        </is>
      </c>
      <c r="B2065" s="1" t="n">
        <v>45918.53211805555</v>
      </c>
      <c r="C2065" s="1" t="n">
        <v>45931</v>
      </c>
      <c r="D2065" t="inlineStr">
        <is>
          <t>VÄSTERBOTTENS LÄN</t>
        </is>
      </c>
      <c r="E2065" t="inlineStr">
        <is>
          <t>SKELLEFTEÅ</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37313-2025</t>
        </is>
      </c>
      <c r="B2066" s="1" t="n">
        <v>45876.60814814815</v>
      </c>
      <c r="C2066" s="1" t="n">
        <v>45931</v>
      </c>
      <c r="D2066" t="inlineStr">
        <is>
          <t>VÄSTERBOTTENS LÄN</t>
        </is>
      </c>
      <c r="E2066" t="inlineStr">
        <is>
          <t>SKELLEFTEÅ</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37192-2025</t>
        </is>
      </c>
      <c r="B2067" s="1" t="n">
        <v>45875.65143518519</v>
      </c>
      <c r="C2067" s="1" t="n">
        <v>45931</v>
      </c>
      <c r="D2067" t="inlineStr">
        <is>
          <t>VÄSTERBOTTENS LÄN</t>
        </is>
      </c>
      <c r="E2067" t="inlineStr">
        <is>
          <t>SKELLEFTEÅ</t>
        </is>
      </c>
      <c r="F2067" t="inlineStr">
        <is>
          <t>Sveaskog</t>
        </is>
      </c>
      <c r="G2067" t="n">
        <v>24.8</v>
      </c>
      <c r="H2067" t="n">
        <v>0</v>
      </c>
      <c r="I2067" t="n">
        <v>0</v>
      </c>
      <c r="J2067" t="n">
        <v>0</v>
      </c>
      <c r="K2067" t="n">
        <v>0</v>
      </c>
      <c r="L2067" t="n">
        <v>0</v>
      </c>
      <c r="M2067" t="n">
        <v>0</v>
      </c>
      <c r="N2067" t="n">
        <v>0</v>
      </c>
      <c r="O2067" t="n">
        <v>0</v>
      </c>
      <c r="P2067" t="n">
        <v>0</v>
      </c>
      <c r="Q2067" t="n">
        <v>0</v>
      </c>
      <c r="R2067" s="2" t="inlineStr"/>
    </row>
    <row r="2068" ht="15" customHeight="1">
      <c r="A2068" t="inlineStr">
        <is>
          <t>A 15717-2023</t>
        </is>
      </c>
      <c r="B2068" s="1" t="n">
        <v>45020</v>
      </c>
      <c r="C2068" s="1" t="n">
        <v>45931</v>
      </c>
      <c r="D2068" t="inlineStr">
        <is>
          <t>VÄSTERBOTTENS LÄN</t>
        </is>
      </c>
      <c r="E2068" t="inlineStr">
        <is>
          <t>SKELLEFTEÅ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15806-2023</t>
        </is>
      </c>
      <c r="B2069" s="1" t="n">
        <v>45021</v>
      </c>
      <c r="C2069" s="1" t="n">
        <v>45931</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8539-2022</t>
        </is>
      </c>
      <c r="B2070" s="1" t="n">
        <v>44613</v>
      </c>
      <c r="C2070" s="1" t="n">
        <v>45931</v>
      </c>
      <c r="D2070" t="inlineStr">
        <is>
          <t>VÄSTERBOTTENS LÄN</t>
        </is>
      </c>
      <c r="E2070" t="inlineStr">
        <is>
          <t>SKELLEFTEÅ</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35437-2023</t>
        </is>
      </c>
      <c r="B2071" s="1" t="n">
        <v>45146</v>
      </c>
      <c r="C2071" s="1" t="n">
        <v>45931</v>
      </c>
      <c r="D2071" t="inlineStr">
        <is>
          <t>VÄSTERBOTTENS LÄN</t>
        </is>
      </c>
      <c r="E2071" t="inlineStr">
        <is>
          <t>SKELLEFTEÅ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52869-2022</t>
        </is>
      </c>
      <c r="B2072" s="1" t="n">
        <v>44875</v>
      </c>
      <c r="C2072" s="1" t="n">
        <v>45931</v>
      </c>
      <c r="D2072" t="inlineStr">
        <is>
          <t>VÄSTERBOTTENS LÄN</t>
        </is>
      </c>
      <c r="E2072" t="inlineStr">
        <is>
          <t>SKELLEFTEÅ</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56471-2023</t>
        </is>
      </c>
      <c r="B2073" s="1" t="n">
        <v>45243</v>
      </c>
      <c r="C2073" s="1" t="n">
        <v>45931</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40794-2025</t>
        </is>
      </c>
      <c r="B2074" s="1" t="n">
        <v>45897</v>
      </c>
      <c r="C2074" s="1" t="n">
        <v>45931</v>
      </c>
      <c r="D2074" t="inlineStr">
        <is>
          <t>VÄSTERBOTTENS LÄN</t>
        </is>
      </c>
      <c r="E2074" t="inlineStr">
        <is>
          <t>SKELLEFTEÅ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66500-2021</t>
        </is>
      </c>
      <c r="B2075" s="1" t="n">
        <v>44519.3160300926</v>
      </c>
      <c r="C2075" s="1" t="n">
        <v>45931</v>
      </c>
      <c r="D2075" t="inlineStr">
        <is>
          <t>VÄSTERBOTTENS LÄN</t>
        </is>
      </c>
      <c r="E2075" t="inlineStr">
        <is>
          <t>SKELLEFTEÅ</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58821-2023</t>
        </is>
      </c>
      <c r="B2076" s="1" t="n">
        <v>45247</v>
      </c>
      <c r="C2076" s="1" t="n">
        <v>45931</v>
      </c>
      <c r="D2076" t="inlineStr">
        <is>
          <t>VÄSTERBOTTENS LÄN</t>
        </is>
      </c>
      <c r="E2076" t="inlineStr">
        <is>
          <t>SKELLEFTEÅ</t>
        </is>
      </c>
      <c r="G2076" t="n">
        <v>15.6</v>
      </c>
      <c r="H2076" t="n">
        <v>0</v>
      </c>
      <c r="I2076" t="n">
        <v>0</v>
      </c>
      <c r="J2076" t="n">
        <v>0</v>
      </c>
      <c r="K2076" t="n">
        <v>0</v>
      </c>
      <c r="L2076" t="n">
        <v>0</v>
      </c>
      <c r="M2076" t="n">
        <v>0</v>
      </c>
      <c r="N2076" t="n">
        <v>0</v>
      </c>
      <c r="O2076" t="n">
        <v>0</v>
      </c>
      <c r="P2076" t="n">
        <v>0</v>
      </c>
      <c r="Q2076" t="n">
        <v>0</v>
      </c>
      <c r="R2076" s="2" t="inlineStr"/>
    </row>
    <row r="2077" ht="15" customHeight="1">
      <c r="A2077" t="inlineStr">
        <is>
          <t>A 14096-2022</t>
        </is>
      </c>
      <c r="B2077" s="1" t="n">
        <v>44651</v>
      </c>
      <c r="C2077" s="1" t="n">
        <v>45931</v>
      </c>
      <c r="D2077" t="inlineStr">
        <is>
          <t>VÄSTERBOTTENS LÄN</t>
        </is>
      </c>
      <c r="E2077" t="inlineStr">
        <is>
          <t>SKELLEFTEÅ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45183-2025</t>
        </is>
      </c>
      <c r="B2078" s="1" t="n">
        <v>45919.53484953703</v>
      </c>
      <c r="C2078" s="1" t="n">
        <v>45931</v>
      </c>
      <c r="D2078" t="inlineStr">
        <is>
          <t>VÄSTERBOTTENS LÄN</t>
        </is>
      </c>
      <c r="E2078" t="inlineStr">
        <is>
          <t>SKELLEFTEÅ</t>
        </is>
      </c>
      <c r="F2078" t="inlineStr">
        <is>
          <t>Holmen skog AB</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1249-2025</t>
        </is>
      </c>
      <c r="B2079" s="1" t="n">
        <v>45667.4634375</v>
      </c>
      <c r="C2079" s="1" t="n">
        <v>45931</v>
      </c>
      <c r="D2079" t="inlineStr">
        <is>
          <t>VÄSTERBOTTENS LÄN</t>
        </is>
      </c>
      <c r="E2079" t="inlineStr">
        <is>
          <t>SKELLEFTEÅ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45598-2025</t>
        </is>
      </c>
      <c r="B2080" s="1" t="n">
        <v>45922.68771990741</v>
      </c>
      <c r="C2080" s="1" t="n">
        <v>45931</v>
      </c>
      <c r="D2080" t="inlineStr">
        <is>
          <t>VÄSTERBOTTENS LÄN</t>
        </is>
      </c>
      <c r="E2080" t="inlineStr">
        <is>
          <t>SKELLEFTEÅ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34986-2023</t>
        </is>
      </c>
      <c r="B2081" s="1" t="n">
        <v>45142</v>
      </c>
      <c r="C2081" s="1" t="n">
        <v>45931</v>
      </c>
      <c r="D2081" t="inlineStr">
        <is>
          <t>VÄSTERBOTTENS LÄN</t>
        </is>
      </c>
      <c r="E2081" t="inlineStr">
        <is>
          <t>SKELLEFTEÅ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37429-2025</t>
        </is>
      </c>
      <c r="B2082" s="1" t="n">
        <v>45877.50601851852</v>
      </c>
      <c r="C2082" s="1" t="n">
        <v>45931</v>
      </c>
      <c r="D2082" t="inlineStr">
        <is>
          <t>VÄSTERBOTTENS LÄN</t>
        </is>
      </c>
      <c r="E2082" t="inlineStr">
        <is>
          <t>SKELLEFTEÅ</t>
        </is>
      </c>
      <c r="F2082" t="inlineStr">
        <is>
          <t>Holmen skog AB</t>
        </is>
      </c>
      <c r="G2082" t="n">
        <v>13.4</v>
      </c>
      <c r="H2082" t="n">
        <v>0</v>
      </c>
      <c r="I2082" t="n">
        <v>0</v>
      </c>
      <c r="J2082" t="n">
        <v>0</v>
      </c>
      <c r="K2082" t="n">
        <v>0</v>
      </c>
      <c r="L2082" t="n">
        <v>0</v>
      </c>
      <c r="M2082" t="n">
        <v>0</v>
      </c>
      <c r="N2082" t="n">
        <v>0</v>
      </c>
      <c r="O2082" t="n">
        <v>0</v>
      </c>
      <c r="P2082" t="n">
        <v>0</v>
      </c>
      <c r="Q2082" t="n">
        <v>0</v>
      </c>
      <c r="R2082" s="2" t="inlineStr"/>
    </row>
    <row r="2083" ht="15" customHeight="1">
      <c r="A2083" t="inlineStr">
        <is>
          <t>A 38809-2023</t>
        </is>
      </c>
      <c r="B2083" s="1" t="n">
        <v>45161</v>
      </c>
      <c r="C2083" s="1" t="n">
        <v>45931</v>
      </c>
      <c r="D2083" t="inlineStr">
        <is>
          <t>VÄSTERBOTTENS LÄN</t>
        </is>
      </c>
      <c r="E2083" t="inlineStr">
        <is>
          <t>SKELLEFTEÅ</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5490-2023</t>
        </is>
      </c>
      <c r="B2084" s="1" t="n">
        <v>44957</v>
      </c>
      <c r="C2084" s="1" t="n">
        <v>45931</v>
      </c>
      <c r="D2084" t="inlineStr">
        <is>
          <t>VÄSTERBOTTENS LÄN</t>
        </is>
      </c>
      <c r="E2084" t="inlineStr">
        <is>
          <t>SKELLEFTEÅ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45555-2025</t>
        </is>
      </c>
      <c r="B2085" s="1" t="n">
        <v>45922.64210648148</v>
      </c>
      <c r="C2085" s="1" t="n">
        <v>45931</v>
      </c>
      <c r="D2085" t="inlineStr">
        <is>
          <t>VÄSTERBOTTENS LÄN</t>
        </is>
      </c>
      <c r="E2085" t="inlineStr">
        <is>
          <t>SKELLEFTEÅ</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17874-2025</t>
        </is>
      </c>
      <c r="B2086" s="1" t="n">
        <v>45758.64266203704</v>
      </c>
      <c r="C2086" s="1" t="n">
        <v>45931</v>
      </c>
      <c r="D2086" t="inlineStr">
        <is>
          <t>VÄSTERBOTTENS LÄN</t>
        </is>
      </c>
      <c r="E2086" t="inlineStr">
        <is>
          <t>SKELLEFTEÅ</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13207-2025</t>
        </is>
      </c>
      <c r="B2087" s="1" t="n">
        <v>45735.43693287037</v>
      </c>
      <c r="C2087" s="1" t="n">
        <v>45931</v>
      </c>
      <c r="D2087" t="inlineStr">
        <is>
          <t>VÄSTERBOTTENS LÄN</t>
        </is>
      </c>
      <c r="E2087" t="inlineStr">
        <is>
          <t>SKELLEFTEÅ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45398-2025</t>
        </is>
      </c>
      <c r="B2088" s="1" t="n">
        <v>45922.42065972222</v>
      </c>
      <c r="C2088" s="1" t="n">
        <v>45931</v>
      </c>
      <c r="D2088" t="inlineStr">
        <is>
          <t>VÄSTERBOTTENS LÄN</t>
        </is>
      </c>
      <c r="E2088" t="inlineStr">
        <is>
          <t>SKELLEFTEÅ</t>
        </is>
      </c>
      <c r="G2088" t="n">
        <v>12.2</v>
      </c>
      <c r="H2088" t="n">
        <v>0</v>
      </c>
      <c r="I2088" t="n">
        <v>0</v>
      </c>
      <c r="J2088" t="n">
        <v>0</v>
      </c>
      <c r="K2088" t="n">
        <v>0</v>
      </c>
      <c r="L2088" t="n">
        <v>0</v>
      </c>
      <c r="M2088" t="n">
        <v>0</v>
      </c>
      <c r="N2088" t="n">
        <v>0</v>
      </c>
      <c r="O2088" t="n">
        <v>0</v>
      </c>
      <c r="P2088" t="n">
        <v>0</v>
      </c>
      <c r="Q2088" t="n">
        <v>0</v>
      </c>
      <c r="R2088" s="2" t="inlineStr"/>
    </row>
    <row r="2089" ht="15" customHeight="1">
      <c r="A2089" t="inlineStr">
        <is>
          <t>A 4956-2025</t>
        </is>
      </c>
      <c r="B2089" s="1" t="n">
        <v>45689.57166666666</v>
      </c>
      <c r="C2089" s="1" t="n">
        <v>45931</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59783-2024</t>
        </is>
      </c>
      <c r="B2090" s="1" t="n">
        <v>45639.57982638889</v>
      </c>
      <c r="C2090" s="1" t="n">
        <v>45931</v>
      </c>
      <c r="D2090" t="inlineStr">
        <is>
          <t>VÄSTERBOTTENS LÄN</t>
        </is>
      </c>
      <c r="E2090" t="inlineStr">
        <is>
          <t>SKELLEFTEÅ</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4299-2021</t>
        </is>
      </c>
      <c r="B2091" s="1" t="n">
        <v>44223</v>
      </c>
      <c r="C2091" s="1" t="n">
        <v>45931</v>
      </c>
      <c r="D2091" t="inlineStr">
        <is>
          <t>VÄSTERBOTTENS LÄN</t>
        </is>
      </c>
      <c r="E2091" t="inlineStr">
        <is>
          <t>SKELLEFTEÅ</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54384-2021</t>
        </is>
      </c>
      <c r="B2092" s="1" t="n">
        <v>44473</v>
      </c>
      <c r="C2092" s="1" t="n">
        <v>45931</v>
      </c>
      <c r="D2092" t="inlineStr">
        <is>
          <t>VÄSTERBOTTENS LÄN</t>
        </is>
      </c>
      <c r="E2092" t="inlineStr">
        <is>
          <t>SKELLEFTEÅ</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37689-2025</t>
        </is>
      </c>
      <c r="B2093" s="1" t="n">
        <v>45880.56694444444</v>
      </c>
      <c r="C2093" s="1" t="n">
        <v>45931</v>
      </c>
      <c r="D2093" t="inlineStr">
        <is>
          <t>VÄSTERBOTTENS LÄN</t>
        </is>
      </c>
      <c r="E2093" t="inlineStr">
        <is>
          <t>SKELLEFTEÅ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37692-2025</t>
        </is>
      </c>
      <c r="B2094" s="1" t="n">
        <v>45880.57291666666</v>
      </c>
      <c r="C2094" s="1" t="n">
        <v>45931</v>
      </c>
      <c r="D2094" t="inlineStr">
        <is>
          <t>VÄSTERBOTTENS LÄN</t>
        </is>
      </c>
      <c r="E2094" t="inlineStr">
        <is>
          <t>SKELLEFTEÅ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37702-2025</t>
        </is>
      </c>
      <c r="B2095" s="1" t="n">
        <v>45880.58201388889</v>
      </c>
      <c r="C2095" s="1" t="n">
        <v>45931</v>
      </c>
      <c r="D2095" t="inlineStr">
        <is>
          <t>VÄSTERBOTTENS LÄN</t>
        </is>
      </c>
      <c r="E2095" t="inlineStr">
        <is>
          <t>SKELLEFTEÅ</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37711-2025</t>
        </is>
      </c>
      <c r="B2096" s="1" t="n">
        <v>45880.59618055556</v>
      </c>
      <c r="C2096" s="1" t="n">
        <v>45931</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65011-2023</t>
        </is>
      </c>
      <c r="B2097" s="1" t="n">
        <v>45287.38302083333</v>
      </c>
      <c r="C2097" s="1" t="n">
        <v>45931</v>
      </c>
      <c r="D2097" t="inlineStr">
        <is>
          <t>VÄSTERBOTTENS LÄN</t>
        </is>
      </c>
      <c r="E2097" t="inlineStr">
        <is>
          <t>SKELLEFTEÅ</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45364-2025</t>
        </is>
      </c>
      <c r="B2098" s="1" t="n">
        <v>45922.38574074074</v>
      </c>
      <c r="C2098" s="1" t="n">
        <v>45931</v>
      </c>
      <c r="D2098" t="inlineStr">
        <is>
          <t>VÄSTERBOTTENS LÄN</t>
        </is>
      </c>
      <c r="E2098" t="inlineStr">
        <is>
          <t>SKELLEFTEÅ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45392-2025</t>
        </is>
      </c>
      <c r="B2099" s="1" t="n">
        <v>45922.40791666666</v>
      </c>
      <c r="C2099" s="1" t="n">
        <v>45931</v>
      </c>
      <c r="D2099" t="inlineStr">
        <is>
          <t>VÄSTERBOTTENS LÄN</t>
        </is>
      </c>
      <c r="E2099" t="inlineStr">
        <is>
          <t>SKELLEFTEÅ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45394-2025</t>
        </is>
      </c>
      <c r="B2100" s="1" t="n">
        <v>45922.40804398148</v>
      </c>
      <c r="C2100" s="1" t="n">
        <v>45931</v>
      </c>
      <c r="D2100" t="inlineStr">
        <is>
          <t>VÄSTERBOTTENS LÄN</t>
        </is>
      </c>
      <c r="E2100" t="inlineStr">
        <is>
          <t>SKELLEFTEÅ</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45409-2025</t>
        </is>
      </c>
      <c r="B2101" s="1" t="n">
        <v>45922.43385416667</v>
      </c>
      <c r="C2101" s="1" t="n">
        <v>45931</v>
      </c>
      <c r="D2101" t="inlineStr">
        <is>
          <t>VÄSTERBOTTENS LÄN</t>
        </is>
      </c>
      <c r="E2101" t="inlineStr">
        <is>
          <t>SKELLEFTEÅ</t>
        </is>
      </c>
      <c r="F2101" t="inlineStr">
        <is>
          <t>Holmen skog AB</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45429-2025</t>
        </is>
      </c>
      <c r="B2102" s="1" t="n">
        <v>45922.45540509259</v>
      </c>
      <c r="C2102" s="1" t="n">
        <v>45931</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3193-2025</t>
        </is>
      </c>
      <c r="B2103" s="1" t="n">
        <v>45679.42042824074</v>
      </c>
      <c r="C2103" s="1" t="n">
        <v>45931</v>
      </c>
      <c r="D2103" t="inlineStr">
        <is>
          <t>VÄSTERBOTTENS LÄN</t>
        </is>
      </c>
      <c r="E2103" t="inlineStr">
        <is>
          <t>SKELLEFTEÅ</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33283-2021</t>
        </is>
      </c>
      <c r="B2104" s="1" t="n">
        <v>44377.38222222222</v>
      </c>
      <c r="C2104" s="1" t="n">
        <v>45931</v>
      </c>
      <c r="D2104" t="inlineStr">
        <is>
          <t>VÄSTERBOTTENS LÄN</t>
        </is>
      </c>
      <c r="E2104" t="inlineStr">
        <is>
          <t>SKELLEFTEÅ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45559-2025</t>
        </is>
      </c>
      <c r="B2105" s="1" t="n">
        <v>45922.64508101852</v>
      </c>
      <c r="C2105" s="1" t="n">
        <v>45931</v>
      </c>
      <c r="D2105" t="inlineStr">
        <is>
          <t>VÄSTERBOTTENS LÄN</t>
        </is>
      </c>
      <c r="E2105" t="inlineStr">
        <is>
          <t>SKELLEFTEÅ</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56965-2024</t>
        </is>
      </c>
      <c r="B2106" s="1" t="n">
        <v>45628.65949074074</v>
      </c>
      <c r="C2106" s="1" t="n">
        <v>45931</v>
      </c>
      <c r="D2106" t="inlineStr">
        <is>
          <t>VÄSTERBOTTENS LÄN</t>
        </is>
      </c>
      <c r="E2106" t="inlineStr">
        <is>
          <t>SKELLEFTEÅ</t>
        </is>
      </c>
      <c r="F2106" t="inlineStr">
        <is>
          <t>Holmen skog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65206-2023</t>
        </is>
      </c>
      <c r="B2107" s="1" t="n">
        <v>45289.45186342593</v>
      </c>
      <c r="C2107" s="1" t="n">
        <v>45931</v>
      </c>
      <c r="D2107" t="inlineStr">
        <is>
          <t>VÄSTERBOTTENS LÄN</t>
        </is>
      </c>
      <c r="E2107" t="inlineStr">
        <is>
          <t>SKELLEFTEÅ</t>
        </is>
      </c>
      <c r="G2107" t="n">
        <v>19.2</v>
      </c>
      <c r="H2107" t="n">
        <v>0</v>
      </c>
      <c r="I2107" t="n">
        <v>0</v>
      </c>
      <c r="J2107" t="n">
        <v>0</v>
      </c>
      <c r="K2107" t="n">
        <v>0</v>
      </c>
      <c r="L2107" t="n">
        <v>0</v>
      </c>
      <c r="M2107" t="n">
        <v>0</v>
      </c>
      <c r="N2107" t="n">
        <v>0</v>
      </c>
      <c r="O2107" t="n">
        <v>0</v>
      </c>
      <c r="P2107" t="n">
        <v>0</v>
      </c>
      <c r="Q2107" t="n">
        <v>0</v>
      </c>
      <c r="R2107" s="2" t="inlineStr"/>
    </row>
    <row r="2108" ht="15" customHeight="1">
      <c r="A2108" t="inlineStr">
        <is>
          <t>A 45365-2025</t>
        </is>
      </c>
      <c r="B2108" s="1" t="n">
        <v>45922.38581018519</v>
      </c>
      <c r="C2108" s="1" t="n">
        <v>45931</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13487-2025</t>
        </is>
      </c>
      <c r="B2109" s="1" t="n">
        <v>45736.42761574074</v>
      </c>
      <c r="C2109" s="1" t="n">
        <v>45931</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62052-2024</t>
        </is>
      </c>
      <c r="B2110" s="1" t="n">
        <v>45656.3674537037</v>
      </c>
      <c r="C2110" s="1" t="n">
        <v>45931</v>
      </c>
      <c r="D2110" t="inlineStr">
        <is>
          <t>VÄSTERBOTTENS LÄN</t>
        </is>
      </c>
      <c r="E2110" t="inlineStr">
        <is>
          <t>SKELLEFTEÅ</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45485-2025</t>
        </is>
      </c>
      <c r="B2111" s="1" t="n">
        <v>45922.54546296296</v>
      </c>
      <c r="C2111" s="1" t="n">
        <v>45931</v>
      </c>
      <c r="D2111" t="inlineStr">
        <is>
          <t>VÄSTERBOTTENS LÄN</t>
        </is>
      </c>
      <c r="E2111" t="inlineStr">
        <is>
          <t>SKELLEFTEÅ</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19752-2025</t>
        </is>
      </c>
      <c r="B2112" s="1" t="n">
        <v>45771.38605324074</v>
      </c>
      <c r="C2112" s="1" t="n">
        <v>45931</v>
      </c>
      <c r="D2112" t="inlineStr">
        <is>
          <t>VÄSTERBOTTENS LÄN</t>
        </is>
      </c>
      <c r="E2112" t="inlineStr">
        <is>
          <t>SKELLEFTEÅ</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24079-2025</t>
        </is>
      </c>
      <c r="B2113" s="1" t="n">
        <v>45796.5531712963</v>
      </c>
      <c r="C2113" s="1" t="n">
        <v>45931</v>
      </c>
      <c r="D2113" t="inlineStr">
        <is>
          <t>VÄSTERBOTTENS LÄN</t>
        </is>
      </c>
      <c r="E2113" t="inlineStr">
        <is>
          <t>SKELLEFTEÅ</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58053-2022</t>
        </is>
      </c>
      <c r="B2114" s="1" t="n">
        <v>44900</v>
      </c>
      <c r="C2114" s="1" t="n">
        <v>45931</v>
      </c>
      <c r="D2114" t="inlineStr">
        <is>
          <t>VÄSTERBOTTENS LÄN</t>
        </is>
      </c>
      <c r="E2114" t="inlineStr">
        <is>
          <t>SKELLEFTEÅ</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26546-2024</t>
        </is>
      </c>
      <c r="B2115" s="1" t="n">
        <v>45469.61939814815</v>
      </c>
      <c r="C2115" s="1" t="n">
        <v>45931</v>
      </c>
      <c r="D2115" t="inlineStr">
        <is>
          <t>VÄSTERBOTTENS LÄN</t>
        </is>
      </c>
      <c r="E2115" t="inlineStr">
        <is>
          <t>SKELLEFTEÅ</t>
        </is>
      </c>
      <c r="F2115" t="inlineStr">
        <is>
          <t>Sveaskog</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8919-2024</t>
        </is>
      </c>
      <c r="B2116" s="1" t="n">
        <v>45357</v>
      </c>
      <c r="C2116" s="1" t="n">
        <v>45931</v>
      </c>
      <c r="D2116" t="inlineStr">
        <is>
          <t>VÄSTERBOTTENS LÄN</t>
        </is>
      </c>
      <c r="E2116" t="inlineStr">
        <is>
          <t>SKELLEFTEÅ</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45366-2025</t>
        </is>
      </c>
      <c r="B2117" s="1" t="n">
        <v>45922.38587962963</v>
      </c>
      <c r="C2117" s="1" t="n">
        <v>45931</v>
      </c>
      <c r="D2117" t="inlineStr">
        <is>
          <t>VÄSTERBOTTENS LÄN</t>
        </is>
      </c>
      <c r="E2117" t="inlineStr">
        <is>
          <t>SKELLEFTEÅ</t>
        </is>
      </c>
      <c r="G2117" t="n">
        <v>16.3</v>
      </c>
      <c r="H2117" t="n">
        <v>0</v>
      </c>
      <c r="I2117" t="n">
        <v>0</v>
      </c>
      <c r="J2117" t="n">
        <v>0</v>
      </c>
      <c r="K2117" t="n">
        <v>0</v>
      </c>
      <c r="L2117" t="n">
        <v>0</v>
      </c>
      <c r="M2117" t="n">
        <v>0</v>
      </c>
      <c r="N2117" t="n">
        <v>0</v>
      </c>
      <c r="O2117" t="n">
        <v>0</v>
      </c>
      <c r="P2117" t="n">
        <v>0</v>
      </c>
      <c r="Q2117" t="n">
        <v>0</v>
      </c>
      <c r="R2117" s="2" t="inlineStr"/>
    </row>
    <row r="2118" ht="15" customHeight="1">
      <c r="A2118" t="inlineStr">
        <is>
          <t>A 45393-2025</t>
        </is>
      </c>
      <c r="B2118" s="1" t="n">
        <v>45922.40796296296</v>
      </c>
      <c r="C2118" s="1" t="n">
        <v>45931</v>
      </c>
      <c r="D2118" t="inlineStr">
        <is>
          <t>VÄSTERBOTTENS LÄN</t>
        </is>
      </c>
      <c r="E2118" t="inlineStr">
        <is>
          <t>SKELLEFTEÅ</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30432-2025</t>
        </is>
      </c>
      <c r="B2119" s="1" t="n">
        <v>45827.6325462963</v>
      </c>
      <c r="C2119" s="1" t="n">
        <v>45931</v>
      </c>
      <c r="D2119" t="inlineStr">
        <is>
          <t>VÄSTERBOTTENS LÄN</t>
        </is>
      </c>
      <c r="E2119" t="inlineStr">
        <is>
          <t>SKELLEFTEÅ</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10287-2025</t>
        </is>
      </c>
      <c r="B2120" s="1" t="n">
        <v>45720</v>
      </c>
      <c r="C2120" s="1" t="n">
        <v>45931</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2720-2023</t>
        </is>
      </c>
      <c r="B2121" s="1" t="n">
        <v>44944</v>
      </c>
      <c r="C2121" s="1" t="n">
        <v>45931</v>
      </c>
      <c r="D2121" t="inlineStr">
        <is>
          <t>VÄSTERBOTTENS LÄN</t>
        </is>
      </c>
      <c r="E2121" t="inlineStr">
        <is>
          <t>SKELLEFTEÅ</t>
        </is>
      </c>
      <c r="G2121" t="n">
        <v>31.7</v>
      </c>
      <c r="H2121" t="n">
        <v>0</v>
      </c>
      <c r="I2121" t="n">
        <v>0</v>
      </c>
      <c r="J2121" t="n">
        <v>0</v>
      </c>
      <c r="K2121" t="n">
        <v>0</v>
      </c>
      <c r="L2121" t="n">
        <v>0</v>
      </c>
      <c r="M2121" t="n">
        <v>0</v>
      </c>
      <c r="N2121" t="n">
        <v>0</v>
      </c>
      <c r="O2121" t="n">
        <v>0</v>
      </c>
      <c r="P2121" t="n">
        <v>0</v>
      </c>
      <c r="Q2121" t="n">
        <v>0</v>
      </c>
      <c r="R2121" s="2" t="inlineStr"/>
    </row>
    <row r="2122" ht="15" customHeight="1">
      <c r="A2122" t="inlineStr">
        <is>
          <t>A 23760-2023</t>
        </is>
      </c>
      <c r="B2122" s="1" t="n">
        <v>45077</v>
      </c>
      <c r="C2122" s="1" t="n">
        <v>45931</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23761-2023</t>
        </is>
      </c>
      <c r="B2123" s="1" t="n">
        <v>45077</v>
      </c>
      <c r="C2123" s="1" t="n">
        <v>45931</v>
      </c>
      <c r="D2123" t="inlineStr">
        <is>
          <t>VÄSTERBOTTENS LÄN</t>
        </is>
      </c>
      <c r="E2123" t="inlineStr">
        <is>
          <t>SKELLEFTEÅ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21343-2025</t>
        </is>
      </c>
      <c r="B2124" s="1" t="n">
        <v>45782.39872685185</v>
      </c>
      <c r="C2124" s="1" t="n">
        <v>45931</v>
      </c>
      <c r="D2124" t="inlineStr">
        <is>
          <t>VÄSTERBOTTENS LÄN</t>
        </is>
      </c>
      <c r="E2124" t="inlineStr">
        <is>
          <t>SKELLEFTEÅ</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17751-2024</t>
        </is>
      </c>
      <c r="B2125" s="1" t="n">
        <v>45418.59936342593</v>
      </c>
      <c r="C2125" s="1" t="n">
        <v>45931</v>
      </c>
      <c r="D2125" t="inlineStr">
        <is>
          <t>VÄSTERBOTTENS LÄN</t>
        </is>
      </c>
      <c r="E2125" t="inlineStr">
        <is>
          <t>SKELLEFTEÅ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11624-2023</t>
        </is>
      </c>
      <c r="B2126" s="1" t="n">
        <v>44994.42565972222</v>
      </c>
      <c r="C2126" s="1" t="n">
        <v>45931</v>
      </c>
      <c r="D2126" t="inlineStr">
        <is>
          <t>VÄSTERBOTTENS LÄN</t>
        </is>
      </c>
      <c r="E2126" t="inlineStr">
        <is>
          <t>SKELLEFTEÅ</t>
        </is>
      </c>
      <c r="G2126" t="n">
        <v>47.6</v>
      </c>
      <c r="H2126" t="n">
        <v>0</v>
      </c>
      <c r="I2126" t="n">
        <v>0</v>
      </c>
      <c r="J2126" t="n">
        <v>0</v>
      </c>
      <c r="K2126" t="n">
        <v>0</v>
      </c>
      <c r="L2126" t="n">
        <v>0</v>
      </c>
      <c r="M2126" t="n">
        <v>0</v>
      </c>
      <c r="N2126" t="n">
        <v>0</v>
      </c>
      <c r="O2126" t="n">
        <v>0</v>
      </c>
      <c r="P2126" t="n">
        <v>0</v>
      </c>
      <c r="Q2126" t="n">
        <v>0</v>
      </c>
      <c r="R2126" s="2" t="inlineStr"/>
    </row>
    <row r="2127" ht="15" customHeight="1">
      <c r="A2127" t="inlineStr">
        <is>
          <t>A 64323-2023</t>
        </is>
      </c>
      <c r="B2127" s="1" t="n">
        <v>45280.40798611111</v>
      </c>
      <c r="C2127" s="1" t="n">
        <v>45931</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45655-2025</t>
        </is>
      </c>
      <c r="B2128" s="1" t="n">
        <v>45923.34252314815</v>
      </c>
      <c r="C2128" s="1" t="n">
        <v>45931</v>
      </c>
      <c r="D2128" t="inlineStr">
        <is>
          <t>VÄSTERBOTTENS LÄN</t>
        </is>
      </c>
      <c r="E2128" t="inlineStr">
        <is>
          <t>SKELLEFTEÅ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18498-2025</t>
        </is>
      </c>
      <c r="B2129" s="1" t="n">
        <v>45763.35789351852</v>
      </c>
      <c r="C2129" s="1" t="n">
        <v>45931</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42808-2022</t>
        </is>
      </c>
      <c r="B2130" s="1" t="n">
        <v>44832</v>
      </c>
      <c r="C2130" s="1" t="n">
        <v>45931</v>
      </c>
      <c r="D2130" t="inlineStr">
        <is>
          <t>VÄSTERBOTTENS LÄN</t>
        </is>
      </c>
      <c r="E2130" t="inlineStr">
        <is>
          <t>SKELLEFTEÅ</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19424-2023</t>
        </is>
      </c>
      <c r="B2131" s="1" t="n">
        <v>45049.92751157407</v>
      </c>
      <c r="C2131" s="1" t="n">
        <v>45931</v>
      </c>
      <c r="D2131" t="inlineStr">
        <is>
          <t>VÄSTERBOTTENS LÄN</t>
        </is>
      </c>
      <c r="E2131" t="inlineStr">
        <is>
          <t>SKELLEFTEÅ</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19428-2023</t>
        </is>
      </c>
      <c r="B2132" s="1" t="n">
        <v>45049.92771990741</v>
      </c>
      <c r="C2132" s="1" t="n">
        <v>45931</v>
      </c>
      <c r="D2132" t="inlineStr">
        <is>
          <t>VÄSTERBOTTENS LÄN</t>
        </is>
      </c>
      <c r="E2132" t="inlineStr">
        <is>
          <t>SKELLEFTEÅ</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19658-2025</t>
        </is>
      </c>
      <c r="B2133" s="1" t="n">
        <v>45770</v>
      </c>
      <c r="C2133" s="1" t="n">
        <v>45931</v>
      </c>
      <c r="D2133" t="inlineStr">
        <is>
          <t>VÄSTERBOTTENS LÄN</t>
        </is>
      </c>
      <c r="E2133" t="inlineStr">
        <is>
          <t>SKELLEFTEÅ</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38070-2025</t>
        </is>
      </c>
      <c r="B2134" s="1" t="n">
        <v>45882.43864583333</v>
      </c>
      <c r="C2134" s="1" t="n">
        <v>45931</v>
      </c>
      <c r="D2134" t="inlineStr">
        <is>
          <t>VÄSTERBOTTENS LÄN</t>
        </is>
      </c>
      <c r="E2134" t="inlineStr">
        <is>
          <t>SKELLEFTEÅ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45651-2025</t>
        </is>
      </c>
      <c r="B2135" s="1" t="n">
        <v>45923.32945601852</v>
      </c>
      <c r="C2135" s="1" t="n">
        <v>45931</v>
      </c>
      <c r="D2135" t="inlineStr">
        <is>
          <t>VÄSTERBOTTENS LÄN</t>
        </is>
      </c>
      <c r="E2135" t="inlineStr">
        <is>
          <t>SKELLEFTEÅ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45666-2025</t>
        </is>
      </c>
      <c r="B2136" s="1" t="n">
        <v>45923.34827546297</v>
      </c>
      <c r="C2136" s="1" t="n">
        <v>45931</v>
      </c>
      <c r="D2136" t="inlineStr">
        <is>
          <t>VÄSTERBOTTENS LÄN</t>
        </is>
      </c>
      <c r="E2136" t="inlineStr">
        <is>
          <t>SKELLEFTEÅ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38004-2025</t>
        </is>
      </c>
      <c r="B2137" s="1" t="n">
        <v>45881.92792824074</v>
      </c>
      <c r="C2137" s="1" t="n">
        <v>45931</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59736-2021</t>
        </is>
      </c>
      <c r="B2138" s="1" t="n">
        <v>44494.44145833333</v>
      </c>
      <c r="C2138" s="1" t="n">
        <v>45931</v>
      </c>
      <c r="D2138" t="inlineStr">
        <is>
          <t>VÄSTERBOTTENS LÄN</t>
        </is>
      </c>
      <c r="E2138" t="inlineStr">
        <is>
          <t>SKELLEFTEÅ</t>
        </is>
      </c>
      <c r="F2138" t="inlineStr">
        <is>
          <t>Sveaskog</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37669-2022</t>
        </is>
      </c>
      <c r="B2139" s="1" t="n">
        <v>44810</v>
      </c>
      <c r="C2139" s="1" t="n">
        <v>45931</v>
      </c>
      <c r="D2139" t="inlineStr">
        <is>
          <t>VÄSTERBOTTENS LÄN</t>
        </is>
      </c>
      <c r="E2139" t="inlineStr">
        <is>
          <t>SKELLEFTEÅ</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17010-2025</t>
        </is>
      </c>
      <c r="B2140" s="1" t="n">
        <v>45754</v>
      </c>
      <c r="C2140" s="1" t="n">
        <v>45931</v>
      </c>
      <c r="D2140" t="inlineStr">
        <is>
          <t>VÄSTERBOTTENS LÄN</t>
        </is>
      </c>
      <c r="E2140" t="inlineStr">
        <is>
          <t>SKELLEFTEÅ</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62249-2022</t>
        </is>
      </c>
      <c r="B2141" s="1" t="n">
        <v>44922.92351851852</v>
      </c>
      <c r="C2141" s="1" t="n">
        <v>45931</v>
      </c>
      <c r="D2141" t="inlineStr">
        <is>
          <t>VÄSTERBOTTENS LÄN</t>
        </is>
      </c>
      <c r="E2141" t="inlineStr">
        <is>
          <t>SKELLEFTEÅ</t>
        </is>
      </c>
      <c r="G2141" t="n">
        <v>18.2</v>
      </c>
      <c r="H2141" t="n">
        <v>0</v>
      </c>
      <c r="I2141" t="n">
        <v>0</v>
      </c>
      <c r="J2141" t="n">
        <v>0</v>
      </c>
      <c r="K2141" t="n">
        <v>0</v>
      </c>
      <c r="L2141" t="n">
        <v>0</v>
      </c>
      <c r="M2141" t="n">
        <v>0</v>
      </c>
      <c r="N2141" t="n">
        <v>0</v>
      </c>
      <c r="O2141" t="n">
        <v>0</v>
      </c>
      <c r="P2141" t="n">
        <v>0</v>
      </c>
      <c r="Q2141" t="n">
        <v>0</v>
      </c>
      <c r="R2141" s="2" t="inlineStr"/>
    </row>
    <row r="2142" ht="15" customHeight="1">
      <c r="A2142" t="inlineStr">
        <is>
          <t>A 18101-2021</t>
        </is>
      </c>
      <c r="B2142" s="1" t="n">
        <v>44302</v>
      </c>
      <c r="C2142" s="1" t="n">
        <v>45931</v>
      </c>
      <c r="D2142" t="inlineStr">
        <is>
          <t>VÄSTERBOTTENS LÄN</t>
        </is>
      </c>
      <c r="E2142" t="inlineStr">
        <is>
          <t>SKELLEFTEÅ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35102-2023</t>
        </is>
      </c>
      <c r="B2143" s="1" t="n">
        <v>45145.46237268519</v>
      </c>
      <c r="C2143" s="1" t="n">
        <v>45931</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56539-2024</t>
        </is>
      </c>
      <c r="B2144" s="1" t="n">
        <v>45625</v>
      </c>
      <c r="C2144" s="1" t="n">
        <v>45931</v>
      </c>
      <c r="D2144" t="inlineStr">
        <is>
          <t>VÄSTERBOTTENS LÄN</t>
        </is>
      </c>
      <c r="E2144" t="inlineStr">
        <is>
          <t>SKELLEFTEÅ</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45732-2025</t>
        </is>
      </c>
      <c r="B2145" s="1" t="n">
        <v>45923.46354166666</v>
      </c>
      <c r="C2145" s="1" t="n">
        <v>45931</v>
      </c>
      <c r="D2145" t="inlineStr">
        <is>
          <t>VÄSTERBOTTENS LÄN</t>
        </is>
      </c>
      <c r="E2145" t="inlineStr">
        <is>
          <t>SKELLEFTEÅ</t>
        </is>
      </c>
      <c r="F2145" t="inlineStr">
        <is>
          <t>Holmen skog AB</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12045-2024</t>
        </is>
      </c>
      <c r="B2146" s="1" t="n">
        <v>45377</v>
      </c>
      <c r="C2146" s="1" t="n">
        <v>45931</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22205-2024</t>
        </is>
      </c>
      <c r="B2147" s="1" t="n">
        <v>45446.37524305555</v>
      </c>
      <c r="C2147" s="1" t="n">
        <v>45931</v>
      </c>
      <c r="D2147" t="inlineStr">
        <is>
          <t>VÄSTERBOTTENS LÄN</t>
        </is>
      </c>
      <c r="E2147" t="inlineStr">
        <is>
          <t>SKELLEFTEÅ</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37816-2025</t>
        </is>
      </c>
      <c r="B2148" s="1" t="n">
        <v>45881.38435185186</v>
      </c>
      <c r="C2148" s="1" t="n">
        <v>45931</v>
      </c>
      <c r="D2148" t="inlineStr">
        <is>
          <t>VÄSTERBOTTENS LÄN</t>
        </is>
      </c>
      <c r="E2148" t="inlineStr">
        <is>
          <t>SKELLEFTEÅ</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4008-2024</t>
        </is>
      </c>
      <c r="B2149" s="1" t="n">
        <v>45323</v>
      </c>
      <c r="C2149" s="1" t="n">
        <v>45931</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57577-2022</t>
        </is>
      </c>
      <c r="B2150" s="1" t="n">
        <v>44896.92947916667</v>
      </c>
      <c r="C2150" s="1" t="n">
        <v>45931</v>
      </c>
      <c r="D2150" t="inlineStr">
        <is>
          <t>VÄSTERBOTTENS LÄN</t>
        </is>
      </c>
      <c r="E2150" t="inlineStr">
        <is>
          <t>SKELLEFTEÅ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37964-2025</t>
        </is>
      </c>
      <c r="B2151" s="1" t="n">
        <v>45881</v>
      </c>
      <c r="C2151" s="1" t="n">
        <v>45931</v>
      </c>
      <c r="D2151" t="inlineStr">
        <is>
          <t>VÄSTERBOTTENS LÄN</t>
        </is>
      </c>
      <c r="E2151" t="inlineStr">
        <is>
          <t>SKELLEFTEÅ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45964-2025</t>
        </is>
      </c>
      <c r="B2152" s="1" t="n">
        <v>45924.3553587963</v>
      </c>
      <c r="C2152" s="1" t="n">
        <v>45931</v>
      </c>
      <c r="D2152" t="inlineStr">
        <is>
          <t>VÄSTERBOTTENS LÄN</t>
        </is>
      </c>
      <c r="E2152" t="inlineStr">
        <is>
          <t>SKELLEFTEÅ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45859-2025</t>
        </is>
      </c>
      <c r="B2153" s="1" t="n">
        <v>45923.6415162037</v>
      </c>
      <c r="C2153" s="1" t="n">
        <v>45931</v>
      </c>
      <c r="D2153" t="inlineStr">
        <is>
          <t>VÄSTERBOTTENS LÄN</t>
        </is>
      </c>
      <c r="E2153" t="inlineStr">
        <is>
          <t>SKELLEFTEÅ</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45885-2025</t>
        </is>
      </c>
      <c r="B2154" s="1" t="n">
        <v>45923.66508101852</v>
      </c>
      <c r="C2154" s="1" t="n">
        <v>45931</v>
      </c>
      <c r="D2154" t="inlineStr">
        <is>
          <t>VÄSTERBOTTENS LÄN</t>
        </is>
      </c>
      <c r="E2154" t="inlineStr">
        <is>
          <t>SKELLEFTEÅ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45760-2025</t>
        </is>
      </c>
      <c r="B2155" s="1" t="n">
        <v>45923.51121527778</v>
      </c>
      <c r="C2155" s="1" t="n">
        <v>45931</v>
      </c>
      <c r="D2155" t="inlineStr">
        <is>
          <t>VÄSTERBOTTENS LÄN</t>
        </is>
      </c>
      <c r="E2155" t="inlineStr">
        <is>
          <t>SKELLEFTEÅ</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16410-2025</t>
        </is>
      </c>
      <c r="B2156" s="1" t="n">
        <v>45751.45734953704</v>
      </c>
      <c r="C2156" s="1" t="n">
        <v>45931</v>
      </c>
      <c r="D2156" t="inlineStr">
        <is>
          <t>VÄSTERBOTTENS LÄN</t>
        </is>
      </c>
      <c r="E2156" t="inlineStr">
        <is>
          <t>SKELLEFTEÅ</t>
        </is>
      </c>
      <c r="G2156" t="n">
        <v>1.1</v>
      </c>
      <c r="H2156" t="n">
        <v>0</v>
      </c>
      <c r="I2156" t="n">
        <v>0</v>
      </c>
      <c r="J2156" t="n">
        <v>0</v>
      </c>
      <c r="K2156" t="n">
        <v>0</v>
      </c>
      <c r="L2156" t="n">
        <v>0</v>
      </c>
      <c r="M2156" t="n">
        <v>0</v>
      </c>
      <c r="N2156" t="n">
        <v>0</v>
      </c>
      <c r="O2156" t="n">
        <v>0</v>
      </c>
      <c r="P2156" t="n">
        <v>0</v>
      </c>
      <c r="Q2156" t="n">
        <v>0</v>
      </c>
      <c r="R2156" s="2" t="inlineStr"/>
      <c r="U2156">
        <f>HYPERLINK("https://klasma.github.io/Logging_2482/knärot/A 16410-2025 karta knärot.png", "A 16410-2025")</f>
        <v/>
      </c>
      <c r="V2156">
        <f>HYPERLINK("https://klasma.github.io/Logging_2482/klagomål/A 16410-2025 FSC-klagomål.docx", "A 16410-2025")</f>
        <v/>
      </c>
      <c r="W2156">
        <f>HYPERLINK("https://klasma.github.io/Logging_2482/klagomålsmail/A 16410-2025 FSC-klagomål mail.docx", "A 16410-2025")</f>
        <v/>
      </c>
      <c r="X2156">
        <f>HYPERLINK("https://klasma.github.io/Logging_2482/tillsyn/A 16410-2025 tillsynsbegäran.docx", "A 16410-2025")</f>
        <v/>
      </c>
      <c r="Y2156">
        <f>HYPERLINK("https://klasma.github.io/Logging_2482/tillsynsmail/A 16410-2025 tillsynsbegäran mail.docx", "A 16410-2025")</f>
        <v/>
      </c>
    </row>
    <row r="2157" ht="15" customHeight="1">
      <c r="A2157" t="inlineStr">
        <is>
          <t>A 45779-2025</t>
        </is>
      </c>
      <c r="B2157" s="1" t="n">
        <v>45923</v>
      </c>
      <c r="C2157" s="1" t="n">
        <v>45931</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46103-2025</t>
        </is>
      </c>
      <c r="B2158" s="1" t="n">
        <v>45924.55184027777</v>
      </c>
      <c r="C2158" s="1" t="n">
        <v>45931</v>
      </c>
      <c r="D2158" t="inlineStr">
        <is>
          <t>VÄSTERBOTTENS LÄN</t>
        </is>
      </c>
      <c r="E2158" t="inlineStr">
        <is>
          <t>SKELLEFTEÅ</t>
        </is>
      </c>
      <c r="F2158" t="inlineStr">
        <is>
          <t>Holmen skog AB</t>
        </is>
      </c>
      <c r="G2158" t="n">
        <v>8.699999999999999</v>
      </c>
      <c r="H2158" t="n">
        <v>0</v>
      </c>
      <c r="I2158" t="n">
        <v>0</v>
      </c>
      <c r="J2158" t="n">
        <v>0</v>
      </c>
      <c r="K2158" t="n">
        <v>0</v>
      </c>
      <c r="L2158" t="n">
        <v>0</v>
      </c>
      <c r="M2158" t="n">
        <v>0</v>
      </c>
      <c r="N2158" t="n">
        <v>0</v>
      </c>
      <c r="O2158" t="n">
        <v>0</v>
      </c>
      <c r="P2158" t="n">
        <v>0</v>
      </c>
      <c r="Q2158" t="n">
        <v>0</v>
      </c>
      <c r="R2158" s="2" t="inlineStr"/>
      <c r="U2158">
        <f>HYPERLINK("https://klasma.github.io/Logging_2482/knärot/A 46103-2025 karta knärot.png", "A 46103-2025")</f>
        <v/>
      </c>
      <c r="V2158">
        <f>HYPERLINK("https://klasma.github.io/Logging_2482/klagomål/A 46103-2025 FSC-klagomål.docx", "A 46103-2025")</f>
        <v/>
      </c>
      <c r="W2158">
        <f>HYPERLINK("https://klasma.github.io/Logging_2482/klagomålsmail/A 46103-2025 FSC-klagomål mail.docx", "A 46103-2025")</f>
        <v/>
      </c>
      <c r="X2158">
        <f>HYPERLINK("https://klasma.github.io/Logging_2482/tillsyn/A 46103-2025 tillsynsbegäran.docx", "A 46103-2025")</f>
        <v/>
      </c>
      <c r="Y2158">
        <f>HYPERLINK("https://klasma.github.io/Logging_2482/tillsynsmail/A 46103-2025 tillsynsbegäran mail.docx", "A 46103-2025")</f>
        <v/>
      </c>
    </row>
    <row r="2159" ht="15" customHeight="1">
      <c r="A2159" t="inlineStr">
        <is>
          <t>A 58829-2024</t>
        </is>
      </c>
      <c r="B2159" s="1" t="n">
        <v>45636</v>
      </c>
      <c r="C2159" s="1" t="n">
        <v>45931</v>
      </c>
      <c r="D2159" t="inlineStr">
        <is>
          <t>VÄSTERBOTTENS LÄN</t>
        </is>
      </c>
      <c r="E2159" t="inlineStr">
        <is>
          <t>SKELLEFTEÅ</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45654-2025</t>
        </is>
      </c>
      <c r="B2160" s="1" t="n">
        <v>45923.33994212963</v>
      </c>
      <c r="C2160" s="1" t="n">
        <v>45931</v>
      </c>
      <c r="D2160" t="inlineStr">
        <is>
          <t>VÄSTERBOTTENS LÄN</t>
        </is>
      </c>
      <c r="E2160" t="inlineStr">
        <is>
          <t>SKELLEFTEÅ</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45658-2025</t>
        </is>
      </c>
      <c r="B2161" s="1" t="n">
        <v>45923.34459490741</v>
      </c>
      <c r="C2161" s="1" t="n">
        <v>45931</v>
      </c>
      <c r="D2161" t="inlineStr">
        <is>
          <t>VÄSTERBOTTENS LÄN</t>
        </is>
      </c>
      <c r="E2161" t="inlineStr">
        <is>
          <t>SKELLEFTEÅ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37900-2025</t>
        </is>
      </c>
      <c r="B2162" s="1" t="n">
        <v>45881.56103009259</v>
      </c>
      <c r="C2162" s="1" t="n">
        <v>45931</v>
      </c>
      <c r="D2162" t="inlineStr">
        <is>
          <t>VÄSTERBOTTENS LÄN</t>
        </is>
      </c>
      <c r="E2162" t="inlineStr">
        <is>
          <t>SKELLEFTEÅ</t>
        </is>
      </c>
      <c r="F2162" t="inlineStr">
        <is>
          <t>Holmen skog AB</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45644-2025</t>
        </is>
      </c>
      <c r="B2163" s="1" t="n">
        <v>45923.29819444445</v>
      </c>
      <c r="C2163" s="1" t="n">
        <v>45931</v>
      </c>
      <c r="D2163" t="inlineStr">
        <is>
          <t>VÄSTERBOTTENS LÄN</t>
        </is>
      </c>
      <c r="E2163" t="inlineStr">
        <is>
          <t>SKELLEFTEÅ</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42136-2025</t>
        </is>
      </c>
      <c r="B2164" s="1" t="n">
        <v>45904</v>
      </c>
      <c r="C2164" s="1" t="n">
        <v>45931</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44942-2025</t>
        </is>
      </c>
      <c r="B2165" s="1" t="n">
        <v>45918</v>
      </c>
      <c r="C2165" s="1" t="n">
        <v>45931</v>
      </c>
      <c r="D2165" t="inlineStr">
        <is>
          <t>VÄSTERBOTTENS LÄN</t>
        </is>
      </c>
      <c r="E2165" t="inlineStr">
        <is>
          <t>SKELLEFTEÅ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45787-2025</t>
        </is>
      </c>
      <c r="B2166" s="1" t="n">
        <v>45923.5621875</v>
      </c>
      <c r="C2166" s="1" t="n">
        <v>45931</v>
      </c>
      <c r="D2166" t="inlineStr">
        <is>
          <t>VÄSTERBOTTENS LÄN</t>
        </is>
      </c>
      <c r="E2166" t="inlineStr">
        <is>
          <t>SKELLEFTEÅ</t>
        </is>
      </c>
      <c r="F2166" t="inlineStr">
        <is>
          <t>Holmen skog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37815-2025</t>
        </is>
      </c>
      <c r="B2167" s="1" t="n">
        <v>45881.38259259259</v>
      </c>
      <c r="C2167" s="1" t="n">
        <v>45931</v>
      </c>
      <c r="D2167" t="inlineStr">
        <is>
          <t>VÄSTERBOTTENS LÄN</t>
        </is>
      </c>
      <c r="E2167" t="inlineStr">
        <is>
          <t>SKELLEFTEÅ</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37962-2025</t>
        </is>
      </c>
      <c r="B2168" s="1" t="n">
        <v>45881</v>
      </c>
      <c r="C2168" s="1" t="n">
        <v>45931</v>
      </c>
      <c r="D2168" t="inlineStr">
        <is>
          <t>VÄSTERBOTTENS LÄN</t>
        </is>
      </c>
      <c r="E2168" t="inlineStr">
        <is>
          <t>SKELLEFTEÅ</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45827-2025</t>
        </is>
      </c>
      <c r="B2169" s="1" t="n">
        <v>45923.60094907408</v>
      </c>
      <c r="C2169" s="1" t="n">
        <v>45931</v>
      </c>
      <c r="D2169" t="inlineStr">
        <is>
          <t>VÄSTERBOTTENS LÄN</t>
        </is>
      </c>
      <c r="E2169" t="inlineStr">
        <is>
          <t>SKELLEFTEÅ</t>
        </is>
      </c>
      <c r="F2169" t="inlineStr">
        <is>
          <t>Holmen skog AB</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46496-2025</t>
        </is>
      </c>
      <c r="B2170" s="1" t="n">
        <v>45925.83113425926</v>
      </c>
      <c r="C2170" s="1" t="n">
        <v>45931</v>
      </c>
      <c r="D2170" t="inlineStr">
        <is>
          <t>VÄSTERBOTTENS LÄN</t>
        </is>
      </c>
      <c r="E2170" t="inlineStr">
        <is>
          <t>SKELLEFTEÅ</t>
        </is>
      </c>
      <c r="F2170" t="inlineStr">
        <is>
          <t>Sveaskog</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46822-2025</t>
        </is>
      </c>
      <c r="B2171" s="1" t="n">
        <v>45926.76329861111</v>
      </c>
      <c r="C2171" s="1" t="n">
        <v>45931</v>
      </c>
      <c r="D2171" t="inlineStr">
        <is>
          <t>VÄSTERBOTTENS LÄN</t>
        </is>
      </c>
      <c r="E2171" t="inlineStr">
        <is>
          <t>SKELLEFTEÅ</t>
        </is>
      </c>
      <c r="F2171" t="inlineStr">
        <is>
          <t>Sveaskog</t>
        </is>
      </c>
      <c r="G2171" t="n">
        <v>14.7</v>
      </c>
      <c r="H2171" t="n">
        <v>0</v>
      </c>
      <c r="I2171" t="n">
        <v>0</v>
      </c>
      <c r="J2171" t="n">
        <v>0</v>
      </c>
      <c r="K2171" t="n">
        <v>0</v>
      </c>
      <c r="L2171" t="n">
        <v>0</v>
      </c>
      <c r="M2171" t="n">
        <v>0</v>
      </c>
      <c r="N2171" t="n">
        <v>0</v>
      </c>
      <c r="O2171" t="n">
        <v>0</v>
      </c>
      <c r="P2171" t="n">
        <v>0</v>
      </c>
      <c r="Q2171" t="n">
        <v>0</v>
      </c>
      <c r="R2171" s="2" t="inlineStr"/>
    </row>
    <row r="2172" ht="15" customHeight="1">
      <c r="A2172" t="inlineStr">
        <is>
          <t>A 38539-2025</t>
        </is>
      </c>
      <c r="B2172" s="1" t="n">
        <v>45884.42550925926</v>
      </c>
      <c r="C2172" s="1" t="n">
        <v>45931</v>
      </c>
      <c r="D2172" t="inlineStr">
        <is>
          <t>VÄSTERBOTTENS LÄN</t>
        </is>
      </c>
      <c r="E2172" t="inlineStr">
        <is>
          <t>SKELLEFTEÅ</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46273-2025</t>
        </is>
      </c>
      <c r="B2173" s="1" t="n">
        <v>45925.3700925926</v>
      </c>
      <c r="C2173" s="1" t="n">
        <v>45931</v>
      </c>
      <c r="D2173" t="inlineStr">
        <is>
          <t>VÄSTERBOTTENS LÄN</t>
        </is>
      </c>
      <c r="E2173" t="inlineStr">
        <is>
          <t>SKELLEFTEÅ</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46291-2025</t>
        </is>
      </c>
      <c r="B2174" s="1" t="n">
        <v>45925</v>
      </c>
      <c r="C2174" s="1" t="n">
        <v>45931</v>
      </c>
      <c r="D2174" t="inlineStr">
        <is>
          <t>VÄSTERBOTTENS LÄN</t>
        </is>
      </c>
      <c r="E2174" t="inlineStr">
        <is>
          <t>SKELLEFTEÅ</t>
        </is>
      </c>
      <c r="G2174" t="n">
        <v>2.7</v>
      </c>
      <c r="H2174" t="n">
        <v>0</v>
      </c>
      <c r="I2174" t="n">
        <v>0</v>
      </c>
      <c r="J2174" t="n">
        <v>0</v>
      </c>
      <c r="K2174" t="n">
        <v>0</v>
      </c>
      <c r="L2174" t="n">
        <v>0</v>
      </c>
      <c r="M2174" t="n">
        <v>0</v>
      </c>
      <c r="N2174" t="n">
        <v>0</v>
      </c>
      <c r="O2174" t="n">
        <v>0</v>
      </c>
      <c r="P2174" t="n">
        <v>0</v>
      </c>
      <c r="Q2174" t="n">
        <v>0</v>
      </c>
      <c r="R2174" s="2" t="inlineStr"/>
    </row>
    <row r="2175">
      <c r="A2175" t="inlineStr">
        <is>
          <t>A 38661-2025</t>
        </is>
      </c>
      <c r="B2175" s="1" t="n">
        <v>45884.61168981482</v>
      </c>
      <c r="C2175" s="1" t="n">
        <v>45931</v>
      </c>
      <c r="D2175" t="inlineStr">
        <is>
          <t>VÄSTERBOTTENS LÄN</t>
        </is>
      </c>
      <c r="E2175" t="inlineStr">
        <is>
          <t>SKELLEFTEÅ</t>
        </is>
      </c>
      <c r="F2175" t="inlineStr">
        <is>
          <t>Holmen skog AB</t>
        </is>
      </c>
      <c r="G2175" t="n">
        <v>1.3</v>
      </c>
      <c r="H2175" t="n">
        <v>0</v>
      </c>
      <c r="I2175" t="n">
        <v>0</v>
      </c>
      <c r="J2175" t="n">
        <v>0</v>
      </c>
      <c r="K2175" t="n">
        <v>0</v>
      </c>
      <c r="L2175" t="n">
        <v>0</v>
      </c>
      <c r="M2175" t="n">
        <v>0</v>
      </c>
      <c r="N2175" t="n">
        <v>0</v>
      </c>
      <c r="O2175" t="n">
        <v>0</v>
      </c>
      <c r="P2175" t="n">
        <v>0</v>
      </c>
      <c r="Q2175" t="n">
        <v>0</v>
      </c>
      <c r="R2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2025-10-01T12:53:25Z</dcterms:created>
  <dcterms:modified xmlns:dcterms="http://purl.org/dc/terms/" xmlns:xsi="http://www.w3.org/2001/XMLSchema-instance" xsi:type="dcterms:W3CDTF">2025-10-01T12:53:27Z</dcterms:modified>
</cp:coreProperties>
</file>