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45744</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45744</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45744</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45744</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45744</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45744</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45744</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45744</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45744</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45744</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45744</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45744</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45744</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45744</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45744</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45744</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45744</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45744</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45744</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45744</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45744</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45744</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45744</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45744</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45744</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45744</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45744</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45744</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45744</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45744</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45744</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45744</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45744</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45744</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45744</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45744</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45744</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45744</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45744</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45744</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45744</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45744</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45744</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45744</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45744</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45744</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45744</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45744</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45744</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45744</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45744</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45744</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45744</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45744</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45744</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45744</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45744</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45744</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45744</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45744</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45744</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45744</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45744</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45744</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45744</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45744</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45744</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45744</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45744</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45744</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45744</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45744</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45744</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45744</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45744</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45744</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45744</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45744</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45744</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45744</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45744</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45744</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45744</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45744</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45744</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45744</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45744</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45744</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45744</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45744</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45744</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45744</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45744</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45744</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45744</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45744</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45744</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45744</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45744</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45744</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45744</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45744</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45744</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45744</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45744</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45744</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45744</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45744</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45744</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45744</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45744</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45744</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45744</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45744</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45744</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45744</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45744</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45744</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45744</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45744</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45744</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45744</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45744</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45744</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45744</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45744</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45744</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45744</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45744</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45744</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45744</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45744</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45744</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45744</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45744</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45744</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45744</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45744</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45744</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45744</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45744</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45744</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45744</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45744</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45744</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45744</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45744</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45744</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45744</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45744</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45744</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45744</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45744</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45744</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45744</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45744</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45744</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45744</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45744</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45744</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14391-2025</t>
        </is>
      </c>
      <c r="B179" s="1" t="n">
        <v>45741</v>
      </c>
      <c r="C179" s="1" t="n">
        <v>45744</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HYPERLINK("https://klasma.github.io/Logging_2482/artfynd/A 14391-2025 artfynd.xlsx", "A 14391-2025")</f>
        <v/>
      </c>
      <c r="T179">
        <f>HYPERLINK("https://klasma.github.io/Logging_2482/kartor/A 14391-2025 karta.png", "A 14391-2025")</f>
        <v/>
      </c>
      <c r="V179">
        <f>HYPERLINK("https://klasma.github.io/Logging_2482/klagomål/A 14391-2025 FSC-klagomål.docx", "A 14391-2025")</f>
        <v/>
      </c>
      <c r="W179">
        <f>HYPERLINK("https://klasma.github.io/Logging_2482/klagomålsmail/A 14391-2025 FSC-klagomål mail.docx", "A 14391-2025")</f>
        <v/>
      </c>
      <c r="X179">
        <f>HYPERLINK("https://klasma.github.io/Logging_2482/tillsyn/A 14391-2025 tillsynsbegäran.docx", "A 14391-2025")</f>
        <v/>
      </c>
      <c r="Y179">
        <f>HYPERLINK("https://klasma.github.io/Logging_2482/tillsynsmail/A 14391-2025 tillsynsbegäran mail.docx", "A 14391-2025")</f>
        <v/>
      </c>
      <c r="Z179">
        <f>HYPERLINK("https://klasma.github.io/Logging_2482/fåglar/A 14391-2025 prioriterade fågelarter.docx", "A 14391-2025")</f>
        <v/>
      </c>
    </row>
    <row r="180" ht="15" customHeight="1">
      <c r="A180" t="inlineStr">
        <is>
          <t>A 20465-2019</t>
        </is>
      </c>
      <c r="B180" s="1" t="n">
        <v>43572</v>
      </c>
      <c r="C180" s="1" t="n">
        <v>45744</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45744</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45744</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45744</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45744</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45744</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45744</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45744</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45744</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45744</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45744</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45744</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45744</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45744</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45744</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45744</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45744</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45744</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45744</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45744</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45744</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45744</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45744</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45744</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45744</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45744</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45744</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45744</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45744</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45744</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45744</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45744</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45744</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45744</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45744</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45744</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45744</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45744</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45744</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45744</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45744</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45744</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45744</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45744</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45744</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45744</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45744</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45744</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45744</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45744</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45744</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45744</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45744</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45744</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45744</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45744</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45744</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45744</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45744</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45744</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45744</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45744</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45744</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45744</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45744</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45744</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45744</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45744</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45744</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45744</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45744</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45744</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45744</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45744</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45744</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45744</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45744</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45744</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45744</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45744</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45744</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45744</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45744</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45744</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45744</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HYPERLINK("https://klasma.github.io/Logging_2482/artfynd/A 9446-2025 artfynd.xlsx", "A 9446-2025")</f>
        <v/>
      </c>
      <c r="T264">
        <f>HYPERLINK("https://klasma.github.io/Logging_2482/kartor/A 9446-2025 karta.png", "A 9446-2025")</f>
        <v/>
      </c>
      <c r="V264">
        <f>HYPERLINK("https://klasma.github.io/Logging_2482/klagomål/A 9446-2025 FSC-klagomål.docx", "A 9446-2025")</f>
        <v/>
      </c>
      <c r="W264">
        <f>HYPERLINK("https://klasma.github.io/Logging_2482/klagomålsmail/A 9446-2025 FSC-klagomål mail.docx", "A 9446-2025")</f>
        <v/>
      </c>
      <c r="X264">
        <f>HYPERLINK("https://klasma.github.io/Logging_2482/tillsyn/A 9446-2025 tillsynsbegäran.docx", "A 9446-2025")</f>
        <v/>
      </c>
      <c r="Y264">
        <f>HYPERLINK("https://klasma.github.io/Logging_2482/tillsynsmail/A 9446-2025 tillsynsbegäran mail.docx", "A 9446-2025")</f>
        <v/>
      </c>
    </row>
    <row r="265" ht="15" customHeight="1">
      <c r="A265" t="inlineStr">
        <is>
          <t>A 18072-2019</t>
        </is>
      </c>
      <c r="B265" s="1" t="n">
        <v>43557</v>
      </c>
      <c r="C265" s="1" t="n">
        <v>45744</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45744</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45744</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45744</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45744</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45744</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45744</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45744</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45744</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45744</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45744</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45744</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45744</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45744</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45744</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45744</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45744</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45744</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45744</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45744</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45744</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45744</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45744</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45744</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45744</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45744</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45744</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45744</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45744</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45744</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45744</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45744</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45744</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45744</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45744</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45744</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45744</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45744</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45744</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45744</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45744</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45744</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45744</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45744</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45744</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45744</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45744</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45744</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45744</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45744</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45744</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45744</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45744</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45744</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45744</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45744</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45744</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45744</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45744</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45744</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45744</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45744</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45744</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45744</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45744</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45744</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45744</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45744</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45744</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45744</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45744</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45744</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45744</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45744</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45744</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45744</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45744</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45744</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45744</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45744</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45744</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45744</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45744</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45744</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45744</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45744</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45744</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45744</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45744</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45744</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45744</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45744</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45744</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45744</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45744</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45744</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45744</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45744</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45744</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45744</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45744</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45744</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45744</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45744</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45744</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45744</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45744</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45744</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45744</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45744</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45744</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45744</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45744</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45744</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45744</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45744</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45744</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45744</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45744</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45744</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45744</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45744</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45744</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45744</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45744</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45744</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45744</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45744</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45744</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45744</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45744</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45744</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45744</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45744</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45744</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45744</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45744</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45744</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45744</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45744</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45744</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45744</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45744</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45744</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45744</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45744</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45744</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45744</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45744</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45744</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45744</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45744</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45744</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45744</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45744</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45744</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45744</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45744</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45744</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45744</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45744</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45744</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45744</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45744</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45744</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45744</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45744</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45744</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45744</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45744</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45744</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45744</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45744</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45744</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45744</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45744</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45744</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45744</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45744</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45744</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45744</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45744</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45744</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45744</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45744</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45744</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45744</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45744</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45744</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45744</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45744</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45744</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45744</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45744</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45744</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45744</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45744</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45744</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45744</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45744</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45744</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45744</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45744</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45744</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45744</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45744</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45744</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45744</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45744</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45744</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45744</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45744</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45744</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45744</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45744</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45744</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45744</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45744</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45744</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45744</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45744</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45744</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45744</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45744</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45744</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45744</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45744</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45744</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45744</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45744</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45744</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45744</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45744</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45744</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45744</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45744</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45744</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45744</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45744</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45744</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45744</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45744</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45744</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45744</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45744</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45744</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45744</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45744</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45744</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45744</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45744</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45744</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45744</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45744</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45744</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45744</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45744</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45744</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45744</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45744</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45744</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45744</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45744</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45744</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45744</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45744</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45744</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45744</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45744</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45744</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45744</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45744</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45744</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45744</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45744</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45744</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45744</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45744</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45744</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45744</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45744</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45744</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45744</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45744</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45744</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45744</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45744</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45744</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45744</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45744</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45744</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45744</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45744</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45744</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45744</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45744</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45744</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45744</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45744</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45744</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45744</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45744</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45744</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45744</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45744</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45744</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45744</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45744</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45744</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45744</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45744</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45744</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45744</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45744</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45744</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45744</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45744</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45744</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45744</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45744</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45744</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45744</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45744</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45744</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45744</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45744</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45744</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45744</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45744</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45744</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45744</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45744</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45744</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45744</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45744</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45744</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45744</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45744</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45744</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45744</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45744</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45744</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45744</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45744</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45744</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45744</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45744</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45744</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45744</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45744</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45744</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45744</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45744</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45744</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45744</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45744</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45744</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45744</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45744</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45744</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45744</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45744</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45744</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45744</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45744</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45744</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45744</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45744</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45744</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45744</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45744</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45744</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45744</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45744</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45744</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45744</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45744</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45744</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45744</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45744</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45744</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45744</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45744</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45744</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45744</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45744</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45744</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45744</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45744</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45744</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45744</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45744</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45744</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45744</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45744</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45744</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45744</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45744</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45744</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45744</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45744</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45744</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45744</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45744</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45744</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45744</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45744</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45744</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45744</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45744</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45744</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45744</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45744</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45744</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45744</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45744</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45744</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45744</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45744</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45744</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45744</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45744</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45744</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45744</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45744</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45744</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45744</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45744</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45744</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45744</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45744</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45744</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45744</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45744</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45744</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45744</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45744</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45744</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45744</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45744</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45744</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45744</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45744</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45744</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45744</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45744</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45744</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45744</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45744</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45744</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45744</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45744</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45744</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45744</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45744</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45744</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45744</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45744</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45744</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45744</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45744</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45744</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45744</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45744</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45744</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45744</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45744</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45744</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45744</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45744</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45744</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45744</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45744</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45744</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45744</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45744</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45744</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45744</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45744</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45744</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45744</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45744</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45744</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45744</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45744</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45744</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45744</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45744</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45744</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45744</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45744</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45744</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45744</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45744</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45744</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45744</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45744</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45744</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45744</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45744</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45744</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45744</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45744</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45744</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45744</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45744</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45744</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45744</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45744</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45744</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45744</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45744</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45744</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45744</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45744</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45744</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45744</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45744</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45744</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45744</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45744</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45744</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45744</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45744</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45744</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45744</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45744</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45744</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45744</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45744</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45744</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45744</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45744</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45744</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45744</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45744</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45744</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45744</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45744</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45744</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45744</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45744</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45744</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45744</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45744</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45744</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45744</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45744</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45744</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45744</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45744</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45744</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45744</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45744</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45744</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45744</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45744</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45744</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45744</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45744</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45744</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45744</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45744</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45744</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45744</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45744</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45744</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45744</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45744</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45744</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45744</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45744</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45744</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45744</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45744</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45744</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45744</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45744</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45744</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45744</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45744</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45744</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45744</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45744</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45744</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45744</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45744</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45744</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45744</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45744</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45744</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45744</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45744</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45744</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45744</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45744</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45744</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45744</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45744</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45744</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45744</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45744</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45744</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45744</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45744</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45744</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45744</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45744</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45744</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45744</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45744</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45744</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45744</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45744</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45744</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45744</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45744</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45744</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45744</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45744</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45744</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45744</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45744</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45744</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45744</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45744</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45744</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45744</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45744</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45744</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45744</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45744</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45744</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45744</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45744</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45744</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45744</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45744</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45744</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45744</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45744</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45744</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45744</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45744</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45744</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45744</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45744</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45744</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45744</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45744</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45744</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45744</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45744</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45744</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45744</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45744</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45744</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45744</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45744</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45744</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45744</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45744</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45744</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45744</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45744</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45744</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45744</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45744</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45744</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45744</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45744</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45744</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45744</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45744</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45744</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45744</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45744</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45744</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45744</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45744</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45744</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45744</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45744</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45744</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45744</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45744</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45744</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45744</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45744</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45744</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45744</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45744</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45744</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45744</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45744</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45744</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45744</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45744</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45744</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45744</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45744</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45744</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45744</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45744</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45744</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45744</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45744</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45744</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45744</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45744</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45744</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45744</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45744</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45744</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45744</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45744</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45744</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45744</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45744</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45744</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45744</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45744</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45744</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45744</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45744</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45744</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45744</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45744</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45744</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45744</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45744</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45744</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45744</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45744</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45744</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45744</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45744</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45744</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45744</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45744</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45744</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45744</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45744</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45744</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45744</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45744</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45744</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45744</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45744</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45744</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45744</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45744</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45744</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45744</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45744</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45744</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45744</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45744</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45744</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45744</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45744</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45744</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45744</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45744</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45744</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45744</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45744</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45744</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45744</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45744</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45744</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45744</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45744</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45744</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45744</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45744</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45744</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45744</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45744</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45744</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45744</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45744</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45744</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45744</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45744</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45744</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45744</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45744</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45744</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45744</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45744</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45744</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45744</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45744</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45744</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45744</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45744</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45744</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45744</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45744</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45744</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45744</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45744</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45744</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45744</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45744</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45744</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45744</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45744</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45744</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45744</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45744</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45744</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45744</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45744</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45744</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45744</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45744</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45744</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45744</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45744</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45744</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45744</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45744</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45744</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45744</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45744</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45744</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45744</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45744</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45744</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45744</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45744</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45744</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45744</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45744</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45744</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45744</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45744</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45744</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45744</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45744</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45744</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45744</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45744</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45744</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45744</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45744</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45744</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45744</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45744</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45744</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45744</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45744</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45744</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45744</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45744</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45744</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45744</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45744</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45744</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45744</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45744</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45744</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45744</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45744</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45744</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45744</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45744</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45744</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45744</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45744</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45744</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45744</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45744</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45744</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45744</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45744</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45744</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45744</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45744</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45744</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45744</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45744</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45744</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45744</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45744</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45744</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45744</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45744</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45744</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45744</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45744</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45744</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45744</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45744</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45744</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45744</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45744</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45744</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45744</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45744</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45744</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45744</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45744</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45744</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45744</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45744</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45744</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45744</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45744</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45744</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45744</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45744</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45744</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45744</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45744</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45744</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45744</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45744</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45744</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45744</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45744</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45744</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45744</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45744</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45744</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45744</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45744</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45744</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45744</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45744</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45744</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45744</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45744</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45744</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45744</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45744</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45744</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45744</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45744</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45744</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45744</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45744</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45744</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45744</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45744</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45744</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45744</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45744</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45744</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45744</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45744</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45744</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45744</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45744</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45744</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45744</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45744</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45744</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45744</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45744</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45744</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45744</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45744</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45744</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45744</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45744</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45744</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45744</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45744</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45744</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45744</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45744</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45744</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45744</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45744</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45744</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45744</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45744</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45744</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45744</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45744</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45744</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45744</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45744</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45744</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45744</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45744</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45744</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45744</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45744</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45744</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45744</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45744</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45744</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45744</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45744</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45744</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45744</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45744</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45744</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45744</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45744</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45744</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45744</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45744</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45744</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45744</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45744</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45744</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45744</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45744</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45744</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45744</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45744</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45744</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45744</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45744</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45744</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45744</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45744</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45744</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45744</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45744</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45744</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45744</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45744</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45744</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45744</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45744</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45744</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45744</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45744</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45744</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45744</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45744</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45744</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45744</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45744</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45744</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45744</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45744</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45744</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45744</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45744</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45744</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45744</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45744</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45744</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45744</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45744</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45744</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45744</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45744</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45744</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45744</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45744</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45744</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45744</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45744</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45744</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45744</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45744</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45744</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45744</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45744</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45744</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45744</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45744</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45744</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45744</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45744</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45744</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45744</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45744</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45744</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45744</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45744</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45744</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45744</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45744</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45744</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45744</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45744</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45744</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45744</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45744</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45744</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45744</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45744</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45744</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45744</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45744</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45744</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45744</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45744</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45744</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45744</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45744</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45744</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45744</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45744</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45744</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45744</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45744</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45744</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45744</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45744</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45744</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45744</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45744</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45744</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45744</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45744</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45744</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45744</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45744</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45744</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45744</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45744</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45744</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45744</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45744</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45744</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45744</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45744</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45744</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45744</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45744</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45744</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45744</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45744</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45744</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45744</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45744</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45744</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45744</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45744</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45744</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45744</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45744</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45744</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45744</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45744</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45744</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45744</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45744</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45744</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45744</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45744</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45744</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45744</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45744</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45744</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45744</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45744</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45744</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45744</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45744</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45744</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45744</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45744</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45744</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45744</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45744</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45744</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45744</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45744</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45744</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45744</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45744</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45744</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45744</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45744</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45744</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45744</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45744</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45744</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45744</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45744</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45744</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45744</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45744</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45744</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45744</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45744</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45744</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45744</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45744</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45744</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45744</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45744</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45744</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45744</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45744</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45744</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45744</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45744</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45744</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45744</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45744</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45744</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45744</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45744</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45744</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45744</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45744</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45744</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45744</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45744</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45744</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45744</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45744</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45744</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45744</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45744</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45744</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45744</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45744</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45744</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45744</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45744</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45744</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45744</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45744</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45744</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45744</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45744</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45744</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45744</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45744</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45744</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45744</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45744</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45744</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45744</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45744</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45744</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45744</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45744</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45744</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45744</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45744</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45744</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45744</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45744</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45744</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45744</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45744</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45744</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45744</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45744</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45744</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45744</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45744</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45744</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45744</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45744</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45744</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45744</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45744</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45744</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45744</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45744</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45744</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45744</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45744</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45744</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45744</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45744</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45744</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45744</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45744</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45744</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45744</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45744</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45744</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45744</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45744</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45744</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45744</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45744</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45744</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45744</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45744</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45744</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45744</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45744</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45744</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45744</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45744</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45744</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45744</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45744</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45744</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45744</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45744</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45744</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45744</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45744</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45744</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45744</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45744</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45744</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45744</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45744</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45744</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45744</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45744</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45744</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45744</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45744</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45744</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45744</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45744</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45744</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45744</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45744</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45744</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45744</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45744</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45744</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45744</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45744</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45744</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45744</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45744</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45744</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45744</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45744</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45744</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45744</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45744</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45744</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45744</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45744</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45744</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45744</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45744</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45744</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45744</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45744</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45744</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45744</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45744</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45744</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45744</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45744</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45744</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45744</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45744</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45744</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45744</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45744</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45744</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45744</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45744</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45744</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45744</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45744</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45744</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45744</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45744</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45744</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45744</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45744</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45744</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45744</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45744</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45744</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45744</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45744</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45744</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45744</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45744</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45744</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45744</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45744</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45744</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45744</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45744</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45744</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45744</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45744</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45744</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45744</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45744</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45744</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45744</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45744</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45744</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45744</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45744</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45744</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45744</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45744</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45744</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45744</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45744</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45744</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45744</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45744</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45744</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45744</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45744</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45744</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45744</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45744</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45744</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45744</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45744</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45744</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45744</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45744</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45744</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45744</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45744</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45744</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45744</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45744</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45744</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45744</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45744</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45744</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45744</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45744</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45744</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45744</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45744</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45744</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45744</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45744</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45744</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45744</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45744</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45744</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45744</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45744</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45744</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45744</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45744</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45744</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45744</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45744</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45744</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45744</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45744</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45744</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45744</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45744</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45744</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45744</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45744</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45744</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45744</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45744</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45744</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45744</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45744</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45744</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45744</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45744</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45744</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45744</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45744</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45744</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45744</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45744</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45744</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45744</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45744</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45744</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45744</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45744</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45744</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45744</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45744</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45744</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45744</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45744</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45744</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45744</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45744</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45744</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45744</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45744</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45744</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45744</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45744</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45744</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45744</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45744</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45744</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45744</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45744</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45744</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45744</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45744</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45744</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45744</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45744</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45744</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45744</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45744</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45744</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45744</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45744</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45744</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45744</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45744</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45744</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45744</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45744</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45744</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45744</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45744</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45744</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45744</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45744</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45744</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45744</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45744</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45744</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45744</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45744</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45744</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45744</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45744</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45744</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45744</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45744</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45744</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45744</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45744</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45744</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45744</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45744</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45744</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45744</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45744</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45744</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45744</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45744</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45744</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45744</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45744</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45744</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45744</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45744</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45744</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45744</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45744</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45744</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45744</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45744</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45744</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45744</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45744</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45744</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45744</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45744</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45744</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45744</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45744</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45744</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45744</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45744</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45744</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45744</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45744</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45744</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45744</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45744</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45744</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45744</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45744</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45744</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45744</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45744</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45744</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45744</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45744</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45744</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45744</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45744</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45744</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45744</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45744</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45744</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45744</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45744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45744</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45744</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45744</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45744</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45744</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45744</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45744</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45744</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45744</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45744</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45744</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45744</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45744</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45744</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45744</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45744</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45744</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45744</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45744</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45744</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45744</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45744</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45744</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45744</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45744</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45744</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45744</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45744</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45744</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45744</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45744</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45744</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45744</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45744</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45744</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45744</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45744</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45744</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45744</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45744</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45744</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45744</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45744</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45744</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45744</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45744</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45744</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45744</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45744</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45744</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45744</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45744</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45744</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45744</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45744</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45744</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45744</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45744</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45744</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45744</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45744</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45744</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45744</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45744</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45744</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45744</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45744</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45744</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45744</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45744</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45744</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45744</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45744</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45744</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45744</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45744</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45744</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45744</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45744</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45744</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45744</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45744</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45744</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45744</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45744</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45744</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45744</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45744</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45744</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45744</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45744</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45744</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45744</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45744</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45744</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45744</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45744</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45744</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45744</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45744</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45744</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45744</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45744</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45744</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45744</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45744</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45744</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45744</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45744</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45744</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45744</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45744</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45744</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45744</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45744</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45744</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45744</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45744</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45744</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45744</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45744</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45744</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45744</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45744</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45744</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45744</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45744</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45744</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45744</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45744</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45744</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45744</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45744</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45744</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45744</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45744</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45744</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45744</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45744</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45744</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45744</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45744</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45744</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45744</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45744</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45744</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45744</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45744</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45744</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45744</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45744</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45744</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45744</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45744</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45744</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45744</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45744</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45744</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45744</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45744</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45744</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45744</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45744</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45744</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45744</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45744</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45744</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45744</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45744</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45744</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45744</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45744</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45744</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45744</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45744</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45744</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45744</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45744</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45744</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45744</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45744</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45744</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45744</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45744</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45744</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45744</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45744</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45744</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45744</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45744</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45744</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45744</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45744</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45744</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45744</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45744</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45744</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45744</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45744</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45744</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45744</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45744</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45744</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45744</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45744</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45744</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45744</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45744</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45744</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45744</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45744</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45744</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45744</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45744</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45744</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45744</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45744</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45744</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45744</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45744</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45744</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45744</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45744</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45744</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45744</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45744</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45744</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45744</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45744</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45744</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45744</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45744</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45744</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45744</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45744</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45744</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45744</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45744</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45744</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45744</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45744</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45744</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45744</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45744</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45744</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45744</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45744</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45744</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45744</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45744</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45744</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45744</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45744</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45744</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45744</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45744</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45744</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45744</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45744</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45744</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45744</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45744</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45744</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45744</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45744</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45744</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45744</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45744</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45744</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45744</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45744</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45744</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45744</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45744</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45744</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45744</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45744</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45744</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45744</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45744</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45744</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45744</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45744</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45744</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45744</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45744</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45744</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45744</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45744</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45744</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45744</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45744</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45744</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45744</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45744</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45744</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45744</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45744</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45744</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45744</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45744</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45744</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45744</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45744</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45744</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45744</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45744</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45744</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45744</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45744</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45744</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45744</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45744</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45744</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45744</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45744</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45744</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45744</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45744</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45744</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45744</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45744</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45744</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45744</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45744</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45744</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45744</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45744</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45744</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45744</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45744</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45744</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45744</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45744</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45744</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45744</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45744</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45744</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45744</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45744</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45744</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45744</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45744</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45744</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45744</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45744</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45744</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45744</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45744</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45744</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45744</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45744</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45744</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45744</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45744</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45744</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45744</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45744</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45744</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45744</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45744</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45744</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45744</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45744</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45744</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45744</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45744</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45744</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45744</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45744</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45744</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45744</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45744</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45744</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45744</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45744</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45744</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45744</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45744</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45744</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45744</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45744</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45744</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45744</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45744</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45744</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45744</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45744</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45744</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45744</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45744</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45744</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45744</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45744</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45744</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45744</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45744</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45744</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45744</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45744</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45744</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45744</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45744</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45744</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45744</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45744</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45744</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45744</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45744</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45744</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45744</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45744</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45744</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45744</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45744</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45744</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45744</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45744</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45744</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45744</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45744</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45744</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45744</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45744</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45744</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45744</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45744</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45744</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45744</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45744</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45744</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45744</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45744</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45744</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45744</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45744</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45744</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45744</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45744</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45744</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45744</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45744</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45744</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45744</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45744</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45744</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45744</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45744</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45744</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45744</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45744</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45744</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45744</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45744</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45744</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45744</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45744</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45744</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45744</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45744</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45744</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45744</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45744</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45744</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45744</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45744</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45744</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45744</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45744</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45744</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45744</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45744</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45744</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45744</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45744</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45744</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45744</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45744</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45744</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45744</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45744</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45744</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45744</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45744</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45744</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45744</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45744</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45744</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45744</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45744</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45744</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45744</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45744</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45744</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45744</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45744</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45744</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45744</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45744</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45744</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45744</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45744</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45744</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45744</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45744</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45744</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45744</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45744</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45744</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45744</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45744</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45744</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45744</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45744</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45744</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45744</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45744</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45744</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45744</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45744</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45744</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45744</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45744</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45744</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45744</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45744</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45744</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45744</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45744</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45744</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45744</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45744</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45744</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45744</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45744</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45744</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45744</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45744</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45744</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45744</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45744</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45744</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45744</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45744</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45744</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45744</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45744</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45744</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45744</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45744</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45744</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45744</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45744</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45744</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45744</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45744</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45744</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45744</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45744</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45744</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45744</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45744</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45744</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45744</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45744</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45744</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45744</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45744</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45744</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45744</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45744</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45744</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45744</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45744</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45744</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45744</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45744</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45744</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45744</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45744</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45744</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45744</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45744</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45744</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45744</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45744</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45744</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45744</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45744</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45744</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45744</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45744</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45744</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45744</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45744</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45744</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45744</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45744</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45744</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45744</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45744</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45744</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45744</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45744</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45744</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45744</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45744</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45744</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45744</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45744</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45744</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45744</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45744</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45744</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45744</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45744</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45744</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45744</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45744</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45744</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45744</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45744</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45744</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45744</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45744</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45744</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45744</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45744</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45744</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45744</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45744</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45744</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45744</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45744</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45744</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45744</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45744</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45744</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45744</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45744</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45744</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45744</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45744</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45744</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45744</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45744</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45744</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45744</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45744</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45744</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45744</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45744</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45744</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45744</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45744</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45744</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45744</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45744</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45744</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45744</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45744</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45744</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45744</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45744</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45744</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45744</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45744</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45744</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45744</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45744</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45744</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45744</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45744</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45744</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45744</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45744</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45744</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45744</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45744</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45744</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45744</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45744</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45744</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45744</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45744</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45744</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45744</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45744</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45744</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45744</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45744</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45744</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45744</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45744</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45744</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45744</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45744</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45744</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45744</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45744</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45744</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45744</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45744</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45744</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45744</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45744</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45744</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45744</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45744</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45744</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45744</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45744</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45744</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45744</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45744</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45744</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45744</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45744</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45744</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45744</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45744</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45744</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45744</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45744</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45744</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45744</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45744</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45744</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45744</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45744</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45744</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45744</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45744</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45744</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45744</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45744</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45744</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45744</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45744</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45744</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45744</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45744</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45744</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45744</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45744</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45744</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45744</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45744</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45744</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45744</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45744</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45744</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45744</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45744</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45744</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45744</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45744</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45744</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45744</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45744</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45744</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45744</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45744</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45744</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45744</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45744</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45744</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45744</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45744</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45744</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45744</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45744</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45744</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45744</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45744</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45744</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45744</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45744</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45744</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45744</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45744</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45744</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45744</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45744</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45744</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45744</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45744</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45744</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45744</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45744</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45744</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45744</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45744</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45744</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45744</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45744</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45744</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45744</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45744</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45744</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45744</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45744</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45744</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45744</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45744</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45744</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45744</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45744</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45744</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45744</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45744</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45744</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45744</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45744</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45744</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45744</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45744</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45744</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45744</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45744</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45744</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45744</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45744</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45744</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45744</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45744</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45744</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45744</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45744</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45744</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45744</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45744</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45744</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45744</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45744</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45744</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45744</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45744</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45744</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45744</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45744</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45744</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45744</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45744</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45744</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45744</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45744</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45744</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45744</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45744</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45744</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45744</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45744</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45744</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45744</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45744</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45744</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45744</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45744</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45744</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45744</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45744</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45744</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45744</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45744</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45744</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45744</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45744</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45744</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45744</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45744</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45744</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45744</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45744</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45744</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45744</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45744</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45744</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45744</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45744</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45744</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45744</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45744</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45744</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45744</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45744</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45744</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45744</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45744</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45744</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45744</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45744</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45744</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45744</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45744</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45744</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45744</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45744</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45744</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45744</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45744</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45744</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45744</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45744</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45744</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45744</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45744</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45744</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45744</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45744</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45744</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45744</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45744</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45744</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45744</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45744</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45744</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45744</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45744</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45744</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45744</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45744</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45744</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45744</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45744</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45744</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45744</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45744</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45744</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45744</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45744</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45744</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45744</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45744</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45744</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45744</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45744</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45744</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45744</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45744</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45744</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45744</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45744</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45744</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45744</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45744</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45744</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45744</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45744</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45744</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45744</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45744</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45744</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45744</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45744</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45744</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45744</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45744</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45744</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45744</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45744</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45744</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45744</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45744</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45744</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45744</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45744</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45744</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45744</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45744</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45744</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45744</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45744</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45744</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45744</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45744</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45744</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45744</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45744</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45744</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45744</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45744</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45744</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45744</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45744</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45744</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45744</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45744</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45744</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45744</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45744</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45744</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45744</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45744</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45744</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45744</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45744</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45744</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45744</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45744</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45744</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45744</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45744</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45744</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45744</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45744</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45744</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45744</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45744</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45744</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45744</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45744</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45744</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45744</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45744</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45744</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45744</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45744</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45744</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45744</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45744</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45744</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45744</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45744</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45744</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45744</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45744</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45744</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45744</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45744</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45744</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45744</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45744</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45744</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45744</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45744</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45744</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45744</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45744</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45744</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45744</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45744</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45744</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45744</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45744</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45744</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45744</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45744</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45744</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45744</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45744</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45744</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45744</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45744</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45744</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45744</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45744</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45744</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45744</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45744</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45744</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45744</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45744</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45744</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45744</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45744</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45744</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45744</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45744</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45744</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45744</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45744</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45744</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45744</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45744</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45744</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45744</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45744</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45744</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45744</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45744</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45744</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45744</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45744</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45744</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45744</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45744</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45744</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45744</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45744</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45744</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45744</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45744</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45744</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45744</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45744</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45744</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45744</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45744</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45744</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45744</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45744</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45744</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45744</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45744</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45744</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45744</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45744</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45744</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45744</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45744</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45744</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45744</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45744</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45744</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45744</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45744</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45744</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45744</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45744</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45744</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45744</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45744</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45744</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45744</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45744</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45744</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45744</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45744</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45744</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45744</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45744</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45744</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45744</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45744</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45744</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45744</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45744</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45744</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45744</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45744</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45744</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45744</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45744</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45744</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45744</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45744</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45744</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45744</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45744</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45744</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45744</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45744</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45744</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45744</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45744</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45744</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45744</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45744</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45744</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45744</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45744</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45744</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45744</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45744</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45744</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45744</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45744</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45744</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45744</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45744</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45744</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45744</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45744</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45744</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45744</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45744</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45744</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45744</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45744</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45744</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45744</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45744</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45744</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45744</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45744</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45744</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45744</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45744</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45744</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45744</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45744</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45744</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45744</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45744</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45744</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45744</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45744</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45744</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45744</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45744</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45744</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45744</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45744</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45744</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45744</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45744</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45744</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45744</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45744</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45744</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45744</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45744</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45744</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45744</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45744</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45744</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45744</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45744</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45744</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45744</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45744</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45744</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45744</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45744</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45744</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45744</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45744</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45744</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45744</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45744</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45744</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45744</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45744</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45744</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45744</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45744</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45744</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45744</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45744</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45744</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45744</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45744</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45744</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45744</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45744</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45744</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45744</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45744</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45744</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45744</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45744</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45744</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45744</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45744</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45744</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45744</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45744</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45744</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45744</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45744</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45744</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45744</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45744</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45744</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45744</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45744</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45744</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45744</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45744</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45744</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45744</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45744</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45744</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45744</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45744</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45744</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45744</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45744</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45744</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45744</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45744</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45744</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45744</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45744</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45744</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45744</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45744</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45744</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45744</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45744</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45744</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45744</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45744</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45744</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45744</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45744</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45744</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45744</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45744</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45744</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45744</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45744</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45744</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45744</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45744</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45744</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45744</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45744</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45744</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45744</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45744</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45744</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45744</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45744</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45744</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45744</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45744</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45744</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45744</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45744</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45744</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45744</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45744</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45744</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45744</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45744</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45744</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45744</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45744</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45744</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45744</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45744</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45744</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45744</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45744</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45744</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45744</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45744</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45744</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45744</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45744</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45744</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45744</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45744</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45744</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45744</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45744</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45744</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45744</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45744</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45744</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45744</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45744</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45744</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45744</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45744</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45744</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45744</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45744</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45744</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45744</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45744</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45744</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45744</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45744</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45744</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45744</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45744</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45744</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45744</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45744</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45744</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45744</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45744</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45744</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45744</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45744</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45744</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45744</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45744</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45744</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45744</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45744</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45744</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45744</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45744</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45744</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45744</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45744</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45744</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45744</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45744</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45744</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45744</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45744</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45744</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45744</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45744</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45744</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45744</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45744</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45744</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45744</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45744</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45744</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45744</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45744</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45744</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45744</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45744</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45744</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45744</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45744</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45744</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45744</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45744</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45744</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45744</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45744</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45744</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45744</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45744</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45744</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45744</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45744</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45744</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45744</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45744</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45744</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45744</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45744</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45744</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45744</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45744</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45744</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45744</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45744</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45744</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45744</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45744</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45744</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45744</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45744</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45744</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45744</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45744</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45744</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45744</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45744</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45744</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45744</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45744</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45744</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45744</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45744</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45744</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45744</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45744</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45744</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45744</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45744</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45744</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45744</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45744</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45744</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45744</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45744</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45744</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45744</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45744</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45744</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45744</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45744</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45744</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45744</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45744</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45744</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45744</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45744</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45744</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45744</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45744</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45744</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45744</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45744</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45744</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45744</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45744</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45744</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45744</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45744</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45744</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45744</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45744</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45744</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45744</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45744</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45744</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45744</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45744</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45744</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45744</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45744</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45744</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45744</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45744</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45744</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45744</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45744</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45744</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45744</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45744</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45744</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45744</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45744</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45744</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45744</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45744</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45744</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45744</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45744</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45744</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45744</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45744</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45744</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45744</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45744</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45744</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45744</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45744</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45744</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45744</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45744</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45744</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45744</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45744</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45744</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45744</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45744</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45744</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45744</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45744</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45744</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45744</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45744</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45744</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45744</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45744</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45744</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45744</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45744</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45744</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45744</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45744</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45744</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45744</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45744</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45744</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45744</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45744</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45744</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45744</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45744</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45744</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45744</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45744</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45744</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45744</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45744</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45744</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45744</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45744</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45744</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45744</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45744</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45744</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45744</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45744</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45744</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45744</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45744</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45744</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45744</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45744</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45744</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45744</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45744</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45744</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45744</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45744</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45744</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45744</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45744</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45744</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45744</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45744</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45744</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45744</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45744</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45744</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45744</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45744</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45744</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45744</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45744</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45744</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45744</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45744</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45744</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45744</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45744</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45744</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45744</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45744</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45744</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45744</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45744</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45744</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45744</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45744</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45744</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45744</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45744</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45744</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45744</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45744</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45744</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45744</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45744</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45744</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45744</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45744</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45744</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45744</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45744</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45744</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45744</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45744</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45744</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45744</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45744</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45744</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45744</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45744</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45744</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45744</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45744</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45744</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45744</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45744</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45744</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45744</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45744</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45744</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45744</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45744</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45744</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45744</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45744</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45744</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45744</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45744</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45744</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45744</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45744</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45744</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45744</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45744</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45744</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45744</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45744</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45744</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45744</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45744</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45744</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45744</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45744</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45744</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45744</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45744</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45744</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45744</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45744</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45744</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45744</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45744</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45744</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45744</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45744</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45744</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45744</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45744</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45744</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45744</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45744</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45744</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45744</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45744</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45744</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45744</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45744</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45744</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45744</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45744</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45744</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45744</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45744</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45744</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45744</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45744</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45744</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45744</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45744</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45744</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45744</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45744</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45744</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45744</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45744</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45744</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45744</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45744</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45744</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45744</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45744</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45744</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45744</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45744</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45744</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45744</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45744</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45744</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45744</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45744</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45744</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45744</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45744</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45744</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45744</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45744</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45744</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45744</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45744</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45744</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45744</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45744</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45744</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45744</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45744</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45744</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45744</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45744</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45744</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45744</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45744</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45744</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45744</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45744</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45744</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45744</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45744</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45744</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45744</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45744</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45744</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45744</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45744</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45744</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45744</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45744</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45744</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45744</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45744</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45744</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45744</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45744</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45744</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45744</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45744</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45744</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45744</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45744</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45744</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45744</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45744</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45744</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45744</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45744</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45744</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45744</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45744</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45744</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45744</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45744</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45744</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45744</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45744</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45744</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45744</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45744</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45744</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45744</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45744</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45744</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45744</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45744</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45744</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45744</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45744</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45744</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45744</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45744</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45744</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45744</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45744</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45744</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45744</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45744</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45744</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45744</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45744</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45744</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45744</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45744</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45744</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45744</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45744</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45744</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45744</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45744</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45744</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45744</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45744</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45744</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45744</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45744</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45744</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45744</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45744</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45744</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45744</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45744</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45744</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45744</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45744</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45744</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45744</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45744</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45744</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45744</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45744</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45744</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45744</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45744</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45744</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45744</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45744</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45744</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45744</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45744</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45744</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45744</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45744</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45744</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45744</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45744</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45744</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45744</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45744</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45744</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45744</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45744</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45744</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45744</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45744</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45744</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45744</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45744</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45744</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45744</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45744</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45744</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45744</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45744</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45744</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45744</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45744</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45744</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45744</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45744</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45744</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45744</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45744</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45744</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45744</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45744</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45744</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45744</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45744</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45744</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45744</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45744</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45744</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45744</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45744</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45744</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45744</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45744</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45744</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45744</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45744</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45744</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45744</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45744</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45744</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45744</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45744</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45744</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45744</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45744</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45744</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45744</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45744</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45744</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45744</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45744</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45744</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45744</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45744</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45744</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45744</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45744</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45744</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45744</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45744</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45744</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45744</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45744</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45744</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45744</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45744</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45744</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45744</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45744</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45744</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45744</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45744</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45744</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45744</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45744</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45744</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45744</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45744</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45744</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45744</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45744</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45744</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45744</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45744</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45744</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45744</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45744</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45744</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45744</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45744</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45744</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45744</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45744</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45744</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45744</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45744</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45744</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45744</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45744</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45744</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45744</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45744</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45744</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45744</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45744</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45744</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45744</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45744</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45744</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45744</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45744</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45744</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45744</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45744</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45744</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45744</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45744</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45744</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45744</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45744</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45744</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45744</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45744</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45744</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45744</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45744</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45744</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45744</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45744</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45744</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45744</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45744</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45744</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45744</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45744</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45744</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45744</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45744</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45744</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45744</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45744</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8927-2025</t>
        </is>
      </c>
      <c r="B3874" s="1" t="n">
        <v>45713</v>
      </c>
      <c r="C3874" s="1" t="n">
        <v>45744</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45744</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9383-2025</t>
        </is>
      </c>
      <c r="B3876" s="1" t="n">
        <v>45715</v>
      </c>
      <c r="C3876" s="1" t="n">
        <v>45744</v>
      </c>
      <c r="D3876" t="inlineStr">
        <is>
          <t>VÄSTERBOTTENS LÄN</t>
        </is>
      </c>
      <c r="E3876" t="inlineStr">
        <is>
          <t>SKELLEFTEÅ</t>
        </is>
      </c>
      <c r="G3876" t="n">
        <v>17.5</v>
      </c>
      <c r="H3876" t="n">
        <v>0</v>
      </c>
      <c r="I3876" t="n">
        <v>0</v>
      </c>
      <c r="J3876" t="n">
        <v>0</v>
      </c>
      <c r="K3876" t="n">
        <v>0</v>
      </c>
      <c r="L3876" t="n">
        <v>0</v>
      </c>
      <c r="M3876" t="n">
        <v>0</v>
      </c>
      <c r="N3876" t="n">
        <v>0</v>
      </c>
      <c r="O3876" t="n">
        <v>0</v>
      </c>
      <c r="P3876" t="n">
        <v>0</v>
      </c>
      <c r="Q3876" t="n">
        <v>0</v>
      </c>
      <c r="R3876" s="2" t="inlineStr"/>
    </row>
    <row r="3877" ht="15" customHeight="1">
      <c r="A3877" t="inlineStr">
        <is>
          <t>A 9432-2025</t>
        </is>
      </c>
      <c r="B3877" s="1" t="n">
        <v>45715</v>
      </c>
      <c r="C3877" s="1" t="n">
        <v>45744</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45744</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45744</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9450-2025</t>
        </is>
      </c>
      <c r="B3880" s="1" t="n">
        <v>45715</v>
      </c>
      <c r="C3880" s="1" t="n">
        <v>45744</v>
      </c>
      <c r="D3880" t="inlineStr">
        <is>
          <t>VÄSTERBOTTENS LÄN</t>
        </is>
      </c>
      <c r="E3880" t="inlineStr">
        <is>
          <t>SKELLEFTEÅ</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9705-2025</t>
        </is>
      </c>
      <c r="B3881" s="1" t="n">
        <v>45716</v>
      </c>
      <c r="C3881" s="1" t="n">
        <v>45744</v>
      </c>
      <c r="D3881" t="inlineStr">
        <is>
          <t>VÄSTERBOTTENS LÄN</t>
        </is>
      </c>
      <c r="E3881" t="inlineStr">
        <is>
          <t>SKELLEFTEÅ</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9694-2025</t>
        </is>
      </c>
      <c r="B3882" s="1" t="n">
        <v>45716</v>
      </c>
      <c r="C3882" s="1" t="n">
        <v>45744</v>
      </c>
      <c r="D3882" t="inlineStr">
        <is>
          <t>VÄSTERBOTTENS LÄN</t>
        </is>
      </c>
      <c r="E3882" t="inlineStr">
        <is>
          <t>SKELLEFTEÅ</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9702-2025</t>
        </is>
      </c>
      <c r="B3883" s="1" t="n">
        <v>45716</v>
      </c>
      <c r="C3883" s="1" t="n">
        <v>45744</v>
      </c>
      <c r="D3883" t="inlineStr">
        <is>
          <t>VÄSTERBOTTENS LÄN</t>
        </is>
      </c>
      <c r="E3883" t="inlineStr">
        <is>
          <t>SKELLEFTEÅ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9838-2025</t>
        </is>
      </c>
      <c r="B3884" s="1" t="n">
        <v>45716</v>
      </c>
      <c r="C3884" s="1" t="n">
        <v>45744</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45744</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9841-2025</t>
        </is>
      </c>
      <c r="B3886" s="1" t="n">
        <v>45716</v>
      </c>
      <c r="C3886" s="1" t="n">
        <v>45744</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10074-2025</t>
        </is>
      </c>
      <c r="B3887" s="1" t="n">
        <v>45719</v>
      </c>
      <c r="C3887" s="1" t="n">
        <v>45744</v>
      </c>
      <c r="D3887" t="inlineStr">
        <is>
          <t>VÄSTERBOTTENS LÄN</t>
        </is>
      </c>
      <c r="E3887" t="inlineStr">
        <is>
          <t>SKELLEFTEÅ</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45744</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45744</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10079-2025</t>
        </is>
      </c>
      <c r="B3890" s="1" t="n">
        <v>45719</v>
      </c>
      <c r="C3890" s="1" t="n">
        <v>45744</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45744</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10278-2025</t>
        </is>
      </c>
      <c r="B3892" s="1" t="n">
        <v>45720</v>
      </c>
      <c r="C3892" s="1" t="n">
        <v>45744</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45744</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10841-2025</t>
        </is>
      </c>
      <c r="B3894" s="1" t="n">
        <v>45722</v>
      </c>
      <c r="C3894" s="1" t="n">
        <v>45744</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45744</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10975-2025</t>
        </is>
      </c>
      <c r="B3896" s="1" t="n">
        <v>45723</v>
      </c>
      <c r="C3896" s="1" t="n">
        <v>45744</v>
      </c>
      <c r="D3896" t="inlineStr">
        <is>
          <t>VÄSTERBOTTENS LÄN</t>
        </is>
      </c>
      <c r="E3896" t="inlineStr">
        <is>
          <t>SKELLEFTEÅ</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45744</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45744</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10977-2025</t>
        </is>
      </c>
      <c r="B3899" s="1" t="n">
        <v>45723</v>
      </c>
      <c r="C3899" s="1" t="n">
        <v>45744</v>
      </c>
      <c r="D3899" t="inlineStr">
        <is>
          <t>VÄSTERBOTTENS LÄN</t>
        </is>
      </c>
      <c r="E3899" t="inlineStr">
        <is>
          <t>SKELLEFTEÅ</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10986-2025</t>
        </is>
      </c>
      <c r="B3900" s="1" t="n">
        <v>45723</v>
      </c>
      <c r="C3900" s="1" t="n">
        <v>45744</v>
      </c>
      <c r="D3900" t="inlineStr">
        <is>
          <t>VÄSTERBOTTENS LÄN</t>
        </is>
      </c>
      <c r="E3900" t="inlineStr">
        <is>
          <t>SKELLEFTEÅ</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11254-2025</t>
        </is>
      </c>
      <c r="B3901" s="1" t="n">
        <v>45726</v>
      </c>
      <c r="C3901" s="1" t="n">
        <v>45744</v>
      </c>
      <c r="D3901" t="inlineStr">
        <is>
          <t>VÄSTERBOTTENS LÄN</t>
        </is>
      </c>
      <c r="E3901" t="inlineStr">
        <is>
          <t>SKELLEFTEÅ</t>
        </is>
      </c>
      <c r="G3901" t="n">
        <v>12.6</v>
      </c>
      <c r="H3901" t="n">
        <v>0</v>
      </c>
      <c r="I3901" t="n">
        <v>0</v>
      </c>
      <c r="J3901" t="n">
        <v>0</v>
      </c>
      <c r="K3901" t="n">
        <v>0</v>
      </c>
      <c r="L3901" t="n">
        <v>0</v>
      </c>
      <c r="M3901" t="n">
        <v>0</v>
      </c>
      <c r="N3901" t="n">
        <v>0</v>
      </c>
      <c r="O3901" t="n">
        <v>0</v>
      </c>
      <c r="P3901" t="n">
        <v>0</v>
      </c>
      <c r="Q3901" t="n">
        <v>0</v>
      </c>
      <c r="R3901" s="2" t="inlineStr"/>
    </row>
    <row r="3902" ht="15" customHeight="1">
      <c r="A3902" t="inlineStr">
        <is>
          <t>A 11391-2025</t>
        </is>
      </c>
      <c r="B3902" s="1" t="n">
        <v>45726</v>
      </c>
      <c r="C3902" s="1" t="n">
        <v>45744</v>
      </c>
      <c r="D3902" t="inlineStr">
        <is>
          <t>VÄSTERBOTTENS LÄN</t>
        </is>
      </c>
      <c r="E3902" t="inlineStr">
        <is>
          <t>SKELLEFTEÅ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11278-2025</t>
        </is>
      </c>
      <c r="B3903" s="1" t="n">
        <v>45726</v>
      </c>
      <c r="C3903" s="1" t="n">
        <v>45744</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11314-2025</t>
        </is>
      </c>
      <c r="B3904" s="1" t="n">
        <v>45726</v>
      </c>
      <c r="C3904" s="1" t="n">
        <v>45744</v>
      </c>
      <c r="D3904" t="inlineStr">
        <is>
          <t>VÄSTERBOTTENS LÄN</t>
        </is>
      </c>
      <c r="E3904" t="inlineStr">
        <is>
          <t>SKELLEFTEÅ</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11318-2025</t>
        </is>
      </c>
      <c r="B3905" s="1" t="n">
        <v>45726</v>
      </c>
      <c r="C3905" s="1" t="n">
        <v>45744</v>
      </c>
      <c r="D3905" t="inlineStr">
        <is>
          <t>VÄSTERBOTTENS LÄN</t>
        </is>
      </c>
      <c r="E3905" t="inlineStr">
        <is>
          <t>SKELLEFTEÅ</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45744</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11843-2025</t>
        </is>
      </c>
      <c r="B3907" s="1" t="n">
        <v>45728</v>
      </c>
      <c r="C3907" s="1" t="n">
        <v>45744</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11884-2025</t>
        </is>
      </c>
      <c r="B3908" s="1" t="n">
        <v>45728</v>
      </c>
      <c r="C3908" s="1" t="n">
        <v>45744</v>
      </c>
      <c r="D3908" t="inlineStr">
        <is>
          <t>VÄSTERBOTTENS LÄN</t>
        </is>
      </c>
      <c r="E3908" t="inlineStr">
        <is>
          <t>SKELLEFTEÅ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11907-2025</t>
        </is>
      </c>
      <c r="B3909" s="1" t="n">
        <v>45728</v>
      </c>
      <c r="C3909" s="1" t="n">
        <v>45744</v>
      </c>
      <c r="D3909" t="inlineStr">
        <is>
          <t>VÄSTERBOTTENS LÄN</t>
        </is>
      </c>
      <c r="E3909" t="inlineStr">
        <is>
          <t>SKELLEFTEÅ</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45744</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11994-2025</t>
        </is>
      </c>
      <c r="B3911" s="1" t="n">
        <v>45728</v>
      </c>
      <c r="C3911" s="1" t="n">
        <v>45744</v>
      </c>
      <c r="D3911" t="inlineStr">
        <is>
          <t>VÄSTERBOTTENS LÄN</t>
        </is>
      </c>
      <c r="E3911" t="inlineStr">
        <is>
          <t>SKELLEFTEÅ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11956-2025</t>
        </is>
      </c>
      <c r="B3912" s="1" t="n">
        <v>45728</v>
      </c>
      <c r="C3912" s="1" t="n">
        <v>45744</v>
      </c>
      <c r="D3912" t="inlineStr">
        <is>
          <t>VÄSTERBOTTENS LÄN</t>
        </is>
      </c>
      <c r="E3912" t="inlineStr">
        <is>
          <t>SKELLEFTEÅ</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12050-2025</t>
        </is>
      </c>
      <c r="B3913" s="1" t="n">
        <v>45728</v>
      </c>
      <c r="C3913" s="1" t="n">
        <v>45744</v>
      </c>
      <c r="D3913" t="inlineStr">
        <is>
          <t>VÄSTERBOTTENS LÄN</t>
        </is>
      </c>
      <c r="E3913" t="inlineStr">
        <is>
          <t>SKELLEFTEÅ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11971-2025</t>
        </is>
      </c>
      <c r="B3914" s="1" t="n">
        <v>45728</v>
      </c>
      <c r="C3914" s="1" t="n">
        <v>45744</v>
      </c>
      <c r="D3914" t="inlineStr">
        <is>
          <t>VÄSTERBOTTENS LÄN</t>
        </is>
      </c>
      <c r="E3914" t="inlineStr">
        <is>
          <t>SKELLEFTEÅ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12090-2025</t>
        </is>
      </c>
      <c r="B3915" s="1" t="n">
        <v>45729</v>
      </c>
      <c r="C3915" s="1" t="n">
        <v>45744</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12256-2025</t>
        </is>
      </c>
      <c r="B3916" s="1" t="n">
        <v>45729</v>
      </c>
      <c r="C3916" s="1" t="n">
        <v>45744</v>
      </c>
      <c r="D3916" t="inlineStr">
        <is>
          <t>VÄSTERBOTTENS LÄN</t>
        </is>
      </c>
      <c r="E3916" t="inlineStr">
        <is>
          <t>SKELLEFTEÅ</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12300-2025</t>
        </is>
      </c>
      <c r="B3917" s="1" t="n">
        <v>45729</v>
      </c>
      <c r="C3917" s="1" t="n">
        <v>45744</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12320-2025</t>
        </is>
      </c>
      <c r="B3918" s="1" t="n">
        <v>45730</v>
      </c>
      <c r="C3918" s="1" t="n">
        <v>45744</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45744</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45744</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45744</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12712-2025</t>
        </is>
      </c>
      <c r="B3922" s="1" t="n">
        <v>45733</v>
      </c>
      <c r="C3922" s="1" t="n">
        <v>45744</v>
      </c>
      <c r="D3922" t="inlineStr">
        <is>
          <t>VÄSTERBOTTENS LÄN</t>
        </is>
      </c>
      <c r="E3922" t="inlineStr">
        <is>
          <t>SKELLEFTEÅ</t>
        </is>
      </c>
      <c r="G3922" t="n">
        <v>13.6</v>
      </c>
      <c r="H3922" t="n">
        <v>0</v>
      </c>
      <c r="I3922" t="n">
        <v>0</v>
      </c>
      <c r="J3922" t="n">
        <v>0</v>
      </c>
      <c r="K3922" t="n">
        <v>0</v>
      </c>
      <c r="L3922" t="n">
        <v>0</v>
      </c>
      <c r="M3922" t="n">
        <v>0</v>
      </c>
      <c r="N3922" t="n">
        <v>0</v>
      </c>
      <c r="O3922" t="n">
        <v>0</v>
      </c>
      <c r="P3922" t="n">
        <v>0</v>
      </c>
      <c r="Q3922" t="n">
        <v>0</v>
      </c>
      <c r="R3922" s="2" t="inlineStr"/>
    </row>
    <row r="3923" ht="15" customHeight="1">
      <c r="A3923" t="inlineStr">
        <is>
          <t>A 12645-2025</t>
        </is>
      </c>
      <c r="B3923" s="1" t="n">
        <v>45733</v>
      </c>
      <c r="C3923" s="1" t="n">
        <v>45744</v>
      </c>
      <c r="D3923" t="inlineStr">
        <is>
          <t>VÄSTERBOTTENS LÄN</t>
        </is>
      </c>
      <c r="E3923" t="inlineStr">
        <is>
          <t>SKELLEFTEÅ</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45744</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12862-2025</t>
        </is>
      </c>
      <c r="B3925" s="1" t="n">
        <v>45733</v>
      </c>
      <c r="C3925" s="1" t="n">
        <v>45744</v>
      </c>
      <c r="D3925" t="inlineStr">
        <is>
          <t>VÄSTERBOTTENS LÄN</t>
        </is>
      </c>
      <c r="E3925" t="inlineStr">
        <is>
          <t>SKELLEFTEÅ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12694-2025</t>
        </is>
      </c>
      <c r="B3926" s="1" t="n">
        <v>45733</v>
      </c>
      <c r="C3926" s="1" t="n">
        <v>45744</v>
      </c>
      <c r="D3926" t="inlineStr">
        <is>
          <t>VÄSTERBOTTENS LÄN</t>
        </is>
      </c>
      <c r="E3926" t="inlineStr">
        <is>
          <t>SKELLEFTEÅ</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12698-2025</t>
        </is>
      </c>
      <c r="B3927" s="1" t="n">
        <v>45733</v>
      </c>
      <c r="C3927" s="1" t="n">
        <v>45744</v>
      </c>
      <c r="D3927" t="inlineStr">
        <is>
          <t>VÄSTERBOTTENS LÄN</t>
        </is>
      </c>
      <c r="E3927" t="inlineStr">
        <is>
          <t>SKELLEFTEÅ</t>
        </is>
      </c>
      <c r="F3927" t="inlineStr">
        <is>
          <t>Kommuner</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12842-2025</t>
        </is>
      </c>
      <c r="B3928" s="1" t="n">
        <v>45733</v>
      </c>
      <c r="C3928" s="1" t="n">
        <v>45744</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12855-2025</t>
        </is>
      </c>
      <c r="B3929" s="1" t="n">
        <v>45733</v>
      </c>
      <c r="C3929" s="1" t="n">
        <v>45744</v>
      </c>
      <c r="D3929" t="inlineStr">
        <is>
          <t>VÄSTERBOTTENS LÄN</t>
        </is>
      </c>
      <c r="E3929" t="inlineStr">
        <is>
          <t>SKELLEFTEÅ</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12713-2025</t>
        </is>
      </c>
      <c r="B3930" s="1" t="n">
        <v>45733</v>
      </c>
      <c r="C3930" s="1" t="n">
        <v>45744</v>
      </c>
      <c r="D3930" t="inlineStr">
        <is>
          <t>VÄSTERBOTTENS LÄN</t>
        </is>
      </c>
      <c r="E3930" t="inlineStr">
        <is>
          <t>SKELLEFTEÅ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12873-2025</t>
        </is>
      </c>
      <c r="B3931" s="1" t="n">
        <v>45733</v>
      </c>
      <c r="C3931" s="1" t="n">
        <v>45744</v>
      </c>
      <c r="D3931" t="inlineStr">
        <is>
          <t>VÄSTERBOTTENS LÄN</t>
        </is>
      </c>
      <c r="E3931" t="inlineStr">
        <is>
          <t>SKELLEFTEÅ</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12939-2025</t>
        </is>
      </c>
      <c r="B3932" s="1" t="n">
        <v>45734</v>
      </c>
      <c r="C3932" s="1" t="n">
        <v>45744</v>
      </c>
      <c r="D3932" t="inlineStr">
        <is>
          <t>VÄSTERBOTTENS LÄN</t>
        </is>
      </c>
      <c r="E3932" t="inlineStr">
        <is>
          <t>SKELLEFTEÅ</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45744</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13225-2025</t>
        </is>
      </c>
      <c r="B3934" s="1" t="n">
        <v>45735</v>
      </c>
      <c r="C3934" s="1" t="n">
        <v>45744</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45744</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45744</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13207-2025</t>
        </is>
      </c>
      <c r="B3937" s="1" t="n">
        <v>45735</v>
      </c>
      <c r="C3937" s="1" t="n">
        <v>45744</v>
      </c>
      <c r="D3937" t="inlineStr">
        <is>
          <t>VÄSTERBOTTENS LÄN</t>
        </is>
      </c>
      <c r="E3937" t="inlineStr">
        <is>
          <t>SKELLEFTEÅ</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13493-2025</t>
        </is>
      </c>
      <c r="B3938" s="1" t="n">
        <v>45736</v>
      </c>
      <c r="C3938" s="1" t="n">
        <v>45744</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13541-2025</t>
        </is>
      </c>
      <c r="B3939" s="1" t="n">
        <v>45736</v>
      </c>
      <c r="C3939" s="1" t="n">
        <v>45744</v>
      </c>
      <c r="D3939" t="inlineStr">
        <is>
          <t>VÄSTERBOTTENS LÄN</t>
        </is>
      </c>
      <c r="E3939" t="inlineStr">
        <is>
          <t>SKELLEFTEÅ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45744</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13478-2025</t>
        </is>
      </c>
      <c r="B3941" s="1" t="n">
        <v>45736</v>
      </c>
      <c r="C3941" s="1" t="n">
        <v>45744</v>
      </c>
      <c r="D3941" t="inlineStr">
        <is>
          <t>VÄSTERBOTTENS LÄN</t>
        </is>
      </c>
      <c r="E3941" t="inlineStr">
        <is>
          <t>SKELLEFTEÅ</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13649-2025</t>
        </is>
      </c>
      <c r="B3942" s="1" t="n">
        <v>45736</v>
      </c>
      <c r="C3942" s="1" t="n">
        <v>45744</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13487-2025</t>
        </is>
      </c>
      <c r="B3943" s="1" t="n">
        <v>45736</v>
      </c>
      <c r="C3943" s="1" t="n">
        <v>45744</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14016-2025</t>
        </is>
      </c>
      <c r="B3944" s="1" t="n">
        <v>45740</v>
      </c>
      <c r="C3944" s="1" t="n">
        <v>45744</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14013-2025</t>
        </is>
      </c>
      <c r="B3945" s="1" t="n">
        <v>45740</v>
      </c>
      <c r="C3945" s="1" t="n">
        <v>45744</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14238-2025</t>
        </is>
      </c>
      <c r="B3946" s="1" t="n">
        <v>45740</v>
      </c>
      <c r="C3946" s="1" t="n">
        <v>45744</v>
      </c>
      <c r="D3946" t="inlineStr">
        <is>
          <t>VÄSTERBOTTENS LÄN</t>
        </is>
      </c>
      <c r="E3946" t="inlineStr">
        <is>
          <t>SKELLEFTEÅ</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14386-2025</t>
        </is>
      </c>
      <c r="B3947" s="1" t="n">
        <v>45741</v>
      </c>
      <c r="C3947" s="1" t="n">
        <v>45744</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14394-2025</t>
        </is>
      </c>
      <c r="B3948" s="1" t="n">
        <v>45741</v>
      </c>
      <c r="C3948" s="1" t="n">
        <v>45744</v>
      </c>
      <c r="D3948" t="inlineStr">
        <is>
          <t>VÄSTERBOTTENS LÄN</t>
        </is>
      </c>
      <c r="E3948" t="inlineStr">
        <is>
          <t>SKELLEFTEÅ</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14346-2025</t>
        </is>
      </c>
      <c r="B3949" s="1" t="n">
        <v>45741</v>
      </c>
      <c r="C3949" s="1" t="n">
        <v>45744</v>
      </c>
      <c r="D3949" t="inlineStr">
        <is>
          <t>VÄSTERBOTTENS LÄN</t>
        </is>
      </c>
      <c r="E3949" t="inlineStr">
        <is>
          <t>SKELLEFTEÅ</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14347-2025</t>
        </is>
      </c>
      <c r="B3950" s="1" t="n">
        <v>45741</v>
      </c>
      <c r="C3950" s="1" t="n">
        <v>45744</v>
      </c>
      <c r="D3950" t="inlineStr">
        <is>
          <t>VÄSTERBOTTENS LÄN</t>
        </is>
      </c>
      <c r="E3950" t="inlineStr">
        <is>
          <t>SKELLEFTEÅ</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v>
      </c>
      <c r="C3951" s="1" t="n">
        <v>45744</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14385-2025</t>
        </is>
      </c>
      <c r="B3952" s="1" t="n">
        <v>45741</v>
      </c>
      <c r="C3952" s="1" t="n">
        <v>45744</v>
      </c>
      <c r="D3952" t="inlineStr">
        <is>
          <t>VÄSTERBOTTENS LÄN</t>
        </is>
      </c>
      <c r="E3952" t="inlineStr">
        <is>
          <t>SKELLEFTEÅ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14774-2025</t>
        </is>
      </c>
      <c r="B3953" s="1" t="n">
        <v>45742</v>
      </c>
      <c r="C3953" s="1" t="n">
        <v>45744</v>
      </c>
      <c r="D3953" t="inlineStr">
        <is>
          <t>VÄSTERBOTTENS LÄN</t>
        </is>
      </c>
      <c r="E3953" t="inlineStr">
        <is>
          <t>SKELLEFTEÅ</t>
        </is>
      </c>
      <c r="G3953" t="n">
        <v>1.4</v>
      </c>
      <c r="H3953" t="n">
        <v>0</v>
      </c>
      <c r="I3953" t="n">
        <v>0</v>
      </c>
      <c r="J3953" t="n">
        <v>0</v>
      </c>
      <c r="K3953" t="n">
        <v>0</v>
      </c>
      <c r="L3953" t="n">
        <v>0</v>
      </c>
      <c r="M3953" t="n">
        <v>0</v>
      </c>
      <c r="N3953" t="n">
        <v>0</v>
      </c>
      <c r="O3953" t="n">
        <v>0</v>
      </c>
      <c r="P3953" t="n">
        <v>0</v>
      </c>
      <c r="Q3953" t="n">
        <v>0</v>
      </c>
      <c r="R3953" s="2" t="inlineStr"/>
    </row>
    <row r="3954">
      <c r="A3954" t="inlineStr">
        <is>
          <t>A 14846-2025</t>
        </is>
      </c>
      <c r="B3954" s="1" t="n">
        <v>45743</v>
      </c>
      <c r="C3954" s="1" t="n">
        <v>45744</v>
      </c>
      <c r="D3954" t="inlineStr">
        <is>
          <t>VÄSTERBOTTENS LÄN</t>
        </is>
      </c>
      <c r="E3954" t="inlineStr">
        <is>
          <t>SKELLEFTEÅ</t>
        </is>
      </c>
      <c r="F3954" t="inlineStr">
        <is>
          <t>Sveaskog</t>
        </is>
      </c>
      <c r="G3954" t="n">
        <v>2.5</v>
      </c>
      <c r="H3954" t="n">
        <v>0</v>
      </c>
      <c r="I3954" t="n">
        <v>0</v>
      </c>
      <c r="J3954" t="n">
        <v>0</v>
      </c>
      <c r="K3954" t="n">
        <v>0</v>
      </c>
      <c r="L3954" t="n">
        <v>0</v>
      </c>
      <c r="M3954" t="n">
        <v>0</v>
      </c>
      <c r="N3954" t="n">
        <v>0</v>
      </c>
      <c r="O3954" t="n">
        <v>0</v>
      </c>
      <c r="P3954" t="n">
        <v>0</v>
      </c>
      <c r="Q3954" t="n">
        <v>0</v>
      </c>
      <c r="R3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2025-03-28T18:31:00Z</dcterms:created>
  <dcterms:modified xmlns:dcterms="http://purl.org/dc/terms/" xmlns:xsi="http://www.w3.org/2001/XMLSchema-instance" xsi:type="dcterms:W3CDTF">2025-03-28T18:31:03Z</dcterms:modified>
</cp:coreProperties>
</file>