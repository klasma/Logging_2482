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45292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45292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45292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45292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45292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45292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45292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45292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45292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45292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45292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45292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45292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45292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45292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45292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45292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45292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45292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45292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45292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45292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45292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45292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45292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45292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45292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45292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45292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45292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45292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45292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45292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45292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45292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45292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45292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45292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45292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45292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45292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45292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45292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45292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45292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45292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45292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45292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45292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45292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45292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45292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45292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45292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45292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45292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45292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45292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45292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45292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45292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45292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45292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45292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45292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45292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45292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45292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45292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45292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45292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45292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45292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45292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45292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45292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45292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45292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45292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45292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45292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45292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45292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45292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45292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62595-2023</t>
        </is>
      </c>
      <c r="B87" s="1" t="n">
        <v>45267</v>
      </c>
      <c r="C87" s="1" t="n">
        <v>45292</v>
      </c>
      <c r="D87" t="inlineStr">
        <is>
          <t>VÄSTERBOTTENS LÄN</t>
        </is>
      </c>
      <c r="E87" t="inlineStr">
        <is>
          <t>SKELLEFTEÅ</t>
        </is>
      </c>
      <c r="G87" t="n">
        <v>4.6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Spillkråka
Vedticka
Fläcknycklar</t>
        </is>
      </c>
      <c r="S87">
        <f>HYPERLINK("https://klasma.github.io/Logging_2482/artfynd/A 62595-2023 artfynd.xlsx", "A 62595-2023")</f>
        <v/>
      </c>
      <c r="T87">
        <f>HYPERLINK("https://klasma.github.io/Logging_2482/kartor/A 62595-2023 karta.png", "A 62595-2023")</f>
        <v/>
      </c>
      <c r="V87">
        <f>HYPERLINK("https://klasma.github.io/Logging_2482/klagomål/A 62595-2023 FSC-klagomål.docx", "A 62595-2023")</f>
        <v/>
      </c>
      <c r="W87">
        <f>HYPERLINK("https://klasma.github.io/Logging_2482/klagomålsmail/A 62595-2023 FSC-klagomål mail.docx", "A 62595-2023")</f>
        <v/>
      </c>
      <c r="X87">
        <f>HYPERLINK("https://klasma.github.io/Logging_2482/tillsyn/A 62595-2023 tillsynsbegäran.docx", "A 62595-2023")</f>
        <v/>
      </c>
      <c r="Y87">
        <f>HYPERLINK("https://klasma.github.io/Logging_2482/tillsynsmail/A 62595-2023 tillsynsbegäran mail.docx", "A 62595-2023")</f>
        <v/>
      </c>
    </row>
    <row r="88" ht="15" customHeight="1">
      <c r="A88" t="inlineStr">
        <is>
          <t>A 62346-2023</t>
        </is>
      </c>
      <c r="B88" s="1" t="n">
        <v>45267</v>
      </c>
      <c r="C88" s="1" t="n">
        <v>45292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Ullticka
Violettgrå tagellav</t>
        </is>
      </c>
      <c r="S88">
        <f>HYPERLINK("https://klasma.github.io/Logging_2482/artfynd/A 62346-2023 artfynd.xlsx", "A 62346-2023")</f>
        <v/>
      </c>
      <c r="T88">
        <f>HYPERLINK("https://klasma.github.io/Logging_2482/kartor/A 62346-2023 karta.png", "A 62346-2023")</f>
        <v/>
      </c>
      <c r="V88">
        <f>HYPERLINK("https://klasma.github.io/Logging_2482/klagomål/A 62346-2023 FSC-klagomål.docx", "A 62346-2023")</f>
        <v/>
      </c>
      <c r="W88">
        <f>HYPERLINK("https://klasma.github.io/Logging_2482/klagomålsmail/A 62346-2023 FSC-klagomål mail.docx", "A 62346-2023")</f>
        <v/>
      </c>
      <c r="X88">
        <f>HYPERLINK("https://klasma.github.io/Logging_2482/tillsyn/A 62346-2023 tillsynsbegäran.docx", "A 62346-2023")</f>
        <v/>
      </c>
      <c r="Y88">
        <f>HYPERLINK("https://klasma.github.io/Logging_2482/tillsynsmail/A 62346-2023 tillsynsbegäran mail.docx", "A 62346-2023")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45292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45292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45292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45292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45292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45292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45292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45292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45292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45292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45292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45292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45292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45292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45292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45292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45292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45292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45292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45292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45292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45292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45292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45292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45292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45292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45292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45292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45292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45292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45292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45292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45292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45292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65013-2023</t>
        </is>
      </c>
      <c r="B123" s="1" t="n">
        <v>45287</v>
      </c>
      <c r="C123" s="1" t="n">
        <v>45292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Smalfotad taggsvamp
Svartvit taggsvamp</t>
        </is>
      </c>
      <c r="S123">
        <f>HYPERLINK("https://klasma.github.io/Logging_2482/artfynd/A 65013-2023 artfynd.xlsx", "A 65013-2023")</f>
        <v/>
      </c>
      <c r="T123">
        <f>HYPERLINK("https://klasma.github.io/Logging_2482/kartor/A 65013-2023 karta.png", "A 65013-2023")</f>
        <v/>
      </c>
      <c r="V123">
        <f>HYPERLINK("https://klasma.github.io/Logging_2482/klagomål/A 65013-2023 FSC-klagomål.docx", "A 65013-2023")</f>
        <v/>
      </c>
      <c r="W123">
        <f>HYPERLINK("https://klasma.github.io/Logging_2482/klagomålsmail/A 65013-2023 FSC-klagomål mail.docx", "A 65013-2023")</f>
        <v/>
      </c>
      <c r="X123">
        <f>HYPERLINK("https://klasma.github.io/Logging_2482/tillsyn/A 65013-2023 tillsynsbegäran.docx", "A 65013-2023")</f>
        <v/>
      </c>
      <c r="Y123">
        <f>HYPERLINK("https://klasma.github.io/Logging_2482/tillsynsmail/A 65013-2023 tillsynsbegäran mail.docx", "A 65013-2023")</f>
        <v/>
      </c>
    </row>
    <row r="124" ht="15" customHeight="1">
      <c r="A124" t="inlineStr">
        <is>
          <t>A 65167-2018</t>
        </is>
      </c>
      <c r="B124" s="1" t="n">
        <v>43432</v>
      </c>
      <c r="C124" s="1" t="n">
        <v>45292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HYPERLINK("https://klasma.github.io/Logging_2482/artfynd/A 65167-2018 artfynd.xlsx", "A 65167-2018")</f>
        <v/>
      </c>
      <c r="T124">
        <f>HYPERLINK("https://klasma.github.io/Logging_2482/kartor/A 65167-2018 karta.png", "A 65167-2018")</f>
        <v/>
      </c>
      <c r="V124">
        <f>HYPERLINK("https://klasma.github.io/Logging_2482/klagomål/A 65167-2018 FSC-klagomål.docx", "A 65167-2018")</f>
        <v/>
      </c>
      <c r="W124">
        <f>HYPERLINK("https://klasma.github.io/Logging_2482/klagomålsmail/A 65167-2018 FSC-klagomål mail.docx", "A 65167-2018")</f>
        <v/>
      </c>
      <c r="X124">
        <f>HYPERLINK("https://klasma.github.io/Logging_2482/tillsyn/A 65167-2018 tillsynsbegäran.docx", "A 65167-2018")</f>
        <v/>
      </c>
      <c r="Y124">
        <f>HYPERLINK("https://klasma.github.io/Logging_2482/tillsynsmail/A 65167-2018 tillsynsbegäran mail.docx", "A 65167-2018")</f>
        <v/>
      </c>
    </row>
    <row r="125" ht="15" customHeight="1">
      <c r="A125" t="inlineStr">
        <is>
          <t>A 68072-2018</t>
        </is>
      </c>
      <c r="B125" s="1" t="n">
        <v>43441</v>
      </c>
      <c r="C125" s="1" t="n">
        <v>45292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HYPERLINK("https://klasma.github.io/Logging_2482/artfynd/A 68072-2018 artfynd.xlsx", "A 68072-2018")</f>
        <v/>
      </c>
      <c r="T125">
        <f>HYPERLINK("https://klasma.github.io/Logging_2482/kartor/A 68072-2018 karta.png", "A 68072-2018")</f>
        <v/>
      </c>
      <c r="V125">
        <f>HYPERLINK("https://klasma.github.io/Logging_2482/klagomål/A 68072-2018 FSC-klagomål.docx", "A 68072-2018")</f>
        <v/>
      </c>
      <c r="W125">
        <f>HYPERLINK("https://klasma.github.io/Logging_2482/klagomålsmail/A 68072-2018 FSC-klagomål mail.docx", "A 68072-2018")</f>
        <v/>
      </c>
      <c r="X125">
        <f>HYPERLINK("https://klasma.github.io/Logging_2482/tillsyn/A 68072-2018 tillsynsbegäran.docx", "A 68072-2018")</f>
        <v/>
      </c>
      <c r="Y125">
        <f>HYPERLINK("https://klasma.github.io/Logging_2482/tillsynsmail/A 68072-2018 tillsynsbegäran mail.docx", "A 68072-2018")</f>
        <v/>
      </c>
    </row>
    <row r="126" ht="15" customHeight="1">
      <c r="A126" t="inlineStr">
        <is>
          <t>A 4641-2019</t>
        </is>
      </c>
      <c r="B126" s="1" t="n">
        <v>43479</v>
      </c>
      <c r="C126" s="1" t="n">
        <v>45292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HYPERLINK("https://klasma.github.io/Logging_2482/artfynd/A 4641-2019 artfynd.xlsx", "A 4641-2019")</f>
        <v/>
      </c>
      <c r="T126">
        <f>HYPERLINK("https://klasma.github.io/Logging_2482/kartor/A 4641-2019 karta.png", "A 4641-2019")</f>
        <v/>
      </c>
      <c r="V126">
        <f>HYPERLINK("https://klasma.github.io/Logging_2482/klagomål/A 4641-2019 FSC-klagomål.docx", "A 4641-2019")</f>
        <v/>
      </c>
      <c r="W126">
        <f>HYPERLINK("https://klasma.github.io/Logging_2482/klagomålsmail/A 4641-2019 FSC-klagomål mail.docx", "A 4641-2019")</f>
        <v/>
      </c>
      <c r="X126">
        <f>HYPERLINK("https://klasma.github.io/Logging_2482/tillsyn/A 4641-2019 tillsynsbegäran.docx", "A 4641-2019")</f>
        <v/>
      </c>
      <c r="Y126">
        <f>HYPERLINK("https://klasma.github.io/Logging_2482/tillsynsmail/A 4641-2019 tillsynsbegäran mail.docx", "A 4641-2019")</f>
        <v/>
      </c>
    </row>
    <row r="127" ht="15" customHeight="1">
      <c r="A127" t="inlineStr">
        <is>
          <t>A 5009-2019</t>
        </is>
      </c>
      <c r="B127" s="1" t="n">
        <v>43480</v>
      </c>
      <c r="C127" s="1" t="n">
        <v>45292</v>
      </c>
      <c r="D127" t="inlineStr">
        <is>
          <t>VÄSTERBOTTENS LÄN</t>
        </is>
      </c>
      <c r="E127" t="inlineStr">
        <is>
          <t>SKELLEFTEÅ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5009-2019 artfynd.xlsx", "A 5009-2019")</f>
        <v/>
      </c>
      <c r="T127">
        <f>HYPERLINK("https://klasma.github.io/Logging_2482/kartor/A 5009-2019 karta.png", "A 5009-2019")</f>
        <v/>
      </c>
      <c r="V127">
        <f>HYPERLINK("https://klasma.github.io/Logging_2482/klagomål/A 5009-2019 FSC-klagomål.docx", "A 5009-2019")</f>
        <v/>
      </c>
      <c r="W127">
        <f>HYPERLINK("https://klasma.github.io/Logging_2482/klagomålsmail/A 5009-2019 FSC-klagomål mail.docx", "A 5009-2019")</f>
        <v/>
      </c>
      <c r="X127">
        <f>HYPERLINK("https://klasma.github.io/Logging_2482/tillsyn/A 5009-2019 tillsynsbegäran.docx", "A 5009-2019")</f>
        <v/>
      </c>
      <c r="Y127">
        <f>HYPERLINK("https://klasma.github.io/Logging_2482/tillsynsmail/A 5009-2019 tillsynsbegäran mail.docx", "A 5009-2019")</f>
        <v/>
      </c>
    </row>
    <row r="128" ht="15" customHeight="1">
      <c r="A128" t="inlineStr">
        <is>
          <t>A 20465-2019</t>
        </is>
      </c>
      <c r="B128" s="1" t="n">
        <v>43572</v>
      </c>
      <c r="C128" s="1" t="n">
        <v>45292</v>
      </c>
      <c r="D128" t="inlineStr">
        <is>
          <t>VÄSTERBOTTENS LÄN</t>
        </is>
      </c>
      <c r="E128" t="inlineStr">
        <is>
          <t>SKELLEFTEÅ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Violettgrå tagellav</t>
        </is>
      </c>
      <c r="S128">
        <f>HYPERLINK("https://klasma.github.io/Logging_2482/artfynd/A 20465-2019 artfynd.xlsx", "A 20465-2019")</f>
        <v/>
      </c>
      <c r="T128">
        <f>HYPERLINK("https://klasma.github.io/Logging_2482/kartor/A 20465-2019 karta.png", "A 20465-2019")</f>
        <v/>
      </c>
      <c r="V128">
        <f>HYPERLINK("https://klasma.github.io/Logging_2482/klagomål/A 20465-2019 FSC-klagomål.docx", "A 20465-2019")</f>
        <v/>
      </c>
      <c r="W128">
        <f>HYPERLINK("https://klasma.github.io/Logging_2482/klagomålsmail/A 20465-2019 FSC-klagomål mail.docx", "A 20465-2019")</f>
        <v/>
      </c>
      <c r="X128">
        <f>HYPERLINK("https://klasma.github.io/Logging_2482/tillsyn/A 20465-2019 tillsynsbegäran.docx", "A 20465-2019")</f>
        <v/>
      </c>
      <c r="Y128">
        <f>HYPERLINK("https://klasma.github.io/Logging_2482/tillsynsmail/A 20465-2019 tillsynsbegäran mail.docx", "A 20465-2019")</f>
        <v/>
      </c>
    </row>
    <row r="129" ht="15" customHeight="1">
      <c r="A129" t="inlineStr">
        <is>
          <t>A 25651-2019</t>
        </is>
      </c>
      <c r="B129" s="1" t="n">
        <v>43602</v>
      </c>
      <c r="C129" s="1" t="n">
        <v>45292</v>
      </c>
      <c r="D129" t="inlineStr">
        <is>
          <t>VÄSTERBOTTENS LÄN</t>
        </is>
      </c>
      <c r="E129" t="inlineStr">
        <is>
          <t>SKELLEFTEÅ</t>
        </is>
      </c>
      <c r="G129" t="n">
        <v>16.9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25651-2019 artfynd.xlsx", "A 25651-2019")</f>
        <v/>
      </c>
      <c r="T129">
        <f>HYPERLINK("https://klasma.github.io/Logging_2482/kartor/A 25651-2019 karta.png", "A 25651-2019")</f>
        <v/>
      </c>
      <c r="V129">
        <f>HYPERLINK("https://klasma.github.io/Logging_2482/klagomål/A 25651-2019 FSC-klagomål.docx", "A 25651-2019")</f>
        <v/>
      </c>
      <c r="W129">
        <f>HYPERLINK("https://klasma.github.io/Logging_2482/klagomålsmail/A 25651-2019 FSC-klagomål mail.docx", "A 25651-2019")</f>
        <v/>
      </c>
      <c r="X129">
        <f>HYPERLINK("https://klasma.github.io/Logging_2482/tillsyn/A 25651-2019 tillsynsbegäran.docx", "A 25651-2019")</f>
        <v/>
      </c>
      <c r="Y129">
        <f>HYPERLINK("https://klasma.github.io/Logging_2482/tillsynsmail/A 25651-2019 tillsynsbegäran mail.docx", "A 25651-2019")</f>
        <v/>
      </c>
    </row>
    <row r="130" ht="15" customHeight="1">
      <c r="A130" t="inlineStr">
        <is>
          <t>A 51461-2019</t>
        </is>
      </c>
      <c r="B130" s="1" t="n">
        <v>43740</v>
      </c>
      <c r="C130" s="1" t="n">
        <v>45292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HYPERLINK("https://klasma.github.io/Logging_2482/artfynd/A 51461-2019 artfynd.xlsx", "A 51461-2019")</f>
        <v/>
      </c>
      <c r="T130">
        <f>HYPERLINK("https://klasma.github.io/Logging_2482/kartor/A 51461-2019 karta.png", "A 51461-2019")</f>
        <v/>
      </c>
      <c r="V130">
        <f>HYPERLINK("https://klasma.github.io/Logging_2482/klagomål/A 51461-2019 FSC-klagomål.docx", "A 51461-2019")</f>
        <v/>
      </c>
      <c r="W130">
        <f>HYPERLINK("https://klasma.github.io/Logging_2482/klagomålsmail/A 51461-2019 FSC-klagomål mail.docx", "A 51461-2019")</f>
        <v/>
      </c>
      <c r="X130">
        <f>HYPERLINK("https://klasma.github.io/Logging_2482/tillsyn/A 51461-2019 tillsynsbegäran.docx", "A 51461-2019")</f>
        <v/>
      </c>
      <c r="Y130">
        <f>HYPERLINK("https://klasma.github.io/Logging_2482/tillsynsmail/A 51461-2019 tillsynsbegäran mail.docx", "A 51461-2019")</f>
        <v/>
      </c>
    </row>
    <row r="131" ht="15" customHeight="1">
      <c r="A131" t="inlineStr">
        <is>
          <t>A 63709-2019</t>
        </is>
      </c>
      <c r="B131" s="1" t="n">
        <v>43795</v>
      </c>
      <c r="C131" s="1" t="n">
        <v>45292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39.7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63709-2019 artfynd.xlsx", "A 63709-2019")</f>
        <v/>
      </c>
      <c r="T131">
        <f>HYPERLINK("https://klasma.github.io/Logging_2482/kartor/A 63709-2019 karta.png", "A 63709-2019")</f>
        <v/>
      </c>
      <c r="V131">
        <f>HYPERLINK("https://klasma.github.io/Logging_2482/klagomål/A 63709-2019 FSC-klagomål.docx", "A 63709-2019")</f>
        <v/>
      </c>
      <c r="W131">
        <f>HYPERLINK("https://klasma.github.io/Logging_2482/klagomålsmail/A 63709-2019 FSC-klagomål mail.docx", "A 63709-2019")</f>
        <v/>
      </c>
      <c r="X131">
        <f>HYPERLINK("https://klasma.github.io/Logging_2482/tillsyn/A 63709-2019 tillsynsbegäran.docx", "A 63709-2019")</f>
        <v/>
      </c>
      <c r="Y131">
        <f>HYPERLINK("https://klasma.github.io/Logging_2482/tillsynsmail/A 63709-2019 tillsynsbegäran mail.docx", "A 63709-2019")</f>
        <v/>
      </c>
    </row>
    <row r="132" ht="15" customHeight="1">
      <c r="A132" t="inlineStr">
        <is>
          <t>A 4765-2020</t>
        </is>
      </c>
      <c r="B132" s="1" t="n">
        <v>43850</v>
      </c>
      <c r="C132" s="1" t="n">
        <v>45292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HYPERLINK("https://klasma.github.io/Logging_2482/artfynd/A 4765-2020 artfynd.xlsx", "A 4765-2020")</f>
        <v/>
      </c>
      <c r="T132">
        <f>HYPERLINK("https://klasma.github.io/Logging_2482/kartor/A 4765-2020 karta.png", "A 4765-2020")</f>
        <v/>
      </c>
      <c r="V132">
        <f>HYPERLINK("https://klasma.github.io/Logging_2482/klagomål/A 4765-2020 FSC-klagomål.docx", "A 4765-2020")</f>
        <v/>
      </c>
      <c r="W132">
        <f>HYPERLINK("https://klasma.github.io/Logging_2482/klagomålsmail/A 4765-2020 FSC-klagomål mail.docx", "A 4765-2020")</f>
        <v/>
      </c>
      <c r="X132">
        <f>HYPERLINK("https://klasma.github.io/Logging_2482/tillsyn/A 4765-2020 tillsynsbegäran.docx", "A 4765-2020")</f>
        <v/>
      </c>
      <c r="Y132">
        <f>HYPERLINK("https://klasma.github.io/Logging_2482/tillsynsmail/A 4765-2020 tillsynsbegäran mail.docx", "A 4765-2020")</f>
        <v/>
      </c>
    </row>
    <row r="133" ht="15" customHeight="1">
      <c r="A133" t="inlineStr">
        <is>
          <t>A 43180-2020</t>
        </is>
      </c>
      <c r="B133" s="1" t="n">
        <v>44076</v>
      </c>
      <c r="C133" s="1" t="n">
        <v>45292</v>
      </c>
      <c r="D133" t="inlineStr">
        <is>
          <t>VÄSTERBOTTENS LÄN</t>
        </is>
      </c>
      <c r="E133" t="inlineStr">
        <is>
          <t>SKELLEFTEÅ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HYPERLINK("https://klasma.github.io/Logging_2482/artfynd/A 43180-2020 artfynd.xlsx", "A 43180-2020")</f>
        <v/>
      </c>
      <c r="T133">
        <f>HYPERLINK("https://klasma.github.io/Logging_2482/kartor/A 43180-2020 karta.png", "A 43180-2020")</f>
        <v/>
      </c>
      <c r="V133">
        <f>HYPERLINK("https://klasma.github.io/Logging_2482/klagomål/A 43180-2020 FSC-klagomål.docx", "A 43180-2020")</f>
        <v/>
      </c>
      <c r="W133">
        <f>HYPERLINK("https://klasma.github.io/Logging_2482/klagomålsmail/A 43180-2020 FSC-klagomål mail.docx", "A 43180-2020")</f>
        <v/>
      </c>
      <c r="X133">
        <f>HYPERLINK("https://klasma.github.io/Logging_2482/tillsyn/A 43180-2020 tillsynsbegäran.docx", "A 43180-2020")</f>
        <v/>
      </c>
      <c r="Y133">
        <f>HYPERLINK("https://klasma.github.io/Logging_2482/tillsynsmail/A 43180-2020 tillsynsbegäran mail.docx", "A 43180-2020")</f>
        <v/>
      </c>
    </row>
    <row r="134" ht="15" customHeight="1">
      <c r="A134" t="inlineStr">
        <is>
          <t>A 42794-2020</t>
        </is>
      </c>
      <c r="B134" s="1" t="n">
        <v>44078</v>
      </c>
      <c r="C134" s="1" t="n">
        <v>45292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42794-2020 artfynd.xlsx", "A 42794-2020")</f>
        <v/>
      </c>
      <c r="T134">
        <f>HYPERLINK("https://klasma.github.io/Logging_2482/kartor/A 42794-2020 karta.png", "A 42794-2020")</f>
        <v/>
      </c>
      <c r="V134">
        <f>HYPERLINK("https://klasma.github.io/Logging_2482/klagomål/A 42794-2020 FSC-klagomål.docx", "A 42794-2020")</f>
        <v/>
      </c>
      <c r="W134">
        <f>HYPERLINK("https://klasma.github.io/Logging_2482/klagomålsmail/A 42794-2020 FSC-klagomål mail.docx", "A 42794-2020")</f>
        <v/>
      </c>
      <c r="X134">
        <f>HYPERLINK("https://klasma.github.io/Logging_2482/tillsyn/A 42794-2020 tillsynsbegäran.docx", "A 42794-2020")</f>
        <v/>
      </c>
      <c r="Y134">
        <f>HYPERLINK("https://klasma.github.io/Logging_2482/tillsynsmail/A 42794-2020 tillsynsbegäran mail.docx", "A 42794-2020")</f>
        <v/>
      </c>
    </row>
    <row r="135" ht="15" customHeight="1">
      <c r="A135" t="inlineStr">
        <is>
          <t>A 43297-2020</t>
        </is>
      </c>
      <c r="B135" s="1" t="n">
        <v>44081</v>
      </c>
      <c r="C135" s="1" t="n">
        <v>45292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43297-2020 artfynd.xlsx", "A 43297-2020")</f>
        <v/>
      </c>
      <c r="T135">
        <f>HYPERLINK("https://klasma.github.io/Logging_2482/kartor/A 43297-2020 karta.png", "A 43297-2020")</f>
        <v/>
      </c>
      <c r="V135">
        <f>HYPERLINK("https://klasma.github.io/Logging_2482/klagomål/A 43297-2020 FSC-klagomål.docx", "A 43297-2020")</f>
        <v/>
      </c>
      <c r="W135">
        <f>HYPERLINK("https://klasma.github.io/Logging_2482/klagomålsmail/A 43297-2020 FSC-klagomål mail.docx", "A 43297-2020")</f>
        <v/>
      </c>
      <c r="X135">
        <f>HYPERLINK("https://klasma.github.io/Logging_2482/tillsyn/A 43297-2020 tillsynsbegäran.docx", "A 43297-2020")</f>
        <v/>
      </c>
      <c r="Y135">
        <f>HYPERLINK("https://klasma.github.io/Logging_2482/tillsynsmail/A 43297-2020 tillsynsbegäran mail.docx", "A 43297-2020")</f>
        <v/>
      </c>
    </row>
    <row r="136" ht="15" customHeight="1">
      <c r="A136" t="inlineStr">
        <is>
          <t>A 43303-2020</t>
        </is>
      </c>
      <c r="B136" s="1" t="n">
        <v>44081</v>
      </c>
      <c r="C136" s="1" t="n">
        <v>45292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HYPERLINK("https://klasma.github.io/Logging_2482/artfynd/A 43303-2020 artfynd.xlsx", "A 43303-2020")</f>
        <v/>
      </c>
      <c r="T136">
        <f>HYPERLINK("https://klasma.github.io/Logging_2482/kartor/A 43303-2020 karta.png", "A 43303-2020")</f>
        <v/>
      </c>
      <c r="V136">
        <f>HYPERLINK("https://klasma.github.io/Logging_2482/klagomål/A 43303-2020 FSC-klagomål.docx", "A 43303-2020")</f>
        <v/>
      </c>
      <c r="W136">
        <f>HYPERLINK("https://klasma.github.io/Logging_2482/klagomålsmail/A 43303-2020 FSC-klagomål mail.docx", "A 43303-2020")</f>
        <v/>
      </c>
      <c r="X136">
        <f>HYPERLINK("https://klasma.github.io/Logging_2482/tillsyn/A 43303-2020 tillsynsbegäran.docx", "A 43303-2020")</f>
        <v/>
      </c>
      <c r="Y136">
        <f>HYPERLINK("https://klasma.github.io/Logging_2482/tillsynsmail/A 43303-2020 tillsynsbegäran mail.docx", "A 43303-2020")</f>
        <v/>
      </c>
    </row>
    <row r="137" ht="15" customHeight="1">
      <c r="A137" t="inlineStr">
        <is>
          <t>A 55810-2020</t>
        </is>
      </c>
      <c r="B137" s="1" t="n">
        <v>44132</v>
      </c>
      <c r="C137" s="1" t="n">
        <v>45292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20.1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55810-2020 artfynd.xlsx", "A 55810-2020")</f>
        <v/>
      </c>
      <c r="T137">
        <f>HYPERLINK("https://klasma.github.io/Logging_2482/kartor/A 55810-2020 karta.png", "A 55810-2020")</f>
        <v/>
      </c>
      <c r="V137">
        <f>HYPERLINK("https://klasma.github.io/Logging_2482/klagomål/A 55810-2020 FSC-klagomål.docx", "A 55810-2020")</f>
        <v/>
      </c>
      <c r="W137">
        <f>HYPERLINK("https://klasma.github.io/Logging_2482/klagomålsmail/A 55810-2020 FSC-klagomål mail.docx", "A 55810-2020")</f>
        <v/>
      </c>
      <c r="X137">
        <f>HYPERLINK("https://klasma.github.io/Logging_2482/tillsyn/A 55810-2020 tillsynsbegäran.docx", "A 55810-2020")</f>
        <v/>
      </c>
      <c r="Y137">
        <f>HYPERLINK("https://klasma.github.io/Logging_2482/tillsynsmail/A 55810-2020 tillsynsbegäran mail.docx", "A 55810-2020")</f>
        <v/>
      </c>
    </row>
    <row r="138" ht="15" customHeight="1">
      <c r="A138" t="inlineStr">
        <is>
          <t>A 35047-2021</t>
        </is>
      </c>
      <c r="B138" s="1" t="n">
        <v>44384</v>
      </c>
      <c r="C138" s="1" t="n">
        <v>45292</v>
      </c>
      <c r="D138" t="inlineStr">
        <is>
          <t>VÄSTERBOTTENS LÄN</t>
        </is>
      </c>
      <c r="E138" t="inlineStr">
        <is>
          <t>SKELLEFTEÅ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HYPERLINK("https://klasma.github.io/Logging_2482/artfynd/A 35047-2021 artfynd.xlsx", "A 35047-2021")</f>
        <v/>
      </c>
      <c r="T138">
        <f>HYPERLINK("https://klasma.github.io/Logging_2482/kartor/A 35047-2021 karta.png", "A 35047-2021")</f>
        <v/>
      </c>
      <c r="V138">
        <f>HYPERLINK("https://klasma.github.io/Logging_2482/klagomål/A 35047-2021 FSC-klagomål.docx", "A 35047-2021")</f>
        <v/>
      </c>
      <c r="W138">
        <f>HYPERLINK("https://klasma.github.io/Logging_2482/klagomålsmail/A 35047-2021 FSC-klagomål mail.docx", "A 35047-2021")</f>
        <v/>
      </c>
      <c r="X138">
        <f>HYPERLINK("https://klasma.github.io/Logging_2482/tillsyn/A 35047-2021 tillsynsbegäran.docx", "A 35047-2021")</f>
        <v/>
      </c>
      <c r="Y138">
        <f>HYPERLINK("https://klasma.github.io/Logging_2482/tillsynsmail/A 35047-2021 tillsynsbegäran mail.docx", "A 35047-2021")</f>
        <v/>
      </c>
    </row>
    <row r="139" ht="15" customHeight="1">
      <c r="A139" t="inlineStr">
        <is>
          <t>A 35625-2021</t>
        </is>
      </c>
      <c r="B139" s="1" t="n">
        <v>44386</v>
      </c>
      <c r="C139" s="1" t="n">
        <v>45292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35625-2021 artfynd.xlsx", "A 35625-2021")</f>
        <v/>
      </c>
      <c r="T139">
        <f>HYPERLINK("https://klasma.github.io/Logging_2482/kartor/A 35625-2021 karta.png", "A 35625-2021")</f>
        <v/>
      </c>
      <c r="V139">
        <f>HYPERLINK("https://klasma.github.io/Logging_2482/klagomål/A 35625-2021 FSC-klagomål.docx", "A 35625-2021")</f>
        <v/>
      </c>
      <c r="W139">
        <f>HYPERLINK("https://klasma.github.io/Logging_2482/klagomålsmail/A 35625-2021 FSC-klagomål mail.docx", "A 35625-2021")</f>
        <v/>
      </c>
      <c r="X139">
        <f>HYPERLINK("https://klasma.github.io/Logging_2482/tillsyn/A 35625-2021 tillsynsbegäran.docx", "A 35625-2021")</f>
        <v/>
      </c>
      <c r="Y139">
        <f>HYPERLINK("https://klasma.github.io/Logging_2482/tillsynsmail/A 35625-2021 tillsynsbegäran mail.docx", "A 35625-2021")</f>
        <v/>
      </c>
    </row>
    <row r="140" ht="15" customHeight="1">
      <c r="A140" t="inlineStr">
        <is>
          <t>A 39946-2021</t>
        </is>
      </c>
      <c r="B140" s="1" t="n">
        <v>44417</v>
      </c>
      <c r="C140" s="1" t="n">
        <v>45292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39946-2021 artfynd.xlsx", "A 39946-2021")</f>
        <v/>
      </c>
      <c r="T140">
        <f>HYPERLINK("https://klasma.github.io/Logging_2482/kartor/A 39946-2021 karta.png", "A 39946-2021")</f>
        <v/>
      </c>
      <c r="V140">
        <f>HYPERLINK("https://klasma.github.io/Logging_2482/klagomål/A 39946-2021 FSC-klagomål.docx", "A 39946-2021")</f>
        <v/>
      </c>
      <c r="W140">
        <f>HYPERLINK("https://klasma.github.io/Logging_2482/klagomålsmail/A 39946-2021 FSC-klagomål mail.docx", "A 39946-2021")</f>
        <v/>
      </c>
      <c r="X140">
        <f>HYPERLINK("https://klasma.github.io/Logging_2482/tillsyn/A 39946-2021 tillsynsbegäran.docx", "A 39946-2021")</f>
        <v/>
      </c>
      <c r="Y140">
        <f>HYPERLINK("https://klasma.github.io/Logging_2482/tillsynsmail/A 39946-2021 tillsynsbegäran mail.docx", "A 39946-2021")</f>
        <v/>
      </c>
    </row>
    <row r="141" ht="15" customHeight="1">
      <c r="A141" t="inlineStr">
        <is>
          <t>A 57738-2021</t>
        </is>
      </c>
      <c r="B141" s="1" t="n">
        <v>44484</v>
      </c>
      <c r="C141" s="1" t="n">
        <v>45292</v>
      </c>
      <c r="D141" t="inlineStr">
        <is>
          <t>VÄSTERBOTTENS LÄN</t>
        </is>
      </c>
      <c r="E141" t="inlineStr">
        <is>
          <t>SKELLEFTEÅ</t>
        </is>
      </c>
      <c r="G141" t="n">
        <v>11.4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Doftskinn</t>
        </is>
      </c>
      <c r="S141">
        <f>HYPERLINK("https://klasma.github.io/Logging_2482/artfynd/A 57738-2021 artfynd.xlsx", "A 57738-2021")</f>
        <v/>
      </c>
      <c r="T141">
        <f>HYPERLINK("https://klasma.github.io/Logging_2482/kartor/A 57738-2021 karta.png", "A 57738-2021")</f>
        <v/>
      </c>
      <c r="V141">
        <f>HYPERLINK("https://klasma.github.io/Logging_2482/klagomål/A 57738-2021 FSC-klagomål.docx", "A 57738-2021")</f>
        <v/>
      </c>
      <c r="W141">
        <f>HYPERLINK("https://klasma.github.io/Logging_2482/klagomålsmail/A 57738-2021 FSC-klagomål mail.docx", "A 57738-2021")</f>
        <v/>
      </c>
      <c r="X141">
        <f>HYPERLINK("https://klasma.github.io/Logging_2482/tillsyn/A 57738-2021 tillsynsbegäran.docx", "A 57738-2021")</f>
        <v/>
      </c>
      <c r="Y141">
        <f>HYPERLINK("https://klasma.github.io/Logging_2482/tillsynsmail/A 57738-2021 tillsynsbegäran mail.docx", "A 57738-2021")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45292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61658-2021</t>
        </is>
      </c>
      <c r="B143" s="1" t="n">
        <v>44501</v>
      </c>
      <c r="C143" s="1" t="n">
        <v>45292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61658-2021 artfynd.xlsx", "A 61658-2021")</f>
        <v/>
      </c>
      <c r="T143">
        <f>HYPERLINK("https://klasma.github.io/Logging_2482/kartor/A 61658-2021 karta.png", "A 61658-2021")</f>
        <v/>
      </c>
      <c r="V143">
        <f>HYPERLINK("https://klasma.github.io/Logging_2482/klagomål/A 61658-2021 FSC-klagomål.docx", "A 61658-2021")</f>
        <v/>
      </c>
      <c r="W143">
        <f>HYPERLINK("https://klasma.github.io/Logging_2482/klagomålsmail/A 61658-2021 FSC-klagomål mail.docx", "A 61658-2021")</f>
        <v/>
      </c>
      <c r="X143">
        <f>HYPERLINK("https://klasma.github.io/Logging_2482/tillsyn/A 61658-2021 tillsynsbegäran.docx", "A 61658-2021")</f>
        <v/>
      </c>
      <c r="Y143">
        <f>HYPERLINK("https://klasma.github.io/Logging_2482/tillsynsmail/A 61658-2021 tillsynsbegäran mail.docx", "A 61658-2021")</f>
        <v/>
      </c>
    </row>
    <row r="144" ht="15" customHeight="1">
      <c r="A144" t="inlineStr">
        <is>
          <t>A 62436-2021</t>
        </is>
      </c>
      <c r="B144" s="1" t="n">
        <v>44503</v>
      </c>
      <c r="C144" s="1" t="n">
        <v>45292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19.5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62436-2021 artfynd.xlsx", "A 62436-2021")</f>
        <v/>
      </c>
      <c r="T144">
        <f>HYPERLINK("https://klasma.github.io/Logging_2482/kartor/A 62436-2021 karta.png", "A 62436-2021")</f>
        <v/>
      </c>
      <c r="V144">
        <f>HYPERLINK("https://klasma.github.io/Logging_2482/klagomål/A 62436-2021 FSC-klagomål.docx", "A 62436-2021")</f>
        <v/>
      </c>
      <c r="W144">
        <f>HYPERLINK("https://klasma.github.io/Logging_2482/klagomålsmail/A 62436-2021 FSC-klagomål mail.docx", "A 62436-2021")</f>
        <v/>
      </c>
      <c r="X144">
        <f>HYPERLINK("https://klasma.github.io/Logging_2482/tillsyn/A 62436-2021 tillsynsbegäran.docx", "A 62436-2021")</f>
        <v/>
      </c>
      <c r="Y144">
        <f>HYPERLINK("https://klasma.github.io/Logging_2482/tillsynsmail/A 62436-2021 tillsynsbegäran mail.docx", "A 62436-2021")</f>
        <v/>
      </c>
    </row>
    <row r="145" ht="15" customHeight="1">
      <c r="A145" t="inlineStr">
        <is>
          <t>A 70868-2021</t>
        </is>
      </c>
      <c r="B145" s="1" t="n">
        <v>44536</v>
      </c>
      <c r="C145" s="1" t="n">
        <v>45292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70868-2021 artfynd.xlsx", "A 70868-2021")</f>
        <v/>
      </c>
      <c r="T145">
        <f>HYPERLINK("https://klasma.github.io/Logging_2482/kartor/A 70868-2021 karta.png", "A 70868-2021")</f>
        <v/>
      </c>
      <c r="V145">
        <f>HYPERLINK("https://klasma.github.io/Logging_2482/klagomål/A 70868-2021 FSC-klagomål.docx", "A 70868-2021")</f>
        <v/>
      </c>
      <c r="W145">
        <f>HYPERLINK("https://klasma.github.io/Logging_2482/klagomålsmail/A 70868-2021 FSC-klagomål mail.docx", "A 70868-2021")</f>
        <v/>
      </c>
      <c r="X145">
        <f>HYPERLINK("https://klasma.github.io/Logging_2482/tillsyn/A 70868-2021 tillsynsbegäran.docx", "A 70868-2021")</f>
        <v/>
      </c>
      <c r="Y145">
        <f>HYPERLINK("https://klasma.github.io/Logging_2482/tillsynsmail/A 70868-2021 tillsynsbegäran mail.docx", "A 70868-2021")</f>
        <v/>
      </c>
    </row>
    <row r="146" ht="15" customHeight="1">
      <c r="A146" t="inlineStr">
        <is>
          <t>A 72939-2021</t>
        </is>
      </c>
      <c r="B146" s="1" t="n">
        <v>44547</v>
      </c>
      <c r="C146" s="1" t="n">
        <v>45292</v>
      </c>
      <c r="D146" t="inlineStr">
        <is>
          <t>VÄSTERBOTTENS LÄN</t>
        </is>
      </c>
      <c r="E146" t="inlineStr">
        <is>
          <t>SKELLEFTEÅ</t>
        </is>
      </c>
      <c r="G146" t="n">
        <v>14.8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72939-2021 artfynd.xlsx", "A 72939-2021")</f>
        <v/>
      </c>
      <c r="T146">
        <f>HYPERLINK("https://klasma.github.io/Logging_2482/kartor/A 72939-2021 karta.png", "A 72939-2021")</f>
        <v/>
      </c>
      <c r="V146">
        <f>HYPERLINK("https://klasma.github.io/Logging_2482/klagomål/A 72939-2021 FSC-klagomål.docx", "A 72939-2021")</f>
        <v/>
      </c>
      <c r="W146">
        <f>HYPERLINK("https://klasma.github.io/Logging_2482/klagomålsmail/A 72939-2021 FSC-klagomål mail.docx", "A 72939-2021")</f>
        <v/>
      </c>
      <c r="X146">
        <f>HYPERLINK("https://klasma.github.io/Logging_2482/tillsyn/A 72939-2021 tillsynsbegäran.docx", "A 72939-2021")</f>
        <v/>
      </c>
      <c r="Y146">
        <f>HYPERLINK("https://klasma.github.io/Logging_2482/tillsynsmail/A 72939-2021 tillsynsbegäran mail.docx", "A 72939-2021")</f>
        <v/>
      </c>
    </row>
    <row r="147" ht="15" customHeight="1">
      <c r="A147" t="inlineStr">
        <is>
          <t>A 14277-2022</t>
        </is>
      </c>
      <c r="B147" s="1" t="n">
        <v>44651</v>
      </c>
      <c r="C147" s="1" t="n">
        <v>45292</v>
      </c>
      <c r="D147" t="inlineStr">
        <is>
          <t>VÄSTERBOTTENS LÄN</t>
        </is>
      </c>
      <c r="E147" t="inlineStr">
        <is>
          <t>SKELLEFTEÅ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14277-2022 artfynd.xlsx", "A 14277-2022")</f>
        <v/>
      </c>
      <c r="T147">
        <f>HYPERLINK("https://klasma.github.io/Logging_2482/kartor/A 14277-2022 karta.png", "A 14277-2022")</f>
        <v/>
      </c>
      <c r="V147">
        <f>HYPERLINK("https://klasma.github.io/Logging_2482/klagomål/A 14277-2022 FSC-klagomål.docx", "A 14277-2022")</f>
        <v/>
      </c>
      <c r="W147">
        <f>HYPERLINK("https://klasma.github.io/Logging_2482/klagomålsmail/A 14277-2022 FSC-klagomål mail.docx", "A 14277-2022")</f>
        <v/>
      </c>
      <c r="X147">
        <f>HYPERLINK("https://klasma.github.io/Logging_2482/tillsyn/A 14277-2022 tillsynsbegäran.docx", "A 14277-2022")</f>
        <v/>
      </c>
      <c r="Y147">
        <f>HYPERLINK("https://klasma.github.io/Logging_2482/tillsynsmail/A 14277-2022 tillsynsbegäran mail.docx", "A 14277-2022")</f>
        <v/>
      </c>
    </row>
    <row r="148" ht="15" customHeight="1">
      <c r="A148" t="inlineStr">
        <is>
          <t>A 17336-2022</t>
        </is>
      </c>
      <c r="B148" s="1" t="n">
        <v>44678</v>
      </c>
      <c r="C148" s="1" t="n">
        <v>45292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17336-2022 artfynd.xlsx", "A 17336-2022")</f>
        <v/>
      </c>
      <c r="T148">
        <f>HYPERLINK("https://klasma.github.io/Logging_2482/kartor/A 17336-2022 karta.png", "A 17336-2022")</f>
        <v/>
      </c>
      <c r="V148">
        <f>HYPERLINK("https://klasma.github.io/Logging_2482/klagomål/A 17336-2022 FSC-klagomål.docx", "A 17336-2022")</f>
        <v/>
      </c>
      <c r="W148">
        <f>HYPERLINK("https://klasma.github.io/Logging_2482/klagomålsmail/A 17336-2022 FSC-klagomål mail.docx", "A 17336-2022")</f>
        <v/>
      </c>
      <c r="X148">
        <f>HYPERLINK("https://klasma.github.io/Logging_2482/tillsyn/A 17336-2022 tillsynsbegäran.docx", "A 17336-2022")</f>
        <v/>
      </c>
      <c r="Y148">
        <f>HYPERLINK("https://klasma.github.io/Logging_2482/tillsynsmail/A 17336-2022 tillsynsbegäran mail.docx", "A 17336-2022")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45292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45292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42674-2022</t>
        </is>
      </c>
      <c r="B151" s="1" t="n">
        <v>44831</v>
      </c>
      <c r="C151" s="1" t="n">
        <v>45292</v>
      </c>
      <c r="D151" t="inlineStr">
        <is>
          <t>VÄSTERBOTTENS LÄN</t>
        </is>
      </c>
      <c r="E151" t="inlineStr">
        <is>
          <t>SKELLEFTEÅ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42674-2022 artfynd.xlsx", "A 42674-2022")</f>
        <v/>
      </c>
      <c r="T151">
        <f>HYPERLINK("https://klasma.github.io/Logging_2482/kartor/A 42674-2022 karta.png", "A 42674-2022")</f>
        <v/>
      </c>
      <c r="V151">
        <f>HYPERLINK("https://klasma.github.io/Logging_2482/klagomål/A 42674-2022 FSC-klagomål.docx", "A 42674-2022")</f>
        <v/>
      </c>
      <c r="W151">
        <f>HYPERLINK("https://klasma.github.io/Logging_2482/klagomålsmail/A 42674-2022 FSC-klagomål mail.docx", "A 42674-2022")</f>
        <v/>
      </c>
      <c r="X151">
        <f>HYPERLINK("https://klasma.github.io/Logging_2482/tillsyn/A 42674-2022 tillsynsbegäran.docx", "A 42674-2022")</f>
        <v/>
      </c>
      <c r="Y151">
        <f>HYPERLINK("https://klasma.github.io/Logging_2482/tillsynsmail/A 42674-2022 tillsynsbegäran mail.docx", "A 42674-2022")</f>
        <v/>
      </c>
    </row>
    <row r="152" ht="15" customHeight="1">
      <c r="A152" t="inlineStr">
        <is>
          <t>A 47963-2022</t>
        </is>
      </c>
      <c r="B152" s="1" t="n">
        <v>44855</v>
      </c>
      <c r="C152" s="1" t="n">
        <v>45292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18.7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Skinnlav</t>
        </is>
      </c>
      <c r="S152">
        <f>HYPERLINK("https://klasma.github.io/Logging_2482/artfynd/A 47963-2022 artfynd.xlsx", "A 47963-2022")</f>
        <v/>
      </c>
      <c r="T152">
        <f>HYPERLINK("https://klasma.github.io/Logging_2482/kartor/A 47963-2022 karta.png", "A 47963-2022")</f>
        <v/>
      </c>
      <c r="V152">
        <f>HYPERLINK("https://klasma.github.io/Logging_2482/klagomål/A 47963-2022 FSC-klagomål.docx", "A 47963-2022")</f>
        <v/>
      </c>
      <c r="W152">
        <f>HYPERLINK("https://klasma.github.io/Logging_2482/klagomålsmail/A 47963-2022 FSC-klagomål mail.docx", "A 47963-2022")</f>
        <v/>
      </c>
      <c r="X152">
        <f>HYPERLINK("https://klasma.github.io/Logging_2482/tillsyn/A 47963-2022 tillsynsbegäran.docx", "A 47963-2022")</f>
        <v/>
      </c>
      <c r="Y152">
        <f>HYPERLINK("https://klasma.github.io/Logging_2482/tillsynsmail/A 47963-2022 tillsynsbegäran mail.docx", "A 47963-2022")</f>
        <v/>
      </c>
    </row>
    <row r="153" ht="15" customHeight="1">
      <c r="A153" t="inlineStr">
        <is>
          <t>A 49588-2022</t>
        </is>
      </c>
      <c r="B153" s="1" t="n">
        <v>44862</v>
      </c>
      <c r="C153" s="1" t="n">
        <v>45292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49588-2022 artfynd.xlsx", "A 49588-2022")</f>
        <v/>
      </c>
      <c r="T153">
        <f>HYPERLINK("https://klasma.github.io/Logging_2482/kartor/A 49588-2022 karta.png", "A 49588-2022")</f>
        <v/>
      </c>
      <c r="V153">
        <f>HYPERLINK("https://klasma.github.io/Logging_2482/klagomål/A 49588-2022 FSC-klagomål.docx", "A 49588-2022")</f>
        <v/>
      </c>
      <c r="W153">
        <f>HYPERLINK("https://klasma.github.io/Logging_2482/klagomålsmail/A 49588-2022 FSC-klagomål mail.docx", "A 49588-2022")</f>
        <v/>
      </c>
      <c r="X153">
        <f>HYPERLINK("https://klasma.github.io/Logging_2482/tillsyn/A 49588-2022 tillsynsbegäran.docx", "A 49588-2022")</f>
        <v/>
      </c>
      <c r="Y153">
        <f>HYPERLINK("https://klasma.github.io/Logging_2482/tillsynsmail/A 49588-2022 tillsynsbegäran mail.docx", "A 49588-2022")</f>
        <v/>
      </c>
    </row>
    <row r="154" ht="15" customHeight="1">
      <c r="A154" t="inlineStr">
        <is>
          <t>A 49842-2022</t>
        </is>
      </c>
      <c r="B154" s="1" t="n">
        <v>44862</v>
      </c>
      <c r="C154" s="1" t="n">
        <v>45292</v>
      </c>
      <c r="D154" t="inlineStr">
        <is>
          <t>VÄSTERBOTTENS LÄN</t>
        </is>
      </c>
      <c r="E154" t="inlineStr">
        <is>
          <t>SKELLEFTEÅ</t>
        </is>
      </c>
      <c r="G154" t="n">
        <v>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49842-2022 artfynd.xlsx", "A 49842-2022")</f>
        <v/>
      </c>
      <c r="T154">
        <f>HYPERLINK("https://klasma.github.io/Logging_2482/kartor/A 49842-2022 karta.png", "A 49842-2022")</f>
        <v/>
      </c>
      <c r="V154">
        <f>HYPERLINK("https://klasma.github.io/Logging_2482/klagomål/A 49842-2022 FSC-klagomål.docx", "A 49842-2022")</f>
        <v/>
      </c>
      <c r="W154">
        <f>HYPERLINK("https://klasma.github.io/Logging_2482/klagomålsmail/A 49842-2022 FSC-klagomål mail.docx", "A 49842-2022")</f>
        <v/>
      </c>
      <c r="X154">
        <f>HYPERLINK("https://klasma.github.io/Logging_2482/tillsyn/A 49842-2022 tillsynsbegäran.docx", "A 49842-2022")</f>
        <v/>
      </c>
      <c r="Y154">
        <f>HYPERLINK("https://klasma.github.io/Logging_2482/tillsynsmail/A 49842-2022 tillsynsbegäran mail.docx", "A 49842-2022")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45292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53137-2022</t>
        </is>
      </c>
      <c r="B156" s="1" t="n">
        <v>44876</v>
      </c>
      <c r="C156" s="1" t="n">
        <v>45292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7.5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53137-2022 artfynd.xlsx", "A 53137-2022")</f>
        <v/>
      </c>
      <c r="T156">
        <f>HYPERLINK("https://klasma.github.io/Logging_2482/kartor/A 53137-2022 karta.png", "A 53137-2022")</f>
        <v/>
      </c>
      <c r="V156">
        <f>HYPERLINK("https://klasma.github.io/Logging_2482/klagomål/A 53137-2022 FSC-klagomål.docx", "A 53137-2022")</f>
        <v/>
      </c>
      <c r="W156">
        <f>HYPERLINK("https://klasma.github.io/Logging_2482/klagomålsmail/A 53137-2022 FSC-klagomål mail.docx", "A 53137-2022")</f>
        <v/>
      </c>
      <c r="X156">
        <f>HYPERLINK("https://klasma.github.io/Logging_2482/tillsyn/A 53137-2022 tillsynsbegäran.docx", "A 53137-2022")</f>
        <v/>
      </c>
      <c r="Y156">
        <f>HYPERLINK("https://klasma.github.io/Logging_2482/tillsynsmail/A 53137-2022 tillsynsbegäran mail.docx", "A 53137-2022")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45292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58306-2022</t>
        </is>
      </c>
      <c r="B158" s="1" t="n">
        <v>44901</v>
      </c>
      <c r="C158" s="1" t="n">
        <v>45292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58306-2022 artfynd.xlsx", "A 58306-2022")</f>
        <v/>
      </c>
      <c r="T158">
        <f>HYPERLINK("https://klasma.github.io/Logging_2482/kartor/A 58306-2022 karta.png", "A 58306-2022")</f>
        <v/>
      </c>
      <c r="V158">
        <f>HYPERLINK("https://klasma.github.io/Logging_2482/klagomål/A 58306-2022 FSC-klagomål.docx", "A 58306-2022")</f>
        <v/>
      </c>
      <c r="W158">
        <f>HYPERLINK("https://klasma.github.io/Logging_2482/klagomålsmail/A 58306-2022 FSC-klagomål mail.docx", "A 58306-2022")</f>
        <v/>
      </c>
      <c r="X158">
        <f>HYPERLINK("https://klasma.github.io/Logging_2482/tillsyn/A 58306-2022 tillsynsbegäran.docx", "A 58306-2022")</f>
        <v/>
      </c>
      <c r="Y158">
        <f>HYPERLINK("https://klasma.github.io/Logging_2482/tillsynsmail/A 58306-2022 tillsynsbegäran mail.docx", "A 58306-2022")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45292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45292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609-2023</t>
        </is>
      </c>
      <c r="B161" s="1" t="n">
        <v>44928</v>
      </c>
      <c r="C161" s="1" t="n">
        <v>45292</v>
      </c>
      <c r="D161" t="inlineStr">
        <is>
          <t>VÄSTERBOTTENS LÄN</t>
        </is>
      </c>
      <c r="E161" t="inlineStr">
        <is>
          <t>SKELLEFTEÅ</t>
        </is>
      </c>
      <c r="G161" t="n">
        <v>20.1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609-2023 artfynd.xlsx", "A 609-2023")</f>
        <v/>
      </c>
      <c r="T161">
        <f>HYPERLINK("https://klasma.github.io/Logging_2482/kartor/A 609-2023 karta.png", "A 609-2023")</f>
        <v/>
      </c>
      <c r="V161">
        <f>HYPERLINK("https://klasma.github.io/Logging_2482/klagomål/A 609-2023 FSC-klagomål.docx", "A 609-2023")</f>
        <v/>
      </c>
      <c r="W161">
        <f>HYPERLINK("https://klasma.github.io/Logging_2482/klagomålsmail/A 609-2023 FSC-klagomål mail.docx", "A 609-2023")</f>
        <v/>
      </c>
      <c r="X161">
        <f>HYPERLINK("https://klasma.github.io/Logging_2482/tillsyn/A 609-2023 tillsynsbegäran.docx", "A 609-2023")</f>
        <v/>
      </c>
      <c r="Y161">
        <f>HYPERLINK("https://klasma.github.io/Logging_2482/tillsynsmail/A 609-2023 tillsynsbegäran mail.docx", "A 609-2023")</f>
        <v/>
      </c>
    </row>
    <row r="162" ht="15" customHeight="1">
      <c r="A162" t="inlineStr">
        <is>
          <t>A 9652-2023</t>
        </is>
      </c>
      <c r="B162" s="1" t="n">
        <v>44978</v>
      </c>
      <c r="C162" s="1" t="n">
        <v>45292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9652-2023 artfynd.xlsx", "A 9652-2023")</f>
        <v/>
      </c>
      <c r="T162">
        <f>HYPERLINK("https://klasma.github.io/Logging_2482/kartor/A 9652-2023 karta.png", "A 9652-2023")</f>
        <v/>
      </c>
      <c r="V162">
        <f>HYPERLINK("https://klasma.github.io/Logging_2482/klagomål/A 9652-2023 FSC-klagomål.docx", "A 9652-2023")</f>
        <v/>
      </c>
      <c r="W162">
        <f>HYPERLINK("https://klasma.github.io/Logging_2482/klagomålsmail/A 9652-2023 FSC-klagomål mail.docx", "A 9652-2023")</f>
        <v/>
      </c>
      <c r="X162">
        <f>HYPERLINK("https://klasma.github.io/Logging_2482/tillsyn/A 9652-2023 tillsynsbegäran.docx", "A 9652-2023")</f>
        <v/>
      </c>
      <c r="Y162">
        <f>HYPERLINK("https://klasma.github.io/Logging_2482/tillsynsmail/A 9652-2023 tillsynsbegäran mail.docx", "A 9652-2023")</f>
        <v/>
      </c>
    </row>
    <row r="163" ht="15" customHeight="1">
      <c r="A163" t="inlineStr">
        <is>
          <t>A 10069-2023</t>
        </is>
      </c>
      <c r="B163" s="1" t="n">
        <v>44985</v>
      </c>
      <c r="C163" s="1" t="n">
        <v>45292</v>
      </c>
      <c r="D163" t="inlineStr">
        <is>
          <t>VÄSTERBOTTENS LÄN</t>
        </is>
      </c>
      <c r="E163" t="inlineStr">
        <is>
          <t>SKELLEFTEÅ</t>
        </is>
      </c>
      <c r="G163" t="n">
        <v>11.9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10069-2023 artfynd.xlsx", "A 10069-2023")</f>
        <v/>
      </c>
      <c r="T163">
        <f>HYPERLINK("https://klasma.github.io/Logging_2482/kartor/A 10069-2023 karta.png", "A 10069-2023")</f>
        <v/>
      </c>
      <c r="U163">
        <f>HYPERLINK("https://klasma.github.io/Logging_2482/knärot/A 10069-2023 karta knärot.png", "A 10069-2023")</f>
        <v/>
      </c>
      <c r="V163">
        <f>HYPERLINK("https://klasma.github.io/Logging_2482/klagomål/A 10069-2023 FSC-klagomål.docx", "A 10069-2023")</f>
        <v/>
      </c>
      <c r="W163">
        <f>HYPERLINK("https://klasma.github.io/Logging_2482/klagomålsmail/A 10069-2023 FSC-klagomål mail.docx", "A 10069-2023")</f>
        <v/>
      </c>
      <c r="X163">
        <f>HYPERLINK("https://klasma.github.io/Logging_2482/tillsyn/A 10069-2023 tillsynsbegäran.docx", "A 10069-2023")</f>
        <v/>
      </c>
      <c r="Y163">
        <f>HYPERLINK("https://klasma.github.io/Logging_2482/tillsynsmail/A 10069-2023 tillsynsbegäran mail.docx", "A 10069-2023")</f>
        <v/>
      </c>
    </row>
    <row r="164" ht="15" customHeight="1">
      <c r="A164" t="inlineStr">
        <is>
          <t>A 11891-2023</t>
        </is>
      </c>
      <c r="B164" s="1" t="n">
        <v>44994</v>
      </c>
      <c r="C164" s="1" t="n">
        <v>45292</v>
      </c>
      <c r="D164" t="inlineStr">
        <is>
          <t>VÄSTERBOTTENS LÄN</t>
        </is>
      </c>
      <c r="E164" t="inlineStr">
        <is>
          <t>SKELLEFTEÅ</t>
        </is>
      </c>
      <c r="G164" t="n">
        <v>10.5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HYPERLINK("https://klasma.github.io/Logging_2482/artfynd/A 11891-2023 artfynd.xlsx", "A 11891-2023")</f>
        <v/>
      </c>
      <c r="T164">
        <f>HYPERLINK("https://klasma.github.io/Logging_2482/kartor/A 11891-2023 karta.png", "A 11891-2023")</f>
        <v/>
      </c>
      <c r="V164">
        <f>HYPERLINK("https://klasma.github.io/Logging_2482/klagomål/A 11891-2023 FSC-klagomål.docx", "A 11891-2023")</f>
        <v/>
      </c>
      <c r="W164">
        <f>HYPERLINK("https://klasma.github.io/Logging_2482/klagomålsmail/A 11891-2023 FSC-klagomål mail.docx", "A 11891-2023")</f>
        <v/>
      </c>
      <c r="X164">
        <f>HYPERLINK("https://klasma.github.io/Logging_2482/tillsyn/A 11891-2023 tillsynsbegäran.docx", "A 11891-2023")</f>
        <v/>
      </c>
      <c r="Y164">
        <f>HYPERLINK("https://klasma.github.io/Logging_2482/tillsynsmail/A 11891-2023 tillsynsbegäran mail.docx", "A 11891-2023")</f>
        <v/>
      </c>
    </row>
    <row r="165" ht="15" customHeight="1">
      <c r="A165" t="inlineStr">
        <is>
          <t>A 27358-2023</t>
        </is>
      </c>
      <c r="B165" s="1" t="n">
        <v>45096</v>
      </c>
      <c r="C165" s="1" t="n">
        <v>45292</v>
      </c>
      <c r="D165" t="inlineStr">
        <is>
          <t>VÄSTERBOTTENS LÄN</t>
        </is>
      </c>
      <c r="E165" t="inlineStr">
        <is>
          <t>SKELLEFTEÅ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27358-2023 artfynd.xlsx", "A 27358-2023")</f>
        <v/>
      </c>
      <c r="T165">
        <f>HYPERLINK("https://klasma.github.io/Logging_2482/kartor/A 27358-2023 karta.png", "A 27358-2023")</f>
        <v/>
      </c>
      <c r="U165">
        <f>HYPERLINK("https://klasma.github.io/Logging_2482/knärot/A 27358-2023 karta knärot.png", "A 27358-2023")</f>
        <v/>
      </c>
      <c r="V165">
        <f>HYPERLINK("https://klasma.github.io/Logging_2482/klagomål/A 27358-2023 FSC-klagomål.docx", "A 27358-2023")</f>
        <v/>
      </c>
      <c r="W165">
        <f>HYPERLINK("https://klasma.github.io/Logging_2482/klagomålsmail/A 27358-2023 FSC-klagomål mail.docx", "A 27358-2023")</f>
        <v/>
      </c>
      <c r="X165">
        <f>HYPERLINK("https://klasma.github.io/Logging_2482/tillsyn/A 27358-2023 tillsynsbegäran.docx", "A 27358-2023")</f>
        <v/>
      </c>
      <c r="Y165">
        <f>HYPERLINK("https://klasma.github.io/Logging_2482/tillsynsmail/A 27358-2023 tillsynsbegäran mail.docx", "A 27358-2023")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45292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30703-2023</t>
        </is>
      </c>
      <c r="B167" s="1" t="n">
        <v>45112</v>
      </c>
      <c r="C167" s="1" t="n">
        <v>45292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30703-2023 artfynd.xlsx", "A 30703-2023")</f>
        <v/>
      </c>
      <c r="T167">
        <f>HYPERLINK("https://klasma.github.io/Logging_2482/kartor/A 30703-2023 karta.png", "A 30703-2023")</f>
        <v/>
      </c>
      <c r="V167">
        <f>HYPERLINK("https://klasma.github.io/Logging_2482/klagomål/A 30703-2023 FSC-klagomål.docx", "A 30703-2023")</f>
        <v/>
      </c>
      <c r="W167">
        <f>HYPERLINK("https://klasma.github.io/Logging_2482/klagomålsmail/A 30703-2023 FSC-klagomål mail.docx", "A 30703-2023")</f>
        <v/>
      </c>
      <c r="X167">
        <f>HYPERLINK("https://klasma.github.io/Logging_2482/tillsyn/A 30703-2023 tillsynsbegäran.docx", "A 30703-2023")</f>
        <v/>
      </c>
      <c r="Y167">
        <f>HYPERLINK("https://klasma.github.io/Logging_2482/tillsynsmail/A 30703-2023 tillsynsbegäran mail.docx", "A 30703-2023")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45292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45292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38455-2023</t>
        </is>
      </c>
      <c r="B170" s="1" t="n">
        <v>45162</v>
      </c>
      <c r="C170" s="1" t="n">
        <v>45292</v>
      </c>
      <c r="D170" t="inlineStr">
        <is>
          <t>VÄSTERBOTTENS LÄN</t>
        </is>
      </c>
      <c r="E170" t="inlineStr">
        <is>
          <t>SKELLEFTEÅ</t>
        </is>
      </c>
      <c r="G170" t="n">
        <v>10.4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HYPERLINK("https://klasma.github.io/Logging_2482/artfynd/A 38455-2023 artfynd.xlsx", "A 38455-2023")</f>
        <v/>
      </c>
      <c r="T170">
        <f>HYPERLINK("https://klasma.github.io/Logging_2482/kartor/A 38455-2023 karta.png", "A 38455-2023")</f>
        <v/>
      </c>
      <c r="V170">
        <f>HYPERLINK("https://klasma.github.io/Logging_2482/klagomål/A 38455-2023 FSC-klagomål.docx", "A 38455-2023")</f>
        <v/>
      </c>
      <c r="W170">
        <f>HYPERLINK("https://klasma.github.io/Logging_2482/klagomålsmail/A 38455-2023 FSC-klagomål mail.docx", "A 38455-2023")</f>
        <v/>
      </c>
      <c r="X170">
        <f>HYPERLINK("https://klasma.github.io/Logging_2482/tillsyn/A 38455-2023 tillsynsbegäran.docx", "A 38455-2023")</f>
        <v/>
      </c>
      <c r="Y170">
        <f>HYPERLINK("https://klasma.github.io/Logging_2482/tillsynsmail/A 38455-2023 tillsynsbegäran mail.docx", "A 38455-2023")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45292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45292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47056-2023</t>
        </is>
      </c>
      <c r="B173" s="1" t="n">
        <v>45201</v>
      </c>
      <c r="C173" s="1" t="n">
        <v>45292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47056-2023 artfynd.xlsx", "A 47056-2023")</f>
        <v/>
      </c>
      <c r="T173">
        <f>HYPERLINK("https://klasma.github.io/Logging_2482/kartor/A 47056-2023 karta.png", "A 47056-2023")</f>
        <v/>
      </c>
      <c r="V173">
        <f>HYPERLINK("https://klasma.github.io/Logging_2482/klagomål/A 47056-2023 FSC-klagomål.docx", "A 47056-2023")</f>
        <v/>
      </c>
      <c r="W173">
        <f>HYPERLINK("https://klasma.github.io/Logging_2482/klagomålsmail/A 47056-2023 FSC-klagomål mail.docx", "A 47056-2023")</f>
        <v/>
      </c>
      <c r="X173">
        <f>HYPERLINK("https://klasma.github.io/Logging_2482/tillsyn/A 47056-2023 tillsynsbegäran.docx", "A 47056-2023")</f>
        <v/>
      </c>
      <c r="Y173">
        <f>HYPERLINK("https://klasma.github.io/Logging_2482/tillsynsmail/A 47056-2023 tillsynsbegäran mail.docx", "A 47056-2023")</f>
        <v/>
      </c>
    </row>
    <row r="174" ht="15" customHeight="1">
      <c r="A174" t="inlineStr">
        <is>
          <t>A 49322-2023</t>
        </is>
      </c>
      <c r="B174" s="1" t="n">
        <v>45211</v>
      </c>
      <c r="C174" s="1" t="n">
        <v>45292</v>
      </c>
      <c r="D174" t="inlineStr">
        <is>
          <t>VÄSTERBOTTENS LÄN</t>
        </is>
      </c>
      <c r="E174" t="inlineStr">
        <is>
          <t>SKELLEFTEÅ</t>
        </is>
      </c>
      <c r="G174" t="n">
        <v>24.9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49322-2023 artfynd.xlsx", "A 49322-2023")</f>
        <v/>
      </c>
      <c r="T174">
        <f>HYPERLINK("https://klasma.github.io/Logging_2482/kartor/A 49322-2023 karta.png", "A 49322-2023")</f>
        <v/>
      </c>
      <c r="U174">
        <f>HYPERLINK("https://klasma.github.io/Logging_2482/knärot/A 49322-2023 karta knärot.png", "A 49322-2023")</f>
        <v/>
      </c>
      <c r="V174">
        <f>HYPERLINK("https://klasma.github.io/Logging_2482/klagomål/A 49322-2023 FSC-klagomål.docx", "A 49322-2023")</f>
        <v/>
      </c>
      <c r="W174">
        <f>HYPERLINK("https://klasma.github.io/Logging_2482/klagomålsmail/A 49322-2023 FSC-klagomål mail.docx", "A 49322-2023")</f>
        <v/>
      </c>
      <c r="X174">
        <f>HYPERLINK("https://klasma.github.io/Logging_2482/tillsyn/A 49322-2023 tillsynsbegäran.docx", "A 49322-2023")</f>
        <v/>
      </c>
      <c r="Y174">
        <f>HYPERLINK("https://klasma.github.io/Logging_2482/tillsynsmail/A 49322-2023 tillsynsbegäran mail.docx", "A 49322-2023")</f>
        <v/>
      </c>
    </row>
    <row r="175" ht="15" customHeight="1">
      <c r="A175" t="inlineStr">
        <is>
          <t>A 54488-2023</t>
        </is>
      </c>
      <c r="B175" s="1" t="n">
        <v>45226</v>
      </c>
      <c r="C175" s="1" t="n">
        <v>45292</v>
      </c>
      <c r="D175" t="inlineStr">
        <is>
          <t>VÄSTERBOTTENS LÄN</t>
        </is>
      </c>
      <c r="E175" t="inlineStr">
        <is>
          <t>SKELLEFTEÅ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54488-2023 artfynd.xlsx", "A 54488-2023")</f>
        <v/>
      </c>
      <c r="T175">
        <f>HYPERLINK("https://klasma.github.io/Logging_2482/kartor/A 54488-2023 karta.png", "A 54488-2023")</f>
        <v/>
      </c>
      <c r="V175">
        <f>HYPERLINK("https://klasma.github.io/Logging_2482/klagomål/A 54488-2023 FSC-klagomål.docx", "A 54488-2023")</f>
        <v/>
      </c>
      <c r="W175">
        <f>HYPERLINK("https://klasma.github.io/Logging_2482/klagomålsmail/A 54488-2023 FSC-klagomål mail.docx", "A 54488-2023")</f>
        <v/>
      </c>
      <c r="X175">
        <f>HYPERLINK("https://klasma.github.io/Logging_2482/tillsyn/A 54488-2023 tillsynsbegäran.docx", "A 54488-2023")</f>
        <v/>
      </c>
      <c r="Y175">
        <f>HYPERLINK("https://klasma.github.io/Logging_2482/tillsynsmail/A 54488-2023 tillsynsbegäran mail.docx", "A 54488-2023")</f>
        <v/>
      </c>
    </row>
    <row r="176" ht="15" customHeight="1">
      <c r="A176" t="inlineStr">
        <is>
          <t>A 55839-2023</t>
        </is>
      </c>
      <c r="B176" s="1" t="n">
        <v>45239</v>
      </c>
      <c r="C176" s="1" t="n">
        <v>45292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0.8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HYPERLINK("https://klasma.github.io/Logging_2482/artfynd/A 55839-2023 artfynd.xlsx", "A 55839-2023")</f>
        <v/>
      </c>
      <c r="T176">
        <f>HYPERLINK("https://klasma.github.io/Logging_2482/kartor/A 55839-2023 karta.png", "A 55839-2023")</f>
        <v/>
      </c>
      <c r="V176">
        <f>HYPERLINK("https://klasma.github.io/Logging_2482/klagomål/A 55839-2023 FSC-klagomål.docx", "A 55839-2023")</f>
        <v/>
      </c>
      <c r="W176">
        <f>HYPERLINK("https://klasma.github.io/Logging_2482/klagomålsmail/A 55839-2023 FSC-klagomål mail.docx", "A 55839-2023")</f>
        <v/>
      </c>
      <c r="X176">
        <f>HYPERLINK("https://klasma.github.io/Logging_2482/tillsyn/A 55839-2023 tillsynsbegäran.docx", "A 55839-2023")</f>
        <v/>
      </c>
      <c r="Y176">
        <f>HYPERLINK("https://klasma.github.io/Logging_2482/tillsynsmail/A 55839-2023 tillsynsbegäran mail.docx", "A 55839-2023")</f>
        <v/>
      </c>
    </row>
    <row r="177" ht="15" customHeight="1">
      <c r="A177" t="inlineStr">
        <is>
          <t>A 34230-2018</t>
        </is>
      </c>
      <c r="B177" s="1" t="n">
        <v>43318</v>
      </c>
      <c r="C177" s="1" t="n">
        <v>45292</v>
      </c>
      <c r="D177" t="inlineStr">
        <is>
          <t>VÄSTERBOTTENS LÄN</t>
        </is>
      </c>
      <c r="E177" t="inlineStr">
        <is>
          <t>SKELLEFTEÅ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34252-2018</t>
        </is>
      </c>
      <c r="B178" s="1" t="n">
        <v>43318</v>
      </c>
      <c r="C178" s="1" t="n">
        <v>45292</v>
      </c>
      <c r="D178" t="inlineStr">
        <is>
          <t>VÄSTERBOTTENS LÄN</t>
        </is>
      </c>
      <c r="E178" t="inlineStr">
        <is>
          <t>SKELLEFTEÅ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34232-2018</t>
        </is>
      </c>
      <c r="B179" s="1" t="n">
        <v>43318</v>
      </c>
      <c r="C179" s="1" t="n">
        <v>45292</v>
      </c>
      <c r="D179" t="inlineStr">
        <is>
          <t>VÄSTERBOTTENS LÄN</t>
        </is>
      </c>
      <c r="E179" t="inlineStr">
        <is>
          <t>SKELLEFTEÅ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34396-2018</t>
        </is>
      </c>
      <c r="B180" s="1" t="n">
        <v>43319</v>
      </c>
      <c r="C180" s="1" t="n">
        <v>45292</v>
      </c>
      <c r="D180" t="inlineStr">
        <is>
          <t>VÄSTERBOTTENS LÄN</t>
        </is>
      </c>
      <c r="E180" t="inlineStr">
        <is>
          <t>SKELLEFTEÅ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35493-2018</t>
        </is>
      </c>
      <c r="B181" s="1" t="n">
        <v>43325</v>
      </c>
      <c r="C181" s="1" t="n">
        <v>45292</v>
      </c>
      <c r="D181" t="inlineStr">
        <is>
          <t>VÄSTERBOTTENS LÄN</t>
        </is>
      </c>
      <c r="E181" t="inlineStr">
        <is>
          <t>SKELLEFTEÅ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35908-2018</t>
        </is>
      </c>
      <c r="B182" s="1" t="n">
        <v>43326</v>
      </c>
      <c r="C182" s="1" t="n">
        <v>45292</v>
      </c>
      <c r="D182" t="inlineStr">
        <is>
          <t>VÄSTERBOTTENS LÄN</t>
        </is>
      </c>
      <c r="E182" t="inlineStr">
        <is>
          <t>SKELLEFTEÅ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35938-2018</t>
        </is>
      </c>
      <c r="B183" s="1" t="n">
        <v>43327</v>
      </c>
      <c r="C183" s="1" t="n">
        <v>45292</v>
      </c>
      <c r="D183" t="inlineStr">
        <is>
          <t>VÄSTERBOTTENS LÄN</t>
        </is>
      </c>
      <c r="E183" t="inlineStr">
        <is>
          <t>SKELLEFTEÅ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35994-2018</t>
        </is>
      </c>
      <c r="B184" s="1" t="n">
        <v>43327</v>
      </c>
      <c r="C184" s="1" t="n">
        <v>45292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36413-2018</t>
        </is>
      </c>
      <c r="B185" s="1" t="n">
        <v>43329</v>
      </c>
      <c r="C185" s="1" t="n">
        <v>45292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36369-2018</t>
        </is>
      </c>
      <c r="B186" s="1" t="n">
        <v>43329</v>
      </c>
      <c r="C186" s="1" t="n">
        <v>45292</v>
      </c>
      <c r="D186" t="inlineStr">
        <is>
          <t>VÄSTERBOTTENS LÄN</t>
        </is>
      </c>
      <c r="E186" t="inlineStr">
        <is>
          <t>SKELLEFTEÅ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36803-2018</t>
        </is>
      </c>
      <c r="B187" s="1" t="n">
        <v>43329</v>
      </c>
      <c r="C187" s="1" t="n">
        <v>45292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37129-2018</t>
        </is>
      </c>
      <c r="B188" s="1" t="n">
        <v>43332</v>
      </c>
      <c r="C188" s="1" t="n">
        <v>45292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38916-2018</t>
        </is>
      </c>
      <c r="B189" s="1" t="n">
        <v>43336</v>
      </c>
      <c r="C189" s="1" t="n">
        <v>45292</v>
      </c>
      <c r="D189" t="inlineStr">
        <is>
          <t>VÄSTERBOTTENS LÄN</t>
        </is>
      </c>
      <c r="E189" t="inlineStr">
        <is>
          <t>SKELLEFTEÅ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38256-2018</t>
        </is>
      </c>
      <c r="B190" s="1" t="n">
        <v>43339</v>
      </c>
      <c r="C190" s="1" t="n">
        <v>45292</v>
      </c>
      <c r="D190" t="inlineStr">
        <is>
          <t>VÄSTERBOTTENS LÄN</t>
        </is>
      </c>
      <c r="E190" t="inlineStr">
        <is>
          <t>SKELLEFTEÅ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39197-2018</t>
        </is>
      </c>
      <c r="B191" s="1" t="n">
        <v>43339</v>
      </c>
      <c r="C191" s="1" t="n">
        <v>45292</v>
      </c>
      <c r="D191" t="inlineStr">
        <is>
          <t>VÄSTERBOTTENS LÄN</t>
        </is>
      </c>
      <c r="E191" t="inlineStr">
        <is>
          <t>SKELLEFTEÅ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39924-2018</t>
        </is>
      </c>
      <c r="B192" s="1" t="n">
        <v>43342</v>
      </c>
      <c r="C192" s="1" t="n">
        <v>45292</v>
      </c>
      <c r="D192" t="inlineStr">
        <is>
          <t>VÄSTERBOTTENS LÄN</t>
        </is>
      </c>
      <c r="E192" t="inlineStr">
        <is>
          <t>SKELLEFTEÅ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42535-2018</t>
        </is>
      </c>
      <c r="B193" s="1" t="n">
        <v>43349</v>
      </c>
      <c r="C193" s="1" t="n">
        <v>45292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42527-2018</t>
        </is>
      </c>
      <c r="B194" s="1" t="n">
        <v>43349</v>
      </c>
      <c r="C194" s="1" t="n">
        <v>45292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43334-2018</t>
        </is>
      </c>
      <c r="B195" s="1" t="n">
        <v>43353</v>
      </c>
      <c r="C195" s="1" t="n">
        <v>45292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43408-2018</t>
        </is>
      </c>
      <c r="B196" s="1" t="n">
        <v>43356</v>
      </c>
      <c r="C196" s="1" t="n">
        <v>45292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43867-2018</t>
        </is>
      </c>
      <c r="B197" s="1" t="n">
        <v>43357</v>
      </c>
      <c r="C197" s="1" t="n">
        <v>45292</v>
      </c>
      <c r="D197" t="inlineStr">
        <is>
          <t>VÄSTERBOTTENS LÄN</t>
        </is>
      </c>
      <c r="E197" t="inlineStr">
        <is>
          <t>SKELLEFTEÅ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44602-2018</t>
        </is>
      </c>
      <c r="B198" s="1" t="n">
        <v>43357</v>
      </c>
      <c r="C198" s="1" t="n">
        <v>45292</v>
      </c>
      <c r="D198" t="inlineStr">
        <is>
          <t>VÄSTERBOTTENS LÄN</t>
        </is>
      </c>
      <c r="E198" t="inlineStr">
        <is>
          <t>SKELLEFTEÅ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44568-2018</t>
        </is>
      </c>
      <c r="B199" s="1" t="n">
        <v>43357</v>
      </c>
      <c r="C199" s="1" t="n">
        <v>45292</v>
      </c>
      <c r="D199" t="inlineStr">
        <is>
          <t>VÄSTERBOTTENS LÄN</t>
        </is>
      </c>
      <c r="E199" t="inlineStr">
        <is>
          <t>SKELLEFTEÅ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44679-2018</t>
        </is>
      </c>
      <c r="B200" s="1" t="n">
        <v>43357</v>
      </c>
      <c r="C200" s="1" t="n">
        <v>45292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44212-2018</t>
        </is>
      </c>
      <c r="B201" s="1" t="n">
        <v>43360</v>
      </c>
      <c r="C201" s="1" t="n">
        <v>45292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45332-2018</t>
        </is>
      </c>
      <c r="B202" s="1" t="n">
        <v>43361</v>
      </c>
      <c r="C202" s="1" t="n">
        <v>45292</v>
      </c>
      <c r="D202" t="inlineStr">
        <is>
          <t>VÄSTERBOTTENS LÄN</t>
        </is>
      </c>
      <c r="E202" t="inlineStr">
        <is>
          <t>SKELLEFTEÅ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45743-2018</t>
        </is>
      </c>
      <c r="B203" s="1" t="n">
        <v>43362</v>
      </c>
      <c r="C203" s="1" t="n">
        <v>45292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45847-2018</t>
        </is>
      </c>
      <c r="B204" s="1" t="n">
        <v>43362</v>
      </c>
      <c r="C204" s="1" t="n">
        <v>45292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45176-2018</t>
        </is>
      </c>
      <c r="B205" s="1" t="n">
        <v>43362</v>
      </c>
      <c r="C205" s="1" t="n">
        <v>45292</v>
      </c>
      <c r="D205" t="inlineStr">
        <is>
          <t>VÄSTERBOTTENS LÄN</t>
        </is>
      </c>
      <c r="E205" t="inlineStr">
        <is>
          <t>SKELLEFTEÅ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45724-2018</t>
        </is>
      </c>
      <c r="B206" s="1" t="n">
        <v>43362</v>
      </c>
      <c r="C206" s="1" t="n">
        <v>45292</v>
      </c>
      <c r="D206" t="inlineStr">
        <is>
          <t>VÄSTERBOTTENS LÄN</t>
        </is>
      </c>
      <c r="E206" t="inlineStr">
        <is>
          <t>SKELLEFTEÅ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46430-2018</t>
        </is>
      </c>
      <c r="B207" s="1" t="n">
        <v>43363</v>
      </c>
      <c r="C207" s="1" t="n">
        <v>45292</v>
      </c>
      <c r="D207" t="inlineStr">
        <is>
          <t>VÄSTERBOTTENS LÄN</t>
        </is>
      </c>
      <c r="E207" t="inlineStr">
        <is>
          <t>SKELLEFTEÅ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46332-2018</t>
        </is>
      </c>
      <c r="B208" s="1" t="n">
        <v>43363</v>
      </c>
      <c r="C208" s="1" t="n">
        <v>45292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46771-2018</t>
        </is>
      </c>
      <c r="B209" s="1" t="n">
        <v>43364</v>
      </c>
      <c r="C209" s="1" t="n">
        <v>45292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47734-2018</t>
        </is>
      </c>
      <c r="B210" s="1" t="n">
        <v>43368</v>
      </c>
      <c r="C210" s="1" t="n">
        <v>45292</v>
      </c>
      <c r="D210" t="inlineStr">
        <is>
          <t>VÄSTERBOTTENS LÄN</t>
        </is>
      </c>
      <c r="E210" t="inlineStr">
        <is>
          <t>SKELLEFTEÅ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47546-2018</t>
        </is>
      </c>
      <c r="B211" s="1" t="n">
        <v>43370</v>
      </c>
      <c r="C211" s="1" t="n">
        <v>45292</v>
      </c>
      <c r="D211" t="inlineStr">
        <is>
          <t>VÄSTERBOTTENS LÄN</t>
        </is>
      </c>
      <c r="E211" t="inlineStr">
        <is>
          <t>SKELLEFTEÅ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48469-2018</t>
        </is>
      </c>
      <c r="B212" s="1" t="n">
        <v>43370</v>
      </c>
      <c r="C212" s="1" t="n">
        <v>45292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66949-2018</t>
        </is>
      </c>
      <c r="B213" s="1" t="n">
        <v>43370</v>
      </c>
      <c r="C213" s="1" t="n">
        <v>45292</v>
      </c>
      <c r="D213" t="inlineStr">
        <is>
          <t>VÄSTERBOTTENS LÄN</t>
        </is>
      </c>
      <c r="E213" t="inlineStr">
        <is>
          <t>SKELLEFTEÅ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48459-2018</t>
        </is>
      </c>
      <c r="B214" s="1" t="n">
        <v>43370</v>
      </c>
      <c r="C214" s="1" t="n">
        <v>45292</v>
      </c>
      <c r="D214" t="inlineStr">
        <is>
          <t>VÄSTERBOTTENS LÄN</t>
        </is>
      </c>
      <c r="E214" t="inlineStr">
        <is>
          <t>SKELLEFTEÅ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48956-2018</t>
        </is>
      </c>
      <c r="B215" s="1" t="n">
        <v>43371</v>
      </c>
      <c r="C215" s="1" t="n">
        <v>45292</v>
      </c>
      <c r="D215" t="inlineStr">
        <is>
          <t>VÄSTERBOTTENS LÄN</t>
        </is>
      </c>
      <c r="E215" t="inlineStr">
        <is>
          <t>SKELLEFTEÅ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48590-2018</t>
        </is>
      </c>
      <c r="B216" s="1" t="n">
        <v>43374</v>
      </c>
      <c r="C216" s="1" t="n">
        <v>45292</v>
      </c>
      <c r="D216" t="inlineStr">
        <is>
          <t>VÄSTERBOTTENS LÄN</t>
        </is>
      </c>
      <c r="E216" t="inlineStr">
        <is>
          <t>SKELLEFTEÅ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50122-2018</t>
        </is>
      </c>
      <c r="B217" s="1" t="n">
        <v>43375</v>
      </c>
      <c r="C217" s="1" t="n">
        <v>45292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49598-2018</t>
        </is>
      </c>
      <c r="B218" s="1" t="n">
        <v>43376</v>
      </c>
      <c r="C218" s="1" t="n">
        <v>45292</v>
      </c>
      <c r="D218" t="inlineStr">
        <is>
          <t>VÄSTERBOTTENS LÄN</t>
        </is>
      </c>
      <c r="E218" t="inlineStr">
        <is>
          <t>SKELLEFTEÅ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51599-2018</t>
        </is>
      </c>
      <c r="B219" s="1" t="n">
        <v>43378</v>
      </c>
      <c r="C219" s="1" t="n">
        <v>45292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51386-2018</t>
        </is>
      </c>
      <c r="B220" s="1" t="n">
        <v>43381</v>
      </c>
      <c r="C220" s="1" t="n">
        <v>45292</v>
      </c>
      <c r="D220" t="inlineStr">
        <is>
          <t>VÄSTERBOTTENS LÄN</t>
        </is>
      </c>
      <c r="E220" t="inlineStr">
        <is>
          <t>SKELLEFTEÅ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51667-2018</t>
        </is>
      </c>
      <c r="B221" s="1" t="n">
        <v>43381</v>
      </c>
      <c r="C221" s="1" t="n">
        <v>45292</v>
      </c>
      <c r="D221" t="inlineStr">
        <is>
          <t>VÄSTERBOTTENS LÄN</t>
        </is>
      </c>
      <c r="E221" t="inlineStr">
        <is>
          <t>SKELLEFTEÅ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51689-2018</t>
        </is>
      </c>
      <c r="B222" s="1" t="n">
        <v>43381</v>
      </c>
      <c r="C222" s="1" t="n">
        <v>45292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51983-2018</t>
        </is>
      </c>
      <c r="B223" s="1" t="n">
        <v>43382</v>
      </c>
      <c r="C223" s="1" t="n">
        <v>45292</v>
      </c>
      <c r="D223" t="inlineStr">
        <is>
          <t>VÄSTERBOTTENS LÄN</t>
        </is>
      </c>
      <c r="E223" t="inlineStr">
        <is>
          <t>SKELLEFTEÅ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51552-2018</t>
        </is>
      </c>
      <c r="B224" s="1" t="n">
        <v>43383</v>
      </c>
      <c r="C224" s="1" t="n">
        <v>45292</v>
      </c>
      <c r="D224" t="inlineStr">
        <is>
          <t>VÄSTERBOTTENS LÄN</t>
        </is>
      </c>
      <c r="E224" t="inlineStr">
        <is>
          <t>SKELLEFTEÅ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52642-2018</t>
        </is>
      </c>
      <c r="B225" s="1" t="n">
        <v>43389</v>
      </c>
      <c r="C225" s="1" t="n">
        <v>45292</v>
      </c>
      <c r="D225" t="inlineStr">
        <is>
          <t>VÄSTERBOTTENS LÄN</t>
        </is>
      </c>
      <c r="E225" t="inlineStr">
        <is>
          <t>SKELLEFTEÅ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55821-2018</t>
        </is>
      </c>
      <c r="B226" s="1" t="n">
        <v>43392</v>
      </c>
      <c r="C226" s="1" t="n">
        <v>45292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56369-2018</t>
        </is>
      </c>
      <c r="B227" s="1" t="n">
        <v>43395</v>
      </c>
      <c r="C227" s="1" t="n">
        <v>45292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54284-2018</t>
        </is>
      </c>
      <c r="B228" s="1" t="n">
        <v>43395</v>
      </c>
      <c r="C228" s="1" t="n">
        <v>45292</v>
      </c>
      <c r="D228" t="inlineStr">
        <is>
          <t>VÄSTERBOTTENS LÄN</t>
        </is>
      </c>
      <c r="E228" t="inlineStr">
        <is>
          <t>SKELLEFTEÅ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56378-2018</t>
        </is>
      </c>
      <c r="B229" s="1" t="n">
        <v>43395</v>
      </c>
      <c r="C229" s="1" t="n">
        <v>45292</v>
      </c>
      <c r="D229" t="inlineStr">
        <is>
          <t>VÄSTERBOTTENS LÄN</t>
        </is>
      </c>
      <c r="E229" t="inlineStr">
        <is>
          <t>SKELLEFTEÅ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55280-2018</t>
        </is>
      </c>
      <c r="B230" s="1" t="n">
        <v>43397</v>
      </c>
      <c r="C230" s="1" t="n">
        <v>45292</v>
      </c>
      <c r="D230" t="inlineStr">
        <is>
          <t>VÄSTERBOTTENS LÄN</t>
        </is>
      </c>
      <c r="E230" t="inlineStr">
        <is>
          <t>SKELLEFTEÅ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57812-2018</t>
        </is>
      </c>
      <c r="B231" s="1" t="n">
        <v>43397</v>
      </c>
      <c r="C231" s="1" t="n">
        <v>45292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56313-2018</t>
        </is>
      </c>
      <c r="B232" s="1" t="n">
        <v>43399</v>
      </c>
      <c r="C232" s="1" t="n">
        <v>45292</v>
      </c>
      <c r="D232" t="inlineStr">
        <is>
          <t>VÄSTERBOTTENS LÄN</t>
        </is>
      </c>
      <c r="E232" t="inlineStr">
        <is>
          <t>SKELLEFTEÅ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56672-2018</t>
        </is>
      </c>
      <c r="B233" s="1" t="n">
        <v>43402</v>
      </c>
      <c r="C233" s="1" t="n">
        <v>45292</v>
      </c>
      <c r="D233" t="inlineStr">
        <is>
          <t>VÄSTERBOTTENS LÄN</t>
        </is>
      </c>
      <c r="E233" t="inlineStr">
        <is>
          <t>SKELLEFTEÅ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59026-2018</t>
        </is>
      </c>
      <c r="B234" s="1" t="n">
        <v>43402</v>
      </c>
      <c r="C234" s="1" t="n">
        <v>45292</v>
      </c>
      <c r="D234" t="inlineStr">
        <is>
          <t>VÄSTERBOTTENS LÄN</t>
        </is>
      </c>
      <c r="E234" t="inlineStr">
        <is>
          <t>SKELLEFTEÅ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57674-2018</t>
        </is>
      </c>
      <c r="B235" s="1" t="n">
        <v>43405</v>
      </c>
      <c r="C235" s="1" t="n">
        <v>45292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58006-2018</t>
        </is>
      </c>
      <c r="B236" s="1" t="n">
        <v>43406</v>
      </c>
      <c r="C236" s="1" t="n">
        <v>45292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60573-2018</t>
        </is>
      </c>
      <c r="B237" s="1" t="n">
        <v>43406</v>
      </c>
      <c r="C237" s="1" t="n">
        <v>45292</v>
      </c>
      <c r="D237" t="inlineStr">
        <is>
          <t>VÄSTERBOTTENS LÄN</t>
        </is>
      </c>
      <c r="E237" t="inlineStr">
        <is>
          <t>SKELLEFTEÅ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60707-2018</t>
        </is>
      </c>
      <c r="B238" s="1" t="n">
        <v>43409</v>
      </c>
      <c r="C238" s="1" t="n">
        <v>45292</v>
      </c>
      <c r="D238" t="inlineStr">
        <is>
          <t>VÄSTERBOTTENS LÄN</t>
        </is>
      </c>
      <c r="E238" t="inlineStr">
        <is>
          <t>SKELLEFTEÅ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60711-2018</t>
        </is>
      </c>
      <c r="B239" s="1" t="n">
        <v>43409</v>
      </c>
      <c r="C239" s="1" t="n">
        <v>45292</v>
      </c>
      <c r="D239" t="inlineStr">
        <is>
          <t>VÄSTERBOTTENS LÄN</t>
        </is>
      </c>
      <c r="E239" t="inlineStr">
        <is>
          <t>SKELLEFTEÅ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58805-2018</t>
        </is>
      </c>
      <c r="B240" s="1" t="n">
        <v>43410</v>
      </c>
      <c r="C240" s="1" t="n">
        <v>45292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59105-2018</t>
        </is>
      </c>
      <c r="B241" s="1" t="n">
        <v>43411</v>
      </c>
      <c r="C241" s="1" t="n">
        <v>45292</v>
      </c>
      <c r="D241" t="inlineStr">
        <is>
          <t>VÄSTERBOTTENS LÄN</t>
        </is>
      </c>
      <c r="E241" t="inlineStr">
        <is>
          <t>SKELLEFTEÅ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61039-2018</t>
        </is>
      </c>
      <c r="B242" s="1" t="n">
        <v>43412</v>
      </c>
      <c r="C242" s="1" t="n">
        <v>45292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61343-2018</t>
        </is>
      </c>
      <c r="B243" s="1" t="n">
        <v>43412</v>
      </c>
      <c r="C243" s="1" t="n">
        <v>45292</v>
      </c>
      <c r="D243" t="inlineStr">
        <is>
          <t>VÄSTERBOTTENS LÄN</t>
        </is>
      </c>
      <c r="E243" t="inlineStr">
        <is>
          <t>SKELLEFTEÅ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60037-2018</t>
        </is>
      </c>
      <c r="B244" s="1" t="n">
        <v>43412</v>
      </c>
      <c r="C244" s="1" t="n">
        <v>45292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60077-2018</t>
        </is>
      </c>
      <c r="B245" s="1" t="n">
        <v>43412</v>
      </c>
      <c r="C245" s="1" t="n">
        <v>45292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61672-2018</t>
        </is>
      </c>
      <c r="B246" s="1" t="n">
        <v>43413</v>
      </c>
      <c r="C246" s="1" t="n">
        <v>45292</v>
      </c>
      <c r="D246" t="inlineStr">
        <is>
          <t>VÄSTERBOTTENS LÄN</t>
        </is>
      </c>
      <c r="E246" t="inlineStr">
        <is>
          <t>SKELLEFTEÅ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62632-2018</t>
        </is>
      </c>
      <c r="B247" s="1" t="n">
        <v>43413</v>
      </c>
      <c r="C247" s="1" t="n">
        <v>45292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62504-2018</t>
        </is>
      </c>
      <c r="B248" s="1" t="n">
        <v>43414</v>
      </c>
      <c r="C248" s="1" t="n">
        <v>45292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61760-2018</t>
        </is>
      </c>
      <c r="B249" s="1" t="n">
        <v>43416</v>
      </c>
      <c r="C249" s="1" t="n">
        <v>45292</v>
      </c>
      <c r="D249" t="inlineStr">
        <is>
          <t>VÄSTERBOTTENS LÄN</t>
        </is>
      </c>
      <c r="E249" t="inlineStr">
        <is>
          <t>SKELLEFTEÅ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63061-2018</t>
        </is>
      </c>
      <c r="B250" s="1" t="n">
        <v>43418</v>
      </c>
      <c r="C250" s="1" t="n">
        <v>45292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63979-2018</t>
        </is>
      </c>
      <c r="B251" s="1" t="n">
        <v>43418</v>
      </c>
      <c r="C251" s="1" t="n">
        <v>45292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64267-2018</t>
        </is>
      </c>
      <c r="B252" s="1" t="n">
        <v>43419</v>
      </c>
      <c r="C252" s="1" t="n">
        <v>45292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59701-2018</t>
        </is>
      </c>
      <c r="B253" s="1" t="n">
        <v>43419</v>
      </c>
      <c r="C253" s="1" t="n">
        <v>45292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64360-2018</t>
        </is>
      </c>
      <c r="B254" s="1" t="n">
        <v>43419</v>
      </c>
      <c r="C254" s="1" t="n">
        <v>45292</v>
      </c>
      <c r="D254" t="inlineStr">
        <is>
          <t>VÄSTERBOTTENS LÄN</t>
        </is>
      </c>
      <c r="E254" t="inlineStr">
        <is>
          <t>SKELLEFTEÅ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64264-2018</t>
        </is>
      </c>
      <c r="B255" s="1" t="n">
        <v>43419</v>
      </c>
      <c r="C255" s="1" t="n">
        <v>45292</v>
      </c>
      <c r="D255" t="inlineStr">
        <is>
          <t>VÄSTERBOTTENS LÄN</t>
        </is>
      </c>
      <c r="E255" t="inlineStr">
        <is>
          <t>SKELLEFTEÅ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60343-2018</t>
        </is>
      </c>
      <c r="B256" s="1" t="n">
        <v>43420</v>
      </c>
      <c r="C256" s="1" t="n">
        <v>45292</v>
      </c>
      <c r="D256" t="inlineStr">
        <is>
          <t>VÄSTERBOTTENS LÄN</t>
        </is>
      </c>
      <c r="E256" t="inlineStr">
        <is>
          <t>SKELLEFTEÅ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64820-2018</t>
        </is>
      </c>
      <c r="B257" s="1" t="n">
        <v>43420</v>
      </c>
      <c r="C257" s="1" t="n">
        <v>45292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60639-2018</t>
        </is>
      </c>
      <c r="B258" s="1" t="n">
        <v>43420</v>
      </c>
      <c r="C258" s="1" t="n">
        <v>45292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60334-2018</t>
        </is>
      </c>
      <c r="B259" s="1" t="n">
        <v>43420</v>
      </c>
      <c r="C259" s="1" t="n">
        <v>45292</v>
      </c>
      <c r="D259" t="inlineStr">
        <is>
          <t>VÄSTERBOTTENS LÄN</t>
        </is>
      </c>
      <c r="E259" t="inlineStr">
        <is>
          <t>SKELLEFTEÅ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60457-2018</t>
        </is>
      </c>
      <c r="B260" s="1" t="n">
        <v>43420</v>
      </c>
      <c r="C260" s="1" t="n">
        <v>45292</v>
      </c>
      <c r="D260" t="inlineStr">
        <is>
          <t>VÄSTERBOTTENS LÄN</t>
        </is>
      </c>
      <c r="E260" t="inlineStr">
        <is>
          <t>SKELLEFTEÅ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60337-2018</t>
        </is>
      </c>
      <c r="B261" s="1" t="n">
        <v>43420</v>
      </c>
      <c r="C261" s="1" t="n">
        <v>45292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65108-2018</t>
        </is>
      </c>
      <c r="B262" s="1" t="n">
        <v>43423</v>
      </c>
      <c r="C262" s="1" t="n">
        <v>45292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65062-2018</t>
        </is>
      </c>
      <c r="B263" s="1" t="n">
        <v>43423</v>
      </c>
      <c r="C263" s="1" t="n">
        <v>45292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60903-2018</t>
        </is>
      </c>
      <c r="B264" s="1" t="n">
        <v>43423</v>
      </c>
      <c r="C264" s="1" t="n">
        <v>45292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65079-2018</t>
        </is>
      </c>
      <c r="B265" s="1" t="n">
        <v>43423</v>
      </c>
      <c r="C265" s="1" t="n">
        <v>45292</v>
      </c>
      <c r="D265" t="inlineStr">
        <is>
          <t>VÄSTERBOTTENS LÄN</t>
        </is>
      </c>
      <c r="E265" t="inlineStr">
        <is>
          <t>SKELLEFTEÅ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65101-2018</t>
        </is>
      </c>
      <c r="B266" s="1" t="n">
        <v>43423</v>
      </c>
      <c r="C266" s="1" t="n">
        <v>45292</v>
      </c>
      <c r="D266" t="inlineStr">
        <is>
          <t>VÄSTERBOTTENS LÄN</t>
        </is>
      </c>
      <c r="E266" t="inlineStr">
        <is>
          <t>SKELLEFTEÅ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61536-2018</t>
        </is>
      </c>
      <c r="B267" s="1" t="n">
        <v>43424</v>
      </c>
      <c r="C267" s="1" t="n">
        <v>45292</v>
      </c>
      <c r="D267" t="inlineStr">
        <is>
          <t>VÄSTERBOTTENS LÄN</t>
        </is>
      </c>
      <c r="E267" t="inlineStr">
        <is>
          <t>SKELLEFTEÅ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65269-2018</t>
        </is>
      </c>
      <c r="B268" s="1" t="n">
        <v>43424</v>
      </c>
      <c r="C268" s="1" t="n">
        <v>45292</v>
      </c>
      <c r="D268" t="inlineStr">
        <is>
          <t>VÄSTERBOTTENS LÄN</t>
        </is>
      </c>
      <c r="E268" t="inlineStr">
        <is>
          <t>SKELLEFTEÅ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65130-2018</t>
        </is>
      </c>
      <c r="B269" s="1" t="n">
        <v>43424</v>
      </c>
      <c r="C269" s="1" t="n">
        <v>45292</v>
      </c>
      <c r="D269" t="inlineStr">
        <is>
          <t>VÄSTERBOTTENS LÄN</t>
        </is>
      </c>
      <c r="E269" t="inlineStr">
        <is>
          <t>SKELLEFTEÅ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61687-2018</t>
        </is>
      </c>
      <c r="B270" s="1" t="n">
        <v>43425</v>
      </c>
      <c r="C270" s="1" t="n">
        <v>45292</v>
      </c>
      <c r="D270" t="inlineStr">
        <is>
          <t>VÄSTERBOTTENS LÄN</t>
        </is>
      </c>
      <c r="E270" t="inlineStr">
        <is>
          <t>SKELLEFTEÅ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62319-2018</t>
        </is>
      </c>
      <c r="B271" s="1" t="n">
        <v>43426</v>
      </c>
      <c r="C271" s="1" t="n">
        <v>45292</v>
      </c>
      <c r="D271" t="inlineStr">
        <is>
          <t>VÄSTERBOTTENS LÄN</t>
        </is>
      </c>
      <c r="E271" t="inlineStr">
        <is>
          <t>SKELLEFTEÅ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65948-2018</t>
        </is>
      </c>
      <c r="B272" s="1" t="n">
        <v>43426</v>
      </c>
      <c r="C272" s="1" t="n">
        <v>45292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62588-2018</t>
        </is>
      </c>
      <c r="B273" s="1" t="n">
        <v>43426</v>
      </c>
      <c r="C273" s="1" t="n">
        <v>45292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65939-2018</t>
        </is>
      </c>
      <c r="B274" s="1" t="n">
        <v>43426</v>
      </c>
      <c r="C274" s="1" t="n">
        <v>45292</v>
      </c>
      <c r="D274" t="inlineStr">
        <is>
          <t>VÄSTERBOTTENS LÄN</t>
        </is>
      </c>
      <c r="E274" t="inlineStr">
        <is>
          <t>SKELLEFTEÅ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63336-2018</t>
        </is>
      </c>
      <c r="B275" s="1" t="n">
        <v>43427</v>
      </c>
      <c r="C275" s="1" t="n">
        <v>45292</v>
      </c>
      <c r="D275" t="inlineStr">
        <is>
          <t>VÄSTERBOTTENS LÄN</t>
        </is>
      </c>
      <c r="E275" t="inlineStr">
        <is>
          <t>SKELLEFTEÅ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63652-2018</t>
        </is>
      </c>
      <c r="B276" s="1" t="n">
        <v>43427</v>
      </c>
      <c r="C276" s="1" t="n">
        <v>45292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66338-2018</t>
        </is>
      </c>
      <c r="B277" s="1" t="n">
        <v>43428</v>
      </c>
      <c r="C277" s="1" t="n">
        <v>45292</v>
      </c>
      <c r="D277" t="inlineStr">
        <is>
          <t>VÄSTERBOTTENS LÄN</t>
        </is>
      </c>
      <c r="E277" t="inlineStr">
        <is>
          <t>SKELLEFTEÅ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64388-2018</t>
        </is>
      </c>
      <c r="B278" s="1" t="n">
        <v>43430</v>
      </c>
      <c r="C278" s="1" t="n">
        <v>45292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66506-2018</t>
        </is>
      </c>
      <c r="B279" s="1" t="n">
        <v>43430</v>
      </c>
      <c r="C279" s="1" t="n">
        <v>45292</v>
      </c>
      <c r="D279" t="inlineStr">
        <is>
          <t>VÄSTERBOTTENS LÄN</t>
        </is>
      </c>
      <c r="E279" t="inlineStr">
        <is>
          <t>SKELLEFTEÅ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63881-2018</t>
        </is>
      </c>
      <c r="B280" s="1" t="n">
        <v>43430</v>
      </c>
      <c r="C280" s="1" t="n">
        <v>45292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66742-2018</t>
        </is>
      </c>
      <c r="B281" s="1" t="n">
        <v>43430</v>
      </c>
      <c r="C281" s="1" t="n">
        <v>45292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64387-2018</t>
        </is>
      </c>
      <c r="B282" s="1" t="n">
        <v>43430</v>
      </c>
      <c r="C282" s="1" t="n">
        <v>45292</v>
      </c>
      <c r="D282" t="inlineStr">
        <is>
          <t>VÄSTERBOTTENS LÄN</t>
        </is>
      </c>
      <c r="E282" t="inlineStr">
        <is>
          <t>SKELLEFTEÅ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66741-2018</t>
        </is>
      </c>
      <c r="B283" s="1" t="n">
        <v>43430</v>
      </c>
      <c r="C283" s="1" t="n">
        <v>45292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64386-2018</t>
        </is>
      </c>
      <c r="B284" s="1" t="n">
        <v>43430</v>
      </c>
      <c r="C284" s="1" t="n">
        <v>45292</v>
      </c>
      <c r="D284" t="inlineStr">
        <is>
          <t>VÄSTERBOTTENS LÄN</t>
        </is>
      </c>
      <c r="E284" t="inlineStr">
        <is>
          <t>SKELLEFTEÅ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63923-2018</t>
        </is>
      </c>
      <c r="B285" s="1" t="n">
        <v>43430</v>
      </c>
      <c r="C285" s="1" t="n">
        <v>45292</v>
      </c>
      <c r="D285" t="inlineStr">
        <is>
          <t>VÄSTERBOTTENS LÄN</t>
        </is>
      </c>
      <c r="E285" t="inlineStr">
        <is>
          <t>SKELLEFTEÅ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67250-2018</t>
        </is>
      </c>
      <c r="B286" s="1" t="n">
        <v>43431</v>
      </c>
      <c r="C286" s="1" t="n">
        <v>45292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67226-2018</t>
        </is>
      </c>
      <c r="B287" s="1" t="n">
        <v>43431</v>
      </c>
      <c r="C287" s="1" t="n">
        <v>45292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67355-2018</t>
        </is>
      </c>
      <c r="B288" s="1" t="n">
        <v>43432</v>
      </c>
      <c r="C288" s="1" t="n">
        <v>45292</v>
      </c>
      <c r="D288" t="inlineStr">
        <is>
          <t>VÄSTERBOTTENS LÄN</t>
        </is>
      </c>
      <c r="E288" t="inlineStr">
        <is>
          <t>SKELLEFTEÅ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65173-2018</t>
        </is>
      </c>
      <c r="B289" s="1" t="n">
        <v>43432</v>
      </c>
      <c r="C289" s="1" t="n">
        <v>45292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65162-2018</t>
        </is>
      </c>
      <c r="B290" s="1" t="n">
        <v>43432</v>
      </c>
      <c r="C290" s="1" t="n">
        <v>45292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65206-2018</t>
        </is>
      </c>
      <c r="B291" s="1" t="n">
        <v>43432</v>
      </c>
      <c r="C291" s="1" t="n">
        <v>45292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65178-2018</t>
        </is>
      </c>
      <c r="B292" s="1" t="n">
        <v>43432</v>
      </c>
      <c r="C292" s="1" t="n">
        <v>45292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65177-2018</t>
        </is>
      </c>
      <c r="B293" s="1" t="n">
        <v>43432</v>
      </c>
      <c r="C293" s="1" t="n">
        <v>45292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65822-2018</t>
        </is>
      </c>
      <c r="B294" s="1" t="n">
        <v>43433</v>
      </c>
      <c r="C294" s="1" t="n">
        <v>45292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65341-2018</t>
        </is>
      </c>
      <c r="B295" s="1" t="n">
        <v>43433</v>
      </c>
      <c r="C295" s="1" t="n">
        <v>45292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65854-2018</t>
        </is>
      </c>
      <c r="B296" s="1" t="n">
        <v>43434</v>
      </c>
      <c r="C296" s="1" t="n">
        <v>45292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67797-2018</t>
        </is>
      </c>
      <c r="B297" s="1" t="n">
        <v>43434</v>
      </c>
      <c r="C297" s="1" t="n">
        <v>45292</v>
      </c>
      <c r="D297" t="inlineStr">
        <is>
          <t>VÄSTERBOTTENS LÄN</t>
        </is>
      </c>
      <c r="E297" t="inlineStr">
        <is>
          <t>SKELLEFTEÅ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66652-2018</t>
        </is>
      </c>
      <c r="B298" s="1" t="n">
        <v>43437</v>
      </c>
      <c r="C298" s="1" t="n">
        <v>45292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66620-2018</t>
        </is>
      </c>
      <c r="B299" s="1" t="n">
        <v>43437</v>
      </c>
      <c r="C299" s="1" t="n">
        <v>45292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68066-2018</t>
        </is>
      </c>
      <c r="B300" s="1" t="n">
        <v>43437</v>
      </c>
      <c r="C300" s="1" t="n">
        <v>45292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67262-2018</t>
        </is>
      </c>
      <c r="B301" s="1" t="n">
        <v>43439</v>
      </c>
      <c r="C301" s="1" t="n">
        <v>45292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67211-2018</t>
        </is>
      </c>
      <c r="B302" s="1" t="n">
        <v>43439</v>
      </c>
      <c r="C302" s="1" t="n">
        <v>45292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67680-2018</t>
        </is>
      </c>
      <c r="B303" s="1" t="n">
        <v>43440</v>
      </c>
      <c r="C303" s="1" t="n">
        <v>45292</v>
      </c>
      <c r="D303" t="inlineStr">
        <is>
          <t>VÄSTERBOTTENS LÄN</t>
        </is>
      </c>
      <c r="E303" t="inlineStr">
        <is>
          <t>SKELLEFTEÅ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67681-2018</t>
        </is>
      </c>
      <c r="B304" s="1" t="n">
        <v>43440</v>
      </c>
      <c r="C304" s="1" t="n">
        <v>45292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68908-2018</t>
        </is>
      </c>
      <c r="B305" s="1" t="n">
        <v>43440</v>
      </c>
      <c r="C305" s="1" t="n">
        <v>45292</v>
      </c>
      <c r="D305" t="inlineStr">
        <is>
          <t>VÄSTERBOTTENS LÄN</t>
        </is>
      </c>
      <c r="E305" t="inlineStr">
        <is>
          <t>SKELLEFTEÅ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67919-2018</t>
        </is>
      </c>
      <c r="B306" s="1" t="n">
        <v>43440</v>
      </c>
      <c r="C306" s="1" t="n">
        <v>45292</v>
      </c>
      <c r="D306" t="inlineStr">
        <is>
          <t>VÄSTERBOTTENS LÄN</t>
        </is>
      </c>
      <c r="E306" t="inlineStr">
        <is>
          <t>SKELLEFTEÅ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67697-2018</t>
        </is>
      </c>
      <c r="B307" s="1" t="n">
        <v>43440</v>
      </c>
      <c r="C307" s="1" t="n">
        <v>45292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25.8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68019-2018</t>
        </is>
      </c>
      <c r="B308" s="1" t="n">
        <v>43441</v>
      </c>
      <c r="C308" s="1" t="n">
        <v>45292</v>
      </c>
      <c r="D308" t="inlineStr">
        <is>
          <t>VÄSTERBOTTENS LÄN</t>
        </is>
      </c>
      <c r="E308" t="inlineStr">
        <is>
          <t>SKELLEFTEÅ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68103-2018</t>
        </is>
      </c>
      <c r="B309" s="1" t="n">
        <v>43441</v>
      </c>
      <c r="C309" s="1" t="n">
        <v>45292</v>
      </c>
      <c r="D309" t="inlineStr">
        <is>
          <t>VÄSTERBOTTENS LÄN</t>
        </is>
      </c>
      <c r="E309" t="inlineStr">
        <is>
          <t>SKELLEFTEÅ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68114-2018</t>
        </is>
      </c>
      <c r="B310" s="1" t="n">
        <v>43441</v>
      </c>
      <c r="C310" s="1" t="n">
        <v>45292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68761-2018</t>
        </is>
      </c>
      <c r="B311" s="1" t="n">
        <v>43444</v>
      </c>
      <c r="C311" s="1" t="n">
        <v>45292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68924-2018</t>
        </is>
      </c>
      <c r="B312" s="1" t="n">
        <v>43445</v>
      </c>
      <c r="C312" s="1" t="n">
        <v>45292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70289-2018</t>
        </is>
      </c>
      <c r="B313" s="1" t="n">
        <v>43445</v>
      </c>
      <c r="C313" s="1" t="n">
        <v>45292</v>
      </c>
      <c r="D313" t="inlineStr">
        <is>
          <t>VÄSTERBOTTENS LÄN</t>
        </is>
      </c>
      <c r="E313" t="inlineStr">
        <is>
          <t>SKELLEFTEÅ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69413-2018</t>
        </is>
      </c>
      <c r="B314" s="1" t="n">
        <v>43446</v>
      </c>
      <c r="C314" s="1" t="n">
        <v>45292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69881-2018</t>
        </is>
      </c>
      <c r="B315" s="1" t="n">
        <v>43447</v>
      </c>
      <c r="C315" s="1" t="n">
        <v>45292</v>
      </c>
      <c r="D315" t="inlineStr">
        <is>
          <t>VÄSTERBOTTENS LÄN</t>
        </is>
      </c>
      <c r="E315" t="inlineStr">
        <is>
          <t>SKELLEFTEÅ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70608-2018</t>
        </is>
      </c>
      <c r="B316" s="1" t="n">
        <v>43447</v>
      </c>
      <c r="C316" s="1" t="n">
        <v>45292</v>
      </c>
      <c r="D316" t="inlineStr">
        <is>
          <t>VÄSTERBOTTENS LÄN</t>
        </is>
      </c>
      <c r="E316" t="inlineStr">
        <is>
          <t>SKELLEFTEÅ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70109-2018</t>
        </is>
      </c>
      <c r="B317" s="1" t="n">
        <v>43448</v>
      </c>
      <c r="C317" s="1" t="n">
        <v>45292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70977-2018</t>
        </is>
      </c>
      <c r="B318" s="1" t="n">
        <v>43448</v>
      </c>
      <c r="C318" s="1" t="n">
        <v>45292</v>
      </c>
      <c r="D318" t="inlineStr">
        <is>
          <t>VÄSTERBOTTENS LÄN</t>
        </is>
      </c>
      <c r="E318" t="inlineStr">
        <is>
          <t>SKELLEFTEÅ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70111-2018</t>
        </is>
      </c>
      <c r="B319" s="1" t="n">
        <v>43448</v>
      </c>
      <c r="C319" s="1" t="n">
        <v>45292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70981-2018</t>
        </is>
      </c>
      <c r="B320" s="1" t="n">
        <v>43448</v>
      </c>
      <c r="C320" s="1" t="n">
        <v>45292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70790-2018</t>
        </is>
      </c>
      <c r="B321" s="1" t="n">
        <v>43451</v>
      </c>
      <c r="C321" s="1" t="n">
        <v>45292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70669-2018</t>
        </is>
      </c>
      <c r="B322" s="1" t="n">
        <v>43451</v>
      </c>
      <c r="C322" s="1" t="n">
        <v>45292</v>
      </c>
      <c r="D322" t="inlineStr">
        <is>
          <t>VÄSTERBOTTENS LÄN</t>
        </is>
      </c>
      <c r="E322" t="inlineStr">
        <is>
          <t>SKELLEFTEÅ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70930-2018</t>
        </is>
      </c>
      <c r="B323" s="1" t="n">
        <v>43452</v>
      </c>
      <c r="C323" s="1" t="n">
        <v>45292</v>
      </c>
      <c r="D323" t="inlineStr">
        <is>
          <t>VÄSTERBOTTENS LÄN</t>
        </is>
      </c>
      <c r="E323" t="inlineStr">
        <is>
          <t>SKELLEFTEÅ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71077-2018</t>
        </is>
      </c>
      <c r="B324" s="1" t="n">
        <v>43452</v>
      </c>
      <c r="C324" s="1" t="n">
        <v>45292</v>
      </c>
      <c r="D324" t="inlineStr">
        <is>
          <t>VÄSTERBOTTENS LÄN</t>
        </is>
      </c>
      <c r="E324" t="inlineStr">
        <is>
          <t>SKELLEFTEÅ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71571-2018</t>
        </is>
      </c>
      <c r="B325" s="1" t="n">
        <v>43452</v>
      </c>
      <c r="C325" s="1" t="n">
        <v>45292</v>
      </c>
      <c r="D325" t="inlineStr">
        <is>
          <t>VÄSTERBOTTENS LÄN</t>
        </is>
      </c>
      <c r="E325" t="inlineStr">
        <is>
          <t>SKELLEFTEÅ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71568-2018</t>
        </is>
      </c>
      <c r="B326" s="1" t="n">
        <v>43452</v>
      </c>
      <c r="C326" s="1" t="n">
        <v>45292</v>
      </c>
      <c r="D326" t="inlineStr">
        <is>
          <t>VÄSTERBOTTENS LÄN</t>
        </is>
      </c>
      <c r="E326" t="inlineStr">
        <is>
          <t>SKELLEFTEÅ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71324-2018</t>
        </is>
      </c>
      <c r="B327" s="1" t="n">
        <v>43453</v>
      </c>
      <c r="C327" s="1" t="n">
        <v>45292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71548-2018</t>
        </is>
      </c>
      <c r="B328" s="1" t="n">
        <v>43454</v>
      </c>
      <c r="C328" s="1" t="n">
        <v>45292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72252-2018</t>
        </is>
      </c>
      <c r="B329" s="1" t="n">
        <v>43454</v>
      </c>
      <c r="C329" s="1" t="n">
        <v>45292</v>
      </c>
      <c r="D329" t="inlineStr">
        <is>
          <t>VÄSTERBOTTENS LÄN</t>
        </is>
      </c>
      <c r="E329" t="inlineStr">
        <is>
          <t>SKELLEFTEÅ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623-2019</t>
        </is>
      </c>
      <c r="B330" s="1" t="n">
        <v>43455</v>
      </c>
      <c r="C330" s="1" t="n">
        <v>45292</v>
      </c>
      <c r="D330" t="inlineStr">
        <is>
          <t>VÄSTERBOTTENS LÄN</t>
        </is>
      </c>
      <c r="E330" t="inlineStr">
        <is>
          <t>SKELLEFTEÅ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71948-2018</t>
        </is>
      </c>
      <c r="B331" s="1" t="n">
        <v>43455</v>
      </c>
      <c r="C331" s="1" t="n">
        <v>45292</v>
      </c>
      <c r="D331" t="inlineStr">
        <is>
          <t>VÄSTERBOTTENS LÄN</t>
        </is>
      </c>
      <c r="E331" t="inlineStr">
        <is>
          <t>SKELLEFTEÅ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72104-2018</t>
        </is>
      </c>
      <c r="B332" s="1" t="n">
        <v>43455</v>
      </c>
      <c r="C332" s="1" t="n">
        <v>45292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72082-2018</t>
        </is>
      </c>
      <c r="B333" s="1" t="n">
        <v>43455</v>
      </c>
      <c r="C333" s="1" t="n">
        <v>45292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626-2019</t>
        </is>
      </c>
      <c r="B334" s="1" t="n">
        <v>43455</v>
      </c>
      <c r="C334" s="1" t="n">
        <v>45292</v>
      </c>
      <c r="D334" t="inlineStr">
        <is>
          <t>VÄSTERBOTTENS LÄN</t>
        </is>
      </c>
      <c r="E334" t="inlineStr">
        <is>
          <t>SKELLEFTEÅ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294-2019</t>
        </is>
      </c>
      <c r="B335" s="1" t="n">
        <v>43468</v>
      </c>
      <c r="C335" s="1" t="n">
        <v>45292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1005-2019</t>
        </is>
      </c>
      <c r="B336" s="1" t="n">
        <v>43472</v>
      </c>
      <c r="C336" s="1" t="n">
        <v>45292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2943-2019</t>
        </is>
      </c>
      <c r="B337" s="1" t="n">
        <v>43472</v>
      </c>
      <c r="C337" s="1" t="n">
        <v>45292</v>
      </c>
      <c r="D337" t="inlineStr">
        <is>
          <t>VÄSTERBOTTENS LÄN</t>
        </is>
      </c>
      <c r="E337" t="inlineStr">
        <is>
          <t>SKELLEFTEÅ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3011-2019</t>
        </is>
      </c>
      <c r="B338" s="1" t="n">
        <v>43472</v>
      </c>
      <c r="C338" s="1" t="n">
        <v>45292</v>
      </c>
      <c r="D338" t="inlineStr">
        <is>
          <t>VÄSTERBOTTENS LÄN</t>
        </is>
      </c>
      <c r="E338" t="inlineStr">
        <is>
          <t>SKELLEFTEÅ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3141-2019</t>
        </is>
      </c>
      <c r="B339" s="1" t="n">
        <v>43472</v>
      </c>
      <c r="C339" s="1" t="n">
        <v>45292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1258-2019</t>
        </is>
      </c>
      <c r="B340" s="1" t="n">
        <v>43473</v>
      </c>
      <c r="C340" s="1" t="n">
        <v>45292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1255-2019</t>
        </is>
      </c>
      <c r="B341" s="1" t="n">
        <v>43473</v>
      </c>
      <c r="C341" s="1" t="n">
        <v>45292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1206-2019</t>
        </is>
      </c>
      <c r="B342" s="1" t="n">
        <v>43473</v>
      </c>
      <c r="C342" s="1" t="n">
        <v>45292</v>
      </c>
      <c r="D342" t="inlineStr">
        <is>
          <t>VÄSTERBOTTENS LÄN</t>
        </is>
      </c>
      <c r="E342" t="inlineStr">
        <is>
          <t>SKELLEFTEÅ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1463-2019</t>
        </is>
      </c>
      <c r="B343" s="1" t="n">
        <v>43473</v>
      </c>
      <c r="C343" s="1" t="n">
        <v>45292</v>
      </c>
      <c r="D343" t="inlineStr">
        <is>
          <t>VÄSTERBOTTENS LÄN</t>
        </is>
      </c>
      <c r="E343" t="inlineStr">
        <is>
          <t>SKELLEFTEÅ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1267-2019</t>
        </is>
      </c>
      <c r="B344" s="1" t="n">
        <v>43473</v>
      </c>
      <c r="C344" s="1" t="n">
        <v>45292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3172-2019</t>
        </is>
      </c>
      <c r="B345" s="1" t="n">
        <v>43473</v>
      </c>
      <c r="C345" s="1" t="n">
        <v>45292</v>
      </c>
      <c r="D345" t="inlineStr">
        <is>
          <t>VÄSTERBOTTENS LÄN</t>
        </is>
      </c>
      <c r="E345" t="inlineStr">
        <is>
          <t>SKELLEFTEÅ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1245-2019</t>
        </is>
      </c>
      <c r="B346" s="1" t="n">
        <v>43473</v>
      </c>
      <c r="C346" s="1" t="n">
        <v>45292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1565-2019</t>
        </is>
      </c>
      <c r="B347" s="1" t="n">
        <v>43474</v>
      </c>
      <c r="C347" s="1" t="n">
        <v>45292</v>
      </c>
      <c r="D347" t="inlineStr">
        <is>
          <t>VÄSTERBOTTENS LÄN</t>
        </is>
      </c>
      <c r="E347" t="inlineStr">
        <is>
          <t>SKELLEFTEÅ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1572-2019</t>
        </is>
      </c>
      <c r="B348" s="1" t="n">
        <v>43474</v>
      </c>
      <c r="C348" s="1" t="n">
        <v>45292</v>
      </c>
      <c r="D348" t="inlineStr">
        <is>
          <t>VÄSTERBOTTENS LÄN</t>
        </is>
      </c>
      <c r="E348" t="inlineStr">
        <is>
          <t>SKELLEFTEÅ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1673-2019</t>
        </is>
      </c>
      <c r="B349" s="1" t="n">
        <v>43474</v>
      </c>
      <c r="C349" s="1" t="n">
        <v>45292</v>
      </c>
      <c r="D349" t="inlineStr">
        <is>
          <t>VÄSTERBOTTENS LÄN</t>
        </is>
      </c>
      <c r="E349" t="inlineStr">
        <is>
          <t>SKELLEFTEÅ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2195-2019</t>
        </is>
      </c>
      <c r="B350" s="1" t="n">
        <v>43475</v>
      </c>
      <c r="C350" s="1" t="n">
        <v>45292</v>
      </c>
      <c r="D350" t="inlineStr">
        <is>
          <t>VÄSTERBOTTENS LÄN</t>
        </is>
      </c>
      <c r="E350" t="inlineStr">
        <is>
          <t>SKELLEFTEÅ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4647-2019</t>
        </is>
      </c>
      <c r="B351" s="1" t="n">
        <v>43479</v>
      </c>
      <c r="C351" s="1" t="n">
        <v>45292</v>
      </c>
      <c r="D351" t="inlineStr">
        <is>
          <t>VÄSTERBOTTENS LÄN</t>
        </is>
      </c>
      <c r="E351" t="inlineStr">
        <is>
          <t>SKELLEFTEÅ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2871-2019</t>
        </is>
      </c>
      <c r="B352" s="1" t="n">
        <v>43479</v>
      </c>
      <c r="C352" s="1" t="n">
        <v>45292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2921-2019</t>
        </is>
      </c>
      <c r="B353" s="1" t="n">
        <v>43479</v>
      </c>
      <c r="C353" s="1" t="n">
        <v>45292</v>
      </c>
      <c r="D353" t="inlineStr">
        <is>
          <t>VÄSTERBOTTENS LÄN</t>
        </is>
      </c>
      <c r="E353" t="inlineStr">
        <is>
          <t>SKELLEFTEÅ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4649-2019</t>
        </is>
      </c>
      <c r="B354" s="1" t="n">
        <v>43479</v>
      </c>
      <c r="C354" s="1" t="n">
        <v>45292</v>
      </c>
      <c r="D354" t="inlineStr">
        <is>
          <t>VÄSTERBOTTENS LÄN</t>
        </is>
      </c>
      <c r="E354" t="inlineStr">
        <is>
          <t>SKELLEFTEÅ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4653-2019</t>
        </is>
      </c>
      <c r="B355" s="1" t="n">
        <v>43479</v>
      </c>
      <c r="C355" s="1" t="n">
        <v>45292</v>
      </c>
      <c r="D355" t="inlineStr">
        <is>
          <t>VÄSTERBOTTENS LÄN</t>
        </is>
      </c>
      <c r="E355" t="inlineStr">
        <is>
          <t>SKELLEFTEÅ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4668-2019</t>
        </is>
      </c>
      <c r="B356" s="1" t="n">
        <v>43479</v>
      </c>
      <c r="C356" s="1" t="n">
        <v>45292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4643-2019</t>
        </is>
      </c>
      <c r="B357" s="1" t="n">
        <v>43479</v>
      </c>
      <c r="C357" s="1" t="n">
        <v>45292</v>
      </c>
      <c r="D357" t="inlineStr">
        <is>
          <t>VÄSTERBOTTENS LÄN</t>
        </is>
      </c>
      <c r="E357" t="inlineStr">
        <is>
          <t>SKELLEFTEÅ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4977-2019</t>
        </is>
      </c>
      <c r="B358" s="1" t="n">
        <v>43480</v>
      </c>
      <c r="C358" s="1" t="n">
        <v>45292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5755-2019</t>
        </is>
      </c>
      <c r="B359" s="1" t="n">
        <v>43482</v>
      </c>
      <c r="C359" s="1" t="n">
        <v>45292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6079-2019</t>
        </is>
      </c>
      <c r="B360" s="1" t="n">
        <v>43483</v>
      </c>
      <c r="C360" s="1" t="n">
        <v>45292</v>
      </c>
      <c r="D360" t="inlineStr">
        <is>
          <t>VÄSTERBOTTENS LÄN</t>
        </is>
      </c>
      <c r="E360" t="inlineStr">
        <is>
          <t>SKELLEFTEÅ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4480-2019</t>
        </is>
      </c>
      <c r="B361" s="1" t="n">
        <v>43486</v>
      </c>
      <c r="C361" s="1" t="n">
        <v>45292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4842-2019</t>
        </is>
      </c>
      <c r="B362" s="1" t="n">
        <v>43487</v>
      </c>
      <c r="C362" s="1" t="n">
        <v>45292</v>
      </c>
      <c r="D362" t="inlineStr">
        <is>
          <t>VÄSTERBOTTENS LÄN</t>
        </is>
      </c>
      <c r="E362" t="inlineStr">
        <is>
          <t>SKELLEFTEÅ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7175-2019</t>
        </is>
      </c>
      <c r="B363" s="1" t="n">
        <v>43489</v>
      </c>
      <c r="C363" s="1" t="n">
        <v>45292</v>
      </c>
      <c r="D363" t="inlineStr">
        <is>
          <t>VÄSTERBOTTENS LÄN</t>
        </is>
      </c>
      <c r="E363" t="inlineStr">
        <is>
          <t>SKELLEFTEÅ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5810-2019</t>
        </is>
      </c>
      <c r="B364" s="1" t="n">
        <v>43490</v>
      </c>
      <c r="C364" s="1" t="n">
        <v>45292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6133-2019</t>
        </is>
      </c>
      <c r="B365" s="1" t="n">
        <v>43493</v>
      </c>
      <c r="C365" s="1" t="n">
        <v>45292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8605-2019</t>
        </is>
      </c>
      <c r="B366" s="1" t="n">
        <v>43497</v>
      </c>
      <c r="C366" s="1" t="n">
        <v>45292</v>
      </c>
      <c r="D366" t="inlineStr">
        <is>
          <t>VÄSTERBOTTENS LÄN</t>
        </is>
      </c>
      <c r="E366" t="inlineStr">
        <is>
          <t>SKELLEFTEÅ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8782-2019</t>
        </is>
      </c>
      <c r="B367" s="1" t="n">
        <v>43501</v>
      </c>
      <c r="C367" s="1" t="n">
        <v>45292</v>
      </c>
      <c r="D367" t="inlineStr">
        <is>
          <t>VÄSTERBOTTENS LÄN</t>
        </is>
      </c>
      <c r="E367" t="inlineStr">
        <is>
          <t>SKELLEFTEÅ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8323-2019</t>
        </is>
      </c>
      <c r="B368" s="1" t="n">
        <v>43502</v>
      </c>
      <c r="C368" s="1" t="n">
        <v>45292</v>
      </c>
      <c r="D368" t="inlineStr">
        <is>
          <t>VÄSTERBOTTENS LÄN</t>
        </is>
      </c>
      <c r="E368" t="inlineStr">
        <is>
          <t>SKELLEFTEÅ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8633-2019</t>
        </is>
      </c>
      <c r="B369" s="1" t="n">
        <v>43503</v>
      </c>
      <c r="C369" s="1" t="n">
        <v>45292</v>
      </c>
      <c r="D369" t="inlineStr">
        <is>
          <t>VÄSTERBOTTENS LÄN</t>
        </is>
      </c>
      <c r="E369" t="inlineStr">
        <is>
          <t>SKELLEFTEÅ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9047-2019</t>
        </is>
      </c>
      <c r="B370" s="1" t="n">
        <v>43504</v>
      </c>
      <c r="C370" s="1" t="n">
        <v>45292</v>
      </c>
      <c r="D370" t="inlineStr">
        <is>
          <t>VÄSTERBOTTENS LÄN</t>
        </is>
      </c>
      <c r="E370" t="inlineStr">
        <is>
          <t>SKELLEFTEÅ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9407-2019</t>
        </is>
      </c>
      <c r="B371" s="1" t="n">
        <v>43507</v>
      </c>
      <c r="C371" s="1" t="n">
        <v>45292</v>
      </c>
      <c r="D371" t="inlineStr">
        <is>
          <t>VÄSTERBOTTENS LÄN</t>
        </is>
      </c>
      <c r="E371" t="inlineStr">
        <is>
          <t>SKELLEFTEÅ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9384-2019</t>
        </is>
      </c>
      <c r="B372" s="1" t="n">
        <v>43507</v>
      </c>
      <c r="C372" s="1" t="n">
        <v>45292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9732-2019</t>
        </is>
      </c>
      <c r="B373" s="1" t="n">
        <v>43509</v>
      </c>
      <c r="C373" s="1" t="n">
        <v>45292</v>
      </c>
      <c r="D373" t="inlineStr">
        <is>
          <t>VÄSTERBOTTENS LÄN</t>
        </is>
      </c>
      <c r="E373" t="inlineStr">
        <is>
          <t>SKELLEFTEÅ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9864-2019</t>
        </is>
      </c>
      <c r="B374" s="1" t="n">
        <v>43509</v>
      </c>
      <c r="C374" s="1" t="n">
        <v>45292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10183-2019</t>
        </is>
      </c>
      <c r="B375" s="1" t="n">
        <v>43510</v>
      </c>
      <c r="C375" s="1" t="n">
        <v>45292</v>
      </c>
      <c r="D375" t="inlineStr">
        <is>
          <t>VÄSTERBOTTENS LÄN</t>
        </is>
      </c>
      <c r="E375" t="inlineStr">
        <is>
          <t>SKELLEFTEÅ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11050-2019</t>
        </is>
      </c>
      <c r="B376" s="1" t="n">
        <v>43515</v>
      </c>
      <c r="C376" s="1" t="n">
        <v>45292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11718-2019</t>
        </is>
      </c>
      <c r="B377" s="1" t="n">
        <v>43518</v>
      </c>
      <c r="C377" s="1" t="n">
        <v>45292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11951-2019</t>
        </is>
      </c>
      <c r="B378" s="1" t="n">
        <v>43521</v>
      </c>
      <c r="C378" s="1" t="n">
        <v>45292</v>
      </c>
      <c r="D378" t="inlineStr">
        <is>
          <t>VÄSTERBOTTENS LÄN</t>
        </is>
      </c>
      <c r="E378" t="inlineStr">
        <is>
          <t>SKELLEFTEÅ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11930-2019</t>
        </is>
      </c>
      <c r="B379" s="1" t="n">
        <v>43521</v>
      </c>
      <c r="C379" s="1" t="n">
        <v>45292</v>
      </c>
      <c r="D379" t="inlineStr">
        <is>
          <t>VÄSTERBOTTENS LÄN</t>
        </is>
      </c>
      <c r="E379" t="inlineStr">
        <is>
          <t>SKELLEFTEÅ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12067-2019</t>
        </is>
      </c>
      <c r="B380" s="1" t="n">
        <v>43521</v>
      </c>
      <c r="C380" s="1" t="n">
        <v>45292</v>
      </c>
      <c r="D380" t="inlineStr">
        <is>
          <t>VÄSTERBOTTENS LÄN</t>
        </is>
      </c>
      <c r="E380" t="inlineStr">
        <is>
          <t>SKELLEFTEÅ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12164-2019</t>
        </is>
      </c>
      <c r="B381" s="1" t="n">
        <v>43521</v>
      </c>
      <c r="C381" s="1" t="n">
        <v>45292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12828-2019</t>
        </is>
      </c>
      <c r="B382" s="1" t="n">
        <v>43524</v>
      </c>
      <c r="C382" s="1" t="n">
        <v>45292</v>
      </c>
      <c r="D382" t="inlineStr">
        <is>
          <t>VÄSTERBOTTENS LÄN</t>
        </is>
      </c>
      <c r="E382" t="inlineStr">
        <is>
          <t>SKELLEFTEÅ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12966-2019</t>
        </is>
      </c>
      <c r="B383" s="1" t="n">
        <v>43526</v>
      </c>
      <c r="C383" s="1" t="n">
        <v>45292</v>
      </c>
      <c r="D383" t="inlineStr">
        <is>
          <t>VÄSTERBOTTENS LÄN</t>
        </is>
      </c>
      <c r="E383" t="inlineStr">
        <is>
          <t>SKELLEFTEÅ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13952-2019</t>
        </is>
      </c>
      <c r="B384" s="1" t="n">
        <v>43532</v>
      </c>
      <c r="C384" s="1" t="n">
        <v>45292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13983-2019</t>
        </is>
      </c>
      <c r="B385" s="1" t="n">
        <v>43532</v>
      </c>
      <c r="C385" s="1" t="n">
        <v>45292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14437-2019</t>
        </is>
      </c>
      <c r="B386" s="1" t="n">
        <v>43532</v>
      </c>
      <c r="C386" s="1" t="n">
        <v>45292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14222-2019</t>
        </is>
      </c>
      <c r="B387" s="1" t="n">
        <v>43532</v>
      </c>
      <c r="C387" s="1" t="n">
        <v>45292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14537-2019</t>
        </is>
      </c>
      <c r="B388" s="1" t="n">
        <v>43535</v>
      </c>
      <c r="C388" s="1" t="n">
        <v>45292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14563-2019</t>
        </is>
      </c>
      <c r="B389" s="1" t="n">
        <v>43535</v>
      </c>
      <c r="C389" s="1" t="n">
        <v>45292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14566-2019</t>
        </is>
      </c>
      <c r="B390" s="1" t="n">
        <v>43535</v>
      </c>
      <c r="C390" s="1" t="n">
        <v>45292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14565-2019</t>
        </is>
      </c>
      <c r="B391" s="1" t="n">
        <v>43535</v>
      </c>
      <c r="C391" s="1" t="n">
        <v>45292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14472-2019</t>
        </is>
      </c>
      <c r="B392" s="1" t="n">
        <v>43536</v>
      </c>
      <c r="C392" s="1" t="n">
        <v>45292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14736-2019</t>
        </is>
      </c>
      <c r="B393" s="1" t="n">
        <v>43536</v>
      </c>
      <c r="C393" s="1" t="n">
        <v>45292</v>
      </c>
      <c r="D393" t="inlineStr">
        <is>
          <t>VÄSTERBOTTENS LÄN</t>
        </is>
      </c>
      <c r="E393" t="inlineStr">
        <is>
          <t>SKELLEFTEÅ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14585-2019</t>
        </is>
      </c>
      <c r="B394" s="1" t="n">
        <v>43536</v>
      </c>
      <c r="C394" s="1" t="n">
        <v>45292</v>
      </c>
      <c r="D394" t="inlineStr">
        <is>
          <t>VÄSTERBOTTENS LÄN</t>
        </is>
      </c>
      <c r="E394" t="inlineStr">
        <is>
          <t>SKELLEFTEÅ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14973-2019</t>
        </is>
      </c>
      <c r="B395" s="1" t="n">
        <v>43537</v>
      </c>
      <c r="C395" s="1" t="n">
        <v>45292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15462-2019</t>
        </is>
      </c>
      <c r="B396" s="1" t="n">
        <v>43537</v>
      </c>
      <c r="C396" s="1" t="n">
        <v>45292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14847-2019</t>
        </is>
      </c>
      <c r="B397" s="1" t="n">
        <v>43537</v>
      </c>
      <c r="C397" s="1" t="n">
        <v>45292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15369-2019</t>
        </is>
      </c>
      <c r="B398" s="1" t="n">
        <v>43537</v>
      </c>
      <c r="C398" s="1" t="n">
        <v>45292</v>
      </c>
      <c r="D398" t="inlineStr">
        <is>
          <t>VÄSTERBOTTENS LÄN</t>
        </is>
      </c>
      <c r="E398" t="inlineStr">
        <is>
          <t>SKELLEFTEÅ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15006-2019</t>
        </is>
      </c>
      <c r="B399" s="1" t="n">
        <v>43538</v>
      </c>
      <c r="C399" s="1" t="n">
        <v>45292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15150-2019</t>
        </is>
      </c>
      <c r="B400" s="1" t="n">
        <v>43538</v>
      </c>
      <c r="C400" s="1" t="n">
        <v>45292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15147-2019</t>
        </is>
      </c>
      <c r="B401" s="1" t="n">
        <v>43538</v>
      </c>
      <c r="C401" s="1" t="n">
        <v>45292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15164-2019</t>
        </is>
      </c>
      <c r="B402" s="1" t="n">
        <v>43538</v>
      </c>
      <c r="C402" s="1" t="n">
        <v>45292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15514-2019</t>
        </is>
      </c>
      <c r="B403" s="1" t="n">
        <v>43539</v>
      </c>
      <c r="C403" s="1" t="n">
        <v>45292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15612-2019</t>
        </is>
      </c>
      <c r="B404" s="1" t="n">
        <v>43539</v>
      </c>
      <c r="C404" s="1" t="n">
        <v>45292</v>
      </c>
      <c r="D404" t="inlineStr">
        <is>
          <t>VÄSTERBOTTENS LÄN</t>
        </is>
      </c>
      <c r="E404" t="inlineStr">
        <is>
          <t>SKELLEFTEÅ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15637-2019</t>
        </is>
      </c>
      <c r="B405" s="1" t="n">
        <v>43539</v>
      </c>
      <c r="C405" s="1" t="n">
        <v>45292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15516-2019</t>
        </is>
      </c>
      <c r="B406" s="1" t="n">
        <v>43539</v>
      </c>
      <c r="C406" s="1" t="n">
        <v>45292</v>
      </c>
      <c r="D406" t="inlineStr">
        <is>
          <t>VÄSTERBOTTENS LÄN</t>
        </is>
      </c>
      <c r="E406" t="inlineStr">
        <is>
          <t>SKELLEFTEÅ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15513-2019</t>
        </is>
      </c>
      <c r="B407" s="1" t="n">
        <v>43539</v>
      </c>
      <c r="C407" s="1" t="n">
        <v>45292</v>
      </c>
      <c r="D407" t="inlineStr">
        <is>
          <t>VÄSTERBOTTENS LÄN</t>
        </is>
      </c>
      <c r="E407" t="inlineStr">
        <is>
          <t>SKELLEFTEÅ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15614-2019</t>
        </is>
      </c>
      <c r="B408" s="1" t="n">
        <v>43539</v>
      </c>
      <c r="C408" s="1" t="n">
        <v>45292</v>
      </c>
      <c r="D408" t="inlineStr">
        <is>
          <t>VÄSTERBOTTENS LÄN</t>
        </is>
      </c>
      <c r="E408" t="inlineStr">
        <is>
          <t>SKELLEFTEÅ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15613-2019</t>
        </is>
      </c>
      <c r="B409" s="1" t="n">
        <v>43539</v>
      </c>
      <c r="C409" s="1" t="n">
        <v>45292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15418-2019</t>
        </is>
      </c>
      <c r="B410" s="1" t="n">
        <v>43542</v>
      </c>
      <c r="C410" s="1" t="n">
        <v>45292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15255-2019</t>
        </is>
      </c>
      <c r="B411" s="1" t="n">
        <v>43542</v>
      </c>
      <c r="C411" s="1" t="n">
        <v>45292</v>
      </c>
      <c r="D411" t="inlineStr">
        <is>
          <t>VÄSTERBOTTENS LÄN</t>
        </is>
      </c>
      <c r="E411" t="inlineStr">
        <is>
          <t>SKELLEFTEÅ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15638-2019</t>
        </is>
      </c>
      <c r="B412" s="1" t="n">
        <v>43542</v>
      </c>
      <c r="C412" s="1" t="n">
        <v>45292</v>
      </c>
      <c r="D412" t="inlineStr">
        <is>
          <t>VÄSTERBOTTENS LÄN</t>
        </is>
      </c>
      <c r="E412" t="inlineStr">
        <is>
          <t>SKELLEFTEÅ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16329-2019</t>
        </is>
      </c>
      <c r="B413" s="1" t="n">
        <v>43545</v>
      </c>
      <c r="C413" s="1" t="n">
        <v>45292</v>
      </c>
      <c r="D413" t="inlineStr">
        <is>
          <t>VÄSTERBOTTENS LÄN</t>
        </is>
      </c>
      <c r="E413" t="inlineStr">
        <is>
          <t>SKELLEFTEÅ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16319-2019</t>
        </is>
      </c>
      <c r="B414" s="1" t="n">
        <v>43545</v>
      </c>
      <c r="C414" s="1" t="n">
        <v>45292</v>
      </c>
      <c r="D414" t="inlineStr">
        <is>
          <t>VÄSTERBOTTENS LÄN</t>
        </is>
      </c>
      <c r="E414" t="inlineStr">
        <is>
          <t>SKELLEFTEÅ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16467-2019</t>
        </is>
      </c>
      <c r="B415" s="1" t="n">
        <v>43546</v>
      </c>
      <c r="C415" s="1" t="n">
        <v>45292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16598-2019</t>
        </is>
      </c>
      <c r="B416" s="1" t="n">
        <v>43546</v>
      </c>
      <c r="C416" s="1" t="n">
        <v>45292</v>
      </c>
      <c r="D416" t="inlineStr">
        <is>
          <t>VÄSTERBOTTENS LÄN</t>
        </is>
      </c>
      <c r="E416" t="inlineStr">
        <is>
          <t>SKELLEFTEÅ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17578-2019</t>
        </is>
      </c>
      <c r="B417" s="1" t="n">
        <v>43553</v>
      </c>
      <c r="C417" s="1" t="n">
        <v>45292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17604-2019</t>
        </is>
      </c>
      <c r="B418" s="1" t="n">
        <v>43554</v>
      </c>
      <c r="C418" s="1" t="n">
        <v>45292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18072-2019</t>
        </is>
      </c>
      <c r="B419" s="1" t="n">
        <v>43557</v>
      </c>
      <c r="C419" s="1" t="n">
        <v>45292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18271-2019</t>
        </is>
      </c>
      <c r="B420" s="1" t="n">
        <v>43557</v>
      </c>
      <c r="C420" s="1" t="n">
        <v>45292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18073-2019</t>
        </is>
      </c>
      <c r="B421" s="1" t="n">
        <v>43557</v>
      </c>
      <c r="C421" s="1" t="n">
        <v>45292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18201-2019</t>
        </is>
      </c>
      <c r="B422" s="1" t="n">
        <v>43558</v>
      </c>
      <c r="C422" s="1" t="n">
        <v>45292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18202-2019</t>
        </is>
      </c>
      <c r="B423" s="1" t="n">
        <v>43558</v>
      </c>
      <c r="C423" s="1" t="n">
        <v>45292</v>
      </c>
      <c r="D423" t="inlineStr">
        <is>
          <t>VÄSTERBOTTENS LÄN</t>
        </is>
      </c>
      <c r="E423" t="inlineStr">
        <is>
          <t>SKELLEFTEÅ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18137-2019</t>
        </is>
      </c>
      <c r="B424" s="1" t="n">
        <v>43558</v>
      </c>
      <c r="C424" s="1" t="n">
        <v>45292</v>
      </c>
      <c r="D424" t="inlineStr">
        <is>
          <t>VÄSTERBOTTENS LÄN</t>
        </is>
      </c>
      <c r="E424" t="inlineStr">
        <is>
          <t>SKELLEFTEÅ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18714-2019</t>
        </is>
      </c>
      <c r="B425" s="1" t="n">
        <v>43560</v>
      </c>
      <c r="C425" s="1" t="n">
        <v>45292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18712-2019</t>
        </is>
      </c>
      <c r="B426" s="1" t="n">
        <v>43560</v>
      </c>
      <c r="C426" s="1" t="n">
        <v>45292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19101-2019</t>
        </is>
      </c>
      <c r="B427" s="1" t="n">
        <v>43563</v>
      </c>
      <c r="C427" s="1" t="n">
        <v>45292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19059-2019</t>
        </is>
      </c>
      <c r="B428" s="1" t="n">
        <v>43563</v>
      </c>
      <c r="C428" s="1" t="n">
        <v>45292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19382-2019</t>
        </is>
      </c>
      <c r="B429" s="1" t="n">
        <v>43565</v>
      </c>
      <c r="C429" s="1" t="n">
        <v>45292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19530-2019</t>
        </is>
      </c>
      <c r="B430" s="1" t="n">
        <v>43565</v>
      </c>
      <c r="C430" s="1" t="n">
        <v>45292</v>
      </c>
      <c r="D430" t="inlineStr">
        <is>
          <t>VÄSTERBOTTENS LÄN</t>
        </is>
      </c>
      <c r="E430" t="inlineStr">
        <is>
          <t>SKELLEFTEÅ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20163-2019</t>
        </is>
      </c>
      <c r="B431" s="1" t="n">
        <v>43567</v>
      </c>
      <c r="C431" s="1" t="n">
        <v>45292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20428-2019</t>
        </is>
      </c>
      <c r="B432" s="1" t="n">
        <v>43571</v>
      </c>
      <c r="C432" s="1" t="n">
        <v>45292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20584-2019</t>
        </is>
      </c>
      <c r="B433" s="1" t="n">
        <v>43572</v>
      </c>
      <c r="C433" s="1" t="n">
        <v>45292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Kommuner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20668-2019</t>
        </is>
      </c>
      <c r="B434" s="1" t="n">
        <v>43572</v>
      </c>
      <c r="C434" s="1" t="n">
        <v>45292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21553-2019</t>
        </is>
      </c>
      <c r="B435" s="1" t="n">
        <v>43580</v>
      </c>
      <c r="C435" s="1" t="n">
        <v>45292</v>
      </c>
      <c r="D435" t="inlineStr">
        <is>
          <t>VÄSTERBOTTENS LÄN</t>
        </is>
      </c>
      <c r="E435" t="inlineStr">
        <is>
          <t>SKELLEFTEÅ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21583-2019</t>
        </is>
      </c>
      <c r="B436" s="1" t="n">
        <v>43580</v>
      </c>
      <c r="C436" s="1" t="n">
        <v>45292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22580-2019</t>
        </is>
      </c>
      <c r="B437" s="1" t="n">
        <v>43587</v>
      </c>
      <c r="C437" s="1" t="n">
        <v>45292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23436-2019</t>
        </is>
      </c>
      <c r="B438" s="1" t="n">
        <v>43592</v>
      </c>
      <c r="C438" s="1" t="n">
        <v>45292</v>
      </c>
      <c r="D438" t="inlineStr">
        <is>
          <t>VÄSTERBOTTENS LÄN</t>
        </is>
      </c>
      <c r="E438" t="inlineStr">
        <is>
          <t>SKELLEFTEÅ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23396-2019</t>
        </is>
      </c>
      <c r="B439" s="1" t="n">
        <v>43592</v>
      </c>
      <c r="C439" s="1" t="n">
        <v>45292</v>
      </c>
      <c r="D439" t="inlineStr">
        <is>
          <t>VÄSTERBOTTENS LÄN</t>
        </is>
      </c>
      <c r="E439" t="inlineStr">
        <is>
          <t>SKELLEFTEÅ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24063-2019</t>
        </is>
      </c>
      <c r="B440" s="1" t="n">
        <v>43598</v>
      </c>
      <c r="C440" s="1" t="n">
        <v>45292</v>
      </c>
      <c r="D440" t="inlineStr">
        <is>
          <t>VÄSTERBOTTENS LÄN</t>
        </is>
      </c>
      <c r="E440" t="inlineStr">
        <is>
          <t>SKELLEFTEÅ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24164-2019</t>
        </is>
      </c>
      <c r="B441" s="1" t="n">
        <v>43598</v>
      </c>
      <c r="C441" s="1" t="n">
        <v>45292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24210-2019</t>
        </is>
      </c>
      <c r="B442" s="1" t="n">
        <v>43599</v>
      </c>
      <c r="C442" s="1" t="n">
        <v>45292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26115-2019</t>
        </is>
      </c>
      <c r="B443" s="1" t="n">
        <v>43605</v>
      </c>
      <c r="C443" s="1" t="n">
        <v>45292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26174-2019</t>
        </is>
      </c>
      <c r="B444" s="1" t="n">
        <v>43605</v>
      </c>
      <c r="C444" s="1" t="n">
        <v>45292</v>
      </c>
      <c r="D444" t="inlineStr">
        <is>
          <t>VÄSTERBOTTENS LÄN</t>
        </is>
      </c>
      <c r="E444" t="inlineStr">
        <is>
          <t>SKELLEFTEÅ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26039-2019</t>
        </is>
      </c>
      <c r="B445" s="1" t="n">
        <v>43609</v>
      </c>
      <c r="C445" s="1" t="n">
        <v>45292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26148-2019</t>
        </is>
      </c>
      <c r="B446" s="1" t="n">
        <v>43609</v>
      </c>
      <c r="C446" s="1" t="n">
        <v>45292</v>
      </c>
      <c r="D446" t="inlineStr">
        <is>
          <t>VÄSTERBOTTENS LÄN</t>
        </is>
      </c>
      <c r="E446" t="inlineStr">
        <is>
          <t>SKELLEFTEÅ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26180-2019</t>
        </is>
      </c>
      <c r="B447" s="1" t="n">
        <v>43609</v>
      </c>
      <c r="C447" s="1" t="n">
        <v>45292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26075-2019</t>
        </is>
      </c>
      <c r="B448" s="1" t="n">
        <v>43609</v>
      </c>
      <c r="C448" s="1" t="n">
        <v>45292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26859-2019</t>
        </is>
      </c>
      <c r="B449" s="1" t="n">
        <v>43613</v>
      </c>
      <c r="C449" s="1" t="n">
        <v>45292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28114-2019</t>
        </is>
      </c>
      <c r="B450" s="1" t="n">
        <v>43613</v>
      </c>
      <c r="C450" s="1" t="n">
        <v>45292</v>
      </c>
      <c r="D450" t="inlineStr">
        <is>
          <t>VÄSTERBOTTENS LÄN</t>
        </is>
      </c>
      <c r="E450" t="inlineStr">
        <is>
          <t>SKELLEFTEÅ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26907-2019</t>
        </is>
      </c>
      <c r="B451" s="1" t="n">
        <v>43613</v>
      </c>
      <c r="C451" s="1" t="n">
        <v>45292</v>
      </c>
      <c r="D451" t="inlineStr">
        <is>
          <t>VÄSTERBOTTENS LÄN</t>
        </is>
      </c>
      <c r="E451" t="inlineStr">
        <is>
          <t>SKELLEFTEÅ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28920-2019</t>
        </is>
      </c>
      <c r="B452" s="1" t="n">
        <v>43619</v>
      </c>
      <c r="C452" s="1" t="n">
        <v>45292</v>
      </c>
      <c r="D452" t="inlineStr">
        <is>
          <t>VÄSTERBOTTENS LÄN</t>
        </is>
      </c>
      <c r="E452" t="inlineStr">
        <is>
          <t>SKELLEFTEÅ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28983-2019</t>
        </is>
      </c>
      <c r="B453" s="1" t="n">
        <v>43620</v>
      </c>
      <c r="C453" s="1" t="n">
        <v>45292</v>
      </c>
      <c r="D453" t="inlineStr">
        <is>
          <t>VÄSTERBOTTENS LÄN</t>
        </is>
      </c>
      <c r="E453" t="inlineStr">
        <is>
          <t>SKELLEFTEÅ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29034-2019</t>
        </is>
      </c>
      <c r="B454" s="1" t="n">
        <v>43620</v>
      </c>
      <c r="C454" s="1" t="n">
        <v>45292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28979-2019</t>
        </is>
      </c>
      <c r="B455" s="1" t="n">
        <v>43620</v>
      </c>
      <c r="C455" s="1" t="n">
        <v>45292</v>
      </c>
      <c r="D455" t="inlineStr">
        <is>
          <t>VÄSTERBOTTENS LÄN</t>
        </is>
      </c>
      <c r="E455" t="inlineStr">
        <is>
          <t>SKELLEFTEÅ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28211-2019</t>
        </is>
      </c>
      <c r="B456" s="1" t="n">
        <v>43621</v>
      </c>
      <c r="C456" s="1" t="n">
        <v>45292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28612-2019</t>
        </is>
      </c>
      <c r="B457" s="1" t="n">
        <v>43626</v>
      </c>
      <c r="C457" s="1" t="n">
        <v>45292</v>
      </c>
      <c r="D457" t="inlineStr">
        <is>
          <t>VÄSTERBOTTENS LÄN</t>
        </is>
      </c>
      <c r="E457" t="inlineStr">
        <is>
          <t>SKELLEFTEÅ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28777-2019</t>
        </is>
      </c>
      <c r="B458" s="1" t="n">
        <v>43627</v>
      </c>
      <c r="C458" s="1" t="n">
        <v>45292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29053-2019</t>
        </is>
      </c>
      <c r="B459" s="1" t="n">
        <v>43628</v>
      </c>
      <c r="C459" s="1" t="n">
        <v>45292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29321-2019</t>
        </is>
      </c>
      <c r="B460" s="1" t="n">
        <v>43629</v>
      </c>
      <c r="C460" s="1" t="n">
        <v>45292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29383-2019</t>
        </is>
      </c>
      <c r="B461" s="1" t="n">
        <v>43629</v>
      </c>
      <c r="C461" s="1" t="n">
        <v>45292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30559-2019</t>
        </is>
      </c>
      <c r="B462" s="1" t="n">
        <v>43634</v>
      </c>
      <c r="C462" s="1" t="n">
        <v>45292</v>
      </c>
      <c r="D462" t="inlineStr">
        <is>
          <t>VÄSTERBOTTENS LÄN</t>
        </is>
      </c>
      <c r="E462" t="inlineStr">
        <is>
          <t>SKELLEFTEÅ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30452-2019</t>
        </is>
      </c>
      <c r="B463" s="1" t="n">
        <v>43635</v>
      </c>
      <c r="C463" s="1" t="n">
        <v>45292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30754-2019</t>
        </is>
      </c>
      <c r="B464" s="1" t="n">
        <v>43636</v>
      </c>
      <c r="C464" s="1" t="n">
        <v>45292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30804-2019</t>
        </is>
      </c>
      <c r="B465" s="1" t="n">
        <v>43636</v>
      </c>
      <c r="C465" s="1" t="n">
        <v>45292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31012-2019</t>
        </is>
      </c>
      <c r="B466" s="1" t="n">
        <v>43640</v>
      </c>
      <c r="C466" s="1" t="n">
        <v>45292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HYPERLINK("https://klasma.github.io/Logging_2482/knärot/A 31012-2019 karta knärot.png", "A 31012-2019")</f>
        <v/>
      </c>
      <c r="V466">
        <f>HYPERLINK("https://klasma.github.io/Logging_2482/klagomål/A 31012-2019 FSC-klagomål.docx", "A 31012-2019")</f>
        <v/>
      </c>
      <c r="W466">
        <f>HYPERLINK("https://klasma.github.io/Logging_2482/klagomålsmail/A 31012-2019 FSC-klagomål mail.docx", "A 31012-2019")</f>
        <v/>
      </c>
      <c r="X466">
        <f>HYPERLINK("https://klasma.github.io/Logging_2482/tillsyn/A 31012-2019 tillsynsbegäran.docx", "A 31012-2019")</f>
        <v/>
      </c>
      <c r="Y466">
        <f>HYPERLINK("https://klasma.github.io/Logging_2482/tillsynsmail/A 31012-2019 tillsynsbegäran mail.docx", "A 31012-2019")</f>
        <v/>
      </c>
    </row>
    <row r="467" ht="15" customHeight="1">
      <c r="A467" t="inlineStr">
        <is>
          <t>A 31500-2019</t>
        </is>
      </c>
      <c r="B467" s="1" t="n">
        <v>43641</v>
      </c>
      <c r="C467" s="1" t="n">
        <v>45292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31322-2019</t>
        </is>
      </c>
      <c r="B468" s="1" t="n">
        <v>43641</v>
      </c>
      <c r="C468" s="1" t="n">
        <v>45292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31629-2019</t>
        </is>
      </c>
      <c r="B469" s="1" t="n">
        <v>43642</v>
      </c>
      <c r="C469" s="1" t="n">
        <v>45292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32239-2019</t>
        </is>
      </c>
      <c r="B470" s="1" t="n">
        <v>43644</v>
      </c>
      <c r="C470" s="1" t="n">
        <v>45292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32343-2019</t>
        </is>
      </c>
      <c r="B471" s="1" t="n">
        <v>43644</v>
      </c>
      <c r="C471" s="1" t="n">
        <v>45292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32606-2019</t>
        </is>
      </c>
      <c r="B472" s="1" t="n">
        <v>43647</v>
      </c>
      <c r="C472" s="1" t="n">
        <v>45292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34575-2019</t>
        </is>
      </c>
      <c r="B473" s="1" t="n">
        <v>43647</v>
      </c>
      <c r="C473" s="1" t="n">
        <v>45292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34645-2019</t>
        </is>
      </c>
      <c r="B474" s="1" t="n">
        <v>43647</v>
      </c>
      <c r="C474" s="1" t="n">
        <v>45292</v>
      </c>
      <c r="D474" t="inlineStr">
        <is>
          <t>VÄSTERBOTTENS LÄN</t>
        </is>
      </c>
      <c r="E474" t="inlineStr">
        <is>
          <t>SKELLEFTEÅ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32679-2019</t>
        </is>
      </c>
      <c r="B475" s="1" t="n">
        <v>43647</v>
      </c>
      <c r="C475" s="1" t="n">
        <v>45292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34627-2019</t>
        </is>
      </c>
      <c r="B476" s="1" t="n">
        <v>43647</v>
      </c>
      <c r="C476" s="1" t="n">
        <v>45292</v>
      </c>
      <c r="D476" t="inlineStr">
        <is>
          <t>VÄSTERBOTTENS LÄN</t>
        </is>
      </c>
      <c r="E476" t="inlineStr">
        <is>
          <t>SKELLEFTEÅ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32772-2019</t>
        </is>
      </c>
      <c r="B477" s="1" t="n">
        <v>43648</v>
      </c>
      <c r="C477" s="1" t="n">
        <v>45292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32866-2019</t>
        </is>
      </c>
      <c r="B478" s="1" t="n">
        <v>43648</v>
      </c>
      <c r="C478" s="1" t="n">
        <v>45292</v>
      </c>
      <c r="D478" t="inlineStr">
        <is>
          <t>VÄSTERBOTTENS LÄN</t>
        </is>
      </c>
      <c r="E478" t="inlineStr">
        <is>
          <t>SKELLEFTEÅ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34685-2019</t>
        </is>
      </c>
      <c r="B479" s="1" t="n">
        <v>43648</v>
      </c>
      <c r="C479" s="1" t="n">
        <v>45292</v>
      </c>
      <c r="D479" t="inlineStr">
        <is>
          <t>VÄSTERBOTTENS LÄN</t>
        </is>
      </c>
      <c r="E479" t="inlineStr">
        <is>
          <t>SKELLEFTEÅ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33063-2019</t>
        </is>
      </c>
      <c r="B480" s="1" t="n">
        <v>43649</v>
      </c>
      <c r="C480" s="1" t="n">
        <v>45292</v>
      </c>
      <c r="D480" t="inlineStr">
        <is>
          <t>VÄSTERBOTTENS LÄN</t>
        </is>
      </c>
      <c r="E480" t="inlineStr">
        <is>
          <t>SKELLEFTEÅ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33058-2019</t>
        </is>
      </c>
      <c r="B481" s="1" t="n">
        <v>43649</v>
      </c>
      <c r="C481" s="1" t="n">
        <v>45292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34894-2019</t>
        </is>
      </c>
      <c r="B482" s="1" t="n">
        <v>43649</v>
      </c>
      <c r="C482" s="1" t="n">
        <v>45292</v>
      </c>
      <c r="D482" t="inlineStr">
        <is>
          <t>VÄSTERBOTTENS LÄN</t>
        </is>
      </c>
      <c r="E482" t="inlineStr">
        <is>
          <t>SKELLEFTEÅ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33193-2019</t>
        </is>
      </c>
      <c r="B483" s="1" t="n">
        <v>43649</v>
      </c>
      <c r="C483" s="1" t="n">
        <v>45292</v>
      </c>
      <c r="D483" t="inlineStr">
        <is>
          <t>VÄSTERBOTTENS LÄN</t>
        </is>
      </c>
      <c r="E483" t="inlineStr">
        <is>
          <t>SKELLEFTEÅ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34906-2019</t>
        </is>
      </c>
      <c r="B484" s="1" t="n">
        <v>43649</v>
      </c>
      <c r="C484" s="1" t="n">
        <v>45292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35229-2019</t>
        </is>
      </c>
      <c r="B485" s="1" t="n">
        <v>43650</v>
      </c>
      <c r="C485" s="1" t="n">
        <v>45292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35445-2019</t>
        </is>
      </c>
      <c r="B486" s="1" t="n">
        <v>43651</v>
      </c>
      <c r="C486" s="1" t="n">
        <v>45292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35452-2019</t>
        </is>
      </c>
      <c r="B487" s="1" t="n">
        <v>43651</v>
      </c>
      <c r="C487" s="1" t="n">
        <v>45292</v>
      </c>
      <c r="D487" t="inlineStr">
        <is>
          <t>VÄSTERBOTTENS LÄN</t>
        </is>
      </c>
      <c r="E487" t="inlineStr">
        <is>
          <t>SKELLEFTEÅ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33888-2019</t>
        </is>
      </c>
      <c r="B488" s="1" t="n">
        <v>43653</v>
      </c>
      <c r="C488" s="1" t="n">
        <v>45292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34089-2019</t>
        </is>
      </c>
      <c r="B489" s="1" t="n">
        <v>43654</v>
      </c>
      <c r="C489" s="1" t="n">
        <v>45292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20.9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34253-2019</t>
        </is>
      </c>
      <c r="B490" s="1" t="n">
        <v>43655</v>
      </c>
      <c r="C490" s="1" t="n">
        <v>45292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34939-2019</t>
        </is>
      </c>
      <c r="B491" s="1" t="n">
        <v>43658</v>
      </c>
      <c r="C491" s="1" t="n">
        <v>45292</v>
      </c>
      <c r="D491" t="inlineStr">
        <is>
          <t>VÄSTERBOTTENS LÄN</t>
        </is>
      </c>
      <c r="E491" t="inlineStr">
        <is>
          <t>SKELLEFTEÅ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34997-2019</t>
        </is>
      </c>
      <c r="B492" s="1" t="n">
        <v>43660</v>
      </c>
      <c r="C492" s="1" t="n">
        <v>45292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35084-2019</t>
        </is>
      </c>
      <c r="B493" s="1" t="n">
        <v>43661</v>
      </c>
      <c r="C493" s="1" t="n">
        <v>45292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35075-2019</t>
        </is>
      </c>
      <c r="B494" s="1" t="n">
        <v>43661</v>
      </c>
      <c r="C494" s="1" t="n">
        <v>45292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35104-2019</t>
        </is>
      </c>
      <c r="B495" s="1" t="n">
        <v>43661</v>
      </c>
      <c r="C495" s="1" t="n">
        <v>45292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35120-2019</t>
        </is>
      </c>
      <c r="B496" s="1" t="n">
        <v>43661</v>
      </c>
      <c r="C496" s="1" t="n">
        <v>45292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35073-2019</t>
        </is>
      </c>
      <c r="B497" s="1" t="n">
        <v>43661</v>
      </c>
      <c r="C497" s="1" t="n">
        <v>45292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35080-2019</t>
        </is>
      </c>
      <c r="B498" s="1" t="n">
        <v>43661</v>
      </c>
      <c r="C498" s="1" t="n">
        <v>45292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35121-2019</t>
        </is>
      </c>
      <c r="B499" s="1" t="n">
        <v>43661</v>
      </c>
      <c r="C499" s="1" t="n">
        <v>45292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35024-2019</t>
        </is>
      </c>
      <c r="B500" s="1" t="n">
        <v>43661</v>
      </c>
      <c r="C500" s="1" t="n">
        <v>45292</v>
      </c>
      <c r="D500" t="inlineStr">
        <is>
          <t>VÄSTERBOTTENS LÄN</t>
        </is>
      </c>
      <c r="E500" t="inlineStr">
        <is>
          <t>SKELLEFTEÅ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35363-2019</t>
        </is>
      </c>
      <c r="B501" s="1" t="n">
        <v>43663</v>
      </c>
      <c r="C501" s="1" t="n">
        <v>45292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35786-2019</t>
        </is>
      </c>
      <c r="B502" s="1" t="n">
        <v>43665</v>
      </c>
      <c r="C502" s="1" t="n">
        <v>45292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36996-2019</t>
        </is>
      </c>
      <c r="B503" s="1" t="n">
        <v>43676</v>
      </c>
      <c r="C503" s="1" t="n">
        <v>45292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38674-2019</t>
        </is>
      </c>
      <c r="B504" s="1" t="n">
        <v>43684</v>
      </c>
      <c r="C504" s="1" t="n">
        <v>45292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38797-2019</t>
        </is>
      </c>
      <c r="B505" s="1" t="n">
        <v>43688</v>
      </c>
      <c r="C505" s="1" t="n">
        <v>45292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39106-2019</t>
        </is>
      </c>
      <c r="B506" s="1" t="n">
        <v>43689</v>
      </c>
      <c r="C506" s="1" t="n">
        <v>45292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38973-2019</t>
        </is>
      </c>
      <c r="B507" s="1" t="n">
        <v>43689</v>
      </c>
      <c r="C507" s="1" t="n">
        <v>45292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40562-2019</t>
        </is>
      </c>
      <c r="B508" s="1" t="n">
        <v>43696</v>
      </c>
      <c r="C508" s="1" t="n">
        <v>45292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41585-2019</t>
        </is>
      </c>
      <c r="B509" s="1" t="n">
        <v>43696</v>
      </c>
      <c r="C509" s="1" t="n">
        <v>45292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41648-2019</t>
        </is>
      </c>
      <c r="B510" s="1" t="n">
        <v>43696</v>
      </c>
      <c r="C510" s="1" t="n">
        <v>45292</v>
      </c>
      <c r="D510" t="inlineStr">
        <is>
          <t>VÄSTERBOTTENS LÄN</t>
        </is>
      </c>
      <c r="E510" t="inlineStr">
        <is>
          <t>SKELLEFTEÅ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41557-2019</t>
        </is>
      </c>
      <c r="B511" s="1" t="n">
        <v>43696</v>
      </c>
      <c r="C511" s="1" t="n">
        <v>45292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40744-2019</t>
        </is>
      </c>
      <c r="B512" s="1" t="n">
        <v>43697</v>
      </c>
      <c r="C512" s="1" t="n">
        <v>45292</v>
      </c>
      <c r="D512" t="inlineStr">
        <is>
          <t>VÄSTERBOTTENS LÄN</t>
        </is>
      </c>
      <c r="E512" t="inlineStr">
        <is>
          <t>SKELLEFTEÅ</t>
        </is>
      </c>
      <c r="G512" t="n">
        <v>36.9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40727-2019</t>
        </is>
      </c>
      <c r="B513" s="1" t="n">
        <v>43697</v>
      </c>
      <c r="C513" s="1" t="n">
        <v>45292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41980-2019</t>
        </is>
      </c>
      <c r="B514" s="1" t="n">
        <v>43700</v>
      </c>
      <c r="C514" s="1" t="n">
        <v>45292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41826-2019</t>
        </is>
      </c>
      <c r="B515" s="1" t="n">
        <v>43700</v>
      </c>
      <c r="C515" s="1" t="n">
        <v>45292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42319-2019</t>
        </is>
      </c>
      <c r="B516" s="1" t="n">
        <v>43703</v>
      </c>
      <c r="C516" s="1" t="n">
        <v>45292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42435-2019</t>
        </is>
      </c>
      <c r="B517" s="1" t="n">
        <v>43704</v>
      </c>
      <c r="C517" s="1" t="n">
        <v>45292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42651-2019</t>
        </is>
      </c>
      <c r="B518" s="1" t="n">
        <v>43704</v>
      </c>
      <c r="C518" s="1" t="n">
        <v>45292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44461-2019</t>
        </is>
      </c>
      <c r="B519" s="1" t="n">
        <v>43705</v>
      </c>
      <c r="C519" s="1" t="n">
        <v>45292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44486-2019</t>
        </is>
      </c>
      <c r="B520" s="1" t="n">
        <v>43706</v>
      </c>
      <c r="C520" s="1" t="n">
        <v>45292</v>
      </c>
      <c r="D520" t="inlineStr">
        <is>
          <t>VÄSTERBOTTENS LÄN</t>
        </is>
      </c>
      <c r="E520" t="inlineStr">
        <is>
          <t>SKELLEFTEÅ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43638-2019</t>
        </is>
      </c>
      <c r="B521" s="1" t="n">
        <v>43707</v>
      </c>
      <c r="C521" s="1" t="n">
        <v>45292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43842-2019</t>
        </is>
      </c>
      <c r="B522" s="1" t="n">
        <v>43707</v>
      </c>
      <c r="C522" s="1" t="n">
        <v>45292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43648-2019</t>
        </is>
      </c>
      <c r="B523" s="1" t="n">
        <v>43707</v>
      </c>
      <c r="C523" s="1" t="n">
        <v>45292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43845-2019</t>
        </is>
      </c>
      <c r="B524" s="1" t="n">
        <v>43707</v>
      </c>
      <c r="C524" s="1" t="n">
        <v>45292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45296-2019</t>
        </is>
      </c>
      <c r="B525" s="1" t="n">
        <v>43707</v>
      </c>
      <c r="C525" s="1" t="n">
        <v>45292</v>
      </c>
      <c r="D525" t="inlineStr">
        <is>
          <t>VÄSTERBOTTENS LÄN</t>
        </is>
      </c>
      <c r="E525" t="inlineStr">
        <is>
          <t>SKELLEFTEÅ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44007-2019</t>
        </is>
      </c>
      <c r="B526" s="1" t="n">
        <v>43709</v>
      </c>
      <c r="C526" s="1" t="n">
        <v>45292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44204-2019</t>
        </is>
      </c>
      <c r="B527" s="1" t="n">
        <v>43710</v>
      </c>
      <c r="C527" s="1" t="n">
        <v>45292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44348-2019</t>
        </is>
      </c>
      <c r="B528" s="1" t="n">
        <v>43711</v>
      </c>
      <c r="C528" s="1" t="n">
        <v>45292</v>
      </c>
      <c r="D528" t="inlineStr">
        <is>
          <t>VÄSTERBOTTENS LÄN</t>
        </is>
      </c>
      <c r="E528" t="inlineStr">
        <is>
          <t>SKELLEFTEÅ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46412-2019</t>
        </is>
      </c>
      <c r="B529" s="1" t="n">
        <v>43714</v>
      </c>
      <c r="C529" s="1" t="n">
        <v>45292</v>
      </c>
      <c r="D529" t="inlineStr">
        <is>
          <t>VÄSTERBOTTENS LÄN</t>
        </is>
      </c>
      <c r="E529" t="inlineStr">
        <is>
          <t>SKELLEFTEÅ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46227-2019</t>
        </is>
      </c>
      <c r="B530" s="1" t="n">
        <v>43714</v>
      </c>
      <c r="C530" s="1" t="n">
        <v>45292</v>
      </c>
      <c r="D530" t="inlineStr">
        <is>
          <t>VÄSTERBOTTENS LÄN</t>
        </is>
      </c>
      <c r="E530" t="inlineStr">
        <is>
          <t>SKELLEFTEÅ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46367-2019</t>
        </is>
      </c>
      <c r="B531" s="1" t="n">
        <v>43718</v>
      </c>
      <c r="C531" s="1" t="n">
        <v>45292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46355-2019</t>
        </is>
      </c>
      <c r="B532" s="1" t="n">
        <v>43718</v>
      </c>
      <c r="C532" s="1" t="n">
        <v>45292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46368-2019</t>
        </is>
      </c>
      <c r="B533" s="1" t="n">
        <v>43718</v>
      </c>
      <c r="C533" s="1" t="n">
        <v>45292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46952-2019</t>
        </is>
      </c>
      <c r="B534" s="1" t="n">
        <v>43720</v>
      </c>
      <c r="C534" s="1" t="n">
        <v>45292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46968-2019</t>
        </is>
      </c>
      <c r="B535" s="1" t="n">
        <v>43720</v>
      </c>
      <c r="C535" s="1" t="n">
        <v>45292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46946-2019</t>
        </is>
      </c>
      <c r="B536" s="1" t="n">
        <v>43720</v>
      </c>
      <c r="C536" s="1" t="n">
        <v>45292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47224-2019</t>
        </is>
      </c>
      <c r="B537" s="1" t="n">
        <v>43720</v>
      </c>
      <c r="C537" s="1" t="n">
        <v>45292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47091-2019</t>
        </is>
      </c>
      <c r="B538" s="1" t="n">
        <v>43720</v>
      </c>
      <c r="C538" s="1" t="n">
        <v>45292</v>
      </c>
      <c r="D538" t="inlineStr">
        <is>
          <t>VÄSTERBOTTENS LÄN</t>
        </is>
      </c>
      <c r="E538" t="inlineStr">
        <is>
          <t>SKELLEFTEÅ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47452-2019</t>
        </is>
      </c>
      <c r="B539" s="1" t="n">
        <v>43721</v>
      </c>
      <c r="C539" s="1" t="n">
        <v>45292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47460-2019</t>
        </is>
      </c>
      <c r="B540" s="1" t="n">
        <v>43721</v>
      </c>
      <c r="C540" s="1" t="n">
        <v>45292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47535-2019</t>
        </is>
      </c>
      <c r="B541" s="1" t="n">
        <v>43721</v>
      </c>
      <c r="C541" s="1" t="n">
        <v>45292</v>
      </c>
      <c r="D541" t="inlineStr">
        <is>
          <t>VÄSTERBOTTENS LÄN</t>
        </is>
      </c>
      <c r="E541" t="inlineStr">
        <is>
          <t>SKELLEFTEÅ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47572-2019</t>
        </is>
      </c>
      <c r="B542" s="1" t="n">
        <v>43724</v>
      </c>
      <c r="C542" s="1" t="n">
        <v>45292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47643-2019</t>
        </is>
      </c>
      <c r="B543" s="1" t="n">
        <v>43724</v>
      </c>
      <c r="C543" s="1" t="n">
        <v>45292</v>
      </c>
      <c r="D543" t="inlineStr">
        <is>
          <t>VÄSTERBOTTENS LÄN</t>
        </is>
      </c>
      <c r="E543" t="inlineStr">
        <is>
          <t>SKELLEFTEÅ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48592-2019</t>
        </is>
      </c>
      <c r="B544" s="1" t="n">
        <v>43727</v>
      </c>
      <c r="C544" s="1" t="n">
        <v>45292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48786-2019</t>
        </is>
      </c>
      <c r="B545" s="1" t="n">
        <v>43727</v>
      </c>
      <c r="C545" s="1" t="n">
        <v>45292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48957-2019</t>
        </is>
      </c>
      <c r="B546" s="1" t="n">
        <v>43728</v>
      </c>
      <c r="C546" s="1" t="n">
        <v>45292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49617-2019</t>
        </is>
      </c>
      <c r="B547" s="1" t="n">
        <v>43728</v>
      </c>
      <c r="C547" s="1" t="n">
        <v>45292</v>
      </c>
      <c r="D547" t="inlineStr">
        <is>
          <t>VÄSTERBOTTENS LÄN</t>
        </is>
      </c>
      <c r="E547" t="inlineStr">
        <is>
          <t>SKELLEFTEÅ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49464-2019</t>
        </is>
      </c>
      <c r="B548" s="1" t="n">
        <v>43728</v>
      </c>
      <c r="C548" s="1" t="n">
        <v>45292</v>
      </c>
      <c r="D548" t="inlineStr">
        <is>
          <t>VÄSTERBOTTENS LÄN</t>
        </is>
      </c>
      <c r="E548" t="inlineStr">
        <is>
          <t>SKELLEFTEÅ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49712-2019</t>
        </is>
      </c>
      <c r="B549" s="1" t="n">
        <v>43728</v>
      </c>
      <c r="C549" s="1" t="n">
        <v>45292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49005-2019</t>
        </is>
      </c>
      <c r="B550" s="1" t="n">
        <v>43730</v>
      </c>
      <c r="C550" s="1" t="n">
        <v>45292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49035-2019</t>
        </is>
      </c>
      <c r="B551" s="1" t="n">
        <v>43731</v>
      </c>
      <c r="C551" s="1" t="n">
        <v>45292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49327-2019</t>
        </is>
      </c>
      <c r="B552" s="1" t="n">
        <v>43731</v>
      </c>
      <c r="C552" s="1" t="n">
        <v>45292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49282-2019</t>
        </is>
      </c>
      <c r="B553" s="1" t="n">
        <v>43731</v>
      </c>
      <c r="C553" s="1" t="n">
        <v>45292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49312-2019</t>
        </is>
      </c>
      <c r="B554" s="1" t="n">
        <v>43731</v>
      </c>
      <c r="C554" s="1" t="n">
        <v>45292</v>
      </c>
      <c r="D554" t="inlineStr">
        <is>
          <t>VÄSTERBOTTENS LÄN</t>
        </is>
      </c>
      <c r="E554" t="inlineStr">
        <is>
          <t>SKELLEFTEÅ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49792-2019</t>
        </is>
      </c>
      <c r="B555" s="1" t="n">
        <v>43733</v>
      </c>
      <c r="C555" s="1" t="n">
        <v>45292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49793-2019</t>
        </is>
      </c>
      <c r="B556" s="1" t="n">
        <v>43733</v>
      </c>
      <c r="C556" s="1" t="n">
        <v>45292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50518-2019</t>
        </is>
      </c>
      <c r="B557" s="1" t="n">
        <v>43733</v>
      </c>
      <c r="C557" s="1" t="n">
        <v>45292</v>
      </c>
      <c r="D557" t="inlineStr">
        <is>
          <t>VÄSTERBOTTENS LÄN</t>
        </is>
      </c>
      <c r="E557" t="inlineStr">
        <is>
          <t>SKELLEFTEÅ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50515-2019</t>
        </is>
      </c>
      <c r="B558" s="1" t="n">
        <v>43733</v>
      </c>
      <c r="C558" s="1" t="n">
        <v>45292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50572-2019</t>
        </is>
      </c>
      <c r="B559" s="1" t="n">
        <v>43735</v>
      </c>
      <c r="C559" s="1" t="n">
        <v>45292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50568-2019</t>
        </is>
      </c>
      <c r="B560" s="1" t="n">
        <v>43735</v>
      </c>
      <c r="C560" s="1" t="n">
        <v>45292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50574-2019</t>
        </is>
      </c>
      <c r="B561" s="1" t="n">
        <v>43735</v>
      </c>
      <c r="C561" s="1" t="n">
        <v>45292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50576-2019</t>
        </is>
      </c>
      <c r="B562" s="1" t="n">
        <v>43735</v>
      </c>
      <c r="C562" s="1" t="n">
        <v>45292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53194-2019</t>
        </is>
      </c>
      <c r="B563" s="1" t="n">
        <v>43735</v>
      </c>
      <c r="C563" s="1" t="n">
        <v>45292</v>
      </c>
      <c r="D563" t="inlineStr">
        <is>
          <t>VÄSTERBOTTENS LÄN</t>
        </is>
      </c>
      <c r="E563" t="inlineStr">
        <is>
          <t>SKELLEFTEÅ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50872-2019</t>
        </is>
      </c>
      <c r="B564" s="1" t="n">
        <v>43738</v>
      </c>
      <c r="C564" s="1" t="n">
        <v>45292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53311-2019</t>
        </is>
      </c>
      <c r="B565" s="1" t="n">
        <v>43740</v>
      </c>
      <c r="C565" s="1" t="n">
        <v>45292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53557-2019</t>
        </is>
      </c>
      <c r="B566" s="1" t="n">
        <v>43740</v>
      </c>
      <c r="C566" s="1" t="n">
        <v>45292</v>
      </c>
      <c r="D566" t="inlineStr">
        <is>
          <t>VÄSTERBOTTENS LÄN</t>
        </is>
      </c>
      <c r="E566" t="inlineStr">
        <is>
          <t>SKELLEFTEÅ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54004-2019</t>
        </is>
      </c>
      <c r="B567" s="1" t="n">
        <v>43742</v>
      </c>
      <c r="C567" s="1" t="n">
        <v>45292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52019-2019</t>
        </is>
      </c>
      <c r="B568" s="1" t="n">
        <v>43742</v>
      </c>
      <c r="C568" s="1" t="n">
        <v>45292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53980-2019</t>
        </is>
      </c>
      <c r="B569" s="1" t="n">
        <v>43742</v>
      </c>
      <c r="C569" s="1" t="n">
        <v>45292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52469-2019</t>
        </is>
      </c>
      <c r="B570" s="1" t="n">
        <v>43745</v>
      </c>
      <c r="C570" s="1" t="n">
        <v>45292</v>
      </c>
      <c r="D570" t="inlineStr">
        <is>
          <t>VÄSTERBOTTENS LÄN</t>
        </is>
      </c>
      <c r="E570" t="inlineStr">
        <is>
          <t>SKELLEFTEÅ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52506-2019</t>
        </is>
      </c>
      <c r="B571" s="1" t="n">
        <v>43745</v>
      </c>
      <c r="C571" s="1" t="n">
        <v>45292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52471-2019</t>
        </is>
      </c>
      <c r="B572" s="1" t="n">
        <v>43745</v>
      </c>
      <c r="C572" s="1" t="n">
        <v>45292</v>
      </c>
      <c r="D572" t="inlineStr">
        <is>
          <t>VÄSTERBOTTENS LÄN</t>
        </is>
      </c>
      <c r="E572" t="inlineStr">
        <is>
          <t>SKELLEFTEÅ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52484-2019</t>
        </is>
      </c>
      <c r="B573" s="1" t="n">
        <v>43745</v>
      </c>
      <c r="C573" s="1" t="n">
        <v>45292</v>
      </c>
      <c r="D573" t="inlineStr">
        <is>
          <t>VÄSTERBOTTENS LÄN</t>
        </is>
      </c>
      <c r="E573" t="inlineStr">
        <is>
          <t>SKELLEFTEÅ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52546-2019</t>
        </is>
      </c>
      <c r="B574" s="1" t="n">
        <v>43745</v>
      </c>
      <c r="C574" s="1" t="n">
        <v>45292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52953-2019</t>
        </is>
      </c>
      <c r="B575" s="1" t="n">
        <v>43747</v>
      </c>
      <c r="C575" s="1" t="n">
        <v>45292</v>
      </c>
      <c r="D575" t="inlineStr">
        <is>
          <t>VÄSTERBOTTENS LÄN</t>
        </is>
      </c>
      <c r="E575" t="inlineStr">
        <is>
          <t>SKELLEFTEÅ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54742-2019</t>
        </is>
      </c>
      <c r="B576" s="1" t="n">
        <v>43748</v>
      </c>
      <c r="C576" s="1" t="n">
        <v>45292</v>
      </c>
      <c r="D576" t="inlineStr">
        <is>
          <t>VÄSTERBOTTENS LÄN</t>
        </is>
      </c>
      <c r="E576" t="inlineStr">
        <is>
          <t>SKELLEFTEÅ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53584-2019</t>
        </is>
      </c>
      <c r="B577" s="1" t="n">
        <v>43749</v>
      </c>
      <c r="C577" s="1" t="n">
        <v>45292</v>
      </c>
      <c r="D577" t="inlineStr">
        <is>
          <t>VÄSTERBOTTENS LÄN</t>
        </is>
      </c>
      <c r="E577" t="inlineStr">
        <is>
          <t>SKELLEFTEÅ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54935-2019</t>
        </is>
      </c>
      <c r="B578" s="1" t="n">
        <v>43749</v>
      </c>
      <c r="C578" s="1" t="n">
        <v>45292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54920-2019</t>
        </is>
      </c>
      <c r="B579" s="1" t="n">
        <v>43749</v>
      </c>
      <c r="C579" s="1" t="n">
        <v>45292</v>
      </c>
      <c r="D579" t="inlineStr">
        <is>
          <t>VÄSTERBOTTENS LÄN</t>
        </is>
      </c>
      <c r="E579" t="inlineStr">
        <is>
          <t>SKELLEFTEÅ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54939-2019</t>
        </is>
      </c>
      <c r="B580" s="1" t="n">
        <v>43749</v>
      </c>
      <c r="C580" s="1" t="n">
        <v>45292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53925-2019</t>
        </is>
      </c>
      <c r="B581" s="1" t="n">
        <v>43752</v>
      </c>
      <c r="C581" s="1" t="n">
        <v>45292</v>
      </c>
      <c r="D581" t="inlineStr">
        <is>
          <t>VÄSTERBOTTENS LÄN</t>
        </is>
      </c>
      <c r="E581" t="inlineStr">
        <is>
          <t>SKELLEFTEÅ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54111-2019</t>
        </is>
      </c>
      <c r="B582" s="1" t="n">
        <v>43752</v>
      </c>
      <c r="C582" s="1" t="n">
        <v>45292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54146-2019</t>
        </is>
      </c>
      <c r="B583" s="1" t="n">
        <v>43753</v>
      </c>
      <c r="C583" s="1" t="n">
        <v>45292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54666-2019</t>
        </is>
      </c>
      <c r="B584" s="1" t="n">
        <v>43754</v>
      </c>
      <c r="C584" s="1" t="n">
        <v>45292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54667-2019</t>
        </is>
      </c>
      <c r="B585" s="1" t="n">
        <v>43754</v>
      </c>
      <c r="C585" s="1" t="n">
        <v>45292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55363-2019</t>
        </is>
      </c>
      <c r="B586" s="1" t="n">
        <v>43756</v>
      </c>
      <c r="C586" s="1" t="n">
        <v>45292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55459-2019</t>
        </is>
      </c>
      <c r="B587" s="1" t="n">
        <v>43759</v>
      </c>
      <c r="C587" s="1" t="n">
        <v>45292</v>
      </c>
      <c r="D587" t="inlineStr">
        <is>
          <t>VÄSTERBOTTENS LÄN</t>
        </is>
      </c>
      <c r="E587" t="inlineStr">
        <is>
          <t>SKELLEFTEÅ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55489-2019</t>
        </is>
      </c>
      <c r="B588" s="1" t="n">
        <v>43759</v>
      </c>
      <c r="C588" s="1" t="n">
        <v>45292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56284-2019</t>
        </is>
      </c>
      <c r="B589" s="1" t="n">
        <v>43762</v>
      </c>
      <c r="C589" s="1" t="n">
        <v>45292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56786-2019</t>
        </is>
      </c>
      <c r="B590" s="1" t="n">
        <v>43763</v>
      </c>
      <c r="C590" s="1" t="n">
        <v>45292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56581-2019</t>
        </is>
      </c>
      <c r="B591" s="1" t="n">
        <v>43763</v>
      </c>
      <c r="C591" s="1" t="n">
        <v>45292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57569-2019</t>
        </is>
      </c>
      <c r="B592" s="1" t="n">
        <v>43768</v>
      </c>
      <c r="C592" s="1" t="n">
        <v>45292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57803-2019</t>
        </is>
      </c>
      <c r="B593" s="1" t="n">
        <v>43768</v>
      </c>
      <c r="C593" s="1" t="n">
        <v>45292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58546-2019</t>
        </is>
      </c>
      <c r="B594" s="1" t="n">
        <v>43773</v>
      </c>
      <c r="C594" s="1" t="n">
        <v>45292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59255-2019</t>
        </is>
      </c>
      <c r="B595" s="1" t="n">
        <v>43773</v>
      </c>
      <c r="C595" s="1" t="n">
        <v>45292</v>
      </c>
      <c r="D595" t="inlineStr">
        <is>
          <t>VÄSTERBOTTENS LÄN</t>
        </is>
      </c>
      <c r="E595" t="inlineStr">
        <is>
          <t>SKELLEFTEÅ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58905-2019</t>
        </is>
      </c>
      <c r="B596" s="1" t="n">
        <v>43774</v>
      </c>
      <c r="C596" s="1" t="n">
        <v>45292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58817-2019</t>
        </is>
      </c>
      <c r="B597" s="1" t="n">
        <v>43774</v>
      </c>
      <c r="C597" s="1" t="n">
        <v>45292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59611-2019</t>
        </is>
      </c>
      <c r="B598" s="1" t="n">
        <v>43774</v>
      </c>
      <c r="C598" s="1" t="n">
        <v>45292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59344-2019</t>
        </is>
      </c>
      <c r="B599" s="1" t="n">
        <v>43775</v>
      </c>
      <c r="C599" s="1" t="n">
        <v>45292</v>
      </c>
      <c r="D599" t="inlineStr">
        <is>
          <t>VÄSTERBOTTENS LÄN</t>
        </is>
      </c>
      <c r="E599" t="inlineStr">
        <is>
          <t>SKELLEFTEÅ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60378-2019</t>
        </is>
      </c>
      <c r="B600" s="1" t="n">
        <v>43776</v>
      </c>
      <c r="C600" s="1" t="n">
        <v>45292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60289-2019</t>
        </is>
      </c>
      <c r="B601" s="1" t="n">
        <v>43776</v>
      </c>
      <c r="C601" s="1" t="n">
        <v>45292</v>
      </c>
      <c r="D601" t="inlineStr">
        <is>
          <t>VÄSTERBOTTENS LÄN</t>
        </is>
      </c>
      <c r="E601" t="inlineStr">
        <is>
          <t>SKELLEFTEÅ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60189-2019</t>
        </is>
      </c>
      <c r="B602" s="1" t="n">
        <v>43780</v>
      </c>
      <c r="C602" s="1" t="n">
        <v>45292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60416-2019</t>
        </is>
      </c>
      <c r="B603" s="1" t="n">
        <v>43780</v>
      </c>
      <c r="C603" s="1" t="n">
        <v>45292</v>
      </c>
      <c r="D603" t="inlineStr">
        <is>
          <t>VÄSTERBOTTENS LÄN</t>
        </is>
      </c>
      <c r="E603" t="inlineStr">
        <is>
          <t>SKELLEFTEÅ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61929-2019</t>
        </is>
      </c>
      <c r="B604" s="1" t="n">
        <v>43781</v>
      </c>
      <c r="C604" s="1" t="n">
        <v>45292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60985-2019</t>
        </is>
      </c>
      <c r="B605" s="1" t="n">
        <v>43782</v>
      </c>
      <c r="C605" s="1" t="n">
        <v>45292</v>
      </c>
      <c r="D605" t="inlineStr">
        <is>
          <t>VÄSTERBOTTENS LÄN</t>
        </is>
      </c>
      <c r="E605" t="inlineStr">
        <is>
          <t>SKELLEFTEÅ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61295-2019</t>
        </is>
      </c>
      <c r="B606" s="1" t="n">
        <v>43783</v>
      </c>
      <c r="C606" s="1" t="n">
        <v>45292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61468-2019</t>
        </is>
      </c>
      <c r="B607" s="1" t="n">
        <v>43783</v>
      </c>
      <c r="C607" s="1" t="n">
        <v>45292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62584-2019</t>
        </is>
      </c>
      <c r="B608" s="1" t="n">
        <v>43784</v>
      </c>
      <c r="C608" s="1" t="n">
        <v>45292</v>
      </c>
      <c r="D608" t="inlineStr">
        <is>
          <t>VÄSTERBOTTENS LÄN</t>
        </is>
      </c>
      <c r="E608" t="inlineStr">
        <is>
          <t>SKELLEFTEÅ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62201-2019</t>
        </is>
      </c>
      <c r="B609" s="1" t="n">
        <v>43788</v>
      </c>
      <c r="C609" s="1" t="n">
        <v>45292</v>
      </c>
      <c r="D609" t="inlineStr">
        <is>
          <t>VÄSTERBOTTENS LÄN</t>
        </is>
      </c>
      <c r="E609" t="inlineStr">
        <is>
          <t>SKELLEFTEÅ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62678-2019</t>
        </is>
      </c>
      <c r="B610" s="1" t="n">
        <v>43789</v>
      </c>
      <c r="C610" s="1" t="n">
        <v>45292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62873-2019</t>
        </is>
      </c>
      <c r="B611" s="1" t="n">
        <v>43790</v>
      </c>
      <c r="C611" s="1" t="n">
        <v>45292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62823-2019</t>
        </is>
      </c>
      <c r="B612" s="1" t="n">
        <v>43790</v>
      </c>
      <c r="C612" s="1" t="n">
        <v>45292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63554-2019</t>
        </is>
      </c>
      <c r="B613" s="1" t="n">
        <v>43794</v>
      </c>
      <c r="C613" s="1" t="n">
        <v>45292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63846-2019</t>
        </is>
      </c>
      <c r="B614" s="1" t="n">
        <v>43796</v>
      </c>
      <c r="C614" s="1" t="n">
        <v>45292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63845-2019</t>
        </is>
      </c>
      <c r="B615" s="1" t="n">
        <v>43796</v>
      </c>
      <c r="C615" s="1" t="n">
        <v>45292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64039-2019</t>
        </is>
      </c>
      <c r="B616" s="1" t="n">
        <v>43796</v>
      </c>
      <c r="C616" s="1" t="n">
        <v>45292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64117-2019</t>
        </is>
      </c>
      <c r="B617" s="1" t="n">
        <v>43796</v>
      </c>
      <c r="C617" s="1" t="n">
        <v>45292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64139-2019</t>
        </is>
      </c>
      <c r="B618" s="1" t="n">
        <v>43796</v>
      </c>
      <c r="C618" s="1" t="n">
        <v>45292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64569-2019</t>
        </is>
      </c>
      <c r="B619" s="1" t="n">
        <v>43798</v>
      </c>
      <c r="C619" s="1" t="n">
        <v>45292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64754-2019</t>
        </is>
      </c>
      <c r="B620" s="1" t="n">
        <v>43801</v>
      </c>
      <c r="C620" s="1" t="n">
        <v>45292</v>
      </c>
      <c r="D620" t="inlineStr">
        <is>
          <t>VÄSTERBOTTENS LÄN</t>
        </is>
      </c>
      <c r="E620" t="inlineStr">
        <is>
          <t>SKELLEFTEÅ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65070-2019</t>
        </is>
      </c>
      <c r="B621" s="1" t="n">
        <v>43802</v>
      </c>
      <c r="C621" s="1" t="n">
        <v>45292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65565-2019</t>
        </is>
      </c>
      <c r="B622" s="1" t="n">
        <v>43803</v>
      </c>
      <c r="C622" s="1" t="n">
        <v>45292</v>
      </c>
      <c r="D622" t="inlineStr">
        <is>
          <t>VÄSTERBOTTENS LÄN</t>
        </is>
      </c>
      <c r="E622" t="inlineStr">
        <is>
          <t>SKELLEFTEÅ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65721-2019</t>
        </is>
      </c>
      <c r="B623" s="1" t="n">
        <v>43804</v>
      </c>
      <c r="C623" s="1" t="n">
        <v>45292</v>
      </c>
      <c r="D623" t="inlineStr">
        <is>
          <t>VÄSTERBOTTENS LÄN</t>
        </is>
      </c>
      <c r="E623" t="inlineStr">
        <is>
          <t>SKELLEFTEÅ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65726-2019</t>
        </is>
      </c>
      <c r="B624" s="1" t="n">
        <v>43804</v>
      </c>
      <c r="C624" s="1" t="n">
        <v>45292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65992-2019</t>
        </is>
      </c>
      <c r="B625" s="1" t="n">
        <v>43805</v>
      </c>
      <c r="C625" s="1" t="n">
        <v>45292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67581-2019</t>
        </is>
      </c>
      <c r="B626" s="1" t="n">
        <v>43808</v>
      </c>
      <c r="C626" s="1" t="n">
        <v>45292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66505-2019</t>
        </is>
      </c>
      <c r="B627" s="1" t="n">
        <v>43809</v>
      </c>
      <c r="C627" s="1" t="n">
        <v>45292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66478-2019</t>
        </is>
      </c>
      <c r="B628" s="1" t="n">
        <v>43809</v>
      </c>
      <c r="C628" s="1" t="n">
        <v>45292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68008-2019</t>
        </is>
      </c>
      <c r="B629" s="1" t="n">
        <v>43811</v>
      </c>
      <c r="C629" s="1" t="n">
        <v>45292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69136-2019</t>
        </is>
      </c>
      <c r="B630" s="1" t="n">
        <v>43815</v>
      </c>
      <c r="C630" s="1" t="n">
        <v>45292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69135-2019</t>
        </is>
      </c>
      <c r="B631" s="1" t="n">
        <v>43815</v>
      </c>
      <c r="C631" s="1" t="n">
        <v>45292</v>
      </c>
      <c r="D631" t="inlineStr">
        <is>
          <t>VÄSTERBOTTENS LÄN</t>
        </is>
      </c>
      <c r="E631" t="inlineStr">
        <is>
          <t>SKELLEFTEÅ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69140-2019</t>
        </is>
      </c>
      <c r="B632" s="1" t="n">
        <v>43815</v>
      </c>
      <c r="C632" s="1" t="n">
        <v>45292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69131-2019</t>
        </is>
      </c>
      <c r="B633" s="1" t="n">
        <v>43815</v>
      </c>
      <c r="C633" s="1" t="n">
        <v>45292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277-2020</t>
        </is>
      </c>
      <c r="B634" s="1" t="n">
        <v>43816</v>
      </c>
      <c r="C634" s="1" t="n">
        <v>45292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67837-2019</t>
        </is>
      </c>
      <c r="B635" s="1" t="n">
        <v>43816</v>
      </c>
      <c r="C635" s="1" t="n">
        <v>45292</v>
      </c>
      <c r="D635" t="inlineStr">
        <is>
          <t>VÄSTERBOTTENS LÄN</t>
        </is>
      </c>
      <c r="E635" t="inlineStr">
        <is>
          <t>SKELLEFTEÅ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398-2020</t>
        </is>
      </c>
      <c r="B636" s="1" t="n">
        <v>43816</v>
      </c>
      <c r="C636" s="1" t="n">
        <v>45292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434-2020</t>
        </is>
      </c>
      <c r="B637" s="1" t="n">
        <v>43816</v>
      </c>
      <c r="C637" s="1" t="n">
        <v>45292</v>
      </c>
      <c r="D637" t="inlineStr">
        <is>
          <t>VÄSTERBOTTENS LÄN</t>
        </is>
      </c>
      <c r="E637" t="inlineStr">
        <is>
          <t>SKELLEFTEÅ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820-2020</t>
        </is>
      </c>
      <c r="B638" s="1" t="n">
        <v>43818</v>
      </c>
      <c r="C638" s="1" t="n">
        <v>45292</v>
      </c>
      <c r="D638" t="inlineStr">
        <is>
          <t>VÄSTERBOTTENS LÄN</t>
        </is>
      </c>
      <c r="E638" t="inlineStr">
        <is>
          <t>SKELLEFTEÅ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1102-2020</t>
        </is>
      </c>
      <c r="B639" s="1" t="n">
        <v>43819</v>
      </c>
      <c r="C639" s="1" t="n">
        <v>45292</v>
      </c>
      <c r="D639" t="inlineStr">
        <is>
          <t>VÄSTERBOTTENS LÄN</t>
        </is>
      </c>
      <c r="E639" t="inlineStr">
        <is>
          <t>SKELLEFTEÅ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1452-2020</t>
        </is>
      </c>
      <c r="B640" s="1" t="n">
        <v>43822</v>
      </c>
      <c r="C640" s="1" t="n">
        <v>45292</v>
      </c>
      <c r="D640" t="inlineStr">
        <is>
          <t>VÄSTERBOTTENS LÄN</t>
        </is>
      </c>
      <c r="E640" t="inlineStr">
        <is>
          <t>SKELLEFTEÅ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789-2020</t>
        </is>
      </c>
      <c r="B641" s="1" t="n">
        <v>43838</v>
      </c>
      <c r="C641" s="1" t="n">
        <v>45292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896-2020</t>
        </is>
      </c>
      <c r="B642" s="1" t="n">
        <v>43839</v>
      </c>
      <c r="C642" s="1" t="n">
        <v>45292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Kyrkan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2127-2020</t>
        </is>
      </c>
      <c r="B643" s="1" t="n">
        <v>43839</v>
      </c>
      <c r="C643" s="1" t="n">
        <v>45292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1550-2020</t>
        </is>
      </c>
      <c r="B644" s="1" t="n">
        <v>43843</v>
      </c>
      <c r="C644" s="1" t="n">
        <v>45292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1612-2020</t>
        </is>
      </c>
      <c r="B645" s="1" t="n">
        <v>43844</v>
      </c>
      <c r="C645" s="1" t="n">
        <v>45292</v>
      </c>
      <c r="D645" t="inlineStr">
        <is>
          <t>VÄSTERBOTTENS LÄN</t>
        </is>
      </c>
      <c r="E645" t="inlineStr">
        <is>
          <t>SKELLEFTEÅ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1695-2020</t>
        </is>
      </c>
      <c r="B646" s="1" t="n">
        <v>43844</v>
      </c>
      <c r="C646" s="1" t="n">
        <v>45292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3123-2020</t>
        </is>
      </c>
      <c r="B647" s="1" t="n">
        <v>43844</v>
      </c>
      <c r="C647" s="1" t="n">
        <v>45292</v>
      </c>
      <c r="D647" t="inlineStr">
        <is>
          <t>VÄSTERBOTTENS LÄN</t>
        </is>
      </c>
      <c r="E647" t="inlineStr">
        <is>
          <t>SKELLEFTEÅ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4286-2020</t>
        </is>
      </c>
      <c r="B648" s="1" t="n">
        <v>43847</v>
      </c>
      <c r="C648" s="1" t="n">
        <v>45292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4381-2020</t>
        </is>
      </c>
      <c r="B649" s="1" t="n">
        <v>43847</v>
      </c>
      <c r="C649" s="1" t="n">
        <v>45292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4985-2020</t>
        </is>
      </c>
      <c r="B650" s="1" t="n">
        <v>43853</v>
      </c>
      <c r="C650" s="1" t="n">
        <v>45292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3968-2020</t>
        </is>
      </c>
      <c r="B651" s="1" t="n">
        <v>43854</v>
      </c>
      <c r="C651" s="1" t="n">
        <v>45292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4006-2020</t>
        </is>
      </c>
      <c r="B652" s="1" t="n">
        <v>43857</v>
      </c>
      <c r="C652" s="1" t="n">
        <v>45292</v>
      </c>
      <c r="D652" t="inlineStr">
        <is>
          <t>VÄSTERBOTTENS LÄN</t>
        </is>
      </c>
      <c r="E652" t="inlineStr">
        <is>
          <t>SKELLEFTEÅ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5261-2020</t>
        </is>
      </c>
      <c r="B653" s="1" t="n">
        <v>43857</v>
      </c>
      <c r="C653" s="1" t="n">
        <v>45292</v>
      </c>
      <c r="D653" t="inlineStr">
        <is>
          <t>VÄSTERBOTTENS LÄN</t>
        </is>
      </c>
      <c r="E653" t="inlineStr">
        <is>
          <t>SKELLEFTEÅ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4731-2020</t>
        </is>
      </c>
      <c r="B654" s="1" t="n">
        <v>43859</v>
      </c>
      <c r="C654" s="1" t="n">
        <v>45292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6511-2020</t>
        </is>
      </c>
      <c r="B655" s="1" t="n">
        <v>43865</v>
      </c>
      <c r="C655" s="1" t="n">
        <v>45292</v>
      </c>
      <c r="D655" t="inlineStr">
        <is>
          <t>VÄSTERBOTTENS LÄN</t>
        </is>
      </c>
      <c r="E655" t="inlineStr">
        <is>
          <t>SKELLEFTEÅ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7334-2020</t>
        </is>
      </c>
      <c r="B656" s="1" t="n">
        <v>43868</v>
      </c>
      <c r="C656" s="1" t="n">
        <v>45292</v>
      </c>
      <c r="D656" t="inlineStr">
        <is>
          <t>VÄSTERBOTTENS LÄN</t>
        </is>
      </c>
      <c r="E656" t="inlineStr">
        <is>
          <t>SKELLEFTEÅ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7689-2020</t>
        </is>
      </c>
      <c r="B657" s="1" t="n">
        <v>43872</v>
      </c>
      <c r="C657" s="1" t="n">
        <v>45292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8060-2020</t>
        </is>
      </c>
      <c r="B658" s="1" t="n">
        <v>43874</v>
      </c>
      <c r="C658" s="1" t="n">
        <v>45292</v>
      </c>
      <c r="D658" t="inlineStr">
        <is>
          <t>VÄSTERBOTTENS LÄN</t>
        </is>
      </c>
      <c r="E658" t="inlineStr">
        <is>
          <t>SKELLEFTEÅ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8562-2020</t>
        </is>
      </c>
      <c r="B659" s="1" t="n">
        <v>43877</v>
      </c>
      <c r="C659" s="1" t="n">
        <v>45292</v>
      </c>
      <c r="D659" t="inlineStr">
        <is>
          <t>VÄSTERBOTTENS LÄN</t>
        </is>
      </c>
      <c r="E659" t="inlineStr">
        <is>
          <t>SKELLEFTEÅ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9180-2020</t>
        </is>
      </c>
      <c r="B660" s="1" t="n">
        <v>43879</v>
      </c>
      <c r="C660" s="1" t="n">
        <v>45292</v>
      </c>
      <c r="D660" t="inlineStr">
        <is>
          <t>VÄSTERBOTTENS LÄN</t>
        </is>
      </c>
      <c r="E660" t="inlineStr">
        <is>
          <t>SKELLEFTEÅ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9568-2020</t>
        </is>
      </c>
      <c r="B661" s="1" t="n">
        <v>43881</v>
      </c>
      <c r="C661" s="1" t="n">
        <v>45292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10030-2020</t>
        </is>
      </c>
      <c r="B662" s="1" t="n">
        <v>43882</v>
      </c>
      <c r="C662" s="1" t="n">
        <v>45292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10041-2020</t>
        </is>
      </c>
      <c r="B663" s="1" t="n">
        <v>43882</v>
      </c>
      <c r="C663" s="1" t="n">
        <v>45292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10273-2020</t>
        </is>
      </c>
      <c r="B664" s="1" t="n">
        <v>43885</v>
      </c>
      <c r="C664" s="1" t="n">
        <v>45292</v>
      </c>
      <c r="D664" t="inlineStr">
        <is>
          <t>VÄSTERBOTTENS LÄN</t>
        </is>
      </c>
      <c r="E664" t="inlineStr">
        <is>
          <t>SKELLEFTEÅ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HYPERLINK("https://klasma.github.io/Logging_2482/knärot/A 10273-2020 karta knärot.png", "A 10273-2020")</f>
        <v/>
      </c>
      <c r="V664">
        <f>HYPERLINK("https://klasma.github.io/Logging_2482/klagomål/A 10273-2020 FSC-klagomål.docx", "A 10273-2020")</f>
        <v/>
      </c>
      <c r="W664">
        <f>HYPERLINK("https://klasma.github.io/Logging_2482/klagomålsmail/A 10273-2020 FSC-klagomål mail.docx", "A 10273-2020")</f>
        <v/>
      </c>
      <c r="X664">
        <f>HYPERLINK("https://klasma.github.io/Logging_2482/tillsyn/A 10273-2020 tillsynsbegäran.docx", "A 10273-2020")</f>
        <v/>
      </c>
      <c r="Y664">
        <f>HYPERLINK("https://klasma.github.io/Logging_2482/tillsynsmail/A 10273-2020 tillsynsbegäran mail.docx", "A 10273-2020")</f>
        <v/>
      </c>
    </row>
    <row r="665" ht="15" customHeight="1">
      <c r="A665" t="inlineStr">
        <is>
          <t>A 10279-2020</t>
        </is>
      </c>
      <c r="B665" s="1" t="n">
        <v>43885</v>
      </c>
      <c r="C665" s="1" t="n">
        <v>45292</v>
      </c>
      <c r="D665" t="inlineStr">
        <is>
          <t>VÄSTERBOTTENS LÄN</t>
        </is>
      </c>
      <c r="E665" t="inlineStr">
        <is>
          <t>SKELLEFTEÅ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11083-2020</t>
        </is>
      </c>
      <c r="B666" s="1" t="n">
        <v>43885</v>
      </c>
      <c r="C666" s="1" t="n">
        <v>45292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11037-2020</t>
        </is>
      </c>
      <c r="B667" s="1" t="n">
        <v>43886</v>
      </c>
      <c r="C667" s="1" t="n">
        <v>45292</v>
      </c>
      <c r="D667" t="inlineStr">
        <is>
          <t>VÄSTERBOTTENS LÄN</t>
        </is>
      </c>
      <c r="E667" t="inlineStr">
        <is>
          <t>SKELLEFTEÅ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11048-2020</t>
        </is>
      </c>
      <c r="B668" s="1" t="n">
        <v>43886</v>
      </c>
      <c r="C668" s="1" t="n">
        <v>45292</v>
      </c>
      <c r="D668" t="inlineStr">
        <is>
          <t>VÄSTERBOTTENS LÄN</t>
        </is>
      </c>
      <c r="E668" t="inlineStr">
        <is>
          <t>SKELLEFTEÅ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10181-2020</t>
        </is>
      </c>
      <c r="B669" s="1" t="n">
        <v>43887</v>
      </c>
      <c r="C669" s="1" t="n">
        <v>45292</v>
      </c>
      <c r="D669" t="inlineStr">
        <is>
          <t>VÄSTERBOTTENS LÄN</t>
        </is>
      </c>
      <c r="E669" t="inlineStr">
        <is>
          <t>SKELLEFTEÅ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10114-2020</t>
        </is>
      </c>
      <c r="B670" s="1" t="n">
        <v>43887</v>
      </c>
      <c r="C670" s="1" t="n">
        <v>45292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12775-2020</t>
        </is>
      </c>
      <c r="B671" s="1" t="n">
        <v>43893</v>
      </c>
      <c r="C671" s="1" t="n">
        <v>45292</v>
      </c>
      <c r="D671" t="inlineStr">
        <is>
          <t>VÄSTERBOTTENS LÄN</t>
        </is>
      </c>
      <c r="E671" t="inlineStr">
        <is>
          <t>SKELLEFTEÅ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12533-2020</t>
        </is>
      </c>
      <c r="B672" s="1" t="n">
        <v>43896</v>
      </c>
      <c r="C672" s="1" t="n">
        <v>45292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12534-2020</t>
        </is>
      </c>
      <c r="B673" s="1" t="n">
        <v>43896</v>
      </c>
      <c r="C673" s="1" t="n">
        <v>45292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13415-2020</t>
        </is>
      </c>
      <c r="B674" s="1" t="n">
        <v>43899</v>
      </c>
      <c r="C674" s="1" t="n">
        <v>45292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14147-2020</t>
        </is>
      </c>
      <c r="B675" s="1" t="n">
        <v>43900</v>
      </c>
      <c r="C675" s="1" t="n">
        <v>45292</v>
      </c>
      <c r="D675" t="inlineStr">
        <is>
          <t>VÄSTERBOTTENS LÄN</t>
        </is>
      </c>
      <c r="E675" t="inlineStr">
        <is>
          <t>SKELLEFTEÅ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12945-2020</t>
        </is>
      </c>
      <c r="B676" s="1" t="n">
        <v>43900</v>
      </c>
      <c r="C676" s="1" t="n">
        <v>45292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12939-2020</t>
        </is>
      </c>
      <c r="B677" s="1" t="n">
        <v>43900</v>
      </c>
      <c r="C677" s="1" t="n">
        <v>45292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14186-2020</t>
        </is>
      </c>
      <c r="B678" s="1" t="n">
        <v>43901</v>
      </c>
      <c r="C678" s="1" t="n">
        <v>45292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13566-2020</t>
        </is>
      </c>
      <c r="B679" s="1" t="n">
        <v>43902</v>
      </c>
      <c r="C679" s="1" t="n">
        <v>45292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13568-2020</t>
        </is>
      </c>
      <c r="B680" s="1" t="n">
        <v>43902</v>
      </c>
      <c r="C680" s="1" t="n">
        <v>45292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13851-2020</t>
        </is>
      </c>
      <c r="B681" s="1" t="n">
        <v>43906</v>
      </c>
      <c r="C681" s="1" t="n">
        <v>45292</v>
      </c>
      <c r="D681" t="inlineStr">
        <is>
          <t>VÄSTERBOTTENS LÄN</t>
        </is>
      </c>
      <c r="E681" t="inlineStr">
        <is>
          <t>SKELLEFTEÅ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13933-2020</t>
        </is>
      </c>
      <c r="B682" s="1" t="n">
        <v>43906</v>
      </c>
      <c r="C682" s="1" t="n">
        <v>45292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13883-2020</t>
        </is>
      </c>
      <c r="B683" s="1" t="n">
        <v>43906</v>
      </c>
      <c r="C683" s="1" t="n">
        <v>45292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16728-2020</t>
        </is>
      </c>
      <c r="B684" s="1" t="n">
        <v>43910</v>
      </c>
      <c r="C684" s="1" t="n">
        <v>45292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15320-2020</t>
        </is>
      </c>
      <c r="B685" s="1" t="n">
        <v>43913</v>
      </c>
      <c r="C685" s="1" t="n">
        <v>45292</v>
      </c>
      <c r="D685" t="inlineStr">
        <is>
          <t>VÄSTERBOTTENS LÄN</t>
        </is>
      </c>
      <c r="E685" t="inlineStr">
        <is>
          <t>SKELLEFTEÅ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17124-2020</t>
        </is>
      </c>
      <c r="B686" s="1" t="n">
        <v>43914</v>
      </c>
      <c r="C686" s="1" t="n">
        <v>45292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15870-2020</t>
        </is>
      </c>
      <c r="B687" s="1" t="n">
        <v>43915</v>
      </c>
      <c r="C687" s="1" t="n">
        <v>45292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15869-2020</t>
        </is>
      </c>
      <c r="B688" s="1" t="n">
        <v>43915</v>
      </c>
      <c r="C688" s="1" t="n">
        <v>45292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17434-2020</t>
        </is>
      </c>
      <c r="B689" s="1" t="n">
        <v>43917</v>
      </c>
      <c r="C689" s="1" t="n">
        <v>45292</v>
      </c>
      <c r="D689" t="inlineStr">
        <is>
          <t>VÄSTERBOTTENS LÄN</t>
        </is>
      </c>
      <c r="E689" t="inlineStr">
        <is>
          <t>SKELLEFTEÅ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17894-2020</t>
        </is>
      </c>
      <c r="B690" s="1" t="n">
        <v>43923</v>
      </c>
      <c r="C690" s="1" t="n">
        <v>45292</v>
      </c>
      <c r="D690" t="inlineStr">
        <is>
          <t>VÄSTERBOTTENS LÄN</t>
        </is>
      </c>
      <c r="E690" t="inlineStr">
        <is>
          <t>SKELLEFTEÅ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18619-2020</t>
        </is>
      </c>
      <c r="B691" s="1" t="n">
        <v>43928</v>
      </c>
      <c r="C691" s="1" t="n">
        <v>45292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18442-2020</t>
        </is>
      </c>
      <c r="B692" s="1" t="n">
        <v>43929</v>
      </c>
      <c r="C692" s="1" t="n">
        <v>45292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18820-2020</t>
        </is>
      </c>
      <c r="B693" s="1" t="n">
        <v>43935</v>
      </c>
      <c r="C693" s="1" t="n">
        <v>45292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19006-2020</t>
        </is>
      </c>
      <c r="B694" s="1" t="n">
        <v>43936</v>
      </c>
      <c r="C694" s="1" t="n">
        <v>45292</v>
      </c>
      <c r="D694" t="inlineStr">
        <is>
          <t>VÄSTERBOTTENS LÄN</t>
        </is>
      </c>
      <c r="E694" t="inlineStr">
        <is>
          <t>SKELLEFTEÅ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19961-2020</t>
        </is>
      </c>
      <c r="B695" s="1" t="n">
        <v>43943</v>
      </c>
      <c r="C695" s="1" t="n">
        <v>45292</v>
      </c>
      <c r="D695" t="inlineStr">
        <is>
          <t>VÄSTERBOTTENS LÄN</t>
        </is>
      </c>
      <c r="E695" t="inlineStr">
        <is>
          <t>SKELLEFTEÅ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20243-2020</t>
        </is>
      </c>
      <c r="B696" s="1" t="n">
        <v>43945</v>
      </c>
      <c r="C696" s="1" t="n">
        <v>45292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20283-2020</t>
        </is>
      </c>
      <c r="B697" s="1" t="n">
        <v>43945</v>
      </c>
      <c r="C697" s="1" t="n">
        <v>45292</v>
      </c>
      <c r="D697" t="inlineStr">
        <is>
          <t>VÄSTERBOTTENS LÄN</t>
        </is>
      </c>
      <c r="E697" t="inlineStr">
        <is>
          <t>SKELLEFTEÅ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20351-2020</t>
        </is>
      </c>
      <c r="B698" s="1" t="n">
        <v>43945</v>
      </c>
      <c r="C698" s="1" t="n">
        <v>45292</v>
      </c>
      <c r="D698" t="inlineStr">
        <is>
          <t>VÄSTERBOTTENS LÄN</t>
        </is>
      </c>
      <c r="E698" t="inlineStr">
        <is>
          <t>SKELLEFTEÅ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20444-2020</t>
        </is>
      </c>
      <c r="B699" s="1" t="n">
        <v>43948</v>
      </c>
      <c r="C699" s="1" t="n">
        <v>45292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20466-2020</t>
        </is>
      </c>
      <c r="B700" s="1" t="n">
        <v>43948</v>
      </c>
      <c r="C700" s="1" t="n">
        <v>45292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22451-2020</t>
        </is>
      </c>
      <c r="B701" s="1" t="n">
        <v>43963</v>
      </c>
      <c r="C701" s="1" t="n">
        <v>45292</v>
      </c>
      <c r="D701" t="inlineStr">
        <is>
          <t>VÄSTERBOTTENS LÄN</t>
        </is>
      </c>
      <c r="E701" t="inlineStr">
        <is>
          <t>SKELLEFTEÅ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22752-2020</t>
        </is>
      </c>
      <c r="B702" s="1" t="n">
        <v>43963</v>
      </c>
      <c r="C702" s="1" t="n">
        <v>45292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23006-2020</t>
        </is>
      </c>
      <c r="B703" s="1" t="n">
        <v>43965</v>
      </c>
      <c r="C703" s="1" t="n">
        <v>45292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23181-2020</t>
        </is>
      </c>
      <c r="B704" s="1" t="n">
        <v>43965</v>
      </c>
      <c r="C704" s="1" t="n">
        <v>45292</v>
      </c>
      <c r="D704" t="inlineStr">
        <is>
          <t>VÄSTERBOTTENS LÄN</t>
        </is>
      </c>
      <c r="E704" t="inlineStr">
        <is>
          <t>SKELLEFTEÅ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23522-2020</t>
        </is>
      </c>
      <c r="B705" s="1" t="n">
        <v>43969</v>
      </c>
      <c r="C705" s="1" t="n">
        <v>45292</v>
      </c>
      <c r="D705" t="inlineStr">
        <is>
          <t>VÄSTERBOTTENS LÄN</t>
        </is>
      </c>
      <c r="E705" t="inlineStr">
        <is>
          <t>SKELLEFTEÅ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23672-2020</t>
        </is>
      </c>
      <c r="B706" s="1" t="n">
        <v>43970</v>
      </c>
      <c r="C706" s="1" t="n">
        <v>45292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24280-2020</t>
        </is>
      </c>
      <c r="B707" s="1" t="n">
        <v>43970</v>
      </c>
      <c r="C707" s="1" t="n">
        <v>45292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24276-2020</t>
        </is>
      </c>
      <c r="B708" s="1" t="n">
        <v>43970</v>
      </c>
      <c r="C708" s="1" t="n">
        <v>45292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24274-2020</t>
        </is>
      </c>
      <c r="B709" s="1" t="n">
        <v>43970</v>
      </c>
      <c r="C709" s="1" t="n">
        <v>45292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23908-2020</t>
        </is>
      </c>
      <c r="B710" s="1" t="n">
        <v>43970</v>
      </c>
      <c r="C710" s="1" t="n">
        <v>45292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23907-2020</t>
        </is>
      </c>
      <c r="B711" s="1" t="n">
        <v>43970</v>
      </c>
      <c r="C711" s="1" t="n">
        <v>45292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24264-2020</t>
        </is>
      </c>
      <c r="B712" s="1" t="n">
        <v>43970</v>
      </c>
      <c r="C712" s="1" t="n">
        <v>45292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24543-2020</t>
        </is>
      </c>
      <c r="B713" s="1" t="n">
        <v>43977</v>
      </c>
      <c r="C713" s="1" t="n">
        <v>45292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25142-2020</t>
        </is>
      </c>
      <c r="B714" s="1" t="n">
        <v>43978</v>
      </c>
      <c r="C714" s="1" t="n">
        <v>45292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25161-2020</t>
        </is>
      </c>
      <c r="B715" s="1" t="n">
        <v>43978</v>
      </c>
      <c r="C715" s="1" t="n">
        <v>45292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25051-2020</t>
        </is>
      </c>
      <c r="B716" s="1" t="n">
        <v>43979</v>
      </c>
      <c r="C716" s="1" t="n">
        <v>45292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25202-2020</t>
        </is>
      </c>
      <c r="B717" s="1" t="n">
        <v>43980</v>
      </c>
      <c r="C717" s="1" t="n">
        <v>45292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25473-2020</t>
        </is>
      </c>
      <c r="B718" s="1" t="n">
        <v>43983</v>
      </c>
      <c r="C718" s="1" t="n">
        <v>45292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25682-2020</t>
        </is>
      </c>
      <c r="B719" s="1" t="n">
        <v>43983</v>
      </c>
      <c r="C719" s="1" t="n">
        <v>45292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25858-2020</t>
        </is>
      </c>
      <c r="B720" s="1" t="n">
        <v>43984</v>
      </c>
      <c r="C720" s="1" t="n">
        <v>45292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26089-2020</t>
        </is>
      </c>
      <c r="B721" s="1" t="n">
        <v>43984</v>
      </c>
      <c r="C721" s="1" t="n">
        <v>45292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25695-2020</t>
        </is>
      </c>
      <c r="B722" s="1" t="n">
        <v>43984</v>
      </c>
      <c r="C722" s="1" t="n">
        <v>45292</v>
      </c>
      <c r="D722" t="inlineStr">
        <is>
          <t>VÄSTERBOTTENS LÄN</t>
        </is>
      </c>
      <c r="E722" t="inlineStr">
        <is>
          <t>SKELLEFTEÅ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25968-2020</t>
        </is>
      </c>
      <c r="B723" s="1" t="n">
        <v>43985</v>
      </c>
      <c r="C723" s="1" t="n">
        <v>45292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26422-2020</t>
        </is>
      </c>
      <c r="B724" s="1" t="n">
        <v>43986</v>
      </c>
      <c r="C724" s="1" t="n">
        <v>45292</v>
      </c>
      <c r="D724" t="inlineStr">
        <is>
          <t>VÄSTERBOTTENS LÄN</t>
        </is>
      </c>
      <c r="E724" t="inlineStr">
        <is>
          <t>SKELLEFTEÅ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26413-2020</t>
        </is>
      </c>
      <c r="B725" s="1" t="n">
        <v>43987</v>
      </c>
      <c r="C725" s="1" t="n">
        <v>45292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26396-2020</t>
        </is>
      </c>
      <c r="B726" s="1" t="n">
        <v>43987</v>
      </c>
      <c r="C726" s="1" t="n">
        <v>45292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27218-2020</t>
        </is>
      </c>
      <c r="B727" s="1" t="n">
        <v>43992</v>
      </c>
      <c r="C727" s="1" t="n">
        <v>45292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27684-2020</t>
        </is>
      </c>
      <c r="B728" s="1" t="n">
        <v>43994</v>
      </c>
      <c r="C728" s="1" t="n">
        <v>45292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28449-2020</t>
        </is>
      </c>
      <c r="B729" s="1" t="n">
        <v>43998</v>
      </c>
      <c r="C729" s="1" t="n">
        <v>45292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28503-2020</t>
        </is>
      </c>
      <c r="B730" s="1" t="n">
        <v>43999</v>
      </c>
      <c r="C730" s="1" t="n">
        <v>45292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28501-2020</t>
        </is>
      </c>
      <c r="B731" s="1" t="n">
        <v>43999</v>
      </c>
      <c r="C731" s="1" t="n">
        <v>45292</v>
      </c>
      <c r="D731" t="inlineStr">
        <is>
          <t>VÄSTERBOTTENS LÄN</t>
        </is>
      </c>
      <c r="E731" t="inlineStr">
        <is>
          <t>SKELLEFTEÅ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28505-2020</t>
        </is>
      </c>
      <c r="B732" s="1" t="n">
        <v>43999</v>
      </c>
      <c r="C732" s="1" t="n">
        <v>45292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28574-2020</t>
        </is>
      </c>
      <c r="B733" s="1" t="n">
        <v>43999</v>
      </c>
      <c r="C733" s="1" t="n">
        <v>45292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28986-2020</t>
        </is>
      </c>
      <c r="B734" s="1" t="n">
        <v>44000</v>
      </c>
      <c r="C734" s="1" t="n">
        <v>45292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28985-2020</t>
        </is>
      </c>
      <c r="B735" s="1" t="n">
        <v>44000</v>
      </c>
      <c r="C735" s="1" t="n">
        <v>45292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29134-2020</t>
        </is>
      </c>
      <c r="B736" s="1" t="n">
        <v>44004</v>
      </c>
      <c r="C736" s="1" t="n">
        <v>45292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29595-2020</t>
        </is>
      </c>
      <c r="B737" s="1" t="n">
        <v>44004</v>
      </c>
      <c r="C737" s="1" t="n">
        <v>45292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29542-2020</t>
        </is>
      </c>
      <c r="B738" s="1" t="n">
        <v>44005</v>
      </c>
      <c r="C738" s="1" t="n">
        <v>45292</v>
      </c>
      <c r="D738" t="inlineStr">
        <is>
          <t>VÄSTERBOTTENS LÄN</t>
        </is>
      </c>
      <c r="E738" t="inlineStr">
        <is>
          <t>SKELLEFTEÅ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29832-2020</t>
        </is>
      </c>
      <c r="B739" s="1" t="n">
        <v>44005</v>
      </c>
      <c r="C739" s="1" t="n">
        <v>45292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29850-2020</t>
        </is>
      </c>
      <c r="B740" s="1" t="n">
        <v>44005</v>
      </c>
      <c r="C740" s="1" t="n">
        <v>45292</v>
      </c>
      <c r="D740" t="inlineStr">
        <is>
          <t>VÄSTERBOTTENS LÄN</t>
        </is>
      </c>
      <c r="E740" t="inlineStr">
        <is>
          <t>SKELLEFTEÅ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29842-2020</t>
        </is>
      </c>
      <c r="B741" s="1" t="n">
        <v>44005</v>
      </c>
      <c r="C741" s="1" t="n">
        <v>45292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29982-2020</t>
        </is>
      </c>
      <c r="B742" s="1" t="n">
        <v>44006</v>
      </c>
      <c r="C742" s="1" t="n">
        <v>45292</v>
      </c>
      <c r="D742" t="inlineStr">
        <is>
          <t>VÄSTERBOTTENS LÄN</t>
        </is>
      </c>
      <c r="E742" t="inlineStr">
        <is>
          <t>SKELLEFTEÅ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30075-2020</t>
        </is>
      </c>
      <c r="B743" s="1" t="n">
        <v>44006</v>
      </c>
      <c r="C743" s="1" t="n">
        <v>45292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30074-2020</t>
        </is>
      </c>
      <c r="B744" s="1" t="n">
        <v>44006</v>
      </c>
      <c r="C744" s="1" t="n">
        <v>45292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30408-2020</t>
        </is>
      </c>
      <c r="B745" s="1" t="n">
        <v>44007</v>
      </c>
      <c r="C745" s="1" t="n">
        <v>45292</v>
      </c>
      <c r="D745" t="inlineStr">
        <is>
          <t>VÄSTERBOTTENS LÄN</t>
        </is>
      </c>
      <c r="E745" t="inlineStr">
        <is>
          <t>SKELLEFTEÅ</t>
        </is>
      </c>
      <c r="G745" t="n">
        <v>24.3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30712-2020</t>
        </is>
      </c>
      <c r="B746" s="1" t="n">
        <v>44008</v>
      </c>
      <c r="C746" s="1" t="n">
        <v>45292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30653-2020</t>
        </is>
      </c>
      <c r="B747" s="1" t="n">
        <v>44008</v>
      </c>
      <c r="C747" s="1" t="n">
        <v>45292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30709-2020</t>
        </is>
      </c>
      <c r="B748" s="1" t="n">
        <v>44008</v>
      </c>
      <c r="C748" s="1" t="n">
        <v>45292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30728-2020</t>
        </is>
      </c>
      <c r="B749" s="1" t="n">
        <v>44008</v>
      </c>
      <c r="C749" s="1" t="n">
        <v>45292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30841-2020</t>
        </is>
      </c>
      <c r="B750" s="1" t="n">
        <v>44008</v>
      </c>
      <c r="C750" s="1" t="n">
        <v>45292</v>
      </c>
      <c r="D750" t="inlineStr">
        <is>
          <t>VÄSTERBOTTENS LÄN</t>
        </is>
      </c>
      <c r="E750" t="inlineStr">
        <is>
          <t>SKELLEFTEÅ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30877-2020</t>
        </is>
      </c>
      <c r="B751" s="1" t="n">
        <v>44011</v>
      </c>
      <c r="C751" s="1" t="n">
        <v>45292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30949-2020</t>
        </is>
      </c>
      <c r="B752" s="1" t="n">
        <v>44011</v>
      </c>
      <c r="C752" s="1" t="n">
        <v>45292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31060-2020</t>
        </is>
      </c>
      <c r="B753" s="1" t="n">
        <v>44012</v>
      </c>
      <c r="C753" s="1" t="n">
        <v>45292</v>
      </c>
      <c r="D753" t="inlineStr">
        <is>
          <t>VÄSTERBOTTENS LÄN</t>
        </is>
      </c>
      <c r="E753" t="inlineStr">
        <is>
          <t>SKELLEFTEÅ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31434-2020</t>
        </is>
      </c>
      <c r="B754" s="1" t="n">
        <v>44012</v>
      </c>
      <c r="C754" s="1" t="n">
        <v>45292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31331-2020</t>
        </is>
      </c>
      <c r="B755" s="1" t="n">
        <v>44012</v>
      </c>
      <c r="C755" s="1" t="n">
        <v>45292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31490-2020</t>
        </is>
      </c>
      <c r="B756" s="1" t="n">
        <v>44013</v>
      </c>
      <c r="C756" s="1" t="n">
        <v>45292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31515-2020</t>
        </is>
      </c>
      <c r="B757" s="1" t="n">
        <v>44013</v>
      </c>
      <c r="C757" s="1" t="n">
        <v>45292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31519-2020</t>
        </is>
      </c>
      <c r="B758" s="1" t="n">
        <v>44013</v>
      </c>
      <c r="C758" s="1" t="n">
        <v>45292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31501-2020</t>
        </is>
      </c>
      <c r="B759" s="1" t="n">
        <v>44013</v>
      </c>
      <c r="C759" s="1" t="n">
        <v>45292</v>
      </c>
      <c r="D759" t="inlineStr">
        <is>
          <t>VÄSTERBOTTENS LÄN</t>
        </is>
      </c>
      <c r="E759" t="inlineStr">
        <is>
          <t>SKELLEFTEÅ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31736-2020</t>
        </is>
      </c>
      <c r="B760" s="1" t="n">
        <v>44013</v>
      </c>
      <c r="C760" s="1" t="n">
        <v>45292</v>
      </c>
      <c r="D760" t="inlineStr">
        <is>
          <t>VÄSTERBOTTENS LÄN</t>
        </is>
      </c>
      <c r="E760" t="inlineStr">
        <is>
          <t>SKELLEFTEÅ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31734-2020</t>
        </is>
      </c>
      <c r="B761" s="1" t="n">
        <v>44013</v>
      </c>
      <c r="C761" s="1" t="n">
        <v>45292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32173-2020</t>
        </is>
      </c>
      <c r="B762" s="1" t="n">
        <v>44015</v>
      </c>
      <c r="C762" s="1" t="n">
        <v>45292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32511-2020</t>
        </is>
      </c>
      <c r="B763" s="1" t="n">
        <v>44017</v>
      </c>
      <c r="C763" s="1" t="n">
        <v>45292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32549-2020</t>
        </is>
      </c>
      <c r="B764" s="1" t="n">
        <v>44017</v>
      </c>
      <c r="C764" s="1" t="n">
        <v>45292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32526-2020</t>
        </is>
      </c>
      <c r="B765" s="1" t="n">
        <v>44017</v>
      </c>
      <c r="C765" s="1" t="n">
        <v>45292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32530-2020</t>
        </is>
      </c>
      <c r="B766" s="1" t="n">
        <v>44017</v>
      </c>
      <c r="C766" s="1" t="n">
        <v>45292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32885-2020</t>
        </is>
      </c>
      <c r="B767" s="1" t="n">
        <v>44020</v>
      </c>
      <c r="C767" s="1" t="n">
        <v>45292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32864-2020</t>
        </is>
      </c>
      <c r="B768" s="1" t="n">
        <v>44020</v>
      </c>
      <c r="C768" s="1" t="n">
        <v>45292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33086-2020</t>
        </is>
      </c>
      <c r="B769" s="1" t="n">
        <v>44021</v>
      </c>
      <c r="C769" s="1" t="n">
        <v>45292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33327-2020</t>
        </is>
      </c>
      <c r="B770" s="1" t="n">
        <v>44022</v>
      </c>
      <c r="C770" s="1" t="n">
        <v>45292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33322-2020</t>
        </is>
      </c>
      <c r="B771" s="1" t="n">
        <v>44022</v>
      </c>
      <c r="C771" s="1" t="n">
        <v>45292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33424-2020</t>
        </is>
      </c>
      <c r="B772" s="1" t="n">
        <v>44022</v>
      </c>
      <c r="C772" s="1" t="n">
        <v>45292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33791-2020</t>
        </is>
      </c>
      <c r="B773" s="1" t="n">
        <v>44026</v>
      </c>
      <c r="C773" s="1" t="n">
        <v>45292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34235-2020</t>
        </is>
      </c>
      <c r="B774" s="1" t="n">
        <v>44027</v>
      </c>
      <c r="C774" s="1" t="n">
        <v>45292</v>
      </c>
      <c r="D774" t="inlineStr">
        <is>
          <t>VÄSTERBOTTENS LÄN</t>
        </is>
      </c>
      <c r="E774" t="inlineStr">
        <is>
          <t>SKELLEFTEÅ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34173-2020</t>
        </is>
      </c>
      <c r="B775" s="1" t="n">
        <v>44029</v>
      </c>
      <c r="C775" s="1" t="n">
        <v>45292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34155-2020</t>
        </is>
      </c>
      <c r="B776" s="1" t="n">
        <v>44029</v>
      </c>
      <c r="C776" s="1" t="n">
        <v>45292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34169-2020</t>
        </is>
      </c>
      <c r="B777" s="1" t="n">
        <v>44029</v>
      </c>
      <c r="C777" s="1" t="n">
        <v>45292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34177-2020</t>
        </is>
      </c>
      <c r="B778" s="1" t="n">
        <v>44029</v>
      </c>
      <c r="C778" s="1" t="n">
        <v>45292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34142-2020</t>
        </is>
      </c>
      <c r="B779" s="1" t="n">
        <v>44029</v>
      </c>
      <c r="C779" s="1" t="n">
        <v>45292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34351-2020</t>
        </is>
      </c>
      <c r="B780" s="1" t="n">
        <v>44032</v>
      </c>
      <c r="C780" s="1" t="n">
        <v>45292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34517-2020</t>
        </is>
      </c>
      <c r="B781" s="1" t="n">
        <v>44033</v>
      </c>
      <c r="C781" s="1" t="n">
        <v>45292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35173-2020</t>
        </is>
      </c>
      <c r="B782" s="1" t="n">
        <v>44040</v>
      </c>
      <c r="C782" s="1" t="n">
        <v>45292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35285-2020</t>
        </is>
      </c>
      <c r="B783" s="1" t="n">
        <v>44041</v>
      </c>
      <c r="C783" s="1" t="n">
        <v>45292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35806-2020</t>
        </is>
      </c>
      <c r="B784" s="1" t="n">
        <v>44046</v>
      </c>
      <c r="C784" s="1" t="n">
        <v>45292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35807-2020</t>
        </is>
      </c>
      <c r="B785" s="1" t="n">
        <v>44046</v>
      </c>
      <c r="C785" s="1" t="n">
        <v>45292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36401-2020</t>
        </is>
      </c>
      <c r="B786" s="1" t="n">
        <v>44049</v>
      </c>
      <c r="C786" s="1" t="n">
        <v>45292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38217-2020</t>
        </is>
      </c>
      <c r="B787" s="1" t="n">
        <v>44050</v>
      </c>
      <c r="C787" s="1" t="n">
        <v>45292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37384-2020</t>
        </is>
      </c>
      <c r="B788" s="1" t="n">
        <v>44055</v>
      </c>
      <c r="C788" s="1" t="n">
        <v>45292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37393-2020</t>
        </is>
      </c>
      <c r="B789" s="1" t="n">
        <v>44055</v>
      </c>
      <c r="C789" s="1" t="n">
        <v>45292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37268-2020</t>
        </is>
      </c>
      <c r="B790" s="1" t="n">
        <v>44055</v>
      </c>
      <c r="C790" s="1" t="n">
        <v>45292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37860-2020</t>
        </is>
      </c>
      <c r="B791" s="1" t="n">
        <v>44057</v>
      </c>
      <c r="C791" s="1" t="n">
        <v>45292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37858-2020</t>
        </is>
      </c>
      <c r="B792" s="1" t="n">
        <v>44057</v>
      </c>
      <c r="C792" s="1" t="n">
        <v>45292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37869-2020</t>
        </is>
      </c>
      <c r="B793" s="1" t="n">
        <v>44057</v>
      </c>
      <c r="C793" s="1" t="n">
        <v>45292</v>
      </c>
      <c r="D793" t="inlineStr">
        <is>
          <t>VÄSTERBOTTENS LÄN</t>
        </is>
      </c>
      <c r="E793" t="inlineStr">
        <is>
          <t>SKELLEFTEÅ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37862-2020</t>
        </is>
      </c>
      <c r="B794" s="1" t="n">
        <v>44057</v>
      </c>
      <c r="C794" s="1" t="n">
        <v>45292</v>
      </c>
      <c r="D794" t="inlineStr">
        <is>
          <t>VÄSTERBOTTENS LÄN</t>
        </is>
      </c>
      <c r="E794" t="inlineStr">
        <is>
          <t>SKELLEFTEÅ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38174-2020</t>
        </is>
      </c>
      <c r="B795" s="1" t="n">
        <v>44057</v>
      </c>
      <c r="C795" s="1" t="n">
        <v>45292</v>
      </c>
      <c r="D795" t="inlineStr">
        <is>
          <t>VÄSTERBOTTENS LÄN</t>
        </is>
      </c>
      <c r="E795" t="inlineStr">
        <is>
          <t>SKELLEFTEÅ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38181-2020</t>
        </is>
      </c>
      <c r="B796" s="1" t="n">
        <v>44057</v>
      </c>
      <c r="C796" s="1" t="n">
        <v>45292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38120-2020</t>
        </is>
      </c>
      <c r="B797" s="1" t="n">
        <v>44059</v>
      </c>
      <c r="C797" s="1" t="n">
        <v>45292</v>
      </c>
      <c r="D797" t="inlineStr">
        <is>
          <t>VÄSTERBOTTENS LÄN</t>
        </is>
      </c>
      <c r="E797" t="inlineStr">
        <is>
          <t>SKELLEFTEÅ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38132-2020</t>
        </is>
      </c>
      <c r="B798" s="1" t="n">
        <v>44059</v>
      </c>
      <c r="C798" s="1" t="n">
        <v>45292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38119-2020</t>
        </is>
      </c>
      <c r="B799" s="1" t="n">
        <v>44059</v>
      </c>
      <c r="C799" s="1" t="n">
        <v>45292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38187-2020</t>
        </is>
      </c>
      <c r="B800" s="1" t="n">
        <v>44060</v>
      </c>
      <c r="C800" s="1" t="n">
        <v>45292</v>
      </c>
      <c r="D800" t="inlineStr">
        <is>
          <t>VÄSTERBOTTENS LÄN</t>
        </is>
      </c>
      <c r="E800" t="inlineStr">
        <is>
          <t>SKELLEFTEÅ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38192-2020</t>
        </is>
      </c>
      <c r="B801" s="1" t="n">
        <v>44060</v>
      </c>
      <c r="C801" s="1" t="n">
        <v>45292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39268-2020</t>
        </is>
      </c>
      <c r="B802" s="1" t="n">
        <v>44063</v>
      </c>
      <c r="C802" s="1" t="n">
        <v>45292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39992-2020</t>
        </is>
      </c>
      <c r="B803" s="1" t="n">
        <v>44067</v>
      </c>
      <c r="C803" s="1" t="n">
        <v>45292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40196-2020</t>
        </is>
      </c>
      <c r="B804" s="1" t="n">
        <v>44068</v>
      </c>
      <c r="C804" s="1" t="n">
        <v>45292</v>
      </c>
      <c r="D804" t="inlineStr">
        <is>
          <t>VÄSTERBOTTENS LÄN</t>
        </is>
      </c>
      <c r="E804" t="inlineStr">
        <is>
          <t>SKELLEFTEÅ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40277-2020</t>
        </is>
      </c>
      <c r="B805" s="1" t="n">
        <v>44068</v>
      </c>
      <c r="C805" s="1" t="n">
        <v>45292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40860-2020</t>
        </is>
      </c>
      <c r="B806" s="1" t="n">
        <v>44068</v>
      </c>
      <c r="C806" s="1" t="n">
        <v>45292</v>
      </c>
      <c r="D806" t="inlineStr">
        <is>
          <t>VÄSTERBOTTENS LÄN</t>
        </is>
      </c>
      <c r="E806" t="inlineStr">
        <is>
          <t>SKELLEFTEÅ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41005-2020</t>
        </is>
      </c>
      <c r="B807" s="1" t="n">
        <v>44068</v>
      </c>
      <c r="C807" s="1" t="n">
        <v>45292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40469-2020</t>
        </is>
      </c>
      <c r="B808" s="1" t="n">
        <v>44069</v>
      </c>
      <c r="C808" s="1" t="n">
        <v>45292</v>
      </c>
      <c r="D808" t="inlineStr">
        <is>
          <t>VÄSTERBOTTENS LÄN</t>
        </is>
      </c>
      <c r="E808" t="inlineStr">
        <is>
          <t>SKELLEFTEÅ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40566-2020</t>
        </is>
      </c>
      <c r="B809" s="1" t="n">
        <v>44069</v>
      </c>
      <c r="C809" s="1" t="n">
        <v>45292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40756-2020</t>
        </is>
      </c>
      <c r="B810" s="1" t="n">
        <v>44069</v>
      </c>
      <c r="C810" s="1" t="n">
        <v>45292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40828-2020</t>
        </is>
      </c>
      <c r="B811" s="1" t="n">
        <v>44070</v>
      </c>
      <c r="C811" s="1" t="n">
        <v>45292</v>
      </c>
      <c r="D811" t="inlineStr">
        <is>
          <t>VÄSTERBOTTENS LÄN</t>
        </is>
      </c>
      <c r="E811" t="inlineStr">
        <is>
          <t>SKELLEFTEÅ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41372-2020</t>
        </is>
      </c>
      <c r="B812" s="1" t="n">
        <v>44071</v>
      </c>
      <c r="C812" s="1" t="n">
        <v>45292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42123-2020</t>
        </is>
      </c>
      <c r="B813" s="1" t="n">
        <v>44071</v>
      </c>
      <c r="C813" s="1" t="n">
        <v>45292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41428-2020</t>
        </is>
      </c>
      <c r="B814" s="1" t="n">
        <v>44073</v>
      </c>
      <c r="C814" s="1" t="n">
        <v>45292</v>
      </c>
      <c r="D814" t="inlineStr">
        <is>
          <t>VÄSTERBOTTENS LÄN</t>
        </is>
      </c>
      <c r="E814" t="inlineStr">
        <is>
          <t>SKELLEFTEÅ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41841-2020</t>
        </is>
      </c>
      <c r="B815" s="1" t="n">
        <v>44074</v>
      </c>
      <c r="C815" s="1" t="n">
        <v>45292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42049-2020</t>
        </is>
      </c>
      <c r="B816" s="1" t="n">
        <v>44074</v>
      </c>
      <c r="C816" s="1" t="n">
        <v>45292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41989-2020</t>
        </is>
      </c>
      <c r="B817" s="1" t="n">
        <v>44075</v>
      </c>
      <c r="C817" s="1" t="n">
        <v>45292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42685-2020</t>
        </is>
      </c>
      <c r="B818" s="1" t="n">
        <v>44075</v>
      </c>
      <c r="C818" s="1" t="n">
        <v>45292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42679-2020</t>
        </is>
      </c>
      <c r="B819" s="1" t="n">
        <v>44075</v>
      </c>
      <c r="C819" s="1" t="n">
        <v>45292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43331-2020</t>
        </is>
      </c>
      <c r="B820" s="1" t="n">
        <v>44076</v>
      </c>
      <c r="C820" s="1" t="n">
        <v>45292</v>
      </c>
      <c r="D820" t="inlineStr">
        <is>
          <t>VÄSTERBOTTENS LÄN</t>
        </is>
      </c>
      <c r="E820" t="inlineStr">
        <is>
          <t>SKELLEFTEÅ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42648-2020</t>
        </is>
      </c>
      <c r="B821" s="1" t="n">
        <v>44077</v>
      </c>
      <c r="C821" s="1" t="n">
        <v>45292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42808-2020</t>
        </is>
      </c>
      <c r="B822" s="1" t="n">
        <v>44078</v>
      </c>
      <c r="C822" s="1" t="n">
        <v>45292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43054-2020</t>
        </is>
      </c>
      <c r="B823" s="1" t="n">
        <v>44078</v>
      </c>
      <c r="C823" s="1" t="n">
        <v>45292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43222-2020</t>
        </is>
      </c>
      <c r="B824" s="1" t="n">
        <v>44081</v>
      </c>
      <c r="C824" s="1" t="n">
        <v>45292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43292-2020</t>
        </is>
      </c>
      <c r="B825" s="1" t="n">
        <v>44081</v>
      </c>
      <c r="C825" s="1" t="n">
        <v>45292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43344-2020</t>
        </is>
      </c>
      <c r="B826" s="1" t="n">
        <v>44081</v>
      </c>
      <c r="C826" s="1" t="n">
        <v>45292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43327-2020</t>
        </is>
      </c>
      <c r="B827" s="1" t="n">
        <v>44081</v>
      </c>
      <c r="C827" s="1" t="n">
        <v>45292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43505-2020</t>
        </is>
      </c>
      <c r="B828" s="1" t="n">
        <v>44082</v>
      </c>
      <c r="C828" s="1" t="n">
        <v>45292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44564-2020</t>
        </is>
      </c>
      <c r="B829" s="1" t="n">
        <v>44082</v>
      </c>
      <c r="C829" s="1" t="n">
        <v>45292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44721-2020</t>
        </is>
      </c>
      <c r="B830" s="1" t="n">
        <v>44082</v>
      </c>
      <c r="C830" s="1" t="n">
        <v>45292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43928-2020</t>
        </is>
      </c>
      <c r="B831" s="1" t="n">
        <v>44083</v>
      </c>
      <c r="C831" s="1" t="n">
        <v>45292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43923-2020</t>
        </is>
      </c>
      <c r="B832" s="1" t="n">
        <v>44083</v>
      </c>
      <c r="C832" s="1" t="n">
        <v>45292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43933-2020</t>
        </is>
      </c>
      <c r="B833" s="1" t="n">
        <v>44083</v>
      </c>
      <c r="C833" s="1" t="n">
        <v>45292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44068-2020</t>
        </is>
      </c>
      <c r="B834" s="1" t="n">
        <v>44083</v>
      </c>
      <c r="C834" s="1" t="n">
        <v>45292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43930-2020</t>
        </is>
      </c>
      <c r="B835" s="1" t="n">
        <v>44083</v>
      </c>
      <c r="C835" s="1" t="n">
        <v>45292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43993-2020</t>
        </is>
      </c>
      <c r="B836" s="1" t="n">
        <v>44083</v>
      </c>
      <c r="C836" s="1" t="n">
        <v>45292</v>
      </c>
      <c r="D836" t="inlineStr">
        <is>
          <t>VÄSTERBOTTENS LÄN</t>
        </is>
      </c>
      <c r="E836" t="inlineStr">
        <is>
          <t>SKELLEFTEÅ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18255-2021</t>
        </is>
      </c>
      <c r="B837" s="1" t="n">
        <v>44083</v>
      </c>
      <c r="C837" s="1" t="n">
        <v>45292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18263-2021</t>
        </is>
      </c>
      <c r="B838" s="1" t="n">
        <v>44083</v>
      </c>
      <c r="C838" s="1" t="n">
        <v>45292</v>
      </c>
      <c r="D838" t="inlineStr">
        <is>
          <t>VÄSTERBOTTENS LÄN</t>
        </is>
      </c>
      <c r="E838" t="inlineStr">
        <is>
          <t>SKELLEFTEÅ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44436-2020</t>
        </is>
      </c>
      <c r="B839" s="1" t="n">
        <v>44084</v>
      </c>
      <c r="C839" s="1" t="n">
        <v>45292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44587-2020</t>
        </is>
      </c>
      <c r="B840" s="1" t="n">
        <v>44085</v>
      </c>
      <c r="C840" s="1" t="n">
        <v>45292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44572-2020</t>
        </is>
      </c>
      <c r="B841" s="1" t="n">
        <v>44085</v>
      </c>
      <c r="C841" s="1" t="n">
        <v>45292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44592-2020</t>
        </is>
      </c>
      <c r="B842" s="1" t="n">
        <v>44085</v>
      </c>
      <c r="C842" s="1" t="n">
        <v>45292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44667-2020</t>
        </is>
      </c>
      <c r="B843" s="1" t="n">
        <v>44085</v>
      </c>
      <c r="C843" s="1" t="n">
        <v>45292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45181-2020</t>
        </is>
      </c>
      <c r="B844" s="1" t="n">
        <v>44088</v>
      </c>
      <c r="C844" s="1" t="n">
        <v>45292</v>
      </c>
      <c r="D844" t="inlineStr">
        <is>
          <t>VÄSTERBOTTENS LÄN</t>
        </is>
      </c>
      <c r="E844" t="inlineStr">
        <is>
          <t>SKELLEFTEÅ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45514-2020</t>
        </is>
      </c>
      <c r="B845" s="1" t="n">
        <v>44089</v>
      </c>
      <c r="C845" s="1" t="n">
        <v>45292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46686-2020</t>
        </is>
      </c>
      <c r="B846" s="1" t="n">
        <v>44089</v>
      </c>
      <c r="C846" s="1" t="n">
        <v>45292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46682-2020</t>
        </is>
      </c>
      <c r="B847" s="1" t="n">
        <v>44089</v>
      </c>
      <c r="C847" s="1" t="n">
        <v>45292</v>
      </c>
      <c r="D847" t="inlineStr">
        <is>
          <t>VÄSTERBOTTENS LÄN</t>
        </is>
      </c>
      <c r="E847" t="inlineStr">
        <is>
          <t>SKELLEFTEÅ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45690-2020</t>
        </is>
      </c>
      <c r="B848" s="1" t="n">
        <v>44090</v>
      </c>
      <c r="C848" s="1" t="n">
        <v>45292</v>
      </c>
      <c r="D848" t="inlineStr">
        <is>
          <t>VÄSTERBOTTENS LÄN</t>
        </is>
      </c>
      <c r="E848" t="inlineStr">
        <is>
          <t>SKELLEFTEÅ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46821-2020</t>
        </is>
      </c>
      <c r="B849" s="1" t="n">
        <v>44090</v>
      </c>
      <c r="C849" s="1" t="n">
        <v>45292</v>
      </c>
      <c r="D849" t="inlineStr">
        <is>
          <t>VÄSTERBOTTENS LÄN</t>
        </is>
      </c>
      <c r="E849" t="inlineStr">
        <is>
          <t>SKELLEFTEÅ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46205-2020</t>
        </is>
      </c>
      <c r="B850" s="1" t="n">
        <v>44092</v>
      </c>
      <c r="C850" s="1" t="n">
        <v>45292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46638-2020</t>
        </is>
      </c>
      <c r="B851" s="1" t="n">
        <v>44095</v>
      </c>
      <c r="C851" s="1" t="n">
        <v>45292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47405-2020</t>
        </is>
      </c>
      <c r="B852" s="1" t="n">
        <v>44095</v>
      </c>
      <c r="C852" s="1" t="n">
        <v>45292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46819-2020</t>
        </is>
      </c>
      <c r="B853" s="1" t="n">
        <v>44096</v>
      </c>
      <c r="C853" s="1" t="n">
        <v>45292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46842-2020</t>
        </is>
      </c>
      <c r="B854" s="1" t="n">
        <v>44096</v>
      </c>
      <c r="C854" s="1" t="n">
        <v>45292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46857-2020</t>
        </is>
      </c>
      <c r="B855" s="1" t="n">
        <v>44096</v>
      </c>
      <c r="C855" s="1" t="n">
        <v>45292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48584-2020</t>
        </is>
      </c>
      <c r="B856" s="1" t="n">
        <v>44098</v>
      </c>
      <c r="C856" s="1" t="n">
        <v>45292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49241-2020</t>
        </is>
      </c>
      <c r="B857" s="1" t="n">
        <v>44102</v>
      </c>
      <c r="C857" s="1" t="n">
        <v>45292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48575-2020</t>
        </is>
      </c>
      <c r="B858" s="1" t="n">
        <v>44103</v>
      </c>
      <c r="C858" s="1" t="n">
        <v>45292</v>
      </c>
      <c r="D858" t="inlineStr">
        <is>
          <t>VÄSTERBOTTENS LÄN</t>
        </is>
      </c>
      <c r="E858" t="inlineStr">
        <is>
          <t>SKELLEFTEÅ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48609-2020</t>
        </is>
      </c>
      <c r="B859" s="1" t="n">
        <v>44103</v>
      </c>
      <c r="C859" s="1" t="n">
        <v>45292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48893-2020</t>
        </is>
      </c>
      <c r="B860" s="1" t="n">
        <v>44104</v>
      </c>
      <c r="C860" s="1" t="n">
        <v>45292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48939-2020</t>
        </is>
      </c>
      <c r="B861" s="1" t="n">
        <v>44104</v>
      </c>
      <c r="C861" s="1" t="n">
        <v>45292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49986-2020</t>
        </is>
      </c>
      <c r="B862" s="1" t="n">
        <v>44104</v>
      </c>
      <c r="C862" s="1" t="n">
        <v>45292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49236-2020</t>
        </is>
      </c>
      <c r="B863" s="1" t="n">
        <v>44105</v>
      </c>
      <c r="C863" s="1" t="n">
        <v>45292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49183-2020</t>
        </is>
      </c>
      <c r="B864" s="1" t="n">
        <v>44105</v>
      </c>
      <c r="C864" s="1" t="n">
        <v>45292</v>
      </c>
      <c r="D864" t="inlineStr">
        <is>
          <t>VÄSTERBOTTENS LÄN</t>
        </is>
      </c>
      <c r="E864" t="inlineStr">
        <is>
          <t>SKELLEFTEÅ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51654-2020</t>
        </is>
      </c>
      <c r="B865" s="1" t="n">
        <v>44109</v>
      </c>
      <c r="C865" s="1" t="n">
        <v>45292</v>
      </c>
      <c r="D865" t="inlineStr">
        <is>
          <t>VÄSTERBOTTENS LÄN</t>
        </is>
      </c>
      <c r="E865" t="inlineStr">
        <is>
          <t>SKELLEFTEÅ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50275-2020</t>
        </is>
      </c>
      <c r="B866" s="1" t="n">
        <v>44109</v>
      </c>
      <c r="C866" s="1" t="n">
        <v>45292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49952-2020</t>
        </is>
      </c>
      <c r="B867" s="1" t="n">
        <v>44109</v>
      </c>
      <c r="C867" s="1" t="n">
        <v>45292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49974-2020</t>
        </is>
      </c>
      <c r="B868" s="1" t="n">
        <v>44109</v>
      </c>
      <c r="C868" s="1" t="n">
        <v>45292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52119-2020</t>
        </is>
      </c>
      <c r="B869" s="1" t="n">
        <v>44110</v>
      </c>
      <c r="C869" s="1" t="n">
        <v>45292</v>
      </c>
      <c r="D869" t="inlineStr">
        <is>
          <t>VÄSTERBOTTENS LÄN</t>
        </is>
      </c>
      <c r="E869" t="inlineStr">
        <is>
          <t>SKELLEFTEÅ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50431-2020</t>
        </is>
      </c>
      <c r="B870" s="1" t="n">
        <v>44110</v>
      </c>
      <c r="C870" s="1" t="n">
        <v>45292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50701-2020</t>
        </is>
      </c>
      <c r="B871" s="1" t="n">
        <v>44111</v>
      </c>
      <c r="C871" s="1" t="n">
        <v>45292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51283-2020</t>
        </is>
      </c>
      <c r="B872" s="1" t="n">
        <v>44112</v>
      </c>
      <c r="C872" s="1" t="n">
        <v>45292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51547-2020</t>
        </is>
      </c>
      <c r="B873" s="1" t="n">
        <v>44113</v>
      </c>
      <c r="C873" s="1" t="n">
        <v>45292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51536-2020</t>
        </is>
      </c>
      <c r="B874" s="1" t="n">
        <v>44113</v>
      </c>
      <c r="C874" s="1" t="n">
        <v>45292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51565-2020</t>
        </is>
      </c>
      <c r="B875" s="1" t="n">
        <v>44113</v>
      </c>
      <c r="C875" s="1" t="n">
        <v>45292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51530-2020</t>
        </is>
      </c>
      <c r="B876" s="1" t="n">
        <v>44113</v>
      </c>
      <c r="C876" s="1" t="n">
        <v>45292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51907-2020</t>
        </is>
      </c>
      <c r="B877" s="1" t="n">
        <v>44116</v>
      </c>
      <c r="C877" s="1" t="n">
        <v>45292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52292-2020</t>
        </is>
      </c>
      <c r="B878" s="1" t="n">
        <v>44117</v>
      </c>
      <c r="C878" s="1" t="n">
        <v>45292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52640-2020</t>
        </is>
      </c>
      <c r="B879" s="1" t="n">
        <v>44118</v>
      </c>
      <c r="C879" s="1" t="n">
        <v>45292</v>
      </c>
      <c r="D879" t="inlineStr">
        <is>
          <t>VÄSTERBOTTENS LÄN</t>
        </is>
      </c>
      <c r="E879" t="inlineStr">
        <is>
          <t>SKELLEFTEÅ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52714-2020</t>
        </is>
      </c>
      <c r="B880" s="1" t="n">
        <v>44119</v>
      </c>
      <c r="C880" s="1" t="n">
        <v>45292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53114-2020</t>
        </is>
      </c>
      <c r="B881" s="1" t="n">
        <v>44120</v>
      </c>
      <c r="C881" s="1" t="n">
        <v>45292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53373-2020</t>
        </is>
      </c>
      <c r="B882" s="1" t="n">
        <v>44123</v>
      </c>
      <c r="C882" s="1" t="n">
        <v>45292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54356-2020</t>
        </is>
      </c>
      <c r="B883" s="1" t="n">
        <v>44125</v>
      </c>
      <c r="C883" s="1" t="n">
        <v>45292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54850-2020</t>
        </is>
      </c>
      <c r="B884" s="1" t="n">
        <v>44126</v>
      </c>
      <c r="C884" s="1" t="n">
        <v>45292</v>
      </c>
      <c r="D884" t="inlineStr">
        <is>
          <t>VÄSTERBOTTENS LÄN</t>
        </is>
      </c>
      <c r="E884" t="inlineStr">
        <is>
          <t>SKELLEFTEÅ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54872-2020</t>
        </is>
      </c>
      <c r="B885" s="1" t="n">
        <v>44126</v>
      </c>
      <c r="C885" s="1" t="n">
        <v>45292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54662-2020</t>
        </is>
      </c>
      <c r="B886" s="1" t="n">
        <v>44127</v>
      </c>
      <c r="C886" s="1" t="n">
        <v>45292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54921-2020</t>
        </is>
      </c>
      <c r="B887" s="1" t="n">
        <v>44127</v>
      </c>
      <c r="C887" s="1" t="n">
        <v>45292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54913-2020</t>
        </is>
      </c>
      <c r="B888" s="1" t="n">
        <v>44127</v>
      </c>
      <c r="C888" s="1" t="n">
        <v>45292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54942-2020</t>
        </is>
      </c>
      <c r="B889" s="1" t="n">
        <v>44129</v>
      </c>
      <c r="C889" s="1" t="n">
        <v>45292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55628-2020</t>
        </is>
      </c>
      <c r="B890" s="1" t="n">
        <v>44131</v>
      </c>
      <c r="C890" s="1" t="n">
        <v>45292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55586-2020</t>
        </is>
      </c>
      <c r="B891" s="1" t="n">
        <v>44131</v>
      </c>
      <c r="C891" s="1" t="n">
        <v>45292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55633-2020</t>
        </is>
      </c>
      <c r="B892" s="1" t="n">
        <v>44131</v>
      </c>
      <c r="C892" s="1" t="n">
        <v>45292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55572-2020</t>
        </is>
      </c>
      <c r="B893" s="1" t="n">
        <v>44131</v>
      </c>
      <c r="C893" s="1" t="n">
        <v>45292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55626-2020</t>
        </is>
      </c>
      <c r="B894" s="1" t="n">
        <v>44131</v>
      </c>
      <c r="C894" s="1" t="n">
        <v>45292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56029-2020</t>
        </is>
      </c>
      <c r="B895" s="1" t="n">
        <v>44133</v>
      </c>
      <c r="C895" s="1" t="n">
        <v>45292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56683-2020</t>
        </is>
      </c>
      <c r="B896" s="1" t="n">
        <v>44133</v>
      </c>
      <c r="C896" s="1" t="n">
        <v>45292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56879-2020</t>
        </is>
      </c>
      <c r="B897" s="1" t="n">
        <v>44134</v>
      </c>
      <c r="C897" s="1" t="n">
        <v>45292</v>
      </c>
      <c r="D897" t="inlineStr">
        <is>
          <t>VÄSTERBOTTENS LÄN</t>
        </is>
      </c>
      <c r="E897" t="inlineStr">
        <is>
          <t>SKELLEFTEÅ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56604-2020</t>
        </is>
      </c>
      <c r="B898" s="1" t="n">
        <v>44137</v>
      </c>
      <c r="C898" s="1" t="n">
        <v>45292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56720-2020</t>
        </is>
      </c>
      <c r="B899" s="1" t="n">
        <v>44137</v>
      </c>
      <c r="C899" s="1" t="n">
        <v>45292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56692-2020</t>
        </is>
      </c>
      <c r="B900" s="1" t="n">
        <v>44137</v>
      </c>
      <c r="C900" s="1" t="n">
        <v>45292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56718-2020</t>
        </is>
      </c>
      <c r="B901" s="1" t="n">
        <v>44137</v>
      </c>
      <c r="C901" s="1" t="n">
        <v>45292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56945-2020</t>
        </is>
      </c>
      <c r="B902" s="1" t="n">
        <v>44138</v>
      </c>
      <c r="C902" s="1" t="n">
        <v>45292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57620-2020</t>
        </is>
      </c>
      <c r="B903" s="1" t="n">
        <v>44140</v>
      </c>
      <c r="C903" s="1" t="n">
        <v>45292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57770-2020</t>
        </is>
      </c>
      <c r="B904" s="1" t="n">
        <v>44141</v>
      </c>
      <c r="C904" s="1" t="n">
        <v>45292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58427-2020</t>
        </is>
      </c>
      <c r="B905" s="1" t="n">
        <v>44141</v>
      </c>
      <c r="C905" s="1" t="n">
        <v>45292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58520-2020</t>
        </is>
      </c>
      <c r="B906" s="1" t="n">
        <v>44144</v>
      </c>
      <c r="C906" s="1" t="n">
        <v>45292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58544-2020</t>
        </is>
      </c>
      <c r="B907" s="1" t="n">
        <v>44145</v>
      </c>
      <c r="C907" s="1" t="n">
        <v>45292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58769-2020</t>
        </is>
      </c>
      <c r="B908" s="1" t="n">
        <v>44145</v>
      </c>
      <c r="C908" s="1" t="n">
        <v>45292</v>
      </c>
      <c r="D908" t="inlineStr">
        <is>
          <t>VÄSTERBOTTENS LÄN</t>
        </is>
      </c>
      <c r="E908" t="inlineStr">
        <is>
          <t>SKELLEFTEÅ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58861-2020</t>
        </is>
      </c>
      <c r="B909" s="1" t="n">
        <v>44146</v>
      </c>
      <c r="C909" s="1" t="n">
        <v>45292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59408-2020</t>
        </is>
      </c>
      <c r="B910" s="1" t="n">
        <v>44147</v>
      </c>
      <c r="C910" s="1" t="n">
        <v>45292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59406-2020</t>
        </is>
      </c>
      <c r="B911" s="1" t="n">
        <v>44147</v>
      </c>
      <c r="C911" s="1" t="n">
        <v>45292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59518-2020</t>
        </is>
      </c>
      <c r="B912" s="1" t="n">
        <v>44148</v>
      </c>
      <c r="C912" s="1" t="n">
        <v>45292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59870-2020</t>
        </is>
      </c>
      <c r="B913" s="1" t="n">
        <v>44151</v>
      </c>
      <c r="C913" s="1" t="n">
        <v>45292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60152-2020</t>
        </is>
      </c>
      <c r="B914" s="1" t="n">
        <v>44151</v>
      </c>
      <c r="C914" s="1" t="n">
        <v>45292</v>
      </c>
      <c r="D914" t="inlineStr">
        <is>
          <t>VÄSTERBOTTENS LÄN</t>
        </is>
      </c>
      <c r="E914" t="inlineStr">
        <is>
          <t>SKELLEFTEÅ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60489-2020</t>
        </is>
      </c>
      <c r="B915" s="1" t="n">
        <v>44152</v>
      </c>
      <c r="C915" s="1" t="n">
        <v>45292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61260-2020</t>
        </is>
      </c>
      <c r="B916" s="1" t="n">
        <v>44153</v>
      </c>
      <c r="C916" s="1" t="n">
        <v>45292</v>
      </c>
      <c r="D916" t="inlineStr">
        <is>
          <t>VÄSTERBOTTENS LÄN</t>
        </is>
      </c>
      <c r="E916" t="inlineStr">
        <is>
          <t>SKELLEFTEÅ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61937-2020</t>
        </is>
      </c>
      <c r="B917" s="1" t="n">
        <v>44155</v>
      </c>
      <c r="C917" s="1" t="n">
        <v>45292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61958-2020</t>
        </is>
      </c>
      <c r="B918" s="1" t="n">
        <v>44155</v>
      </c>
      <c r="C918" s="1" t="n">
        <v>45292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62158-2020</t>
        </is>
      </c>
      <c r="B919" s="1" t="n">
        <v>44159</v>
      </c>
      <c r="C919" s="1" t="n">
        <v>45292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62466-2020</t>
        </is>
      </c>
      <c r="B920" s="1" t="n">
        <v>44160</v>
      </c>
      <c r="C920" s="1" t="n">
        <v>45292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62467-2020</t>
        </is>
      </c>
      <c r="B921" s="1" t="n">
        <v>44160</v>
      </c>
      <c r="C921" s="1" t="n">
        <v>45292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62763-2020</t>
        </is>
      </c>
      <c r="B922" s="1" t="n">
        <v>44160</v>
      </c>
      <c r="C922" s="1" t="n">
        <v>45292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62592-2020</t>
        </is>
      </c>
      <c r="B923" s="1" t="n">
        <v>44161</v>
      </c>
      <c r="C923" s="1" t="n">
        <v>45292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63241-2020</t>
        </is>
      </c>
      <c r="B924" s="1" t="n">
        <v>44163</v>
      </c>
      <c r="C924" s="1" t="n">
        <v>45292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63839-2020</t>
        </is>
      </c>
      <c r="B925" s="1" t="n">
        <v>44165</v>
      </c>
      <c r="C925" s="1" t="n">
        <v>45292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64650-2020</t>
        </is>
      </c>
      <c r="B926" s="1" t="n">
        <v>44166</v>
      </c>
      <c r="C926" s="1" t="n">
        <v>45292</v>
      </c>
      <c r="D926" t="inlineStr">
        <is>
          <t>VÄSTERBOTTENS LÄN</t>
        </is>
      </c>
      <c r="E926" t="inlineStr">
        <is>
          <t>SKELLEFTEÅ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64198-2020</t>
        </is>
      </c>
      <c r="B927" s="1" t="n">
        <v>44167</v>
      </c>
      <c r="C927" s="1" t="n">
        <v>45292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64977-2020</t>
        </is>
      </c>
      <c r="B928" s="1" t="n">
        <v>44167</v>
      </c>
      <c r="C928" s="1" t="n">
        <v>45292</v>
      </c>
      <c r="D928" t="inlineStr">
        <is>
          <t>VÄSTERBOTTENS LÄN</t>
        </is>
      </c>
      <c r="E928" t="inlineStr">
        <is>
          <t>SKELLEFTEÅ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65096-2020</t>
        </is>
      </c>
      <c r="B929" s="1" t="n">
        <v>44167</v>
      </c>
      <c r="C929" s="1" t="n">
        <v>45292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65053-2020</t>
        </is>
      </c>
      <c r="B930" s="1" t="n">
        <v>44167</v>
      </c>
      <c r="C930" s="1" t="n">
        <v>45292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65103-2020</t>
        </is>
      </c>
      <c r="B931" s="1" t="n">
        <v>44167</v>
      </c>
      <c r="C931" s="1" t="n">
        <v>45292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64296-2020</t>
        </is>
      </c>
      <c r="B932" s="1" t="n">
        <v>44168</v>
      </c>
      <c r="C932" s="1" t="n">
        <v>45292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64481-2020</t>
        </is>
      </c>
      <c r="B933" s="1" t="n">
        <v>44168</v>
      </c>
      <c r="C933" s="1" t="n">
        <v>45292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64507-2020</t>
        </is>
      </c>
      <c r="B934" s="1" t="n">
        <v>44168</v>
      </c>
      <c r="C934" s="1" t="n">
        <v>45292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64485-2020</t>
        </is>
      </c>
      <c r="B935" s="1" t="n">
        <v>44168</v>
      </c>
      <c r="C935" s="1" t="n">
        <v>45292</v>
      </c>
      <c r="D935" t="inlineStr">
        <is>
          <t>VÄSTERBOTTENS LÄN</t>
        </is>
      </c>
      <c r="E935" t="inlineStr">
        <is>
          <t>SKELLEFTEÅ</t>
        </is>
      </c>
      <c r="G935" t="n">
        <v>35.4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65254-2020</t>
        </is>
      </c>
      <c r="B936" s="1" t="n">
        <v>44172</v>
      </c>
      <c r="C936" s="1" t="n">
        <v>45292</v>
      </c>
      <c r="D936" t="inlineStr">
        <is>
          <t>VÄSTERBOTTENS LÄN</t>
        </is>
      </c>
      <c r="E936" t="inlineStr">
        <is>
          <t>SKELLEFTEÅ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65582-2020</t>
        </is>
      </c>
      <c r="B937" s="1" t="n">
        <v>44172</v>
      </c>
      <c r="C937" s="1" t="n">
        <v>45292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65486-2020</t>
        </is>
      </c>
      <c r="B938" s="1" t="n">
        <v>44172</v>
      </c>
      <c r="C938" s="1" t="n">
        <v>45292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65379-2020</t>
        </is>
      </c>
      <c r="B939" s="1" t="n">
        <v>44173</v>
      </c>
      <c r="C939" s="1" t="n">
        <v>45292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65384-2020</t>
        </is>
      </c>
      <c r="B940" s="1" t="n">
        <v>44173</v>
      </c>
      <c r="C940" s="1" t="n">
        <v>45292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65567-2020</t>
        </is>
      </c>
      <c r="B941" s="1" t="n">
        <v>44173</v>
      </c>
      <c r="C941" s="1" t="n">
        <v>45292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65382-2020</t>
        </is>
      </c>
      <c r="B942" s="1" t="n">
        <v>44173</v>
      </c>
      <c r="C942" s="1" t="n">
        <v>45292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66061-2020</t>
        </is>
      </c>
      <c r="B943" s="1" t="n">
        <v>44173</v>
      </c>
      <c r="C943" s="1" t="n">
        <v>45292</v>
      </c>
      <c r="D943" t="inlineStr">
        <is>
          <t>VÄSTERBOTTENS LÄN</t>
        </is>
      </c>
      <c r="E943" t="inlineStr">
        <is>
          <t>SKELLEFTEÅ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66480-2020</t>
        </is>
      </c>
      <c r="B944" s="1" t="n">
        <v>44177</v>
      </c>
      <c r="C944" s="1" t="n">
        <v>45292</v>
      </c>
      <c r="D944" t="inlineStr">
        <is>
          <t>VÄSTERBOTTENS LÄN</t>
        </is>
      </c>
      <c r="E944" t="inlineStr">
        <is>
          <t>SKELLEFTEÅ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66820-2020</t>
        </is>
      </c>
      <c r="B945" s="1" t="n">
        <v>44179</v>
      </c>
      <c r="C945" s="1" t="n">
        <v>45292</v>
      </c>
      <c r="D945" t="inlineStr">
        <is>
          <t>VÄSTERBOTTENS LÄN</t>
        </is>
      </c>
      <c r="E945" t="inlineStr">
        <is>
          <t>SKELLEFTEÅ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67297-2020</t>
        </is>
      </c>
      <c r="B946" s="1" t="n">
        <v>44181</v>
      </c>
      <c r="C946" s="1" t="n">
        <v>45292</v>
      </c>
      <c r="D946" t="inlineStr">
        <is>
          <t>VÄSTERBOTTENS LÄN</t>
        </is>
      </c>
      <c r="E946" t="inlineStr">
        <is>
          <t>SKELLEFTEÅ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67624-2020</t>
        </is>
      </c>
      <c r="B947" s="1" t="n">
        <v>44181</v>
      </c>
      <c r="C947" s="1" t="n">
        <v>45292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21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67678-2020</t>
        </is>
      </c>
      <c r="B948" s="1" t="n">
        <v>44182</v>
      </c>
      <c r="C948" s="1" t="n">
        <v>45292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67976-2020</t>
        </is>
      </c>
      <c r="B949" s="1" t="n">
        <v>44182</v>
      </c>
      <c r="C949" s="1" t="n">
        <v>45292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68116-2020</t>
        </is>
      </c>
      <c r="B950" s="1" t="n">
        <v>44183</v>
      </c>
      <c r="C950" s="1" t="n">
        <v>45292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68203-2020</t>
        </is>
      </c>
      <c r="B951" s="1" t="n">
        <v>44183</v>
      </c>
      <c r="C951" s="1" t="n">
        <v>45292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68055-2020</t>
        </is>
      </c>
      <c r="B952" s="1" t="n">
        <v>44183</v>
      </c>
      <c r="C952" s="1" t="n">
        <v>45292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68564-2020</t>
        </is>
      </c>
      <c r="B953" s="1" t="n">
        <v>44186</v>
      </c>
      <c r="C953" s="1" t="n">
        <v>45292</v>
      </c>
      <c r="D953" t="inlineStr">
        <is>
          <t>VÄSTERBOTTENS LÄN</t>
        </is>
      </c>
      <c r="E953" t="inlineStr">
        <is>
          <t>SKELLEFTEÅ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69583-2020</t>
        </is>
      </c>
      <c r="B954" s="1" t="n">
        <v>44195</v>
      </c>
      <c r="C954" s="1" t="n">
        <v>45292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69585-2020</t>
        </is>
      </c>
      <c r="B955" s="1" t="n">
        <v>44195</v>
      </c>
      <c r="C955" s="1" t="n">
        <v>45292</v>
      </c>
      <c r="D955" t="inlineStr">
        <is>
          <t>VÄSTERBOTTENS LÄN</t>
        </is>
      </c>
      <c r="E955" t="inlineStr">
        <is>
          <t>SKELLEFTEÅ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69581-2020</t>
        </is>
      </c>
      <c r="B956" s="1" t="n">
        <v>44195</v>
      </c>
      <c r="C956" s="1" t="n">
        <v>45292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353-2021</t>
        </is>
      </c>
      <c r="B957" s="1" t="n">
        <v>44201</v>
      </c>
      <c r="C957" s="1" t="n">
        <v>45292</v>
      </c>
      <c r="D957" t="inlineStr">
        <is>
          <t>VÄSTERBOTTENS LÄN</t>
        </is>
      </c>
      <c r="E957" t="inlineStr">
        <is>
          <t>SKELLEFTEÅ</t>
        </is>
      </c>
      <c r="G957" t="n">
        <v>37.7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1076-2021</t>
        </is>
      </c>
      <c r="B958" s="1" t="n">
        <v>44207</v>
      </c>
      <c r="C958" s="1" t="n">
        <v>45292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1149-2021</t>
        </is>
      </c>
      <c r="B959" s="1" t="n">
        <v>44207</v>
      </c>
      <c r="C959" s="1" t="n">
        <v>45292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1140-2021</t>
        </is>
      </c>
      <c r="B960" s="1" t="n">
        <v>44207</v>
      </c>
      <c r="C960" s="1" t="n">
        <v>45292</v>
      </c>
      <c r="D960" t="inlineStr">
        <is>
          <t>VÄSTERBOTTENS LÄN</t>
        </is>
      </c>
      <c r="E960" t="inlineStr">
        <is>
          <t>SKELLEFTEÅ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1891-2021</t>
        </is>
      </c>
      <c r="B961" s="1" t="n">
        <v>44210</v>
      </c>
      <c r="C961" s="1" t="n">
        <v>45292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2575-2021</t>
        </is>
      </c>
      <c r="B962" s="1" t="n">
        <v>44214</v>
      </c>
      <c r="C962" s="1" t="n">
        <v>45292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3031-2021</t>
        </is>
      </c>
      <c r="B963" s="1" t="n">
        <v>44216</v>
      </c>
      <c r="C963" s="1" t="n">
        <v>45292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3844-2021</t>
        </is>
      </c>
      <c r="B964" s="1" t="n">
        <v>44216</v>
      </c>
      <c r="C964" s="1" t="n">
        <v>45292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3951-2021</t>
        </is>
      </c>
      <c r="B965" s="1" t="n">
        <v>44217</v>
      </c>
      <c r="C965" s="1" t="n">
        <v>45292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4202-2021</t>
        </is>
      </c>
      <c r="B966" s="1" t="n">
        <v>44218</v>
      </c>
      <c r="C966" s="1" t="n">
        <v>45292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3575-2021</t>
        </is>
      </c>
      <c r="B967" s="1" t="n">
        <v>44218</v>
      </c>
      <c r="C967" s="1" t="n">
        <v>45292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3934-2021</t>
        </is>
      </c>
      <c r="B968" s="1" t="n">
        <v>44221</v>
      </c>
      <c r="C968" s="1" t="n">
        <v>45292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4299-2021</t>
        </is>
      </c>
      <c r="B969" s="1" t="n">
        <v>44223</v>
      </c>
      <c r="C969" s="1" t="n">
        <v>45292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5095-2021</t>
        </is>
      </c>
      <c r="B970" s="1" t="n">
        <v>44224</v>
      </c>
      <c r="C970" s="1" t="n">
        <v>45292</v>
      </c>
      <c r="D970" t="inlineStr">
        <is>
          <t>VÄSTERBOTTENS LÄN</t>
        </is>
      </c>
      <c r="E970" t="inlineStr">
        <is>
          <t>SKELLEFTEÅ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5143-2021</t>
        </is>
      </c>
      <c r="B971" s="1" t="n">
        <v>44228</v>
      </c>
      <c r="C971" s="1" t="n">
        <v>45292</v>
      </c>
      <c r="D971" t="inlineStr">
        <is>
          <t>VÄSTERBOTTENS LÄN</t>
        </is>
      </c>
      <c r="E971" t="inlineStr">
        <is>
          <t>SKELLEFTEÅ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5603-2021</t>
        </is>
      </c>
      <c r="B972" s="1" t="n">
        <v>44230</v>
      </c>
      <c r="C972" s="1" t="n">
        <v>45292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6356-2021</t>
        </is>
      </c>
      <c r="B973" s="1" t="n">
        <v>44235</v>
      </c>
      <c r="C973" s="1" t="n">
        <v>45292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6557-2021</t>
        </is>
      </c>
      <c r="B974" s="1" t="n">
        <v>44236</v>
      </c>
      <c r="C974" s="1" t="n">
        <v>45292</v>
      </c>
      <c r="D974" t="inlineStr">
        <is>
          <t>VÄSTERBOTTENS LÄN</t>
        </is>
      </c>
      <c r="E974" t="inlineStr">
        <is>
          <t>SKELLEFTEÅ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6635-2021</t>
        </is>
      </c>
      <c r="B975" s="1" t="n">
        <v>44236</v>
      </c>
      <c r="C975" s="1" t="n">
        <v>45292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7038-2021</t>
        </is>
      </c>
      <c r="B976" s="1" t="n">
        <v>44237</v>
      </c>
      <c r="C976" s="1" t="n">
        <v>45292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7034-2021</t>
        </is>
      </c>
      <c r="B977" s="1" t="n">
        <v>44237</v>
      </c>
      <c r="C977" s="1" t="n">
        <v>45292</v>
      </c>
      <c r="D977" t="inlineStr">
        <is>
          <t>VÄSTERBOTTENS LÄN</t>
        </is>
      </c>
      <c r="E977" t="inlineStr">
        <is>
          <t>SKELLEFTEÅ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7823-2021</t>
        </is>
      </c>
      <c r="B978" s="1" t="n">
        <v>44242</v>
      </c>
      <c r="C978" s="1" t="n">
        <v>45292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7950-2021</t>
        </is>
      </c>
      <c r="B979" s="1" t="n">
        <v>44242</v>
      </c>
      <c r="C979" s="1" t="n">
        <v>45292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8644-2021</t>
        </is>
      </c>
      <c r="B980" s="1" t="n">
        <v>44245</v>
      </c>
      <c r="C980" s="1" t="n">
        <v>45292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8648-2021</t>
        </is>
      </c>
      <c r="B981" s="1" t="n">
        <v>44245</v>
      </c>
      <c r="C981" s="1" t="n">
        <v>45292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8911-2021</t>
        </is>
      </c>
      <c r="B982" s="1" t="n">
        <v>44245</v>
      </c>
      <c r="C982" s="1" t="n">
        <v>45292</v>
      </c>
      <c r="D982" t="inlineStr">
        <is>
          <t>VÄSTERBOTTENS LÄN</t>
        </is>
      </c>
      <c r="E982" t="inlineStr">
        <is>
          <t>SKELLEFTEÅ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8652-2021</t>
        </is>
      </c>
      <c r="B983" s="1" t="n">
        <v>44245</v>
      </c>
      <c r="C983" s="1" t="n">
        <v>45292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8846-2021</t>
        </is>
      </c>
      <c r="B984" s="1" t="n">
        <v>44246</v>
      </c>
      <c r="C984" s="1" t="n">
        <v>45292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9081-2021</t>
        </is>
      </c>
      <c r="B985" s="1" t="n">
        <v>44249</v>
      </c>
      <c r="C985" s="1" t="n">
        <v>45292</v>
      </c>
      <c r="D985" t="inlineStr">
        <is>
          <t>VÄSTERBOTTENS LÄN</t>
        </is>
      </c>
      <c r="E985" t="inlineStr">
        <is>
          <t>SKELLEFTEÅ</t>
        </is>
      </c>
      <c r="G985" t="n">
        <v>16.2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9045-2021</t>
        </is>
      </c>
      <c r="B986" s="1" t="n">
        <v>44249</v>
      </c>
      <c r="C986" s="1" t="n">
        <v>45292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9059-2021</t>
        </is>
      </c>
      <c r="B987" s="1" t="n">
        <v>44249</v>
      </c>
      <c r="C987" s="1" t="n">
        <v>45292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9192-2021</t>
        </is>
      </c>
      <c r="B988" s="1" t="n">
        <v>44249</v>
      </c>
      <c r="C988" s="1" t="n">
        <v>45292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9035-2021</t>
        </is>
      </c>
      <c r="B989" s="1" t="n">
        <v>44249</v>
      </c>
      <c r="C989" s="1" t="n">
        <v>45292</v>
      </c>
      <c r="D989" t="inlineStr">
        <is>
          <t>VÄSTERBOTTENS LÄN</t>
        </is>
      </c>
      <c r="E989" t="inlineStr">
        <is>
          <t>SKELLEFTEÅ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9051-2021</t>
        </is>
      </c>
      <c r="B990" s="1" t="n">
        <v>44249</v>
      </c>
      <c r="C990" s="1" t="n">
        <v>45292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9090-2021</t>
        </is>
      </c>
      <c r="B991" s="1" t="n">
        <v>44249</v>
      </c>
      <c r="C991" s="1" t="n">
        <v>45292</v>
      </c>
      <c r="D991" t="inlineStr">
        <is>
          <t>VÄSTERBOTTENS LÄN</t>
        </is>
      </c>
      <c r="E991" t="inlineStr">
        <is>
          <t>SKELLEFTEÅ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10051-2021</t>
        </is>
      </c>
      <c r="B992" s="1" t="n">
        <v>44256</v>
      </c>
      <c r="C992" s="1" t="n">
        <v>45292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10471-2021</t>
        </is>
      </c>
      <c r="B993" s="1" t="n">
        <v>44257</v>
      </c>
      <c r="C993" s="1" t="n">
        <v>45292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11087-2021</t>
        </is>
      </c>
      <c r="B994" s="1" t="n">
        <v>44259</v>
      </c>
      <c r="C994" s="1" t="n">
        <v>45292</v>
      </c>
      <c r="D994" t="inlineStr">
        <is>
          <t>VÄSTERBOTTENS LÄN</t>
        </is>
      </c>
      <c r="E994" t="inlineStr">
        <is>
          <t>SKELLEFTEÅ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11102-2021</t>
        </is>
      </c>
      <c r="B995" s="1" t="n">
        <v>44259</v>
      </c>
      <c r="C995" s="1" t="n">
        <v>45292</v>
      </c>
      <c r="D995" t="inlineStr">
        <is>
          <t>VÄSTERBOTTENS LÄN</t>
        </is>
      </c>
      <c r="E995" t="inlineStr">
        <is>
          <t>SKELLEFTEÅ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11409-2021</t>
        </is>
      </c>
      <c r="B996" s="1" t="n">
        <v>44263</v>
      </c>
      <c r="C996" s="1" t="n">
        <v>45292</v>
      </c>
      <c r="D996" t="inlineStr">
        <is>
          <t>VÄSTERBOTTENS LÄN</t>
        </is>
      </c>
      <c r="E996" t="inlineStr">
        <is>
          <t>SKELLEFTEÅ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11454-2021</t>
        </is>
      </c>
      <c r="B997" s="1" t="n">
        <v>44264</v>
      </c>
      <c r="C997" s="1" t="n">
        <v>45292</v>
      </c>
      <c r="D997" t="inlineStr">
        <is>
          <t>VÄSTERBOTTENS LÄN</t>
        </is>
      </c>
      <c r="E997" t="inlineStr">
        <is>
          <t>SKELLEFTEÅ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11499-2021</t>
        </is>
      </c>
      <c r="B998" s="1" t="n">
        <v>44264</v>
      </c>
      <c r="C998" s="1" t="n">
        <v>45292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12416-2021</t>
        </is>
      </c>
      <c r="B999" s="1" t="n">
        <v>44267</v>
      </c>
      <c r="C999" s="1" t="n">
        <v>45292</v>
      </c>
      <c r="D999" t="inlineStr">
        <is>
          <t>VÄSTERBOTTENS LÄN</t>
        </is>
      </c>
      <c r="E999" t="inlineStr">
        <is>
          <t>SKELLEFTEÅ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12928-2021</t>
        </is>
      </c>
      <c r="B1000" s="1" t="n">
        <v>44270</v>
      </c>
      <c r="C1000" s="1" t="n">
        <v>45292</v>
      </c>
      <c r="D1000" t="inlineStr">
        <is>
          <t>VÄSTERBOTTENS LÄN</t>
        </is>
      </c>
      <c r="E1000" t="inlineStr">
        <is>
          <t>SKELLEFTEÅ</t>
        </is>
      </c>
      <c r="G1000" t="n">
        <v>17.8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13086-2021</t>
        </is>
      </c>
      <c r="B1001" s="1" t="n">
        <v>44271</v>
      </c>
      <c r="C1001" s="1" t="n">
        <v>45292</v>
      </c>
      <c r="D1001" t="inlineStr">
        <is>
          <t>VÄSTERBOTTENS LÄN</t>
        </is>
      </c>
      <c r="E1001" t="inlineStr">
        <is>
          <t>SKELLEFTEÅ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13729-2021</t>
        </is>
      </c>
      <c r="B1002" s="1" t="n">
        <v>44274</v>
      </c>
      <c r="C1002" s="1" t="n">
        <v>45292</v>
      </c>
      <c r="D1002" t="inlineStr">
        <is>
          <t>VÄSTERBOTTENS LÄN</t>
        </is>
      </c>
      <c r="E1002" t="inlineStr">
        <is>
          <t>SKELLEFTEÅ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14850-2021</t>
        </is>
      </c>
      <c r="B1003" s="1" t="n">
        <v>44280</v>
      </c>
      <c r="C1003" s="1" t="n">
        <v>45292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14857-2021</t>
        </is>
      </c>
      <c r="B1004" s="1" t="n">
        <v>44280</v>
      </c>
      <c r="C1004" s="1" t="n">
        <v>45292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14865-2021</t>
        </is>
      </c>
      <c r="B1005" s="1" t="n">
        <v>44280</v>
      </c>
      <c r="C1005" s="1" t="n">
        <v>45292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14851-2021</t>
        </is>
      </c>
      <c r="B1006" s="1" t="n">
        <v>44280</v>
      </c>
      <c r="C1006" s="1" t="n">
        <v>45292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14858-2021</t>
        </is>
      </c>
      <c r="B1007" s="1" t="n">
        <v>44280</v>
      </c>
      <c r="C1007" s="1" t="n">
        <v>45292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14848-2021</t>
        </is>
      </c>
      <c r="B1008" s="1" t="n">
        <v>44280</v>
      </c>
      <c r="C1008" s="1" t="n">
        <v>45292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14853-2021</t>
        </is>
      </c>
      <c r="B1009" s="1" t="n">
        <v>44280</v>
      </c>
      <c r="C1009" s="1" t="n">
        <v>45292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15108-2021</t>
        </is>
      </c>
      <c r="B1010" s="1" t="n">
        <v>44281</v>
      </c>
      <c r="C1010" s="1" t="n">
        <v>45292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15109-2021</t>
        </is>
      </c>
      <c r="B1011" s="1" t="n">
        <v>44281</v>
      </c>
      <c r="C1011" s="1" t="n">
        <v>45292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15459-2021</t>
        </is>
      </c>
      <c r="B1012" s="1" t="n">
        <v>44284</v>
      </c>
      <c r="C1012" s="1" t="n">
        <v>45292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18073-2021</t>
        </is>
      </c>
      <c r="B1013" s="1" t="n">
        <v>44302</v>
      </c>
      <c r="C1013" s="1" t="n">
        <v>45292</v>
      </c>
      <c r="D1013" t="inlineStr">
        <is>
          <t>VÄSTERBOTTENS LÄN</t>
        </is>
      </c>
      <c r="E1013" t="inlineStr">
        <is>
          <t>SKELLEFTEÅ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18101-2021</t>
        </is>
      </c>
      <c r="B1014" s="1" t="n">
        <v>44302</v>
      </c>
      <c r="C1014" s="1" t="n">
        <v>45292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18182-2021</t>
        </is>
      </c>
      <c r="B1015" s="1" t="n">
        <v>44302</v>
      </c>
      <c r="C1015" s="1" t="n">
        <v>45292</v>
      </c>
      <c r="D1015" t="inlineStr">
        <is>
          <t>VÄSTERBOTTENS LÄN</t>
        </is>
      </c>
      <c r="E1015" t="inlineStr">
        <is>
          <t>SKELLEFTEÅ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18183-2021</t>
        </is>
      </c>
      <c r="B1016" s="1" t="n">
        <v>44302</v>
      </c>
      <c r="C1016" s="1" t="n">
        <v>45292</v>
      </c>
      <c r="D1016" t="inlineStr">
        <is>
          <t>VÄSTERBOTTENS LÄN</t>
        </is>
      </c>
      <c r="E1016" t="inlineStr">
        <is>
          <t>SKELLEFTEÅ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18104-2021</t>
        </is>
      </c>
      <c r="B1017" s="1" t="n">
        <v>44302</v>
      </c>
      <c r="C1017" s="1" t="n">
        <v>45292</v>
      </c>
      <c r="D1017" t="inlineStr">
        <is>
          <t>VÄSTERBOTTENS LÄN</t>
        </is>
      </c>
      <c r="E1017" t="inlineStr">
        <is>
          <t>SKELLEFTEÅ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18216-2021</t>
        </is>
      </c>
      <c r="B1018" s="1" t="n">
        <v>44303</v>
      </c>
      <c r="C1018" s="1" t="n">
        <v>45292</v>
      </c>
      <c r="D1018" t="inlineStr">
        <is>
          <t>VÄSTERBOTTENS LÄN</t>
        </is>
      </c>
      <c r="E1018" t="inlineStr">
        <is>
          <t>SKELLEFTEÅ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18353-2021</t>
        </is>
      </c>
      <c r="B1019" s="1" t="n">
        <v>44305</v>
      </c>
      <c r="C1019" s="1" t="n">
        <v>45292</v>
      </c>
      <c r="D1019" t="inlineStr">
        <is>
          <t>VÄSTERBOTTENS LÄN</t>
        </is>
      </c>
      <c r="E1019" t="inlineStr">
        <is>
          <t>SKELLEFTEÅ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19538-2021</t>
        </is>
      </c>
      <c r="B1020" s="1" t="n">
        <v>44309</v>
      </c>
      <c r="C1020" s="1" t="n">
        <v>45292</v>
      </c>
      <c r="D1020" t="inlineStr">
        <is>
          <t>VÄSTERBOTTENS LÄN</t>
        </is>
      </c>
      <c r="E1020" t="inlineStr">
        <is>
          <t>SKELLEFTEÅ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19748-2021</t>
        </is>
      </c>
      <c r="B1021" s="1" t="n">
        <v>44312</v>
      </c>
      <c r="C1021" s="1" t="n">
        <v>45292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19679-2021</t>
        </is>
      </c>
      <c r="B1022" s="1" t="n">
        <v>44312</v>
      </c>
      <c r="C1022" s="1" t="n">
        <v>45292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20051-2021</t>
        </is>
      </c>
      <c r="B1023" s="1" t="n">
        <v>44313</v>
      </c>
      <c r="C1023" s="1" t="n">
        <v>45292</v>
      </c>
      <c r="D1023" t="inlineStr">
        <is>
          <t>VÄSTERBOTTENS LÄN</t>
        </is>
      </c>
      <c r="E1023" t="inlineStr">
        <is>
          <t>SKELLEFTEÅ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20046-2021</t>
        </is>
      </c>
      <c r="B1024" s="1" t="n">
        <v>44313</v>
      </c>
      <c r="C1024" s="1" t="n">
        <v>45292</v>
      </c>
      <c r="D1024" t="inlineStr">
        <is>
          <t>VÄSTERBOTTENS LÄN</t>
        </is>
      </c>
      <c r="E1024" t="inlineStr">
        <is>
          <t>SKELLEFTEÅ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20381-2021</t>
        </is>
      </c>
      <c r="B1025" s="1" t="n">
        <v>44314</v>
      </c>
      <c r="C1025" s="1" t="n">
        <v>45292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20856-2021</t>
        </is>
      </c>
      <c r="B1026" s="1" t="n">
        <v>44319</v>
      </c>
      <c r="C1026" s="1" t="n">
        <v>45292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24606-2021</t>
        </is>
      </c>
      <c r="B1027" s="1" t="n">
        <v>44319</v>
      </c>
      <c r="C1027" s="1" t="n">
        <v>45292</v>
      </c>
      <c r="D1027" t="inlineStr">
        <is>
          <t>VÄSTERBOTTENS LÄN</t>
        </is>
      </c>
      <c r="E1027" t="inlineStr">
        <is>
          <t>SKELLEFTEÅ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21265-2021</t>
        </is>
      </c>
      <c r="B1028" s="1" t="n">
        <v>44320</v>
      </c>
      <c r="C1028" s="1" t="n">
        <v>45292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22067-2021</t>
        </is>
      </c>
      <c r="B1029" s="1" t="n">
        <v>44322</v>
      </c>
      <c r="C1029" s="1" t="n">
        <v>45292</v>
      </c>
      <c r="D1029" t="inlineStr">
        <is>
          <t>VÄSTERBOTTENS LÄN</t>
        </is>
      </c>
      <c r="E1029" t="inlineStr">
        <is>
          <t>SKELLEFTEÅ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22568-2021</t>
        </is>
      </c>
      <c r="B1030" s="1" t="n">
        <v>44322</v>
      </c>
      <c r="C1030" s="1" t="n">
        <v>45292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22626-2021</t>
        </is>
      </c>
      <c r="B1031" s="1" t="n">
        <v>44326</v>
      </c>
      <c r="C1031" s="1" t="n">
        <v>45292</v>
      </c>
      <c r="D1031" t="inlineStr">
        <is>
          <t>VÄSTERBOTTENS LÄN</t>
        </is>
      </c>
      <c r="E1031" t="inlineStr">
        <is>
          <t>SKELLEFTEÅ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23132-2021</t>
        </is>
      </c>
      <c r="B1032" s="1" t="n">
        <v>44331</v>
      </c>
      <c r="C1032" s="1" t="n">
        <v>45292</v>
      </c>
      <c r="D1032" t="inlineStr">
        <is>
          <t>VÄSTERBOTTENS LÄN</t>
        </is>
      </c>
      <c r="E1032" t="inlineStr">
        <is>
          <t>SKELLEFTEÅ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23408-2021</t>
        </is>
      </c>
      <c r="B1033" s="1" t="n">
        <v>44333</v>
      </c>
      <c r="C1033" s="1" t="n">
        <v>45292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23801-2021</t>
        </is>
      </c>
      <c r="B1034" s="1" t="n">
        <v>44334</v>
      </c>
      <c r="C1034" s="1" t="n">
        <v>45292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23885-2021</t>
        </is>
      </c>
      <c r="B1035" s="1" t="n">
        <v>44335</v>
      </c>
      <c r="C1035" s="1" t="n">
        <v>45292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24238-2021</t>
        </is>
      </c>
      <c r="B1036" s="1" t="n">
        <v>44337</v>
      </c>
      <c r="C1036" s="1" t="n">
        <v>45292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24303-2021</t>
        </is>
      </c>
      <c r="B1037" s="1" t="n">
        <v>44337</v>
      </c>
      <c r="C1037" s="1" t="n">
        <v>45292</v>
      </c>
      <c r="D1037" t="inlineStr">
        <is>
          <t>VÄSTERBOTTENS LÄN</t>
        </is>
      </c>
      <c r="E1037" t="inlineStr">
        <is>
          <t>SKELLEFTEÅ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24653-2021</t>
        </is>
      </c>
      <c r="B1038" s="1" t="n">
        <v>44340</v>
      </c>
      <c r="C1038" s="1" t="n">
        <v>45292</v>
      </c>
      <c r="D1038" t="inlineStr">
        <is>
          <t>VÄSTERBOTTENS LÄN</t>
        </is>
      </c>
      <c r="E1038" t="inlineStr">
        <is>
          <t>SKELLEFTEÅ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25513-2021</t>
        </is>
      </c>
      <c r="B1039" s="1" t="n">
        <v>44343</v>
      </c>
      <c r="C1039" s="1" t="n">
        <v>45292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25512-2021</t>
        </is>
      </c>
      <c r="B1040" s="1" t="n">
        <v>44342</v>
      </c>
      <c r="C1040" s="1" t="n">
        <v>45292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25515-2021</t>
        </is>
      </c>
      <c r="B1041" s="1" t="n">
        <v>44343</v>
      </c>
      <c r="C1041" s="1" t="n">
        <v>45292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25520-2021</t>
        </is>
      </c>
      <c r="B1042" s="1" t="n">
        <v>44343</v>
      </c>
      <c r="C1042" s="1" t="n">
        <v>45292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25473-2021</t>
        </is>
      </c>
      <c r="B1043" s="1" t="n">
        <v>44342</v>
      </c>
      <c r="C1043" s="1" t="n">
        <v>45292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25491-2021</t>
        </is>
      </c>
      <c r="B1044" s="1" t="n">
        <v>44342</v>
      </c>
      <c r="C1044" s="1" t="n">
        <v>45292</v>
      </c>
      <c r="D1044" t="inlineStr">
        <is>
          <t>VÄSTERBOTTENS LÄN</t>
        </is>
      </c>
      <c r="E1044" t="inlineStr">
        <is>
          <t>SKELLEFTEÅ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26129-2021</t>
        </is>
      </c>
      <c r="B1045" s="1" t="n">
        <v>44346</v>
      </c>
      <c r="C1045" s="1" t="n">
        <v>45292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26130-2021</t>
        </is>
      </c>
      <c r="B1046" s="1" t="n">
        <v>44346</v>
      </c>
      <c r="C1046" s="1" t="n">
        <v>45292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26473-2021</t>
        </is>
      </c>
      <c r="B1047" s="1" t="n">
        <v>44348</v>
      </c>
      <c r="C1047" s="1" t="n">
        <v>45292</v>
      </c>
      <c r="D1047" t="inlineStr">
        <is>
          <t>VÄSTERBOTTENS LÄN</t>
        </is>
      </c>
      <c r="E1047" t="inlineStr">
        <is>
          <t>SKELLEFTEÅ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26599-2021</t>
        </is>
      </c>
      <c r="B1048" s="1" t="n">
        <v>44348</v>
      </c>
      <c r="C1048" s="1" t="n">
        <v>45292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26858-2021</t>
        </is>
      </c>
      <c r="B1049" s="1" t="n">
        <v>44349</v>
      </c>
      <c r="C1049" s="1" t="n">
        <v>45292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26957-2021</t>
        </is>
      </c>
      <c r="B1050" s="1" t="n">
        <v>44350</v>
      </c>
      <c r="C1050" s="1" t="n">
        <v>45292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26975-2021</t>
        </is>
      </c>
      <c r="B1051" s="1" t="n">
        <v>44350</v>
      </c>
      <c r="C1051" s="1" t="n">
        <v>45292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27444-2021</t>
        </is>
      </c>
      <c r="B1052" s="1" t="n">
        <v>44351</v>
      </c>
      <c r="C1052" s="1" t="n">
        <v>45292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27698-2021</t>
        </is>
      </c>
      <c r="B1053" s="1" t="n">
        <v>44354</v>
      </c>
      <c r="C1053" s="1" t="n">
        <v>45292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27643-2021</t>
        </is>
      </c>
      <c r="B1054" s="1" t="n">
        <v>44354</v>
      </c>
      <c r="C1054" s="1" t="n">
        <v>45292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27774-2021</t>
        </is>
      </c>
      <c r="B1055" s="1" t="n">
        <v>44354</v>
      </c>
      <c r="C1055" s="1" t="n">
        <v>45292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28121-2021</t>
        </is>
      </c>
      <c r="B1056" s="1" t="n">
        <v>44355</v>
      </c>
      <c r="C1056" s="1" t="n">
        <v>45292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28191-2021</t>
        </is>
      </c>
      <c r="B1057" s="1" t="n">
        <v>44355</v>
      </c>
      <c r="C1057" s="1" t="n">
        <v>45292</v>
      </c>
      <c r="D1057" t="inlineStr">
        <is>
          <t>VÄSTERBOTTENS LÄN</t>
        </is>
      </c>
      <c r="E1057" t="inlineStr">
        <is>
          <t>SKELLEFTEÅ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28196-2021</t>
        </is>
      </c>
      <c r="B1058" s="1" t="n">
        <v>44355</v>
      </c>
      <c r="C1058" s="1" t="n">
        <v>45292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45292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28291-2021</t>
        </is>
      </c>
      <c r="B1060" s="1" t="n">
        <v>44356</v>
      </c>
      <c r="C1060" s="1" t="n">
        <v>45292</v>
      </c>
      <c r="D1060" t="inlineStr">
        <is>
          <t>VÄSTERBOTTENS LÄN</t>
        </is>
      </c>
      <c r="E1060" t="inlineStr">
        <is>
          <t>SKELLEFTEÅ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28525-2021</t>
        </is>
      </c>
      <c r="B1061" s="1" t="n">
        <v>44356</v>
      </c>
      <c r="C1061" s="1" t="n">
        <v>45292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28666-2021</t>
        </is>
      </c>
      <c r="B1062" s="1" t="n">
        <v>44357</v>
      </c>
      <c r="C1062" s="1" t="n">
        <v>45292</v>
      </c>
      <c r="D1062" t="inlineStr">
        <is>
          <t>VÄSTERBOTTENS LÄN</t>
        </is>
      </c>
      <c r="E1062" t="inlineStr">
        <is>
          <t>SKELLEFTEÅ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28822-2021</t>
        </is>
      </c>
      <c r="B1063" s="1" t="n">
        <v>44357</v>
      </c>
      <c r="C1063" s="1" t="n">
        <v>45292</v>
      </c>
      <c r="D1063" t="inlineStr">
        <is>
          <t>VÄSTERBOTTENS LÄN</t>
        </is>
      </c>
      <c r="E1063" t="inlineStr">
        <is>
          <t>SKELLEFTEÅ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29115-2021</t>
        </is>
      </c>
      <c r="B1064" s="1" t="n">
        <v>44358</v>
      </c>
      <c r="C1064" s="1" t="n">
        <v>45292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28959-2021</t>
        </is>
      </c>
      <c r="B1065" s="1" t="n">
        <v>44358</v>
      </c>
      <c r="C1065" s="1" t="n">
        <v>45292</v>
      </c>
      <c r="D1065" t="inlineStr">
        <is>
          <t>VÄSTERBOTTENS LÄN</t>
        </is>
      </c>
      <c r="E1065" t="inlineStr">
        <is>
          <t>SKELLEFTEÅ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29319-2021</t>
        </is>
      </c>
      <c r="B1066" s="1" t="n">
        <v>44361</v>
      </c>
      <c r="C1066" s="1" t="n">
        <v>45292</v>
      </c>
      <c r="D1066" t="inlineStr">
        <is>
          <t>VÄSTERBOTTENS LÄN</t>
        </is>
      </c>
      <c r="E1066" t="inlineStr">
        <is>
          <t>SKELLEFTEÅ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29276-2021</t>
        </is>
      </c>
      <c r="B1067" s="1" t="n">
        <v>44361</v>
      </c>
      <c r="C1067" s="1" t="n">
        <v>45292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29407-2021</t>
        </is>
      </c>
      <c r="B1068" s="1" t="n">
        <v>44361</v>
      </c>
      <c r="C1068" s="1" t="n">
        <v>45292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29687-2021</t>
        </is>
      </c>
      <c r="B1069" s="1" t="n">
        <v>44362</v>
      </c>
      <c r="C1069" s="1" t="n">
        <v>45292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29649-2021</t>
        </is>
      </c>
      <c r="B1070" s="1" t="n">
        <v>44362</v>
      </c>
      <c r="C1070" s="1" t="n">
        <v>45292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29731-2021</t>
        </is>
      </c>
      <c r="B1071" s="1" t="n">
        <v>44362</v>
      </c>
      <c r="C1071" s="1" t="n">
        <v>45292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30086-2021</t>
        </is>
      </c>
      <c r="B1072" s="1" t="n">
        <v>44363</v>
      </c>
      <c r="C1072" s="1" t="n">
        <v>45292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30194-2021</t>
        </is>
      </c>
      <c r="B1073" s="1" t="n">
        <v>44363</v>
      </c>
      <c r="C1073" s="1" t="n">
        <v>45292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30449-2021</t>
        </is>
      </c>
      <c r="B1074" s="1" t="n">
        <v>44364</v>
      </c>
      <c r="C1074" s="1" t="n">
        <v>45292</v>
      </c>
      <c r="D1074" t="inlineStr">
        <is>
          <t>VÄSTERBOTTENS LÄN</t>
        </is>
      </c>
      <c r="E1074" t="inlineStr">
        <is>
          <t>SKELLEFTEÅ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30332-2021</t>
        </is>
      </c>
      <c r="B1075" s="1" t="n">
        <v>44364</v>
      </c>
      <c r="C1075" s="1" t="n">
        <v>45292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30744-2021</t>
        </is>
      </c>
      <c r="B1076" s="1" t="n">
        <v>44365</v>
      </c>
      <c r="C1076" s="1" t="n">
        <v>45292</v>
      </c>
      <c r="D1076" t="inlineStr">
        <is>
          <t>VÄSTERBOTTENS LÄN</t>
        </is>
      </c>
      <c r="E1076" t="inlineStr">
        <is>
          <t>SKELLEFTEÅ</t>
        </is>
      </c>
      <c r="G1076" t="n">
        <v>38.3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30719-2021</t>
        </is>
      </c>
      <c r="B1077" s="1" t="n">
        <v>44365</v>
      </c>
      <c r="C1077" s="1" t="n">
        <v>45292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30704-2021</t>
        </is>
      </c>
      <c r="B1078" s="1" t="n">
        <v>44365</v>
      </c>
      <c r="C1078" s="1" t="n">
        <v>45292</v>
      </c>
      <c r="D1078" t="inlineStr">
        <is>
          <t>VÄSTERBOTTENS LÄN</t>
        </is>
      </c>
      <c r="E1078" t="inlineStr">
        <is>
          <t>SKELLEFTEÅ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30754-2021</t>
        </is>
      </c>
      <c r="B1079" s="1" t="n">
        <v>44365</v>
      </c>
      <c r="C1079" s="1" t="n">
        <v>45292</v>
      </c>
      <c r="D1079" t="inlineStr">
        <is>
          <t>VÄSTERBOTTENS LÄN</t>
        </is>
      </c>
      <c r="E1079" t="inlineStr">
        <is>
          <t>SKELLEFTEÅ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30870-2021</t>
        </is>
      </c>
      <c r="B1080" s="1" t="n">
        <v>44365</v>
      </c>
      <c r="C1080" s="1" t="n">
        <v>45292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30959-2021</t>
        </is>
      </c>
      <c r="B1081" s="1" t="n">
        <v>44365</v>
      </c>
      <c r="C1081" s="1" t="n">
        <v>45292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31185-2021</t>
        </is>
      </c>
      <c r="B1082" s="1" t="n">
        <v>44367</v>
      </c>
      <c r="C1082" s="1" t="n">
        <v>45292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31186-2021</t>
        </is>
      </c>
      <c r="B1083" s="1" t="n">
        <v>44368</v>
      </c>
      <c r="C1083" s="1" t="n">
        <v>45292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31181-2021</t>
        </is>
      </c>
      <c r="B1084" s="1" t="n">
        <v>44368</v>
      </c>
      <c r="C1084" s="1" t="n">
        <v>45292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31197-2021</t>
        </is>
      </c>
      <c r="B1085" s="1" t="n">
        <v>44368</v>
      </c>
      <c r="C1085" s="1" t="n">
        <v>45292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31251-2021</t>
        </is>
      </c>
      <c r="B1086" s="1" t="n">
        <v>44368</v>
      </c>
      <c r="C1086" s="1" t="n">
        <v>45292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31419-2021</t>
        </is>
      </c>
      <c r="B1087" s="1" t="n">
        <v>44368</v>
      </c>
      <c r="C1087" s="1" t="n">
        <v>45292</v>
      </c>
      <c r="D1087" t="inlineStr">
        <is>
          <t>VÄSTERBOTTENS LÄN</t>
        </is>
      </c>
      <c r="E1087" t="inlineStr">
        <is>
          <t>SKELLEFTEÅ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31395-2021</t>
        </is>
      </c>
      <c r="B1088" s="1" t="n">
        <v>44369</v>
      </c>
      <c r="C1088" s="1" t="n">
        <v>45292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31766-2021</t>
        </is>
      </c>
      <c r="B1089" s="1" t="n">
        <v>44369</v>
      </c>
      <c r="C1089" s="1" t="n">
        <v>45292</v>
      </c>
      <c r="D1089" t="inlineStr">
        <is>
          <t>VÄSTERBOTTENS LÄN</t>
        </is>
      </c>
      <c r="E1089" t="inlineStr">
        <is>
          <t>SKELLEFTEÅ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32114-2021</t>
        </is>
      </c>
      <c r="B1090" s="1" t="n">
        <v>44371</v>
      </c>
      <c r="C1090" s="1" t="n">
        <v>45292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32439-2021</t>
        </is>
      </c>
      <c r="B1091" s="1" t="n">
        <v>44371</v>
      </c>
      <c r="C1091" s="1" t="n">
        <v>45292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32438-2021</t>
        </is>
      </c>
      <c r="B1092" s="1" t="n">
        <v>44371</v>
      </c>
      <c r="C1092" s="1" t="n">
        <v>45292</v>
      </c>
      <c r="D1092" t="inlineStr">
        <is>
          <t>VÄSTERBOTTENS LÄN</t>
        </is>
      </c>
      <c r="E1092" t="inlineStr">
        <is>
          <t>SKELLEFTEÅ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32616-2021</t>
        </is>
      </c>
      <c r="B1093" s="1" t="n">
        <v>44371</v>
      </c>
      <c r="C1093" s="1" t="n">
        <v>45292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32585-2021</t>
        </is>
      </c>
      <c r="B1094" s="1" t="n">
        <v>44375</v>
      </c>
      <c r="C1094" s="1" t="n">
        <v>45292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32917-2021</t>
        </is>
      </c>
      <c r="B1095" s="1" t="n">
        <v>44375</v>
      </c>
      <c r="C1095" s="1" t="n">
        <v>45292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32964-2021</t>
        </is>
      </c>
      <c r="B1096" s="1" t="n">
        <v>44376</v>
      </c>
      <c r="C1096" s="1" t="n">
        <v>45292</v>
      </c>
      <c r="D1096" t="inlineStr">
        <is>
          <t>VÄSTERBOTTENS LÄN</t>
        </is>
      </c>
      <c r="E1096" t="inlineStr">
        <is>
          <t>SKELLEFTEÅ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33236-2021</t>
        </is>
      </c>
      <c r="B1097" s="1" t="n">
        <v>44376</v>
      </c>
      <c r="C1097" s="1" t="n">
        <v>45292</v>
      </c>
      <c r="D1097" t="inlineStr">
        <is>
          <t>VÄSTERBOTTENS LÄN</t>
        </is>
      </c>
      <c r="E1097" t="inlineStr">
        <is>
          <t>SKELLEFTEÅ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33283-2021</t>
        </is>
      </c>
      <c r="B1098" s="1" t="n">
        <v>44377</v>
      </c>
      <c r="C1098" s="1" t="n">
        <v>45292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33284-2021</t>
        </is>
      </c>
      <c r="B1099" s="1" t="n">
        <v>44377</v>
      </c>
      <c r="C1099" s="1" t="n">
        <v>45292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33373-2021</t>
        </is>
      </c>
      <c r="B1100" s="1" t="n">
        <v>44377</v>
      </c>
      <c r="C1100" s="1" t="n">
        <v>45292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33473-2021</t>
        </is>
      </c>
      <c r="B1101" s="1" t="n">
        <v>44377</v>
      </c>
      <c r="C1101" s="1" t="n">
        <v>45292</v>
      </c>
      <c r="D1101" t="inlineStr">
        <is>
          <t>VÄSTERBOTTENS LÄN</t>
        </is>
      </c>
      <c r="E1101" t="inlineStr">
        <is>
          <t>SKELLEFTEÅ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33520-2021</t>
        </is>
      </c>
      <c r="B1102" s="1" t="n">
        <v>44377</v>
      </c>
      <c r="C1102" s="1" t="n">
        <v>45292</v>
      </c>
      <c r="D1102" t="inlineStr">
        <is>
          <t>VÄSTERBOTTENS LÄN</t>
        </is>
      </c>
      <c r="E1102" t="inlineStr">
        <is>
          <t>SKELLEFTEÅ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33576-2021</t>
        </is>
      </c>
      <c r="B1103" s="1" t="n">
        <v>44378</v>
      </c>
      <c r="C1103" s="1" t="n">
        <v>45292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33519-2021</t>
        </is>
      </c>
      <c r="B1104" s="1" t="n">
        <v>44377</v>
      </c>
      <c r="C1104" s="1" t="n">
        <v>45292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33680-2021</t>
        </is>
      </c>
      <c r="B1105" s="1" t="n">
        <v>44378</v>
      </c>
      <c r="C1105" s="1" t="n">
        <v>45292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33661-2021</t>
        </is>
      </c>
      <c r="B1106" s="1" t="n">
        <v>44378</v>
      </c>
      <c r="C1106" s="1" t="n">
        <v>45292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33687-2021</t>
        </is>
      </c>
      <c r="B1107" s="1" t="n">
        <v>44378</v>
      </c>
      <c r="C1107" s="1" t="n">
        <v>45292</v>
      </c>
      <c r="D1107" t="inlineStr">
        <is>
          <t>VÄSTERBOTTENS LÄN</t>
        </is>
      </c>
      <c r="E1107" t="inlineStr">
        <is>
          <t>SKELLEFTEÅ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33841-2021</t>
        </is>
      </c>
      <c r="B1108" s="1" t="n">
        <v>44378</v>
      </c>
      <c r="C1108" s="1" t="n">
        <v>45292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34111-2021</t>
        </is>
      </c>
      <c r="B1109" s="1" t="n">
        <v>44379</v>
      </c>
      <c r="C1109" s="1" t="n">
        <v>45292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34633-2021</t>
        </is>
      </c>
      <c r="B1110" s="1" t="n">
        <v>44382</v>
      </c>
      <c r="C1110" s="1" t="n">
        <v>45292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34773-2021</t>
        </is>
      </c>
      <c r="B1111" s="1" t="n">
        <v>44382</v>
      </c>
      <c r="C1111" s="1" t="n">
        <v>45292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35049-2021</t>
        </is>
      </c>
      <c r="B1112" s="1" t="n">
        <v>44384</v>
      </c>
      <c r="C1112" s="1" t="n">
        <v>45292</v>
      </c>
      <c r="D1112" t="inlineStr">
        <is>
          <t>VÄSTERBOTTENS LÄN</t>
        </is>
      </c>
      <c r="E1112" t="inlineStr">
        <is>
          <t>SKELLEFTEÅ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35087-2021</t>
        </is>
      </c>
      <c r="B1113" s="1" t="n">
        <v>44383</v>
      </c>
      <c r="C1113" s="1" t="n">
        <v>45292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35078-2021</t>
        </is>
      </c>
      <c r="B1114" s="1" t="n">
        <v>44384</v>
      </c>
      <c r="C1114" s="1" t="n">
        <v>45292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35442-2021</t>
        </is>
      </c>
      <c r="B1115" s="1" t="n">
        <v>44384</v>
      </c>
      <c r="C1115" s="1" t="n">
        <v>45292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35435-2021</t>
        </is>
      </c>
      <c r="B1116" s="1" t="n">
        <v>44385</v>
      </c>
      <c r="C1116" s="1" t="n">
        <v>45292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35578-2021</t>
        </is>
      </c>
      <c r="B1117" s="1" t="n">
        <v>44386</v>
      </c>
      <c r="C1117" s="1" t="n">
        <v>45292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35650-2021</t>
        </is>
      </c>
      <c r="B1118" s="1" t="n">
        <v>44386</v>
      </c>
      <c r="C1118" s="1" t="n">
        <v>45292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36086-2021</t>
        </is>
      </c>
      <c r="B1119" s="1" t="n">
        <v>44386</v>
      </c>
      <c r="C1119" s="1" t="n">
        <v>45292</v>
      </c>
      <c r="D1119" t="inlineStr">
        <is>
          <t>VÄSTERBOTTENS LÄN</t>
        </is>
      </c>
      <c r="E1119" t="inlineStr">
        <is>
          <t>SKELLEFTEÅ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36564-2021</t>
        </is>
      </c>
      <c r="B1120" s="1" t="n">
        <v>44391</v>
      </c>
      <c r="C1120" s="1" t="n">
        <v>45292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36588-2021</t>
        </is>
      </c>
      <c r="B1121" s="1" t="n">
        <v>44391</v>
      </c>
      <c r="C1121" s="1" t="n">
        <v>45292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36603-2021</t>
        </is>
      </c>
      <c r="B1122" s="1" t="n">
        <v>44391</v>
      </c>
      <c r="C1122" s="1" t="n">
        <v>45292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36609-2021</t>
        </is>
      </c>
      <c r="B1123" s="1" t="n">
        <v>44391</v>
      </c>
      <c r="C1123" s="1" t="n">
        <v>45292</v>
      </c>
      <c r="D1123" t="inlineStr">
        <is>
          <t>VÄSTERBOTTENS LÄN</t>
        </is>
      </c>
      <c r="E1123" t="inlineStr">
        <is>
          <t>SKELLEFTEÅ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37210-2021</t>
        </is>
      </c>
      <c r="B1124" s="1" t="n">
        <v>44396</v>
      </c>
      <c r="C1124" s="1" t="n">
        <v>45292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37211-2021</t>
        </is>
      </c>
      <c r="B1125" s="1" t="n">
        <v>44396</v>
      </c>
      <c r="C1125" s="1" t="n">
        <v>45292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37208-2021</t>
        </is>
      </c>
      <c r="B1126" s="1" t="n">
        <v>44396</v>
      </c>
      <c r="C1126" s="1" t="n">
        <v>45292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37498-2021</t>
        </is>
      </c>
      <c r="B1127" s="1" t="n">
        <v>44399</v>
      </c>
      <c r="C1127" s="1" t="n">
        <v>45292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37792-2021</t>
        </is>
      </c>
      <c r="B1128" s="1" t="n">
        <v>44401</v>
      </c>
      <c r="C1128" s="1" t="n">
        <v>45292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37937-2021</t>
        </is>
      </c>
      <c r="B1129" s="1" t="n">
        <v>44403</v>
      </c>
      <c r="C1129" s="1" t="n">
        <v>45292</v>
      </c>
      <c r="D1129" t="inlineStr">
        <is>
          <t>VÄSTERBOTTENS LÄN</t>
        </is>
      </c>
      <c r="E1129" t="inlineStr">
        <is>
          <t>SKELLEFTEÅ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37938-2021</t>
        </is>
      </c>
      <c r="B1130" s="1" t="n">
        <v>44403</v>
      </c>
      <c r="C1130" s="1" t="n">
        <v>45292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38026-2021</t>
        </is>
      </c>
      <c r="B1131" s="1" t="n">
        <v>44404</v>
      </c>
      <c r="C1131" s="1" t="n">
        <v>45292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38260-2021</t>
        </is>
      </c>
      <c r="B1132" s="1" t="n">
        <v>44405</v>
      </c>
      <c r="C1132" s="1" t="n">
        <v>45292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38504-2021</t>
        </is>
      </c>
      <c r="B1133" s="1" t="n">
        <v>44407</v>
      </c>
      <c r="C1133" s="1" t="n">
        <v>45292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38506-2021</t>
        </is>
      </c>
      <c r="B1134" s="1" t="n">
        <v>44407</v>
      </c>
      <c r="C1134" s="1" t="n">
        <v>45292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38505-2021</t>
        </is>
      </c>
      <c r="B1135" s="1" t="n">
        <v>44407</v>
      </c>
      <c r="C1135" s="1" t="n">
        <v>45292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39035-2021</t>
        </is>
      </c>
      <c r="B1136" s="1" t="n">
        <v>44411</v>
      </c>
      <c r="C1136" s="1" t="n">
        <v>45292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39623-2021</t>
        </is>
      </c>
      <c r="B1137" s="1" t="n">
        <v>44413</v>
      </c>
      <c r="C1137" s="1" t="n">
        <v>45292</v>
      </c>
      <c r="D1137" t="inlineStr">
        <is>
          <t>VÄSTERBOTTENS LÄN</t>
        </is>
      </c>
      <c r="E1137" t="inlineStr">
        <is>
          <t>SKELLEFTEÅ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39185-2021</t>
        </is>
      </c>
      <c r="B1138" s="1" t="n">
        <v>44413</v>
      </c>
      <c r="C1138" s="1" t="n">
        <v>45292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39277-2021</t>
        </is>
      </c>
      <c r="B1139" s="1" t="n">
        <v>44413</v>
      </c>
      <c r="C1139" s="1" t="n">
        <v>45292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39192-2021</t>
        </is>
      </c>
      <c r="B1140" s="1" t="n">
        <v>44413</v>
      </c>
      <c r="C1140" s="1" t="n">
        <v>45292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39226-2021</t>
        </is>
      </c>
      <c r="B1141" s="1" t="n">
        <v>44413</v>
      </c>
      <c r="C1141" s="1" t="n">
        <v>45292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39589-2021</t>
        </is>
      </c>
      <c r="B1142" s="1" t="n">
        <v>44413</v>
      </c>
      <c r="C1142" s="1" t="n">
        <v>45292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39590-2021</t>
        </is>
      </c>
      <c r="B1143" s="1" t="n">
        <v>44413</v>
      </c>
      <c r="C1143" s="1" t="n">
        <v>45292</v>
      </c>
      <c r="D1143" t="inlineStr">
        <is>
          <t>VÄSTERBOTTENS LÄN</t>
        </is>
      </c>
      <c r="E1143" t="inlineStr">
        <is>
          <t>SKELLEFTEÅ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39553-2021</t>
        </is>
      </c>
      <c r="B1144" s="1" t="n">
        <v>44416</v>
      </c>
      <c r="C1144" s="1" t="n">
        <v>45292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39827-2021</t>
        </is>
      </c>
      <c r="B1145" s="1" t="n">
        <v>44417</v>
      </c>
      <c r="C1145" s="1" t="n">
        <v>45292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40683-2021</t>
        </is>
      </c>
      <c r="B1146" s="1" t="n">
        <v>44420</v>
      </c>
      <c r="C1146" s="1" t="n">
        <v>45292</v>
      </c>
      <c r="D1146" t="inlineStr">
        <is>
          <t>VÄSTERBOTTENS LÄN</t>
        </is>
      </c>
      <c r="E1146" t="inlineStr">
        <is>
          <t>SKELLEFTEÅ</t>
        </is>
      </c>
      <c r="G1146" t="n">
        <v>37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40828-2021</t>
        </is>
      </c>
      <c r="B1147" s="1" t="n">
        <v>44421</v>
      </c>
      <c r="C1147" s="1" t="n">
        <v>45292</v>
      </c>
      <c r="D1147" t="inlineStr">
        <is>
          <t>VÄSTERBOTTENS LÄN</t>
        </is>
      </c>
      <c r="E1147" t="inlineStr">
        <is>
          <t>SKELLEFTEÅ</t>
        </is>
      </c>
      <c r="G1147" t="n">
        <v>23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40906-2021</t>
        </is>
      </c>
      <c r="B1148" s="1" t="n">
        <v>44421</v>
      </c>
      <c r="C1148" s="1" t="n">
        <v>45292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40929-2021</t>
        </is>
      </c>
      <c r="B1149" s="1" t="n">
        <v>44421</v>
      </c>
      <c r="C1149" s="1" t="n">
        <v>45292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40898-2021</t>
        </is>
      </c>
      <c r="B1150" s="1" t="n">
        <v>44421</v>
      </c>
      <c r="C1150" s="1" t="n">
        <v>45292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41464-2021</t>
        </is>
      </c>
      <c r="B1151" s="1" t="n">
        <v>44424</v>
      </c>
      <c r="C1151" s="1" t="n">
        <v>45292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41507-2021</t>
        </is>
      </c>
      <c r="B1152" s="1" t="n">
        <v>44425</v>
      </c>
      <c r="C1152" s="1" t="n">
        <v>45292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42057-2021</t>
        </is>
      </c>
      <c r="B1153" s="1" t="n">
        <v>44426</v>
      </c>
      <c r="C1153" s="1" t="n">
        <v>45292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41993-2021</t>
        </is>
      </c>
      <c r="B1154" s="1" t="n">
        <v>44426</v>
      </c>
      <c r="C1154" s="1" t="n">
        <v>45292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42026-2021</t>
        </is>
      </c>
      <c r="B1155" s="1" t="n">
        <v>44426</v>
      </c>
      <c r="C1155" s="1" t="n">
        <v>45292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42323-2021</t>
        </is>
      </c>
      <c r="B1156" s="1" t="n">
        <v>44426</v>
      </c>
      <c r="C1156" s="1" t="n">
        <v>45292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42367-2021</t>
        </is>
      </c>
      <c r="B1157" s="1" t="n">
        <v>44427</v>
      </c>
      <c r="C1157" s="1" t="n">
        <v>45292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45292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42609-2021</t>
        </is>
      </c>
      <c r="B1159" s="1" t="n">
        <v>44428</v>
      </c>
      <c r="C1159" s="1" t="n">
        <v>45292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43228-2021</t>
        </is>
      </c>
      <c r="B1160" s="1" t="n">
        <v>44432</v>
      </c>
      <c r="C1160" s="1" t="n">
        <v>45292</v>
      </c>
      <c r="D1160" t="inlineStr">
        <is>
          <t>VÄSTERBOTTENS LÄN</t>
        </is>
      </c>
      <c r="E1160" t="inlineStr">
        <is>
          <t>SKELLEFTEÅ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43252-2021</t>
        </is>
      </c>
      <c r="B1161" s="1" t="n">
        <v>44432</v>
      </c>
      <c r="C1161" s="1" t="n">
        <v>45292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43863-2021</t>
        </is>
      </c>
      <c r="B1162" s="1" t="n">
        <v>44433</v>
      </c>
      <c r="C1162" s="1" t="n">
        <v>45292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44090-2021</t>
        </is>
      </c>
      <c r="B1163" s="1" t="n">
        <v>44434</v>
      </c>
      <c r="C1163" s="1" t="n">
        <v>45292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44570-2021</t>
        </is>
      </c>
      <c r="B1164" s="1" t="n">
        <v>44435</v>
      </c>
      <c r="C1164" s="1" t="n">
        <v>45292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45043-2021</t>
        </is>
      </c>
      <c r="B1165" s="1" t="n">
        <v>44438</v>
      </c>
      <c r="C1165" s="1" t="n">
        <v>45292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45036-2021</t>
        </is>
      </c>
      <c r="B1166" s="1" t="n">
        <v>44438</v>
      </c>
      <c r="C1166" s="1" t="n">
        <v>45292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45384-2021</t>
        </is>
      </c>
      <c r="B1167" s="1" t="n">
        <v>44440</v>
      </c>
      <c r="C1167" s="1" t="n">
        <v>45292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45406-2021</t>
        </is>
      </c>
      <c r="B1168" s="1" t="n">
        <v>44440</v>
      </c>
      <c r="C1168" s="1" t="n">
        <v>45292</v>
      </c>
      <c r="D1168" t="inlineStr">
        <is>
          <t>VÄSTERBOTTENS LÄN</t>
        </is>
      </c>
      <c r="E1168" t="inlineStr">
        <is>
          <t>SKELLEFTEÅ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45389-2021</t>
        </is>
      </c>
      <c r="B1169" s="1" t="n">
        <v>44440</v>
      </c>
      <c r="C1169" s="1" t="n">
        <v>45292</v>
      </c>
      <c r="D1169" t="inlineStr">
        <is>
          <t>VÄSTERBOTTENS LÄN</t>
        </is>
      </c>
      <c r="E1169" t="inlineStr">
        <is>
          <t>SKELLEFTEÅ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46005-2021</t>
        </is>
      </c>
      <c r="B1170" s="1" t="n">
        <v>44441</v>
      </c>
      <c r="C1170" s="1" t="n">
        <v>45292</v>
      </c>
      <c r="D1170" t="inlineStr">
        <is>
          <t>VÄSTERBOTTENS LÄN</t>
        </is>
      </c>
      <c r="E1170" t="inlineStr">
        <is>
          <t>SKELLEFTEÅ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46006-2021</t>
        </is>
      </c>
      <c r="B1171" s="1" t="n">
        <v>44441</v>
      </c>
      <c r="C1171" s="1" t="n">
        <v>45292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46178-2021</t>
        </is>
      </c>
      <c r="B1172" s="1" t="n">
        <v>44441</v>
      </c>
      <c r="C1172" s="1" t="n">
        <v>45292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46619-2021</t>
        </is>
      </c>
      <c r="B1173" s="1" t="n">
        <v>44442</v>
      </c>
      <c r="C1173" s="1" t="n">
        <v>45292</v>
      </c>
      <c r="D1173" t="inlineStr">
        <is>
          <t>VÄSTERBOTTENS LÄN</t>
        </is>
      </c>
      <c r="E1173" t="inlineStr">
        <is>
          <t>SKELLEFTEÅ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46628-2021</t>
        </is>
      </c>
      <c r="B1174" s="1" t="n">
        <v>44445</v>
      </c>
      <c r="C1174" s="1" t="n">
        <v>45292</v>
      </c>
      <c r="D1174" t="inlineStr">
        <is>
          <t>VÄSTERBOTTENS LÄN</t>
        </is>
      </c>
      <c r="E1174" t="inlineStr">
        <is>
          <t>SKELLEFTEÅ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47039-2021</t>
        </is>
      </c>
      <c r="B1175" s="1" t="n">
        <v>44446</v>
      </c>
      <c r="C1175" s="1" t="n">
        <v>45292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47610-2021</t>
        </is>
      </c>
      <c r="B1176" s="1" t="n">
        <v>44448</v>
      </c>
      <c r="C1176" s="1" t="n">
        <v>45292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47974-2021</t>
        </is>
      </c>
      <c r="B1177" s="1" t="n">
        <v>44448</v>
      </c>
      <c r="C1177" s="1" t="n">
        <v>45292</v>
      </c>
      <c r="D1177" t="inlineStr">
        <is>
          <t>VÄSTERBOTTENS LÄN</t>
        </is>
      </c>
      <c r="E1177" t="inlineStr">
        <is>
          <t>SKELLEFTEÅ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48015-2021</t>
        </is>
      </c>
      <c r="B1178" s="1" t="n">
        <v>44449</v>
      </c>
      <c r="C1178" s="1" t="n">
        <v>45292</v>
      </c>
      <c r="D1178" t="inlineStr">
        <is>
          <t>VÄSTERBOTTENS LÄN</t>
        </is>
      </c>
      <c r="E1178" t="inlineStr">
        <is>
          <t>SKELLEFTEÅ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48538-2021</t>
        </is>
      </c>
      <c r="B1179" s="1" t="n">
        <v>44451</v>
      </c>
      <c r="C1179" s="1" t="n">
        <v>45292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50603-2021</t>
        </is>
      </c>
      <c r="B1180" s="1" t="n">
        <v>44459</v>
      </c>
      <c r="C1180" s="1" t="n">
        <v>45292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50772-2021</t>
        </is>
      </c>
      <c r="B1181" s="1" t="n">
        <v>44460</v>
      </c>
      <c r="C1181" s="1" t="n">
        <v>45292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51789-2021</t>
        </is>
      </c>
      <c r="B1182" s="1" t="n">
        <v>44461</v>
      </c>
      <c r="C1182" s="1" t="n">
        <v>45292</v>
      </c>
      <c r="D1182" t="inlineStr">
        <is>
          <t>VÄSTERBOTTENS LÄN</t>
        </is>
      </c>
      <c r="E1182" t="inlineStr">
        <is>
          <t>SKELLEFTEÅ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51734-2021</t>
        </is>
      </c>
      <c r="B1183" s="1" t="n">
        <v>44461</v>
      </c>
      <c r="C1183" s="1" t="n">
        <v>45292</v>
      </c>
      <c r="D1183" t="inlineStr">
        <is>
          <t>VÄSTERBOTTENS LÄN</t>
        </is>
      </c>
      <c r="E1183" t="inlineStr">
        <is>
          <t>SKELLEFTEÅ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51476-2021</t>
        </is>
      </c>
      <c r="B1184" s="1" t="n">
        <v>44462</v>
      </c>
      <c r="C1184" s="1" t="n">
        <v>45292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51587-2021</t>
        </is>
      </c>
      <c r="B1185" s="1" t="n">
        <v>44462</v>
      </c>
      <c r="C1185" s="1" t="n">
        <v>45292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51544-2021</t>
        </is>
      </c>
      <c r="B1186" s="1" t="n">
        <v>44462</v>
      </c>
      <c r="C1186" s="1" t="n">
        <v>45292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52069-2021</t>
        </is>
      </c>
      <c r="B1187" s="1" t="n">
        <v>44462</v>
      </c>
      <c r="C1187" s="1" t="n">
        <v>45292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52080-2021</t>
        </is>
      </c>
      <c r="B1188" s="1" t="n">
        <v>44463</v>
      </c>
      <c r="C1188" s="1" t="n">
        <v>45292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52086-2021</t>
        </is>
      </c>
      <c r="B1189" s="1" t="n">
        <v>44463</v>
      </c>
      <c r="C1189" s="1" t="n">
        <v>45292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52453-2021</t>
        </is>
      </c>
      <c r="B1190" s="1" t="n">
        <v>44463</v>
      </c>
      <c r="C1190" s="1" t="n">
        <v>45292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52462-2021</t>
        </is>
      </c>
      <c r="B1191" s="1" t="n">
        <v>44463</v>
      </c>
      <c r="C1191" s="1" t="n">
        <v>45292</v>
      </c>
      <c r="D1191" t="inlineStr">
        <is>
          <t>VÄSTERBOTTENS LÄN</t>
        </is>
      </c>
      <c r="E1191" t="inlineStr">
        <is>
          <t>SKELLEFTEÅ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52746-2021</t>
        </is>
      </c>
      <c r="B1192" s="1" t="n">
        <v>44467</v>
      </c>
      <c r="C1192" s="1" t="n">
        <v>45292</v>
      </c>
      <c r="D1192" t="inlineStr">
        <is>
          <t>VÄSTERBOTTENS LÄN</t>
        </is>
      </c>
      <c r="E1192" t="inlineStr">
        <is>
          <t>SKELLEFTEÅ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53152-2021</t>
        </is>
      </c>
      <c r="B1193" s="1" t="n">
        <v>44468</v>
      </c>
      <c r="C1193" s="1" t="n">
        <v>45292</v>
      </c>
      <c r="D1193" t="inlineStr">
        <is>
          <t>VÄSTERBOTTENS LÄN</t>
        </is>
      </c>
      <c r="E1193" t="inlineStr">
        <is>
          <t>SKELLEFTEÅ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54193-2021</t>
        </is>
      </c>
      <c r="B1194" s="1" t="n">
        <v>44470</v>
      </c>
      <c r="C1194" s="1" t="n">
        <v>45292</v>
      </c>
      <c r="D1194" t="inlineStr">
        <is>
          <t>VÄSTERBOTTENS LÄN</t>
        </is>
      </c>
      <c r="E1194" t="inlineStr">
        <is>
          <t>SKELLEFTEÅ</t>
        </is>
      </c>
      <c r="G1194" t="n">
        <v>26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54280-2021</t>
        </is>
      </c>
      <c r="B1195" s="1" t="n">
        <v>44470</v>
      </c>
      <c r="C1195" s="1" t="n">
        <v>45292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54288-2021</t>
        </is>
      </c>
      <c r="B1196" s="1" t="n">
        <v>44471</v>
      </c>
      <c r="C1196" s="1" t="n">
        <v>45292</v>
      </c>
      <c r="D1196" t="inlineStr">
        <is>
          <t>VÄSTERBOTTENS LÄN</t>
        </is>
      </c>
      <c r="E1196" t="inlineStr">
        <is>
          <t>SKELLEFTEÅ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54287-2021</t>
        </is>
      </c>
      <c r="B1197" s="1" t="n">
        <v>44471</v>
      </c>
      <c r="C1197" s="1" t="n">
        <v>45292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54384-2021</t>
        </is>
      </c>
      <c r="B1198" s="1" t="n">
        <v>44473</v>
      </c>
      <c r="C1198" s="1" t="n">
        <v>45292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54863-2021</t>
        </is>
      </c>
      <c r="B1199" s="1" t="n">
        <v>44473</v>
      </c>
      <c r="C1199" s="1" t="n">
        <v>45292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54850-2021</t>
        </is>
      </c>
      <c r="B1200" s="1" t="n">
        <v>44473</v>
      </c>
      <c r="C1200" s="1" t="n">
        <v>45292</v>
      </c>
      <c r="D1200" t="inlineStr">
        <is>
          <t>VÄSTERBOTTENS LÄN</t>
        </is>
      </c>
      <c r="E1200" t="inlineStr">
        <is>
          <t>SKELLEFTEÅ</t>
        </is>
      </c>
      <c r="G1200" t="n">
        <v>18.4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55067-2021</t>
        </is>
      </c>
      <c r="B1201" s="1" t="n">
        <v>44474</v>
      </c>
      <c r="C1201" s="1" t="n">
        <v>45292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55032-2021</t>
        </is>
      </c>
      <c r="B1202" s="1" t="n">
        <v>44474</v>
      </c>
      <c r="C1202" s="1" t="n">
        <v>45292</v>
      </c>
      <c r="D1202" t="inlineStr">
        <is>
          <t>VÄSTERBOTTENS LÄN</t>
        </is>
      </c>
      <c r="E1202" t="inlineStr">
        <is>
          <t>SKELLEFTEÅ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55168-2021</t>
        </is>
      </c>
      <c r="B1203" s="1" t="n">
        <v>44475</v>
      </c>
      <c r="C1203" s="1" t="n">
        <v>45292</v>
      </c>
      <c r="D1203" t="inlineStr">
        <is>
          <t>VÄSTERBOTTENS LÄN</t>
        </is>
      </c>
      <c r="E1203" t="inlineStr">
        <is>
          <t>SKELLEFTEÅ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55206-2021</t>
        </is>
      </c>
      <c r="B1204" s="1" t="n">
        <v>44475</v>
      </c>
      <c r="C1204" s="1" t="n">
        <v>45292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55182-2021</t>
        </is>
      </c>
      <c r="B1205" s="1" t="n">
        <v>44475</v>
      </c>
      <c r="C1205" s="1" t="n">
        <v>45292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55471-2021</t>
        </is>
      </c>
      <c r="B1206" s="1" t="n">
        <v>44475</v>
      </c>
      <c r="C1206" s="1" t="n">
        <v>45292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55568-2021</t>
        </is>
      </c>
      <c r="B1207" s="1" t="n">
        <v>44475</v>
      </c>
      <c r="C1207" s="1" t="n">
        <v>45292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55814-2021</t>
        </is>
      </c>
      <c r="B1208" s="1" t="n">
        <v>44476</v>
      </c>
      <c r="C1208" s="1" t="n">
        <v>45292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56084-2021</t>
        </is>
      </c>
      <c r="B1209" s="1" t="n">
        <v>44477</v>
      </c>
      <c r="C1209" s="1" t="n">
        <v>45292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56134-2021</t>
        </is>
      </c>
      <c r="B1210" s="1" t="n">
        <v>44477</v>
      </c>
      <c r="C1210" s="1" t="n">
        <v>45292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56001-2021</t>
        </is>
      </c>
      <c r="B1211" s="1" t="n">
        <v>44477</v>
      </c>
      <c r="C1211" s="1" t="n">
        <v>45292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56536-2021</t>
        </is>
      </c>
      <c r="B1212" s="1" t="n">
        <v>44480</v>
      </c>
      <c r="C1212" s="1" t="n">
        <v>45292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56540-2021</t>
        </is>
      </c>
      <c r="B1213" s="1" t="n">
        <v>44480</v>
      </c>
      <c r="C1213" s="1" t="n">
        <v>45292</v>
      </c>
      <c r="D1213" t="inlineStr">
        <is>
          <t>VÄSTERBOTTENS LÄN</t>
        </is>
      </c>
      <c r="E1213" t="inlineStr">
        <is>
          <t>SKELLEFTEÅ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56627-2021</t>
        </is>
      </c>
      <c r="B1214" s="1" t="n">
        <v>44480</v>
      </c>
      <c r="C1214" s="1" t="n">
        <v>45292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20.1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57197-2021</t>
        </is>
      </c>
      <c r="B1215" s="1" t="n">
        <v>44483</v>
      </c>
      <c r="C1215" s="1" t="n">
        <v>45292</v>
      </c>
      <c r="D1215" t="inlineStr">
        <is>
          <t>VÄSTERBOTTENS LÄN</t>
        </is>
      </c>
      <c r="E1215" t="inlineStr">
        <is>
          <t>SKELLEFTEÅ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57370-2021</t>
        </is>
      </c>
      <c r="B1216" s="1" t="n">
        <v>44483</v>
      </c>
      <c r="C1216" s="1" t="n">
        <v>45292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57530-2021</t>
        </is>
      </c>
      <c r="B1217" s="1" t="n">
        <v>44483</v>
      </c>
      <c r="C1217" s="1" t="n">
        <v>45292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57978-2021</t>
        </is>
      </c>
      <c r="B1218" s="1" t="n">
        <v>44484</v>
      </c>
      <c r="C1218" s="1" t="n">
        <v>45292</v>
      </c>
      <c r="D1218" t="inlineStr">
        <is>
          <t>VÄSTERBOTTENS LÄN</t>
        </is>
      </c>
      <c r="E1218" t="inlineStr">
        <is>
          <t>SKELLEFTEÅ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57714-2021</t>
        </is>
      </c>
      <c r="B1219" s="1" t="n">
        <v>44484</v>
      </c>
      <c r="C1219" s="1" t="n">
        <v>45292</v>
      </c>
      <c r="D1219" t="inlineStr">
        <is>
          <t>VÄSTERBOTTENS LÄN</t>
        </is>
      </c>
      <c r="E1219" t="inlineStr">
        <is>
          <t>SKELLEFTEÅ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57966-2021</t>
        </is>
      </c>
      <c r="B1220" s="1" t="n">
        <v>44484</v>
      </c>
      <c r="C1220" s="1" t="n">
        <v>45292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58303-2021</t>
        </is>
      </c>
      <c r="B1221" s="1" t="n">
        <v>44488</v>
      </c>
      <c r="C1221" s="1" t="n">
        <v>45292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58570-2021</t>
        </is>
      </c>
      <c r="B1222" s="1" t="n">
        <v>44489</v>
      </c>
      <c r="C1222" s="1" t="n">
        <v>45292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58808-2021</t>
        </is>
      </c>
      <c r="B1223" s="1" t="n">
        <v>44489</v>
      </c>
      <c r="C1223" s="1" t="n">
        <v>45292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58844-2021</t>
        </is>
      </c>
      <c r="B1224" s="1" t="n">
        <v>44489</v>
      </c>
      <c r="C1224" s="1" t="n">
        <v>45292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58813-2021</t>
        </is>
      </c>
      <c r="B1225" s="1" t="n">
        <v>44489</v>
      </c>
      <c r="C1225" s="1" t="n">
        <v>45292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58847-2021</t>
        </is>
      </c>
      <c r="B1226" s="1" t="n">
        <v>44489</v>
      </c>
      <c r="C1226" s="1" t="n">
        <v>45292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58872-2021</t>
        </is>
      </c>
      <c r="B1227" s="1" t="n">
        <v>44489</v>
      </c>
      <c r="C1227" s="1" t="n">
        <v>45292</v>
      </c>
      <c r="D1227" t="inlineStr">
        <is>
          <t>VÄSTERBOTTENS LÄN</t>
        </is>
      </c>
      <c r="E1227" t="inlineStr">
        <is>
          <t>SKELLEFTEÅ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58811-2021</t>
        </is>
      </c>
      <c r="B1228" s="1" t="n">
        <v>44489</v>
      </c>
      <c r="C1228" s="1" t="n">
        <v>45292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59180-2021</t>
        </is>
      </c>
      <c r="B1229" s="1" t="n">
        <v>44489</v>
      </c>
      <c r="C1229" s="1" t="n">
        <v>45292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59171-2021</t>
        </is>
      </c>
      <c r="B1230" s="1" t="n">
        <v>44489</v>
      </c>
      <c r="C1230" s="1" t="n">
        <v>45292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58892-2021</t>
        </is>
      </c>
      <c r="B1231" s="1" t="n">
        <v>44489</v>
      </c>
      <c r="C1231" s="1" t="n">
        <v>45292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59457-2021</t>
        </is>
      </c>
      <c r="B1232" s="1" t="n">
        <v>44491</v>
      </c>
      <c r="C1232" s="1" t="n">
        <v>45292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59372-2021</t>
        </is>
      </c>
      <c r="B1233" s="1" t="n">
        <v>44491</v>
      </c>
      <c r="C1233" s="1" t="n">
        <v>45292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59851-2021</t>
        </is>
      </c>
      <c r="B1234" s="1" t="n">
        <v>44491</v>
      </c>
      <c r="C1234" s="1" t="n">
        <v>45292</v>
      </c>
      <c r="D1234" t="inlineStr">
        <is>
          <t>VÄSTERBOTTENS LÄN</t>
        </is>
      </c>
      <c r="E1234" t="inlineStr">
        <is>
          <t>SKELLEFTEÅ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59522-2021</t>
        </is>
      </c>
      <c r="B1235" s="1" t="n">
        <v>44491</v>
      </c>
      <c r="C1235" s="1" t="n">
        <v>45292</v>
      </c>
      <c r="D1235" t="inlineStr">
        <is>
          <t>VÄSTERBOTTENS LÄN</t>
        </is>
      </c>
      <c r="E1235" t="inlineStr">
        <is>
          <t>SKELLEFTEÅ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59659-2021</t>
        </is>
      </c>
      <c r="B1236" s="1" t="n">
        <v>44491</v>
      </c>
      <c r="C1236" s="1" t="n">
        <v>45292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59647-2021</t>
        </is>
      </c>
      <c r="B1237" s="1" t="n">
        <v>44493</v>
      </c>
      <c r="C1237" s="1" t="n">
        <v>45292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59711-2021</t>
        </is>
      </c>
      <c r="B1238" s="1" t="n">
        <v>44494</v>
      </c>
      <c r="C1238" s="1" t="n">
        <v>45292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59748-2021</t>
        </is>
      </c>
      <c r="B1239" s="1" t="n">
        <v>44494</v>
      </c>
      <c r="C1239" s="1" t="n">
        <v>45292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59717-2021</t>
        </is>
      </c>
      <c r="B1240" s="1" t="n">
        <v>44494</v>
      </c>
      <c r="C1240" s="1" t="n">
        <v>45292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59736-2021</t>
        </is>
      </c>
      <c r="B1241" s="1" t="n">
        <v>44494</v>
      </c>
      <c r="C1241" s="1" t="n">
        <v>45292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59859-2021</t>
        </is>
      </c>
      <c r="B1242" s="1" t="n">
        <v>44494</v>
      </c>
      <c r="C1242" s="1" t="n">
        <v>45292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60066-2021</t>
        </is>
      </c>
      <c r="B1243" s="1" t="n">
        <v>44494</v>
      </c>
      <c r="C1243" s="1" t="n">
        <v>45292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60107-2021</t>
        </is>
      </c>
      <c r="B1244" s="1" t="n">
        <v>44495</v>
      </c>
      <c r="C1244" s="1" t="n">
        <v>45292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60539-2021</t>
        </is>
      </c>
      <c r="B1245" s="1" t="n">
        <v>44495</v>
      </c>
      <c r="C1245" s="1" t="n">
        <v>45292</v>
      </c>
      <c r="D1245" t="inlineStr">
        <is>
          <t>VÄSTERBOTTENS LÄN</t>
        </is>
      </c>
      <c r="E1245" t="inlineStr">
        <is>
          <t>SKELLEFTEÅ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61656-2021</t>
        </is>
      </c>
      <c r="B1246" s="1" t="n">
        <v>44501</v>
      </c>
      <c r="C1246" s="1" t="n">
        <v>45292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61811-2021</t>
        </is>
      </c>
      <c r="B1247" s="1" t="n">
        <v>44501</v>
      </c>
      <c r="C1247" s="1" t="n">
        <v>45292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61844-2021</t>
        </is>
      </c>
      <c r="B1248" s="1" t="n">
        <v>44501</v>
      </c>
      <c r="C1248" s="1" t="n">
        <v>45292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62227-2021</t>
        </is>
      </c>
      <c r="B1249" s="1" t="n">
        <v>44501</v>
      </c>
      <c r="C1249" s="1" t="n">
        <v>45292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62345-2021</t>
        </is>
      </c>
      <c r="B1250" s="1" t="n">
        <v>44503</v>
      </c>
      <c r="C1250" s="1" t="n">
        <v>45292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62486-2021</t>
        </is>
      </c>
      <c r="B1251" s="1" t="n">
        <v>44503</v>
      </c>
      <c r="C1251" s="1" t="n">
        <v>45292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62651-2021</t>
        </is>
      </c>
      <c r="B1252" s="1" t="n">
        <v>44503</v>
      </c>
      <c r="C1252" s="1" t="n">
        <v>45292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63145-2021</t>
        </is>
      </c>
      <c r="B1253" s="1" t="n">
        <v>44505</v>
      </c>
      <c r="C1253" s="1" t="n">
        <v>45292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63171-2021</t>
        </is>
      </c>
      <c r="B1254" s="1" t="n">
        <v>44506</v>
      </c>
      <c r="C1254" s="1" t="n">
        <v>45292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63502-2021</t>
        </is>
      </c>
      <c r="B1255" s="1" t="n">
        <v>44508</v>
      </c>
      <c r="C1255" s="1" t="n">
        <v>45292</v>
      </c>
      <c r="D1255" t="inlineStr">
        <is>
          <t>VÄSTERBOTTENS LÄN</t>
        </is>
      </c>
      <c r="E1255" t="inlineStr">
        <is>
          <t>SKELLEFTEÅ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63801-2021</t>
        </is>
      </c>
      <c r="B1256" s="1" t="n">
        <v>44508</v>
      </c>
      <c r="C1256" s="1" t="n">
        <v>45292</v>
      </c>
      <c r="D1256" t="inlineStr">
        <is>
          <t>VÄSTERBOTTENS LÄN</t>
        </is>
      </c>
      <c r="E1256" t="inlineStr">
        <is>
          <t>SKELLEFTEÅ</t>
        </is>
      </c>
      <c r="G1256" t="n">
        <v>22.6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63620-2021</t>
        </is>
      </c>
      <c r="B1257" s="1" t="n">
        <v>44509</v>
      </c>
      <c r="C1257" s="1" t="n">
        <v>45292</v>
      </c>
      <c r="D1257" t="inlineStr">
        <is>
          <t>VÄSTERBOTTENS LÄN</t>
        </is>
      </c>
      <c r="E1257" t="inlineStr">
        <is>
          <t>SKELLEFTEÅ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64087-2021</t>
        </is>
      </c>
      <c r="B1258" s="1" t="n">
        <v>44509</v>
      </c>
      <c r="C1258" s="1" t="n">
        <v>45292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64409-2021</t>
        </is>
      </c>
      <c r="B1259" s="1" t="n">
        <v>44510</v>
      </c>
      <c r="C1259" s="1" t="n">
        <v>45292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64316-2021</t>
        </is>
      </c>
      <c r="B1260" s="1" t="n">
        <v>44510</v>
      </c>
      <c r="C1260" s="1" t="n">
        <v>45292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64391-2021</t>
        </is>
      </c>
      <c r="B1261" s="1" t="n">
        <v>44511</v>
      </c>
      <c r="C1261" s="1" t="n">
        <v>45292</v>
      </c>
      <c r="D1261" t="inlineStr">
        <is>
          <t>VÄSTERBOTTENS LÄN</t>
        </is>
      </c>
      <c r="E1261" t="inlineStr">
        <is>
          <t>SKELLEFTEÅ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64399-2021</t>
        </is>
      </c>
      <c r="B1262" s="1" t="n">
        <v>44511</v>
      </c>
      <c r="C1262" s="1" t="n">
        <v>45292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64593-2021</t>
        </is>
      </c>
      <c r="B1263" s="1" t="n">
        <v>44511</v>
      </c>
      <c r="C1263" s="1" t="n">
        <v>45292</v>
      </c>
      <c r="D1263" t="inlineStr">
        <is>
          <t>VÄSTERBOTTENS LÄN</t>
        </is>
      </c>
      <c r="E1263" t="inlineStr">
        <is>
          <t>SKELLEFTEÅ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64580-2021</t>
        </is>
      </c>
      <c r="B1264" s="1" t="n">
        <v>44511</v>
      </c>
      <c r="C1264" s="1" t="n">
        <v>45292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64761-2021</t>
        </is>
      </c>
      <c r="B1265" s="1" t="n">
        <v>44511</v>
      </c>
      <c r="C1265" s="1" t="n">
        <v>45292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64765-2021</t>
        </is>
      </c>
      <c r="B1266" s="1" t="n">
        <v>44511</v>
      </c>
      <c r="C1266" s="1" t="n">
        <v>45292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65455-2021</t>
        </is>
      </c>
      <c r="B1267" s="1" t="n">
        <v>44516</v>
      </c>
      <c r="C1267" s="1" t="n">
        <v>45292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66250-2021</t>
        </is>
      </c>
      <c r="B1268" s="1" t="n">
        <v>44518</v>
      </c>
      <c r="C1268" s="1" t="n">
        <v>45292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66463-2021</t>
        </is>
      </c>
      <c r="B1269" s="1" t="n">
        <v>44518</v>
      </c>
      <c r="C1269" s="1" t="n">
        <v>45292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66465-2021</t>
        </is>
      </c>
      <c r="B1270" s="1" t="n">
        <v>44518</v>
      </c>
      <c r="C1270" s="1" t="n">
        <v>45292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66501-2021</t>
        </is>
      </c>
      <c r="B1271" s="1" t="n">
        <v>44519</v>
      </c>
      <c r="C1271" s="1" t="n">
        <v>45292</v>
      </c>
      <c r="D1271" t="inlineStr">
        <is>
          <t>VÄSTERBOTTENS LÄN</t>
        </is>
      </c>
      <c r="E1271" t="inlineStr">
        <is>
          <t>SKELLEFTEÅ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66500-2021</t>
        </is>
      </c>
      <c r="B1272" s="1" t="n">
        <v>44519</v>
      </c>
      <c r="C1272" s="1" t="n">
        <v>45292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66499-2021</t>
        </is>
      </c>
      <c r="B1273" s="1" t="n">
        <v>44519</v>
      </c>
      <c r="C1273" s="1" t="n">
        <v>45292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66502-2021</t>
        </is>
      </c>
      <c r="B1274" s="1" t="n">
        <v>44519</v>
      </c>
      <c r="C1274" s="1" t="n">
        <v>45292</v>
      </c>
      <c r="D1274" t="inlineStr">
        <is>
          <t>VÄSTERBOTTENS LÄN</t>
        </is>
      </c>
      <c r="E1274" t="inlineStr">
        <is>
          <t>SKELLEFTEÅ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66756-2021</t>
        </is>
      </c>
      <c r="B1275" s="1" t="n">
        <v>44521</v>
      </c>
      <c r="C1275" s="1" t="n">
        <v>45292</v>
      </c>
      <c r="D1275" t="inlineStr">
        <is>
          <t>VÄSTERBOTTENS LÄN</t>
        </is>
      </c>
      <c r="E1275" t="inlineStr">
        <is>
          <t>SKELLEFTEÅ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66949-2021</t>
        </is>
      </c>
      <c r="B1276" s="1" t="n">
        <v>44522</v>
      </c>
      <c r="C1276" s="1" t="n">
        <v>45292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HYPERLINK("https://klasma.github.io/Logging_2482/knärot/A 66949-2021 karta knärot.png", "A 66949-2021")</f>
        <v/>
      </c>
      <c r="V1276">
        <f>HYPERLINK("https://klasma.github.io/Logging_2482/klagomål/A 66949-2021 FSC-klagomål.docx", "A 66949-2021")</f>
        <v/>
      </c>
      <c r="W1276">
        <f>HYPERLINK("https://klasma.github.io/Logging_2482/klagomålsmail/A 66949-2021 FSC-klagomål mail.docx", "A 66949-2021")</f>
        <v/>
      </c>
      <c r="X1276">
        <f>HYPERLINK("https://klasma.github.io/Logging_2482/tillsyn/A 66949-2021 tillsynsbegäran.docx", "A 66949-2021")</f>
        <v/>
      </c>
      <c r="Y1276">
        <f>HYPERLINK("https://klasma.github.io/Logging_2482/tillsynsmail/A 66949-2021 tillsynsbegäran mail.docx", "A 66949-2021")</f>
        <v/>
      </c>
    </row>
    <row r="1277" ht="15" customHeight="1">
      <c r="A1277" t="inlineStr">
        <is>
          <t>A 67450-2021</t>
        </is>
      </c>
      <c r="B1277" s="1" t="n">
        <v>44524</v>
      </c>
      <c r="C1277" s="1" t="n">
        <v>45292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67893-2021</t>
        </is>
      </c>
      <c r="B1278" s="1" t="n">
        <v>44525</v>
      </c>
      <c r="C1278" s="1" t="n">
        <v>45292</v>
      </c>
      <c r="D1278" t="inlineStr">
        <is>
          <t>VÄSTERBOTTENS LÄN</t>
        </is>
      </c>
      <c r="E1278" t="inlineStr">
        <is>
          <t>SKELLEFTEÅ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68251-2021</t>
        </is>
      </c>
      <c r="B1279" s="1" t="n">
        <v>44525</v>
      </c>
      <c r="C1279" s="1" t="n">
        <v>45292</v>
      </c>
      <c r="D1279" t="inlineStr">
        <is>
          <t>VÄSTERBOTTENS LÄN</t>
        </is>
      </c>
      <c r="E1279" t="inlineStr">
        <is>
          <t>SKELLEFTEÅ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68334-2021</t>
        </is>
      </c>
      <c r="B1280" s="1" t="n">
        <v>44527</v>
      </c>
      <c r="C1280" s="1" t="n">
        <v>45292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69106-2021</t>
        </is>
      </c>
      <c r="B1281" s="1" t="n">
        <v>44530</v>
      </c>
      <c r="C1281" s="1" t="n">
        <v>45292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69262-2021</t>
        </is>
      </c>
      <c r="B1282" s="1" t="n">
        <v>44531</v>
      </c>
      <c r="C1282" s="1" t="n">
        <v>45292</v>
      </c>
      <c r="D1282" t="inlineStr">
        <is>
          <t>VÄSTERBOTTENS LÄN</t>
        </is>
      </c>
      <c r="E1282" t="inlineStr">
        <is>
          <t>SKELLEFTEÅ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69315-2021</t>
        </is>
      </c>
      <c r="B1283" s="1" t="n">
        <v>44531</v>
      </c>
      <c r="C1283" s="1" t="n">
        <v>45292</v>
      </c>
      <c r="D1283" t="inlineStr">
        <is>
          <t>VÄSTERBOTTENS LÄN</t>
        </is>
      </c>
      <c r="E1283" t="inlineStr">
        <is>
          <t>SKELLEFTEÅ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70168-2021</t>
        </is>
      </c>
      <c r="B1284" s="1" t="n">
        <v>44533</v>
      </c>
      <c r="C1284" s="1" t="n">
        <v>45292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70176-2021</t>
        </is>
      </c>
      <c r="B1285" s="1" t="n">
        <v>44533</v>
      </c>
      <c r="C1285" s="1" t="n">
        <v>45292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70029-2021</t>
        </is>
      </c>
      <c r="B1286" s="1" t="n">
        <v>44533</v>
      </c>
      <c r="C1286" s="1" t="n">
        <v>45292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69992-2021</t>
        </is>
      </c>
      <c r="B1287" s="1" t="n">
        <v>44533</v>
      </c>
      <c r="C1287" s="1" t="n">
        <v>45292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69996-2021</t>
        </is>
      </c>
      <c r="B1288" s="1" t="n">
        <v>44533</v>
      </c>
      <c r="C1288" s="1" t="n">
        <v>45292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69991-2021</t>
        </is>
      </c>
      <c r="B1289" s="1" t="n">
        <v>44533</v>
      </c>
      <c r="C1289" s="1" t="n">
        <v>45292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69978-2021</t>
        </is>
      </c>
      <c r="B1290" s="1" t="n">
        <v>44533</v>
      </c>
      <c r="C1290" s="1" t="n">
        <v>45292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70229-2021</t>
        </is>
      </c>
      <c r="B1291" s="1" t="n">
        <v>44533</v>
      </c>
      <c r="C1291" s="1" t="n">
        <v>45292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70272-2021</t>
        </is>
      </c>
      <c r="B1292" s="1" t="n">
        <v>44536</v>
      </c>
      <c r="C1292" s="1" t="n">
        <v>45292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Kyrkan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70339-2021</t>
        </is>
      </c>
      <c r="B1293" s="1" t="n">
        <v>44536</v>
      </c>
      <c r="C1293" s="1" t="n">
        <v>45292</v>
      </c>
      <c r="D1293" t="inlineStr">
        <is>
          <t>VÄSTERBOTTENS LÄN</t>
        </is>
      </c>
      <c r="E1293" t="inlineStr">
        <is>
          <t>SKELLEFTEÅ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70508-2021</t>
        </is>
      </c>
      <c r="B1294" s="1" t="n">
        <v>44536</v>
      </c>
      <c r="C1294" s="1" t="n">
        <v>45292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70703-2021</t>
        </is>
      </c>
      <c r="B1295" s="1" t="n">
        <v>44536</v>
      </c>
      <c r="C1295" s="1" t="n">
        <v>45292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70718-2021</t>
        </is>
      </c>
      <c r="B1296" s="1" t="n">
        <v>44536</v>
      </c>
      <c r="C1296" s="1" t="n">
        <v>45292</v>
      </c>
      <c r="D1296" t="inlineStr">
        <is>
          <t>VÄSTERBOTTENS LÄN</t>
        </is>
      </c>
      <c r="E1296" t="inlineStr">
        <is>
          <t>SKELLEFTEÅ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70851-2021</t>
        </is>
      </c>
      <c r="B1297" s="1" t="n">
        <v>44536</v>
      </c>
      <c r="C1297" s="1" t="n">
        <v>45292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70558-2021</t>
        </is>
      </c>
      <c r="B1298" s="1" t="n">
        <v>44537</v>
      </c>
      <c r="C1298" s="1" t="n">
        <v>45292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70748-2021</t>
        </is>
      </c>
      <c r="B1299" s="1" t="n">
        <v>44537</v>
      </c>
      <c r="C1299" s="1" t="n">
        <v>45292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71019-2021</t>
        </is>
      </c>
      <c r="B1300" s="1" t="n">
        <v>44538</v>
      </c>
      <c r="C1300" s="1" t="n">
        <v>45292</v>
      </c>
      <c r="D1300" t="inlineStr">
        <is>
          <t>VÄSTERBOTTENS LÄN</t>
        </is>
      </c>
      <c r="E1300" t="inlineStr">
        <is>
          <t>SKELLEFTEÅ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71410-2021</t>
        </is>
      </c>
      <c r="B1301" s="1" t="n">
        <v>44540</v>
      </c>
      <c r="C1301" s="1" t="n">
        <v>45292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71422-2021</t>
        </is>
      </c>
      <c r="B1302" s="1" t="n">
        <v>44540</v>
      </c>
      <c r="C1302" s="1" t="n">
        <v>45292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71445-2021</t>
        </is>
      </c>
      <c r="B1303" s="1" t="n">
        <v>44540</v>
      </c>
      <c r="C1303" s="1" t="n">
        <v>45292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71464-2021</t>
        </is>
      </c>
      <c r="B1304" s="1" t="n">
        <v>44540</v>
      </c>
      <c r="C1304" s="1" t="n">
        <v>45292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71434-2021</t>
        </is>
      </c>
      <c r="B1305" s="1" t="n">
        <v>44540</v>
      </c>
      <c r="C1305" s="1" t="n">
        <v>45292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71565-2021</t>
        </is>
      </c>
      <c r="B1306" s="1" t="n">
        <v>44540</v>
      </c>
      <c r="C1306" s="1" t="n">
        <v>45292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71400-2021</t>
        </is>
      </c>
      <c r="B1307" s="1" t="n">
        <v>44540</v>
      </c>
      <c r="C1307" s="1" t="n">
        <v>45292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71460-2021</t>
        </is>
      </c>
      <c r="B1308" s="1" t="n">
        <v>44540</v>
      </c>
      <c r="C1308" s="1" t="n">
        <v>45292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71459-2021</t>
        </is>
      </c>
      <c r="B1309" s="1" t="n">
        <v>44540</v>
      </c>
      <c r="C1309" s="1" t="n">
        <v>45292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71798-2021</t>
        </is>
      </c>
      <c r="B1310" s="1" t="n">
        <v>44543</v>
      </c>
      <c r="C1310" s="1" t="n">
        <v>45292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71924-2021</t>
        </is>
      </c>
      <c r="B1311" s="1" t="n">
        <v>44543</v>
      </c>
      <c r="C1311" s="1" t="n">
        <v>45292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71943-2021</t>
        </is>
      </c>
      <c r="B1312" s="1" t="n">
        <v>44543</v>
      </c>
      <c r="C1312" s="1" t="n">
        <v>45292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71931-2021</t>
        </is>
      </c>
      <c r="B1313" s="1" t="n">
        <v>44543</v>
      </c>
      <c r="C1313" s="1" t="n">
        <v>45292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72203-2021</t>
        </is>
      </c>
      <c r="B1314" s="1" t="n">
        <v>44543</v>
      </c>
      <c r="C1314" s="1" t="n">
        <v>45292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71934-2021</t>
        </is>
      </c>
      <c r="B1315" s="1" t="n">
        <v>44543</v>
      </c>
      <c r="C1315" s="1" t="n">
        <v>45292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72033-2021</t>
        </is>
      </c>
      <c r="B1316" s="1" t="n">
        <v>44544</v>
      </c>
      <c r="C1316" s="1" t="n">
        <v>45292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72183-2021</t>
        </is>
      </c>
      <c r="B1317" s="1" t="n">
        <v>44544</v>
      </c>
      <c r="C1317" s="1" t="n">
        <v>45292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72692-2021</t>
        </is>
      </c>
      <c r="B1318" s="1" t="n">
        <v>44545</v>
      </c>
      <c r="C1318" s="1" t="n">
        <v>45292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72545-2021</t>
        </is>
      </c>
      <c r="B1319" s="1" t="n">
        <v>44546</v>
      </c>
      <c r="C1319" s="1" t="n">
        <v>45292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73159-2021</t>
        </is>
      </c>
      <c r="B1320" s="1" t="n">
        <v>44550</v>
      </c>
      <c r="C1320" s="1" t="n">
        <v>45292</v>
      </c>
      <c r="D1320" t="inlineStr">
        <is>
          <t>VÄSTERBOTTENS LÄN</t>
        </is>
      </c>
      <c r="E1320" t="inlineStr">
        <is>
          <t>SKELLEFTEÅ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73556-2021</t>
        </is>
      </c>
      <c r="B1321" s="1" t="n">
        <v>44551</v>
      </c>
      <c r="C1321" s="1" t="n">
        <v>45292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73614-2021</t>
        </is>
      </c>
      <c r="B1322" s="1" t="n">
        <v>44551</v>
      </c>
      <c r="C1322" s="1" t="n">
        <v>45292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73684-2021</t>
        </is>
      </c>
      <c r="B1323" s="1" t="n">
        <v>44551</v>
      </c>
      <c r="C1323" s="1" t="n">
        <v>45292</v>
      </c>
      <c r="D1323" t="inlineStr">
        <is>
          <t>VÄSTERBOTTENS LÄN</t>
        </is>
      </c>
      <c r="E1323" t="inlineStr">
        <is>
          <t>SKELLEFTEÅ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73833-2021</t>
        </is>
      </c>
      <c r="B1324" s="1" t="n">
        <v>44552</v>
      </c>
      <c r="C1324" s="1" t="n">
        <v>45292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73956-2021</t>
        </is>
      </c>
      <c r="B1325" s="1" t="n">
        <v>44553</v>
      </c>
      <c r="C1325" s="1" t="n">
        <v>45292</v>
      </c>
      <c r="D1325" t="inlineStr">
        <is>
          <t>VÄSTERBOTTENS LÄN</t>
        </is>
      </c>
      <c r="E1325" t="inlineStr">
        <is>
          <t>SKELLEFTEÅ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73957-2021</t>
        </is>
      </c>
      <c r="B1326" s="1" t="n">
        <v>44553</v>
      </c>
      <c r="C1326" s="1" t="n">
        <v>45292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73950-2021</t>
        </is>
      </c>
      <c r="B1327" s="1" t="n">
        <v>44553</v>
      </c>
      <c r="C1327" s="1" t="n">
        <v>45292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73985-2021</t>
        </is>
      </c>
      <c r="B1328" s="1" t="n">
        <v>44555</v>
      </c>
      <c r="C1328" s="1" t="n">
        <v>45292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74077-2021</t>
        </is>
      </c>
      <c r="B1329" s="1" t="n">
        <v>44557</v>
      </c>
      <c r="C1329" s="1" t="n">
        <v>45292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74205-2021</t>
        </is>
      </c>
      <c r="B1330" s="1" t="n">
        <v>44558</v>
      </c>
      <c r="C1330" s="1" t="n">
        <v>45292</v>
      </c>
      <c r="D1330" t="inlineStr">
        <is>
          <t>VÄSTERBOTTENS LÄN</t>
        </is>
      </c>
      <c r="E1330" t="inlineStr">
        <is>
          <t>SKELLEFTEÅ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528-2022</t>
        </is>
      </c>
      <c r="B1331" s="1" t="n">
        <v>44566</v>
      </c>
      <c r="C1331" s="1" t="n">
        <v>45292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808-2022</t>
        </is>
      </c>
      <c r="B1332" s="1" t="n">
        <v>44568</v>
      </c>
      <c r="C1332" s="1" t="n">
        <v>45292</v>
      </c>
      <c r="D1332" t="inlineStr">
        <is>
          <t>VÄSTERBOTTENS LÄN</t>
        </is>
      </c>
      <c r="E1332" t="inlineStr">
        <is>
          <t>SKELLEFTEÅ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1626-2022</t>
        </is>
      </c>
      <c r="B1333" s="1" t="n">
        <v>44573</v>
      </c>
      <c r="C1333" s="1" t="n">
        <v>45292</v>
      </c>
      <c r="D1333" t="inlineStr">
        <is>
          <t>VÄSTERBOTTENS LÄN</t>
        </is>
      </c>
      <c r="E1333" t="inlineStr">
        <is>
          <t>SKELLEFTEÅ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1750-2022</t>
        </is>
      </c>
      <c r="B1334" s="1" t="n">
        <v>44574</v>
      </c>
      <c r="C1334" s="1" t="n">
        <v>45292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1834-2022</t>
        </is>
      </c>
      <c r="B1335" s="1" t="n">
        <v>44574</v>
      </c>
      <c r="C1335" s="1" t="n">
        <v>45292</v>
      </c>
      <c r="D1335" t="inlineStr">
        <is>
          <t>VÄSTERBOTTENS LÄN</t>
        </is>
      </c>
      <c r="E1335" t="inlineStr">
        <is>
          <t>SKELLEFTEÅ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2486-2022</t>
        </is>
      </c>
      <c r="B1336" s="1" t="n">
        <v>44579</v>
      </c>
      <c r="C1336" s="1" t="n">
        <v>45292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2607-2022</t>
        </is>
      </c>
      <c r="B1337" s="1" t="n">
        <v>44580</v>
      </c>
      <c r="C1337" s="1" t="n">
        <v>45292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2813-2022</t>
        </is>
      </c>
      <c r="B1338" s="1" t="n">
        <v>44580</v>
      </c>
      <c r="C1338" s="1" t="n">
        <v>45292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3006-2022</t>
        </is>
      </c>
      <c r="B1339" s="1" t="n">
        <v>44581</v>
      </c>
      <c r="C1339" s="1" t="n">
        <v>45292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3009-2022</t>
        </is>
      </c>
      <c r="B1340" s="1" t="n">
        <v>44581</v>
      </c>
      <c r="C1340" s="1" t="n">
        <v>45292</v>
      </c>
      <c r="D1340" t="inlineStr">
        <is>
          <t>VÄSTERBOTTENS LÄN</t>
        </is>
      </c>
      <c r="E1340" t="inlineStr">
        <is>
          <t>SKELLEFTEÅ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3268-2022</t>
        </is>
      </c>
      <c r="B1341" s="1" t="n">
        <v>44583</v>
      </c>
      <c r="C1341" s="1" t="n">
        <v>45292</v>
      </c>
      <c r="D1341" t="inlineStr">
        <is>
          <t>VÄSTERBOTTENS LÄN</t>
        </is>
      </c>
      <c r="E1341" t="inlineStr">
        <is>
          <t>SKELLEFTEÅ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3265-2022</t>
        </is>
      </c>
      <c r="B1342" s="1" t="n">
        <v>44583</v>
      </c>
      <c r="C1342" s="1" t="n">
        <v>45292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3266-2022</t>
        </is>
      </c>
      <c r="B1343" s="1" t="n">
        <v>44583</v>
      </c>
      <c r="C1343" s="1" t="n">
        <v>45292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3362-2022</t>
        </is>
      </c>
      <c r="B1344" s="1" t="n">
        <v>44585</v>
      </c>
      <c r="C1344" s="1" t="n">
        <v>45292</v>
      </c>
      <c r="D1344" t="inlineStr">
        <is>
          <t>VÄSTERBOTTENS LÄN</t>
        </is>
      </c>
      <c r="E1344" t="inlineStr">
        <is>
          <t>SKELLEFTEÅ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3616-2022</t>
        </is>
      </c>
      <c r="B1345" s="1" t="n">
        <v>44586</v>
      </c>
      <c r="C1345" s="1" t="n">
        <v>45292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3600-2022</t>
        </is>
      </c>
      <c r="B1346" s="1" t="n">
        <v>44586</v>
      </c>
      <c r="C1346" s="1" t="n">
        <v>45292</v>
      </c>
      <c r="D1346" t="inlineStr">
        <is>
          <t>VÄSTERBOTTENS LÄN</t>
        </is>
      </c>
      <c r="E1346" t="inlineStr">
        <is>
          <t>SKELLEFTEÅ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3876-2022</t>
        </is>
      </c>
      <c r="B1347" s="1" t="n">
        <v>44587</v>
      </c>
      <c r="C1347" s="1" t="n">
        <v>45292</v>
      </c>
      <c r="D1347" t="inlineStr">
        <is>
          <t>VÄSTERBOTTENS LÄN</t>
        </is>
      </c>
      <c r="E1347" t="inlineStr">
        <is>
          <t>SKELLEFTEÅ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3924-2022</t>
        </is>
      </c>
      <c r="B1348" s="1" t="n">
        <v>44587</v>
      </c>
      <c r="C1348" s="1" t="n">
        <v>45292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3882-2022</t>
        </is>
      </c>
      <c r="B1349" s="1" t="n">
        <v>44587</v>
      </c>
      <c r="C1349" s="1" t="n">
        <v>45292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3944-2022</t>
        </is>
      </c>
      <c r="B1350" s="1" t="n">
        <v>44587</v>
      </c>
      <c r="C1350" s="1" t="n">
        <v>45292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Kommuner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3987-2022</t>
        </is>
      </c>
      <c r="B1351" s="1" t="n">
        <v>44587</v>
      </c>
      <c r="C1351" s="1" t="n">
        <v>45292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4008-2022</t>
        </is>
      </c>
      <c r="B1352" s="1" t="n">
        <v>44587</v>
      </c>
      <c r="C1352" s="1" t="n">
        <v>45292</v>
      </c>
      <c r="D1352" t="inlineStr">
        <is>
          <t>VÄSTERBOTTENS LÄN</t>
        </is>
      </c>
      <c r="E1352" t="inlineStr">
        <is>
          <t>SKELLEFTEÅ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3963-2022</t>
        </is>
      </c>
      <c r="B1353" s="1" t="n">
        <v>44587</v>
      </c>
      <c r="C1353" s="1" t="n">
        <v>45292</v>
      </c>
      <c r="D1353" t="inlineStr">
        <is>
          <t>VÄSTERBOTTENS LÄN</t>
        </is>
      </c>
      <c r="E1353" t="inlineStr">
        <is>
          <t>SKELLEFTEÅ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4005-2022</t>
        </is>
      </c>
      <c r="B1354" s="1" t="n">
        <v>44587</v>
      </c>
      <c r="C1354" s="1" t="n">
        <v>45292</v>
      </c>
      <c r="D1354" t="inlineStr">
        <is>
          <t>VÄSTERBOTTENS LÄN</t>
        </is>
      </c>
      <c r="E1354" t="inlineStr">
        <is>
          <t>SKELLEFTEÅ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4603-2022</t>
        </is>
      </c>
      <c r="B1355" s="1" t="n">
        <v>44592</v>
      </c>
      <c r="C1355" s="1" t="n">
        <v>45292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4653-2022</t>
        </is>
      </c>
      <c r="B1356" s="1" t="n">
        <v>44592</v>
      </c>
      <c r="C1356" s="1" t="n">
        <v>45292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4762-2022</t>
        </is>
      </c>
      <c r="B1357" s="1" t="n">
        <v>44592</v>
      </c>
      <c r="C1357" s="1" t="n">
        <v>45292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4844-2022</t>
        </is>
      </c>
      <c r="B1358" s="1" t="n">
        <v>44592</v>
      </c>
      <c r="C1358" s="1" t="n">
        <v>45292</v>
      </c>
      <c r="D1358" t="inlineStr">
        <is>
          <t>VÄSTERBOTTENS LÄN</t>
        </is>
      </c>
      <c r="E1358" t="inlineStr">
        <is>
          <t>SKELLEFTEÅ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4791-2022</t>
        </is>
      </c>
      <c r="B1359" s="1" t="n">
        <v>44592</v>
      </c>
      <c r="C1359" s="1" t="n">
        <v>45292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5817-2022</t>
        </is>
      </c>
      <c r="B1360" s="1" t="n">
        <v>44596</v>
      </c>
      <c r="C1360" s="1" t="n">
        <v>45292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5826-2022</t>
        </is>
      </c>
      <c r="B1361" s="1" t="n">
        <v>44596</v>
      </c>
      <c r="C1361" s="1" t="n">
        <v>45292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5828-2022</t>
        </is>
      </c>
      <c r="B1362" s="1" t="n">
        <v>44596</v>
      </c>
      <c r="C1362" s="1" t="n">
        <v>45292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5972-2022</t>
        </is>
      </c>
      <c r="B1363" s="1" t="n">
        <v>44599</v>
      </c>
      <c r="C1363" s="1" t="n">
        <v>45292</v>
      </c>
      <c r="D1363" t="inlineStr">
        <is>
          <t>VÄSTERBOTTENS LÄN</t>
        </is>
      </c>
      <c r="E1363" t="inlineStr">
        <is>
          <t>SKELLEFTEÅ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6635-2022</t>
        </is>
      </c>
      <c r="B1364" s="1" t="n">
        <v>44601</v>
      </c>
      <c r="C1364" s="1" t="n">
        <v>45292</v>
      </c>
      <c r="D1364" t="inlineStr">
        <is>
          <t>VÄSTERBOTTENS LÄN</t>
        </is>
      </c>
      <c r="E1364" t="inlineStr">
        <is>
          <t>SKELLEFTEÅ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6666-2022</t>
        </is>
      </c>
      <c r="B1365" s="1" t="n">
        <v>44602</v>
      </c>
      <c r="C1365" s="1" t="n">
        <v>45292</v>
      </c>
      <c r="D1365" t="inlineStr">
        <is>
          <t>VÄSTERBOTTENS LÄN</t>
        </is>
      </c>
      <c r="E1365" t="inlineStr">
        <is>
          <t>SKELLEFTEÅ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6837-2022</t>
        </is>
      </c>
      <c r="B1366" s="1" t="n">
        <v>44602</v>
      </c>
      <c r="C1366" s="1" t="n">
        <v>45292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6834-2022</t>
        </is>
      </c>
      <c r="B1367" s="1" t="n">
        <v>44602</v>
      </c>
      <c r="C1367" s="1" t="n">
        <v>45292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7006-2022</t>
        </is>
      </c>
      <c r="B1368" s="1" t="n">
        <v>44602</v>
      </c>
      <c r="C1368" s="1" t="n">
        <v>45292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7052-2022</t>
        </is>
      </c>
      <c r="B1369" s="1" t="n">
        <v>44603</v>
      </c>
      <c r="C1369" s="1" t="n">
        <v>45292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7127-2022</t>
        </is>
      </c>
      <c r="B1370" s="1" t="n">
        <v>44603</v>
      </c>
      <c r="C1370" s="1" t="n">
        <v>45292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7462-2022</t>
        </is>
      </c>
      <c r="B1371" s="1" t="n">
        <v>44606</v>
      </c>
      <c r="C1371" s="1" t="n">
        <v>45292</v>
      </c>
      <c r="D1371" t="inlineStr">
        <is>
          <t>VÄSTERBOTTENS LÄN</t>
        </is>
      </c>
      <c r="E1371" t="inlineStr">
        <is>
          <t>SKELLEFTEÅ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7495-2022</t>
        </is>
      </c>
      <c r="B1372" s="1" t="n">
        <v>44607</v>
      </c>
      <c r="C1372" s="1" t="n">
        <v>45292</v>
      </c>
      <c r="D1372" t="inlineStr">
        <is>
          <t>VÄSTERBOTTENS LÄN</t>
        </is>
      </c>
      <c r="E1372" t="inlineStr">
        <is>
          <t>SKELLEFTEÅ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7518-2022</t>
        </is>
      </c>
      <c r="B1373" s="1" t="n">
        <v>44607</v>
      </c>
      <c r="C1373" s="1" t="n">
        <v>45292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7579-2022</t>
        </is>
      </c>
      <c r="B1374" s="1" t="n">
        <v>44607</v>
      </c>
      <c r="C1374" s="1" t="n">
        <v>45292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8023-2022</t>
        </is>
      </c>
      <c r="B1375" s="1" t="n">
        <v>44609</v>
      </c>
      <c r="C1375" s="1" t="n">
        <v>45292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Kyrkan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8203-2022</t>
        </is>
      </c>
      <c r="B1376" s="1" t="n">
        <v>44609</v>
      </c>
      <c r="C1376" s="1" t="n">
        <v>45292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8456-2022</t>
        </is>
      </c>
      <c r="B1377" s="1" t="n">
        <v>44612</v>
      </c>
      <c r="C1377" s="1" t="n">
        <v>45292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8436-2022</t>
        </is>
      </c>
      <c r="B1378" s="1" t="n">
        <v>44612</v>
      </c>
      <c r="C1378" s="1" t="n">
        <v>45292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8600-2022</t>
        </is>
      </c>
      <c r="B1379" s="1" t="n">
        <v>44613</v>
      </c>
      <c r="C1379" s="1" t="n">
        <v>45292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8603-2022</t>
        </is>
      </c>
      <c r="B1380" s="1" t="n">
        <v>44613</v>
      </c>
      <c r="C1380" s="1" t="n">
        <v>45292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8598-2022</t>
        </is>
      </c>
      <c r="B1381" s="1" t="n">
        <v>44613</v>
      </c>
      <c r="C1381" s="1" t="n">
        <v>45292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8595-2022</t>
        </is>
      </c>
      <c r="B1382" s="1" t="n">
        <v>44613</v>
      </c>
      <c r="C1382" s="1" t="n">
        <v>45292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8539-2022</t>
        </is>
      </c>
      <c r="B1383" s="1" t="n">
        <v>44613</v>
      </c>
      <c r="C1383" s="1" t="n">
        <v>45292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9053-2022</t>
        </is>
      </c>
      <c r="B1384" s="1" t="n">
        <v>44615</v>
      </c>
      <c r="C1384" s="1" t="n">
        <v>45292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9500-2022</t>
        </is>
      </c>
      <c r="B1385" s="1" t="n">
        <v>44616</v>
      </c>
      <c r="C1385" s="1" t="n">
        <v>45292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9579-2022</t>
        </is>
      </c>
      <c r="B1386" s="1" t="n">
        <v>44617</v>
      </c>
      <c r="C1386" s="1" t="n">
        <v>45292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9925-2022</t>
        </is>
      </c>
      <c r="B1387" s="1" t="n">
        <v>44620</v>
      </c>
      <c r="C1387" s="1" t="n">
        <v>45292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9950-2022</t>
        </is>
      </c>
      <c r="B1388" s="1" t="n">
        <v>44620</v>
      </c>
      <c r="C1388" s="1" t="n">
        <v>45292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10132-2022</t>
        </is>
      </c>
      <c r="B1389" s="1" t="n">
        <v>44621</v>
      </c>
      <c r="C1389" s="1" t="n">
        <v>45292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10578-2022</t>
        </is>
      </c>
      <c r="B1390" s="1" t="n">
        <v>44624</v>
      </c>
      <c r="C1390" s="1" t="n">
        <v>45292</v>
      </c>
      <c r="D1390" t="inlineStr">
        <is>
          <t>VÄSTERBOTTENS LÄN</t>
        </is>
      </c>
      <c r="E1390" t="inlineStr">
        <is>
          <t>SKELLEFTEÅ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10568-2022</t>
        </is>
      </c>
      <c r="B1391" s="1" t="n">
        <v>44624</v>
      </c>
      <c r="C1391" s="1" t="n">
        <v>45292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10723-2022</t>
        </is>
      </c>
      <c r="B1392" s="1" t="n">
        <v>44624</v>
      </c>
      <c r="C1392" s="1" t="n">
        <v>45292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11226-2022</t>
        </is>
      </c>
      <c r="B1393" s="1" t="n">
        <v>44624</v>
      </c>
      <c r="C1393" s="1" t="n">
        <v>45292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11260-2022</t>
        </is>
      </c>
      <c r="B1394" s="1" t="n">
        <v>44629</v>
      </c>
      <c r="C1394" s="1" t="n">
        <v>45292</v>
      </c>
      <c r="D1394" t="inlineStr">
        <is>
          <t>VÄSTERBOTTENS LÄN</t>
        </is>
      </c>
      <c r="E1394" t="inlineStr">
        <is>
          <t>SKELLEFTEÅ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11468-2022</t>
        </is>
      </c>
      <c r="B1395" s="1" t="n">
        <v>44630</v>
      </c>
      <c r="C1395" s="1" t="n">
        <v>45292</v>
      </c>
      <c r="D1395" t="inlineStr">
        <is>
          <t>VÄSTERBOTTENS LÄN</t>
        </is>
      </c>
      <c r="E1395" t="inlineStr">
        <is>
          <t>SKELLEFTEÅ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11685-2022</t>
        </is>
      </c>
      <c r="B1396" s="1" t="n">
        <v>44634</v>
      </c>
      <c r="C1396" s="1" t="n">
        <v>45292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11790-2022</t>
        </is>
      </c>
      <c r="B1397" s="1" t="n">
        <v>44634</v>
      </c>
      <c r="C1397" s="1" t="n">
        <v>45292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11879-2022</t>
        </is>
      </c>
      <c r="B1398" s="1" t="n">
        <v>44635</v>
      </c>
      <c r="C1398" s="1" t="n">
        <v>45292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12009-2022</t>
        </is>
      </c>
      <c r="B1399" s="1" t="n">
        <v>44635</v>
      </c>
      <c r="C1399" s="1" t="n">
        <v>45292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12326-2022</t>
        </is>
      </c>
      <c r="B1400" s="1" t="n">
        <v>44637</v>
      </c>
      <c r="C1400" s="1" t="n">
        <v>45292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12512-2022</t>
        </is>
      </c>
      <c r="B1401" s="1" t="n">
        <v>44638</v>
      </c>
      <c r="C1401" s="1" t="n">
        <v>45292</v>
      </c>
      <c r="D1401" t="inlineStr">
        <is>
          <t>VÄSTERBOTTENS LÄN</t>
        </is>
      </c>
      <c r="E1401" t="inlineStr">
        <is>
          <t>SKELLEFTEÅ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12518-2022</t>
        </is>
      </c>
      <c r="B1402" s="1" t="n">
        <v>44638</v>
      </c>
      <c r="C1402" s="1" t="n">
        <v>45292</v>
      </c>
      <c r="D1402" t="inlineStr">
        <is>
          <t>VÄSTERBOTTENS LÄN</t>
        </is>
      </c>
      <c r="E1402" t="inlineStr">
        <is>
          <t>SKELLEFTEÅ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12529-2022</t>
        </is>
      </c>
      <c r="B1403" s="1" t="n">
        <v>44638</v>
      </c>
      <c r="C1403" s="1" t="n">
        <v>45292</v>
      </c>
      <c r="D1403" t="inlineStr">
        <is>
          <t>VÄSTERBOTTENS LÄN</t>
        </is>
      </c>
      <c r="E1403" t="inlineStr">
        <is>
          <t>SKELLEFTEÅ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12516-2022</t>
        </is>
      </c>
      <c r="B1404" s="1" t="n">
        <v>44638</v>
      </c>
      <c r="C1404" s="1" t="n">
        <v>45292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12511-2022</t>
        </is>
      </c>
      <c r="B1405" s="1" t="n">
        <v>44638</v>
      </c>
      <c r="C1405" s="1" t="n">
        <v>45292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12509-2022</t>
        </is>
      </c>
      <c r="B1406" s="1" t="n">
        <v>44638</v>
      </c>
      <c r="C1406" s="1" t="n">
        <v>45292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12715-2022</t>
        </is>
      </c>
      <c r="B1407" s="1" t="n">
        <v>44641</v>
      </c>
      <c r="C1407" s="1" t="n">
        <v>45292</v>
      </c>
      <c r="D1407" t="inlineStr">
        <is>
          <t>VÄSTERBOTTENS LÄN</t>
        </is>
      </c>
      <c r="E1407" t="inlineStr">
        <is>
          <t>SKELLEFTEÅ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12963-2022</t>
        </is>
      </c>
      <c r="B1408" s="1" t="n">
        <v>44642</v>
      </c>
      <c r="C1408" s="1" t="n">
        <v>45292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13131-2022</t>
        </is>
      </c>
      <c r="B1409" s="1" t="n">
        <v>44644</v>
      </c>
      <c r="C1409" s="1" t="n">
        <v>45292</v>
      </c>
      <c r="D1409" t="inlineStr">
        <is>
          <t>VÄSTERBOTTENS LÄN</t>
        </is>
      </c>
      <c r="E1409" t="inlineStr">
        <is>
          <t>SKELLEFTEÅ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13430-2022</t>
        </is>
      </c>
      <c r="B1410" s="1" t="n">
        <v>44645</v>
      </c>
      <c r="C1410" s="1" t="n">
        <v>45292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13391-2022</t>
        </is>
      </c>
      <c r="B1411" s="1" t="n">
        <v>44645</v>
      </c>
      <c r="C1411" s="1" t="n">
        <v>45292</v>
      </c>
      <c r="D1411" t="inlineStr">
        <is>
          <t>VÄSTERBOTTENS LÄN</t>
        </is>
      </c>
      <c r="E1411" t="inlineStr">
        <is>
          <t>SKELLEFTEÅ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13530-2022</t>
        </is>
      </c>
      <c r="B1412" s="1" t="n">
        <v>44648</v>
      </c>
      <c r="C1412" s="1" t="n">
        <v>45292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13693-2022</t>
        </is>
      </c>
      <c r="B1413" s="1" t="n">
        <v>44648</v>
      </c>
      <c r="C1413" s="1" t="n">
        <v>45292</v>
      </c>
      <c r="D1413" t="inlineStr">
        <is>
          <t>VÄSTERBOTTENS LÄN</t>
        </is>
      </c>
      <c r="E1413" t="inlineStr">
        <is>
          <t>SKELLEFTEÅ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14088-2022</t>
        </is>
      </c>
      <c r="B1414" s="1" t="n">
        <v>44650</v>
      </c>
      <c r="C1414" s="1" t="n">
        <v>45292</v>
      </c>
      <c r="D1414" t="inlineStr">
        <is>
          <t>VÄSTERBOTTENS LÄN</t>
        </is>
      </c>
      <c r="E1414" t="inlineStr">
        <is>
          <t>SKELLEFTEÅ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14096-2022</t>
        </is>
      </c>
      <c r="B1415" s="1" t="n">
        <v>44651</v>
      </c>
      <c r="C1415" s="1" t="n">
        <v>45292</v>
      </c>
      <c r="D1415" t="inlineStr">
        <is>
          <t>VÄSTERBOTTENS LÄN</t>
        </is>
      </c>
      <c r="E1415" t="inlineStr">
        <is>
          <t>SKELLEFTEÅ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14627-2022</t>
        </is>
      </c>
      <c r="B1416" s="1" t="n">
        <v>44655</v>
      </c>
      <c r="C1416" s="1" t="n">
        <v>45292</v>
      </c>
      <c r="D1416" t="inlineStr">
        <is>
          <t>VÄSTERBOTTENS LÄN</t>
        </is>
      </c>
      <c r="E1416" t="inlineStr">
        <is>
          <t>SKELLEFTEÅ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14759-2022</t>
        </is>
      </c>
      <c r="B1417" s="1" t="n">
        <v>44656</v>
      </c>
      <c r="C1417" s="1" t="n">
        <v>45292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45292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14952-2022</t>
        </is>
      </c>
      <c r="B1419" s="1" t="n">
        <v>44657</v>
      </c>
      <c r="C1419" s="1" t="n">
        <v>45292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15441-2022</t>
        </is>
      </c>
      <c r="B1420" s="1" t="n">
        <v>44659</v>
      </c>
      <c r="C1420" s="1" t="n">
        <v>45292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15740-2022</t>
        </is>
      </c>
      <c r="B1421" s="1" t="n">
        <v>44663</v>
      </c>
      <c r="C1421" s="1" t="n">
        <v>45292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16139-2022</t>
        </is>
      </c>
      <c r="B1422" s="1" t="n">
        <v>44665</v>
      </c>
      <c r="C1422" s="1" t="n">
        <v>45292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16198-2022</t>
        </is>
      </c>
      <c r="B1423" s="1" t="n">
        <v>44665</v>
      </c>
      <c r="C1423" s="1" t="n">
        <v>45292</v>
      </c>
      <c r="D1423" t="inlineStr">
        <is>
          <t>VÄSTERBOTTENS LÄN</t>
        </is>
      </c>
      <c r="E1423" t="inlineStr">
        <is>
          <t>SKELLEFTEÅ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16653-2022</t>
        </is>
      </c>
      <c r="B1424" s="1" t="n">
        <v>44672</v>
      </c>
      <c r="C1424" s="1" t="n">
        <v>45292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16802-2022</t>
        </is>
      </c>
      <c r="B1425" s="1" t="n">
        <v>44673</v>
      </c>
      <c r="C1425" s="1" t="n">
        <v>45292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16837-2022</t>
        </is>
      </c>
      <c r="B1426" s="1" t="n">
        <v>44674</v>
      </c>
      <c r="C1426" s="1" t="n">
        <v>45292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16750-2022</t>
        </is>
      </c>
      <c r="B1427" s="1" t="n">
        <v>44673</v>
      </c>
      <c r="C1427" s="1" t="n">
        <v>45292</v>
      </c>
      <c r="D1427" t="inlineStr">
        <is>
          <t>VÄSTERBOTTENS LÄN</t>
        </is>
      </c>
      <c r="E1427" t="inlineStr">
        <is>
          <t>SKELLEFTEÅ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16842-2022</t>
        </is>
      </c>
      <c r="B1428" s="1" t="n">
        <v>44674</v>
      </c>
      <c r="C1428" s="1" t="n">
        <v>45292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17197-2022</t>
        </is>
      </c>
      <c r="B1429" s="1" t="n">
        <v>44677</v>
      </c>
      <c r="C1429" s="1" t="n">
        <v>45292</v>
      </c>
      <c r="D1429" t="inlineStr">
        <is>
          <t>VÄSTERBOTTENS LÄN</t>
        </is>
      </c>
      <c r="E1429" t="inlineStr">
        <is>
          <t>SKELLEFTEÅ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17257-2022</t>
        </is>
      </c>
      <c r="B1430" s="1" t="n">
        <v>44678</v>
      </c>
      <c r="C1430" s="1" t="n">
        <v>45292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17251-2022</t>
        </is>
      </c>
      <c r="B1431" s="1" t="n">
        <v>44678</v>
      </c>
      <c r="C1431" s="1" t="n">
        <v>45292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18056-2022</t>
        </is>
      </c>
      <c r="B1432" s="1" t="n">
        <v>44684</v>
      </c>
      <c r="C1432" s="1" t="n">
        <v>45292</v>
      </c>
      <c r="D1432" t="inlineStr">
        <is>
          <t>VÄSTERBOTTENS LÄN</t>
        </is>
      </c>
      <c r="E1432" t="inlineStr">
        <is>
          <t>SKELLEFTEÅ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18070-2022</t>
        </is>
      </c>
      <c r="B1433" s="1" t="n">
        <v>44684</v>
      </c>
      <c r="C1433" s="1" t="n">
        <v>45292</v>
      </c>
      <c r="D1433" t="inlineStr">
        <is>
          <t>VÄSTERBOTTENS LÄN</t>
        </is>
      </c>
      <c r="E1433" t="inlineStr">
        <is>
          <t>SKELLEFTEÅ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18046-2022</t>
        </is>
      </c>
      <c r="B1434" s="1" t="n">
        <v>44684</v>
      </c>
      <c r="C1434" s="1" t="n">
        <v>45292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18081-2022</t>
        </is>
      </c>
      <c r="B1435" s="1" t="n">
        <v>44684</v>
      </c>
      <c r="C1435" s="1" t="n">
        <v>45292</v>
      </c>
      <c r="D1435" t="inlineStr">
        <is>
          <t>VÄSTERBOTTENS LÄN</t>
        </is>
      </c>
      <c r="E1435" t="inlineStr">
        <is>
          <t>SKELLEFTEÅ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18255-2022</t>
        </is>
      </c>
      <c r="B1436" s="1" t="n">
        <v>44685</v>
      </c>
      <c r="C1436" s="1" t="n">
        <v>45292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18584-2022</t>
        </is>
      </c>
      <c r="B1437" s="1" t="n">
        <v>44687</v>
      </c>
      <c r="C1437" s="1" t="n">
        <v>45292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18661-2022</t>
        </is>
      </c>
      <c r="B1438" s="1" t="n">
        <v>44687</v>
      </c>
      <c r="C1438" s="1" t="n">
        <v>45292</v>
      </c>
      <c r="D1438" t="inlineStr">
        <is>
          <t>VÄSTERBOTTENS LÄN</t>
        </is>
      </c>
      <c r="E1438" t="inlineStr">
        <is>
          <t>SKELLEFTEÅ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19804-2022</t>
        </is>
      </c>
      <c r="B1439" s="1" t="n">
        <v>44694</v>
      </c>
      <c r="C1439" s="1" t="n">
        <v>45292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19805-2022</t>
        </is>
      </c>
      <c r="B1440" s="1" t="n">
        <v>44694</v>
      </c>
      <c r="C1440" s="1" t="n">
        <v>45292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19870-2022</t>
        </is>
      </c>
      <c r="B1441" s="1" t="n">
        <v>44694</v>
      </c>
      <c r="C1441" s="1" t="n">
        <v>45292</v>
      </c>
      <c r="D1441" t="inlineStr">
        <is>
          <t>VÄSTERBOTTENS LÄN</t>
        </is>
      </c>
      <c r="E1441" t="inlineStr">
        <is>
          <t>SKELLEFTEÅ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20515-2022</t>
        </is>
      </c>
      <c r="B1442" s="1" t="n">
        <v>44699</v>
      </c>
      <c r="C1442" s="1" t="n">
        <v>45292</v>
      </c>
      <c r="D1442" t="inlineStr">
        <is>
          <t>VÄSTERBOTTENS LÄN</t>
        </is>
      </c>
      <c r="E1442" t="inlineStr">
        <is>
          <t>SKELLEFTEÅ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20638-2022</t>
        </is>
      </c>
      <c r="B1443" s="1" t="n">
        <v>44700</v>
      </c>
      <c r="C1443" s="1" t="n">
        <v>45292</v>
      </c>
      <c r="D1443" t="inlineStr">
        <is>
          <t>VÄSTERBOTTENS LÄN</t>
        </is>
      </c>
      <c r="E1443" t="inlineStr">
        <is>
          <t>SKELLEFTEÅ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20654-2022</t>
        </is>
      </c>
      <c r="B1444" s="1" t="n">
        <v>44700</v>
      </c>
      <c r="C1444" s="1" t="n">
        <v>45292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20610-2022</t>
        </is>
      </c>
      <c r="B1445" s="1" t="n">
        <v>44700</v>
      </c>
      <c r="C1445" s="1" t="n">
        <v>45292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21035-2022</t>
        </is>
      </c>
      <c r="B1446" s="1" t="n">
        <v>44704</v>
      </c>
      <c r="C1446" s="1" t="n">
        <v>45292</v>
      </c>
      <c r="D1446" t="inlineStr">
        <is>
          <t>VÄSTERBOTTENS LÄN</t>
        </is>
      </c>
      <c r="E1446" t="inlineStr">
        <is>
          <t>SKELLEFTEÅ</t>
        </is>
      </c>
      <c r="G1446" t="n">
        <v>26.9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21136-2022</t>
        </is>
      </c>
      <c r="B1447" s="1" t="n">
        <v>44704</v>
      </c>
      <c r="C1447" s="1" t="n">
        <v>45292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21395-2022</t>
        </is>
      </c>
      <c r="B1448" s="1" t="n">
        <v>44706</v>
      </c>
      <c r="C1448" s="1" t="n">
        <v>45292</v>
      </c>
      <c r="D1448" t="inlineStr">
        <is>
          <t>VÄSTERBOTTENS LÄN</t>
        </is>
      </c>
      <c r="E1448" t="inlineStr">
        <is>
          <t>SKELLEFTEÅ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21539-2022</t>
        </is>
      </c>
      <c r="B1449" s="1" t="n">
        <v>44706</v>
      </c>
      <c r="C1449" s="1" t="n">
        <v>45292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21843-2022</t>
        </is>
      </c>
      <c r="B1450" s="1" t="n">
        <v>44711</v>
      </c>
      <c r="C1450" s="1" t="n">
        <v>45292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21882-2022</t>
        </is>
      </c>
      <c r="B1451" s="1" t="n">
        <v>44711</v>
      </c>
      <c r="C1451" s="1" t="n">
        <v>45292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21883-2022</t>
        </is>
      </c>
      <c r="B1452" s="1" t="n">
        <v>44711</v>
      </c>
      <c r="C1452" s="1" t="n">
        <v>45292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21842-2022</t>
        </is>
      </c>
      <c r="B1453" s="1" t="n">
        <v>44711</v>
      </c>
      <c r="C1453" s="1" t="n">
        <v>45292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</v>
      </c>
      <c r="C1454" s="1" t="n">
        <v>45292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22373-2022</t>
        </is>
      </c>
      <c r="B1455" s="1" t="n">
        <v>44713</v>
      </c>
      <c r="C1455" s="1" t="n">
        <v>45292</v>
      </c>
      <c r="D1455" t="inlineStr">
        <is>
          <t>VÄSTERBOTTENS LÄN</t>
        </is>
      </c>
      <c r="E1455" t="inlineStr">
        <is>
          <t>SKELLEFTEÅ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22364-2022</t>
        </is>
      </c>
      <c r="B1456" s="1" t="n">
        <v>44713</v>
      </c>
      <c r="C1456" s="1" t="n">
        <v>45292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22661-2022</t>
        </is>
      </c>
      <c r="B1457" s="1" t="n">
        <v>44714</v>
      </c>
      <c r="C1457" s="1" t="n">
        <v>45292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22618-2022</t>
        </is>
      </c>
      <c r="B1458" s="1" t="n">
        <v>44714</v>
      </c>
      <c r="C1458" s="1" t="n">
        <v>45292</v>
      </c>
      <c r="D1458" t="inlineStr">
        <is>
          <t>VÄSTERBOTTENS LÄN</t>
        </is>
      </c>
      <c r="E1458" t="inlineStr">
        <is>
          <t>SKELLEFTEÅ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22758-2022</t>
        </is>
      </c>
      <c r="B1459" s="1" t="n">
        <v>44714</v>
      </c>
      <c r="C1459" s="1" t="n">
        <v>45292</v>
      </c>
      <c r="D1459" t="inlineStr">
        <is>
          <t>VÄSTERBOTTENS LÄN</t>
        </is>
      </c>
      <c r="E1459" t="inlineStr">
        <is>
          <t>SKELLEFTEÅ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22760-2022</t>
        </is>
      </c>
      <c r="B1460" s="1" t="n">
        <v>44714</v>
      </c>
      <c r="C1460" s="1" t="n">
        <v>45292</v>
      </c>
      <c r="D1460" t="inlineStr">
        <is>
          <t>VÄSTERBOTTENS LÄN</t>
        </is>
      </c>
      <c r="E1460" t="inlineStr">
        <is>
          <t>SKELLEFTEÅ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22822-2022</t>
        </is>
      </c>
      <c r="B1461" s="1" t="n">
        <v>44714</v>
      </c>
      <c r="C1461" s="1" t="n">
        <v>45292</v>
      </c>
      <c r="D1461" t="inlineStr">
        <is>
          <t>VÄSTERBOTTENS LÄN</t>
        </is>
      </c>
      <c r="E1461" t="inlineStr">
        <is>
          <t>SKELLEFTEÅ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22763-2022</t>
        </is>
      </c>
      <c r="B1462" s="1" t="n">
        <v>44715</v>
      </c>
      <c r="C1462" s="1" t="n">
        <v>45292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22828-2022</t>
        </is>
      </c>
      <c r="B1463" s="1" t="n">
        <v>44714</v>
      </c>
      <c r="C1463" s="1" t="n">
        <v>45292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22896-2022</t>
        </is>
      </c>
      <c r="B1464" s="1" t="n">
        <v>44715</v>
      </c>
      <c r="C1464" s="1" t="n">
        <v>45292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23042-2022</t>
        </is>
      </c>
      <c r="B1465" s="1" t="n">
        <v>44719</v>
      </c>
      <c r="C1465" s="1" t="n">
        <v>45292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23046-2022</t>
        </is>
      </c>
      <c r="B1466" s="1" t="n">
        <v>44719</v>
      </c>
      <c r="C1466" s="1" t="n">
        <v>45292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23513-2022</t>
        </is>
      </c>
      <c r="B1467" s="1" t="n">
        <v>44721</v>
      </c>
      <c r="C1467" s="1" t="n">
        <v>45292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23715-2022</t>
        </is>
      </c>
      <c r="B1468" s="1" t="n">
        <v>44721</v>
      </c>
      <c r="C1468" s="1" t="n">
        <v>45292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23729-2022</t>
        </is>
      </c>
      <c r="B1469" s="1" t="n">
        <v>44722</v>
      </c>
      <c r="C1469" s="1" t="n">
        <v>45292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24238-2022</t>
        </is>
      </c>
      <c r="B1470" s="1" t="n">
        <v>44725</v>
      </c>
      <c r="C1470" s="1" t="n">
        <v>45292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24323-2022</t>
        </is>
      </c>
      <c r="B1471" s="1" t="n">
        <v>44725</v>
      </c>
      <c r="C1471" s="1" t="n">
        <v>45292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24242-2022</t>
        </is>
      </c>
      <c r="B1472" s="1" t="n">
        <v>44725</v>
      </c>
      <c r="C1472" s="1" t="n">
        <v>45292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Övriga Aktiebolag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24505-2022</t>
        </is>
      </c>
      <c r="B1473" s="1" t="n">
        <v>44727</v>
      </c>
      <c r="C1473" s="1" t="n">
        <v>45292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24577-2022</t>
        </is>
      </c>
      <c r="B1474" s="1" t="n">
        <v>44727</v>
      </c>
      <c r="C1474" s="1" t="n">
        <v>45292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24583-2022</t>
        </is>
      </c>
      <c r="B1475" s="1" t="n">
        <v>44727</v>
      </c>
      <c r="C1475" s="1" t="n">
        <v>45292</v>
      </c>
      <c r="D1475" t="inlineStr">
        <is>
          <t>VÄSTERBOTTENS LÄN</t>
        </is>
      </c>
      <c r="E1475" t="inlineStr">
        <is>
          <t>SKELLEFTEÅ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24663-2022</t>
        </is>
      </c>
      <c r="B1476" s="1" t="n">
        <v>44728</v>
      </c>
      <c r="C1476" s="1" t="n">
        <v>45292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24832-2022</t>
        </is>
      </c>
      <c r="B1477" s="1" t="n">
        <v>44728</v>
      </c>
      <c r="C1477" s="1" t="n">
        <v>45292</v>
      </c>
      <c r="D1477" t="inlineStr">
        <is>
          <t>VÄSTERBOTTENS LÄN</t>
        </is>
      </c>
      <c r="E1477" t="inlineStr">
        <is>
          <t>SKELLEFTEÅ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24899-2022</t>
        </is>
      </c>
      <c r="B1478" s="1" t="n">
        <v>44728</v>
      </c>
      <c r="C1478" s="1" t="n">
        <v>45292</v>
      </c>
      <c r="D1478" t="inlineStr">
        <is>
          <t>VÄSTERBOTTENS LÄN</t>
        </is>
      </c>
      <c r="E1478" t="inlineStr">
        <is>
          <t>SKELLEFTEÅ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24941-2022</t>
        </is>
      </c>
      <c r="B1479" s="1" t="n">
        <v>44728</v>
      </c>
      <c r="C1479" s="1" t="n">
        <v>45292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25009-2022</t>
        </is>
      </c>
      <c r="B1480" s="1" t="n">
        <v>44729</v>
      </c>
      <c r="C1480" s="1" t="n">
        <v>45292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25182-2022</t>
        </is>
      </c>
      <c r="B1481" s="1" t="n">
        <v>44729</v>
      </c>
      <c r="C1481" s="1" t="n">
        <v>45292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25207-2022</t>
        </is>
      </c>
      <c r="B1482" s="1" t="n">
        <v>44729</v>
      </c>
      <c r="C1482" s="1" t="n">
        <v>45292</v>
      </c>
      <c r="D1482" t="inlineStr">
        <is>
          <t>VÄSTERBOTTENS LÄN</t>
        </is>
      </c>
      <c r="E1482" t="inlineStr">
        <is>
          <t>SKELLEFTEÅ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25336-2022</t>
        </is>
      </c>
      <c r="B1483" s="1" t="n">
        <v>44732</v>
      </c>
      <c r="C1483" s="1" t="n">
        <v>45292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25404-2022</t>
        </is>
      </c>
      <c r="B1484" s="1" t="n">
        <v>44732</v>
      </c>
      <c r="C1484" s="1" t="n">
        <v>45292</v>
      </c>
      <c r="D1484" t="inlineStr">
        <is>
          <t>VÄSTERBOTTENS LÄN</t>
        </is>
      </c>
      <c r="E1484" t="inlineStr">
        <is>
          <t>SKELLEFTEÅ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25568-2022</t>
        </is>
      </c>
      <c r="B1485" s="1" t="n">
        <v>44732</v>
      </c>
      <c r="C1485" s="1" t="n">
        <v>45292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25596-2022</t>
        </is>
      </c>
      <c r="B1486" s="1" t="n">
        <v>44732</v>
      </c>
      <c r="C1486" s="1" t="n">
        <v>45292</v>
      </c>
      <c r="D1486" t="inlineStr">
        <is>
          <t>VÄSTERBOTTENS LÄN</t>
        </is>
      </c>
      <c r="E1486" t="inlineStr">
        <is>
          <t>SKELLEFTEÅ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25674-2022</t>
        </is>
      </c>
      <c r="B1487" s="1" t="n">
        <v>44732</v>
      </c>
      <c r="C1487" s="1" t="n">
        <v>45292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26031-2022</t>
        </is>
      </c>
      <c r="B1488" s="1" t="n">
        <v>44734</v>
      </c>
      <c r="C1488" s="1" t="n">
        <v>45292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26203-2022</t>
        </is>
      </c>
      <c r="B1489" s="1" t="n">
        <v>44735</v>
      </c>
      <c r="C1489" s="1" t="n">
        <v>45292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26166-2022</t>
        </is>
      </c>
      <c r="B1490" s="1" t="n">
        <v>44735</v>
      </c>
      <c r="C1490" s="1" t="n">
        <v>45292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26545-2022</t>
        </is>
      </c>
      <c r="B1491" s="1" t="n">
        <v>44739</v>
      </c>
      <c r="C1491" s="1" t="n">
        <v>45292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26483-2022</t>
        </is>
      </c>
      <c r="B1492" s="1" t="n">
        <v>44739</v>
      </c>
      <c r="C1492" s="1" t="n">
        <v>45292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26798-2022</t>
        </is>
      </c>
      <c r="B1493" s="1" t="n">
        <v>44740</v>
      </c>
      <c r="C1493" s="1" t="n">
        <v>45292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26807-2022</t>
        </is>
      </c>
      <c r="B1494" s="1" t="n">
        <v>44740</v>
      </c>
      <c r="C1494" s="1" t="n">
        <v>45292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26803-2022</t>
        </is>
      </c>
      <c r="B1495" s="1" t="n">
        <v>44740</v>
      </c>
      <c r="C1495" s="1" t="n">
        <v>45292</v>
      </c>
      <c r="D1495" t="inlineStr">
        <is>
          <t>VÄSTERBOTTENS LÄN</t>
        </is>
      </c>
      <c r="E1495" t="inlineStr">
        <is>
          <t>SKELLEFTEÅ</t>
        </is>
      </c>
      <c r="G1495" t="n">
        <v>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26881-2022</t>
        </is>
      </c>
      <c r="B1496" s="1" t="n">
        <v>44740</v>
      </c>
      <c r="C1496" s="1" t="n">
        <v>45292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26999-2022</t>
        </is>
      </c>
      <c r="B1497" s="1" t="n">
        <v>44740</v>
      </c>
      <c r="C1497" s="1" t="n">
        <v>45292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27003-2022</t>
        </is>
      </c>
      <c r="B1498" s="1" t="n">
        <v>44741</v>
      </c>
      <c r="C1498" s="1" t="n">
        <v>45292</v>
      </c>
      <c r="D1498" t="inlineStr">
        <is>
          <t>VÄSTERBOTTENS LÄN</t>
        </is>
      </c>
      <c r="E1498" t="inlineStr">
        <is>
          <t>SKELLEFTEÅ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27028-2022</t>
        </is>
      </c>
      <c r="B1499" s="1" t="n">
        <v>44740</v>
      </c>
      <c r="C1499" s="1" t="n">
        <v>45292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SCA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27002-2022</t>
        </is>
      </c>
      <c r="B1500" s="1" t="n">
        <v>44740</v>
      </c>
      <c r="C1500" s="1" t="n">
        <v>45292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27265-2022</t>
        </is>
      </c>
      <c r="B1501" s="1" t="n">
        <v>44741</v>
      </c>
      <c r="C1501" s="1" t="n">
        <v>45292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27555-2022</t>
        </is>
      </c>
      <c r="B1502" s="1" t="n">
        <v>44743</v>
      </c>
      <c r="C1502" s="1" t="n">
        <v>45292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Kommuner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27560-2022</t>
        </is>
      </c>
      <c r="B1503" s="1" t="n">
        <v>44743</v>
      </c>
      <c r="C1503" s="1" t="n">
        <v>45292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27817-2022</t>
        </is>
      </c>
      <c r="B1504" s="1" t="n">
        <v>44743</v>
      </c>
      <c r="C1504" s="1" t="n">
        <v>45292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27637-2022</t>
        </is>
      </c>
      <c r="B1505" s="1" t="n">
        <v>44743</v>
      </c>
      <c r="C1505" s="1" t="n">
        <v>45292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27672-2022</t>
        </is>
      </c>
      <c r="B1506" s="1" t="n">
        <v>44743</v>
      </c>
      <c r="C1506" s="1" t="n">
        <v>45292</v>
      </c>
      <c r="D1506" t="inlineStr">
        <is>
          <t>VÄSTERBOTTENS LÄN</t>
        </is>
      </c>
      <c r="E1506" t="inlineStr">
        <is>
          <t>SKELLEFTEÅ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27631-2022</t>
        </is>
      </c>
      <c r="B1507" s="1" t="n">
        <v>44743</v>
      </c>
      <c r="C1507" s="1" t="n">
        <v>45292</v>
      </c>
      <c r="D1507" t="inlineStr">
        <is>
          <t>VÄSTERBOTTENS LÄN</t>
        </is>
      </c>
      <c r="E1507" t="inlineStr">
        <is>
          <t>SKELLEFTEÅ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27636-2022</t>
        </is>
      </c>
      <c r="B1508" s="1" t="n">
        <v>44743</v>
      </c>
      <c r="C1508" s="1" t="n">
        <v>45292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27907-2022</t>
        </is>
      </c>
      <c r="B1509" s="1" t="n">
        <v>44743</v>
      </c>
      <c r="C1509" s="1" t="n">
        <v>45292</v>
      </c>
      <c r="D1509" t="inlineStr">
        <is>
          <t>VÄSTERBOTTENS LÄN</t>
        </is>
      </c>
      <c r="E1509" t="inlineStr">
        <is>
          <t>SKELLEFTEÅ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27901-2022</t>
        </is>
      </c>
      <c r="B1510" s="1" t="n">
        <v>44743</v>
      </c>
      <c r="C1510" s="1" t="n">
        <v>45292</v>
      </c>
      <c r="D1510" t="inlineStr">
        <is>
          <t>VÄSTERBOTTENS LÄN</t>
        </is>
      </c>
      <c r="E1510" t="inlineStr">
        <is>
          <t>SKELLEFTEÅ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28352-2022</t>
        </is>
      </c>
      <c r="B1511" s="1" t="n">
        <v>44747</v>
      </c>
      <c r="C1511" s="1" t="n">
        <v>45292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29085-2022</t>
        </is>
      </c>
      <c r="B1512" s="1" t="n">
        <v>44749</v>
      </c>
      <c r="C1512" s="1" t="n">
        <v>45292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29030-2022</t>
        </is>
      </c>
      <c r="B1513" s="1" t="n">
        <v>44749</v>
      </c>
      <c r="C1513" s="1" t="n">
        <v>45292</v>
      </c>
      <c r="D1513" t="inlineStr">
        <is>
          <t>VÄSTERBOTTENS LÄN</t>
        </is>
      </c>
      <c r="E1513" t="inlineStr">
        <is>
          <t>SKELLEFTEÅ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29028-2022</t>
        </is>
      </c>
      <c r="B1514" s="1" t="n">
        <v>44749</v>
      </c>
      <c r="C1514" s="1" t="n">
        <v>45292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29029-2022</t>
        </is>
      </c>
      <c r="B1515" s="1" t="n">
        <v>44749</v>
      </c>
      <c r="C1515" s="1" t="n">
        <v>45292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29092-2022</t>
        </is>
      </c>
      <c r="B1516" s="1" t="n">
        <v>44750</v>
      </c>
      <c r="C1516" s="1" t="n">
        <v>45292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29164-2022</t>
        </is>
      </c>
      <c r="B1517" s="1" t="n">
        <v>44750</v>
      </c>
      <c r="C1517" s="1" t="n">
        <v>45292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29161-2022</t>
        </is>
      </c>
      <c r="B1518" s="1" t="n">
        <v>44750</v>
      </c>
      <c r="C1518" s="1" t="n">
        <v>45292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29802-2022</t>
        </is>
      </c>
      <c r="B1519" s="1" t="n">
        <v>44755</v>
      </c>
      <c r="C1519" s="1" t="n">
        <v>45292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30184-2022</t>
        </is>
      </c>
      <c r="B1520" s="1" t="n">
        <v>44757</v>
      </c>
      <c r="C1520" s="1" t="n">
        <v>45292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30278-2022</t>
        </is>
      </c>
      <c r="B1521" s="1" t="n">
        <v>44759</v>
      </c>
      <c r="C1521" s="1" t="n">
        <v>45292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30905-2022</t>
        </is>
      </c>
      <c r="B1522" s="1" t="n">
        <v>44767</v>
      </c>
      <c r="C1522" s="1" t="n">
        <v>45292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31124-2022</t>
        </is>
      </c>
      <c r="B1523" s="1" t="n">
        <v>44770</v>
      </c>
      <c r="C1523" s="1" t="n">
        <v>45292</v>
      </c>
      <c r="D1523" t="inlineStr">
        <is>
          <t>VÄSTERBOTTENS LÄN</t>
        </is>
      </c>
      <c r="E1523" t="inlineStr">
        <is>
          <t>SKELLEFTEÅ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31234-2022</t>
        </is>
      </c>
      <c r="B1524" s="1" t="n">
        <v>44771</v>
      </c>
      <c r="C1524" s="1" t="n">
        <v>45292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31955-2022</t>
        </is>
      </c>
      <c r="B1525" s="1" t="n">
        <v>44778</v>
      </c>
      <c r="C1525" s="1" t="n">
        <v>45292</v>
      </c>
      <c r="D1525" t="inlineStr">
        <is>
          <t>VÄSTERBOTTENS LÄN</t>
        </is>
      </c>
      <c r="E1525" t="inlineStr">
        <is>
          <t>SKELLEFTEÅ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31960-2022</t>
        </is>
      </c>
      <c r="B1526" s="1" t="n">
        <v>44778</v>
      </c>
      <c r="C1526" s="1" t="n">
        <v>45292</v>
      </c>
      <c r="D1526" t="inlineStr">
        <is>
          <t>VÄSTERBOTTENS LÄN</t>
        </is>
      </c>
      <c r="E1526" t="inlineStr">
        <is>
          <t>SKELLEFTEÅ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31954-2022</t>
        </is>
      </c>
      <c r="B1527" s="1" t="n">
        <v>44778</v>
      </c>
      <c r="C1527" s="1" t="n">
        <v>45292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32173-2022</t>
        </is>
      </c>
      <c r="B1528" s="1" t="n">
        <v>44781</v>
      </c>
      <c r="C1528" s="1" t="n">
        <v>45292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32244-2022</t>
        </is>
      </c>
      <c r="B1529" s="1" t="n">
        <v>44781</v>
      </c>
      <c r="C1529" s="1" t="n">
        <v>45292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32279-2022</t>
        </is>
      </c>
      <c r="B1530" s="1" t="n">
        <v>44781</v>
      </c>
      <c r="C1530" s="1" t="n">
        <v>45292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32200-2022</t>
        </is>
      </c>
      <c r="B1531" s="1" t="n">
        <v>44781</v>
      </c>
      <c r="C1531" s="1" t="n">
        <v>45292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32344-2022</t>
        </is>
      </c>
      <c r="B1532" s="1" t="n">
        <v>44781</v>
      </c>
      <c r="C1532" s="1" t="n">
        <v>45292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32427-2022</t>
        </is>
      </c>
      <c r="B1533" s="1" t="n">
        <v>44782</v>
      </c>
      <c r="C1533" s="1" t="n">
        <v>45292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32434-2022</t>
        </is>
      </c>
      <c r="B1534" s="1" t="n">
        <v>44782</v>
      </c>
      <c r="C1534" s="1" t="n">
        <v>45292</v>
      </c>
      <c r="D1534" t="inlineStr">
        <is>
          <t>VÄSTERBOTTENS LÄN</t>
        </is>
      </c>
      <c r="E1534" t="inlineStr">
        <is>
          <t>SKELLEFTEÅ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32415-2022</t>
        </is>
      </c>
      <c r="B1535" s="1" t="n">
        <v>44782</v>
      </c>
      <c r="C1535" s="1" t="n">
        <v>45292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32436-2022</t>
        </is>
      </c>
      <c r="B1536" s="1" t="n">
        <v>44782</v>
      </c>
      <c r="C1536" s="1" t="n">
        <v>45292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32420-2022</t>
        </is>
      </c>
      <c r="B1537" s="1" t="n">
        <v>44782</v>
      </c>
      <c r="C1537" s="1" t="n">
        <v>45292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32448-2022</t>
        </is>
      </c>
      <c r="B1538" s="1" t="n">
        <v>44782</v>
      </c>
      <c r="C1538" s="1" t="n">
        <v>45292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32560-2022</t>
        </is>
      </c>
      <c r="B1539" s="1" t="n">
        <v>44783</v>
      </c>
      <c r="C1539" s="1" t="n">
        <v>45292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32677-2022</t>
        </is>
      </c>
      <c r="B1540" s="1" t="n">
        <v>44783</v>
      </c>
      <c r="C1540" s="1" t="n">
        <v>45292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32539-2022</t>
        </is>
      </c>
      <c r="B1541" s="1" t="n">
        <v>44783</v>
      </c>
      <c r="C1541" s="1" t="n">
        <v>45292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32657-2022</t>
        </is>
      </c>
      <c r="B1542" s="1" t="n">
        <v>44783</v>
      </c>
      <c r="C1542" s="1" t="n">
        <v>45292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32985-2022</t>
        </is>
      </c>
      <c r="B1543" s="1" t="n">
        <v>44785</v>
      </c>
      <c r="C1543" s="1" t="n">
        <v>45292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32984-2022</t>
        </is>
      </c>
      <c r="B1544" s="1" t="n">
        <v>44784</v>
      </c>
      <c r="C1544" s="1" t="n">
        <v>45292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SCA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33268-2022</t>
        </is>
      </c>
      <c r="B1545" s="1" t="n">
        <v>44788</v>
      </c>
      <c r="C1545" s="1" t="n">
        <v>45292</v>
      </c>
      <c r="D1545" t="inlineStr">
        <is>
          <t>VÄSTERBOTTENS LÄN</t>
        </is>
      </c>
      <c r="E1545" t="inlineStr">
        <is>
          <t>SKELLEFTEÅ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33324-2022</t>
        </is>
      </c>
      <c r="B1546" s="1" t="n">
        <v>44788</v>
      </c>
      <c r="C1546" s="1" t="n">
        <v>45292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33629-2022</t>
        </is>
      </c>
      <c r="B1547" s="1" t="n">
        <v>44789</v>
      </c>
      <c r="C1547" s="1" t="n">
        <v>45292</v>
      </c>
      <c r="D1547" t="inlineStr">
        <is>
          <t>VÄSTERBOTTENS LÄN</t>
        </is>
      </c>
      <c r="E1547" t="inlineStr">
        <is>
          <t>SKELLEFTEÅ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33984-2022</t>
        </is>
      </c>
      <c r="B1548" s="1" t="n">
        <v>44791</v>
      </c>
      <c r="C1548" s="1" t="n">
        <v>45292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34094-2022</t>
        </is>
      </c>
      <c r="B1549" s="1" t="n">
        <v>44791</v>
      </c>
      <c r="C1549" s="1" t="n">
        <v>45292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34104-2022</t>
        </is>
      </c>
      <c r="B1550" s="1" t="n">
        <v>44791</v>
      </c>
      <c r="C1550" s="1" t="n">
        <v>45292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34082-2022</t>
        </is>
      </c>
      <c r="B1551" s="1" t="n">
        <v>44791</v>
      </c>
      <c r="C1551" s="1" t="n">
        <v>45292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34547-2022</t>
        </is>
      </c>
      <c r="B1552" s="1" t="n">
        <v>44794</v>
      </c>
      <c r="C1552" s="1" t="n">
        <v>45292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SCA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34639-2022</t>
        </is>
      </c>
      <c r="B1553" s="1" t="n">
        <v>44795</v>
      </c>
      <c r="C1553" s="1" t="n">
        <v>45292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34895-2022</t>
        </is>
      </c>
      <c r="B1554" s="1" t="n">
        <v>44796</v>
      </c>
      <c r="C1554" s="1" t="n">
        <v>45292</v>
      </c>
      <c r="D1554" t="inlineStr">
        <is>
          <t>VÄSTERBOTTENS LÄN</t>
        </is>
      </c>
      <c r="E1554" t="inlineStr">
        <is>
          <t>SKELLEFTEÅ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35001-2022</t>
        </is>
      </c>
      <c r="B1555" s="1" t="n">
        <v>44797</v>
      </c>
      <c r="C1555" s="1" t="n">
        <v>45292</v>
      </c>
      <c r="D1555" t="inlineStr">
        <is>
          <t>VÄSTERBOTTENS LÄN</t>
        </is>
      </c>
      <c r="E1555" t="inlineStr">
        <is>
          <t>SKELLEFTEÅ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35119-2022</t>
        </is>
      </c>
      <c r="B1556" s="1" t="n">
        <v>44797</v>
      </c>
      <c r="C1556" s="1" t="n">
        <v>45292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35189-2022</t>
        </is>
      </c>
      <c r="B1557" s="1" t="n">
        <v>44797</v>
      </c>
      <c r="C1557" s="1" t="n">
        <v>45292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35491-2022</t>
        </is>
      </c>
      <c r="B1558" s="1" t="n">
        <v>44798</v>
      </c>
      <c r="C1558" s="1" t="n">
        <v>45292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35558-2022</t>
        </is>
      </c>
      <c r="B1559" s="1" t="n">
        <v>44799</v>
      </c>
      <c r="C1559" s="1" t="n">
        <v>45292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35609-2022</t>
        </is>
      </c>
      <c r="B1560" s="1" t="n">
        <v>44799</v>
      </c>
      <c r="C1560" s="1" t="n">
        <v>45292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35652-2022</t>
        </is>
      </c>
      <c r="B1561" s="1" t="n">
        <v>44799</v>
      </c>
      <c r="C1561" s="1" t="n">
        <v>45292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35635-2022</t>
        </is>
      </c>
      <c r="B1562" s="1" t="n">
        <v>44799</v>
      </c>
      <c r="C1562" s="1" t="n">
        <v>45292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35608-2022</t>
        </is>
      </c>
      <c r="B1563" s="1" t="n">
        <v>44799</v>
      </c>
      <c r="C1563" s="1" t="n">
        <v>45292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35794-2022</t>
        </is>
      </c>
      <c r="B1564" s="1" t="n">
        <v>44801</v>
      </c>
      <c r="C1564" s="1" t="n">
        <v>45292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35771-2022</t>
        </is>
      </c>
      <c r="B1565" s="1" t="n">
        <v>44801</v>
      </c>
      <c r="C1565" s="1" t="n">
        <v>45292</v>
      </c>
      <c r="D1565" t="inlineStr">
        <is>
          <t>VÄSTERBOTTENS LÄN</t>
        </is>
      </c>
      <c r="E1565" t="inlineStr">
        <is>
          <t>SKELLEFTEÅ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35809-2022</t>
        </is>
      </c>
      <c r="B1566" s="1" t="n">
        <v>44802</v>
      </c>
      <c r="C1566" s="1" t="n">
        <v>45292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36208-2022</t>
        </is>
      </c>
      <c r="B1567" s="1" t="n">
        <v>44803</v>
      </c>
      <c r="C1567" s="1" t="n">
        <v>45292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35888-2022</t>
        </is>
      </c>
      <c r="B1568" s="1" t="n">
        <v>44803</v>
      </c>
      <c r="C1568" s="1" t="n">
        <v>45292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36723-2022</t>
        </is>
      </c>
      <c r="B1569" s="1" t="n">
        <v>44804</v>
      </c>
      <c r="C1569" s="1" t="n">
        <v>45292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36539-2022</t>
        </is>
      </c>
      <c r="B1570" s="1" t="n">
        <v>44804</v>
      </c>
      <c r="C1570" s="1" t="n">
        <v>45292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36728-2022</t>
        </is>
      </c>
      <c r="B1571" s="1" t="n">
        <v>44804</v>
      </c>
      <c r="C1571" s="1" t="n">
        <v>45292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37669-2022</t>
        </is>
      </c>
      <c r="B1572" s="1" t="n">
        <v>44810</v>
      </c>
      <c r="C1572" s="1" t="n">
        <v>45292</v>
      </c>
      <c r="D1572" t="inlineStr">
        <is>
          <t>VÄSTERBOTTENS LÄN</t>
        </is>
      </c>
      <c r="E1572" t="inlineStr">
        <is>
          <t>SKELLEFTEÅ</t>
        </is>
      </c>
      <c r="G1572" t="n">
        <v>10.9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37823-2022</t>
        </is>
      </c>
      <c r="B1573" s="1" t="n">
        <v>44811</v>
      </c>
      <c r="C1573" s="1" t="n">
        <v>45292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45292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37825-2022</t>
        </is>
      </c>
      <c r="B1575" s="1" t="n">
        <v>44811</v>
      </c>
      <c r="C1575" s="1" t="n">
        <v>45292</v>
      </c>
      <c r="D1575" t="inlineStr">
        <is>
          <t>VÄSTERBOTTENS LÄN</t>
        </is>
      </c>
      <c r="E1575" t="inlineStr">
        <is>
          <t>SKELLEFTEÅ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37944-2022</t>
        </is>
      </c>
      <c r="B1576" s="1" t="n">
        <v>44811</v>
      </c>
      <c r="C1576" s="1" t="n">
        <v>45292</v>
      </c>
      <c r="D1576" t="inlineStr">
        <is>
          <t>VÄSTERBOTTENS LÄN</t>
        </is>
      </c>
      <c r="E1576" t="inlineStr">
        <is>
          <t>SKELLEFTEÅ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37940-2022</t>
        </is>
      </c>
      <c r="B1577" s="1" t="n">
        <v>44811</v>
      </c>
      <c r="C1577" s="1" t="n">
        <v>45292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37950-2022</t>
        </is>
      </c>
      <c r="B1578" s="1" t="n">
        <v>44811</v>
      </c>
      <c r="C1578" s="1" t="n">
        <v>45292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38275-2022</t>
        </is>
      </c>
      <c r="B1579" s="1" t="n">
        <v>44812</v>
      </c>
      <c r="C1579" s="1" t="n">
        <v>45292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38457-2022</t>
        </is>
      </c>
      <c r="B1580" s="1" t="n">
        <v>44813</v>
      </c>
      <c r="C1580" s="1" t="n">
        <v>45292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38578-2022</t>
        </is>
      </c>
      <c r="B1581" s="1" t="n">
        <v>44813</v>
      </c>
      <c r="C1581" s="1" t="n">
        <v>45292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38514-2022</t>
        </is>
      </c>
      <c r="B1582" s="1" t="n">
        <v>44813</v>
      </c>
      <c r="C1582" s="1" t="n">
        <v>45292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38728-2022</t>
        </is>
      </c>
      <c r="B1583" s="1" t="n">
        <v>44816</v>
      </c>
      <c r="C1583" s="1" t="n">
        <v>45292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38727-2022</t>
        </is>
      </c>
      <c r="B1584" s="1" t="n">
        <v>44816</v>
      </c>
      <c r="C1584" s="1" t="n">
        <v>45292</v>
      </c>
      <c r="D1584" t="inlineStr">
        <is>
          <t>VÄSTERBOTTENS LÄN</t>
        </is>
      </c>
      <c r="E1584" t="inlineStr">
        <is>
          <t>SKELLEFTEÅ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38767-2022</t>
        </is>
      </c>
      <c r="B1585" s="1" t="n">
        <v>44816</v>
      </c>
      <c r="C1585" s="1" t="n">
        <v>45292</v>
      </c>
      <c r="D1585" t="inlineStr">
        <is>
          <t>VÄSTERBOTTENS LÄN</t>
        </is>
      </c>
      <c r="E1585" t="inlineStr">
        <is>
          <t>SKELLEFTEÅ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38873-2022</t>
        </is>
      </c>
      <c r="B1586" s="1" t="n">
        <v>44816</v>
      </c>
      <c r="C1586" s="1" t="n">
        <v>45292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38876-2022</t>
        </is>
      </c>
      <c r="B1587" s="1" t="n">
        <v>44816</v>
      </c>
      <c r="C1587" s="1" t="n">
        <v>45292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38932-2022</t>
        </is>
      </c>
      <c r="B1588" s="1" t="n">
        <v>44816</v>
      </c>
      <c r="C1588" s="1" t="n">
        <v>45292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38940-2022</t>
        </is>
      </c>
      <c r="B1589" s="1" t="n">
        <v>44816</v>
      </c>
      <c r="C1589" s="1" t="n">
        <v>45292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38995-2022</t>
        </is>
      </c>
      <c r="B1590" s="1" t="n">
        <v>44816</v>
      </c>
      <c r="C1590" s="1" t="n">
        <v>45292</v>
      </c>
      <c r="D1590" t="inlineStr">
        <is>
          <t>VÄSTERBOTTENS LÄN</t>
        </is>
      </c>
      <c r="E1590" t="inlineStr">
        <is>
          <t>SKELLEFTEÅ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38997-2022</t>
        </is>
      </c>
      <c r="B1591" s="1" t="n">
        <v>44817</v>
      </c>
      <c r="C1591" s="1" t="n">
        <v>45292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38998-2022</t>
        </is>
      </c>
      <c r="B1592" s="1" t="n">
        <v>44817</v>
      </c>
      <c r="C1592" s="1" t="n">
        <v>45292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38993-2022</t>
        </is>
      </c>
      <c r="B1593" s="1" t="n">
        <v>44816</v>
      </c>
      <c r="C1593" s="1" t="n">
        <v>45292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39019-2022</t>
        </is>
      </c>
      <c r="B1594" s="1" t="n">
        <v>44817</v>
      </c>
      <c r="C1594" s="1" t="n">
        <v>45292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39668-2022</t>
        </is>
      </c>
      <c r="B1595" s="1" t="n">
        <v>44818</v>
      </c>
      <c r="C1595" s="1" t="n">
        <v>45292</v>
      </c>
      <c r="D1595" t="inlineStr">
        <is>
          <t>VÄSTERBOTTENS LÄN</t>
        </is>
      </c>
      <c r="E1595" t="inlineStr">
        <is>
          <t>SKELLEFTEÅ</t>
        </is>
      </c>
      <c r="G1595" t="n">
        <v>13.2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39794-2022</t>
        </is>
      </c>
      <c r="B1596" s="1" t="n">
        <v>44819</v>
      </c>
      <c r="C1596" s="1" t="n">
        <v>45292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39732-2022</t>
        </is>
      </c>
      <c r="B1597" s="1" t="n">
        <v>44819</v>
      </c>
      <c r="C1597" s="1" t="n">
        <v>45292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39918-2022</t>
        </is>
      </c>
      <c r="B1598" s="1" t="n">
        <v>44819</v>
      </c>
      <c r="C1598" s="1" t="n">
        <v>45292</v>
      </c>
      <c r="D1598" t="inlineStr">
        <is>
          <t>VÄSTERBOTTENS LÄN</t>
        </is>
      </c>
      <c r="E1598" t="inlineStr">
        <is>
          <t>SKELLEFTEÅ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39986-2022</t>
        </is>
      </c>
      <c r="B1599" s="1" t="n">
        <v>44820</v>
      </c>
      <c r="C1599" s="1" t="n">
        <v>45292</v>
      </c>
      <c r="D1599" t="inlineStr">
        <is>
          <t>VÄSTERBOTTENS LÄN</t>
        </is>
      </c>
      <c r="E1599" t="inlineStr">
        <is>
          <t>SKELLEFTEÅ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39998-2022</t>
        </is>
      </c>
      <c r="B1600" s="1" t="n">
        <v>44820</v>
      </c>
      <c r="C1600" s="1" t="n">
        <v>45292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40013-2022</t>
        </is>
      </c>
      <c r="B1601" s="1" t="n">
        <v>44820</v>
      </c>
      <c r="C1601" s="1" t="n">
        <v>45292</v>
      </c>
      <c r="D1601" t="inlineStr">
        <is>
          <t>VÄSTERBOTTENS LÄN</t>
        </is>
      </c>
      <c r="E1601" t="inlineStr">
        <is>
          <t>SKELLEFTEÅ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40034-2022</t>
        </is>
      </c>
      <c r="B1602" s="1" t="n">
        <v>44820</v>
      </c>
      <c r="C1602" s="1" t="n">
        <v>45292</v>
      </c>
      <c r="D1602" t="inlineStr">
        <is>
          <t>VÄSTERBOTTENS LÄN</t>
        </is>
      </c>
      <c r="E1602" t="inlineStr">
        <is>
          <t>SKELLEFTEÅ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39985-2022</t>
        </is>
      </c>
      <c r="B1603" s="1" t="n">
        <v>44820</v>
      </c>
      <c r="C1603" s="1" t="n">
        <v>45292</v>
      </c>
      <c r="D1603" t="inlineStr">
        <is>
          <t>VÄSTERBOTTENS LÄN</t>
        </is>
      </c>
      <c r="E1603" t="inlineStr">
        <is>
          <t>SKELLEFTEÅ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40219-2022</t>
        </is>
      </c>
      <c r="B1604" s="1" t="n">
        <v>44820</v>
      </c>
      <c r="C1604" s="1" t="n">
        <v>45292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40905-2022</t>
        </is>
      </c>
      <c r="B1605" s="1" t="n">
        <v>44820</v>
      </c>
      <c r="C1605" s="1" t="n">
        <v>45292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40345-2022</t>
        </is>
      </c>
      <c r="B1606" s="1" t="n">
        <v>44823</v>
      </c>
      <c r="C1606" s="1" t="n">
        <v>45292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40314-2022</t>
        </is>
      </c>
      <c r="B1607" s="1" t="n">
        <v>44823</v>
      </c>
      <c r="C1607" s="1" t="n">
        <v>45292</v>
      </c>
      <c r="D1607" t="inlineStr">
        <is>
          <t>VÄSTERBOTTENS LÄN</t>
        </is>
      </c>
      <c r="E1607" t="inlineStr">
        <is>
          <t>SKELLEFTEÅ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40329-2022</t>
        </is>
      </c>
      <c r="B1608" s="1" t="n">
        <v>44823</v>
      </c>
      <c r="C1608" s="1" t="n">
        <v>45292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40964-2022</t>
        </is>
      </c>
      <c r="B1609" s="1" t="n">
        <v>44823</v>
      </c>
      <c r="C1609" s="1" t="n">
        <v>45292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40969-2022</t>
        </is>
      </c>
      <c r="B1610" s="1" t="n">
        <v>44824</v>
      </c>
      <c r="C1610" s="1" t="n">
        <v>45292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41010-2022</t>
        </is>
      </c>
      <c r="B1611" s="1" t="n">
        <v>44825</v>
      </c>
      <c r="C1611" s="1" t="n">
        <v>45292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40851-2022</t>
        </is>
      </c>
      <c r="B1612" s="1" t="n">
        <v>44825</v>
      </c>
      <c r="C1612" s="1" t="n">
        <v>45292</v>
      </c>
      <c r="D1612" t="inlineStr">
        <is>
          <t>VÄSTERBOTTENS LÄN</t>
        </is>
      </c>
      <c r="E1612" t="inlineStr">
        <is>
          <t>SKELLEFTEÅ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41360-2022</t>
        </is>
      </c>
      <c r="B1613" s="1" t="n">
        <v>44825</v>
      </c>
      <c r="C1613" s="1" t="n">
        <v>45292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41409-2022</t>
        </is>
      </c>
      <c r="B1614" s="1" t="n">
        <v>44826</v>
      </c>
      <c r="C1614" s="1" t="n">
        <v>45292</v>
      </c>
      <c r="D1614" t="inlineStr">
        <is>
          <t>VÄSTERBOTTENS LÄN</t>
        </is>
      </c>
      <c r="E1614" t="inlineStr">
        <is>
          <t>SKELLEFTEÅ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41513-2022</t>
        </is>
      </c>
      <c r="B1615" s="1" t="n">
        <v>44827</v>
      </c>
      <c r="C1615" s="1" t="n">
        <v>45292</v>
      </c>
      <c r="D1615" t="inlineStr">
        <is>
          <t>VÄSTERBOTTENS LÄN</t>
        </is>
      </c>
      <c r="E1615" t="inlineStr">
        <is>
          <t>SKELLEFTEÅ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41802-2022</t>
        </is>
      </c>
      <c r="B1616" s="1" t="n">
        <v>44827</v>
      </c>
      <c r="C1616" s="1" t="n">
        <v>45292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41803-2022</t>
        </is>
      </c>
      <c r="B1617" s="1" t="n">
        <v>44828</v>
      </c>
      <c r="C1617" s="1" t="n">
        <v>45292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41801-2022</t>
        </is>
      </c>
      <c r="B1618" s="1" t="n">
        <v>44828</v>
      </c>
      <c r="C1618" s="1" t="n">
        <v>45292</v>
      </c>
      <c r="D1618" t="inlineStr">
        <is>
          <t>VÄSTERBOTTENS LÄN</t>
        </is>
      </c>
      <c r="E1618" t="inlineStr">
        <is>
          <t>SKELLEFTEÅ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42357-2022</t>
        </is>
      </c>
      <c r="B1619" s="1" t="n">
        <v>44827</v>
      </c>
      <c r="C1619" s="1" t="n">
        <v>45292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42348-2022</t>
        </is>
      </c>
      <c r="B1620" s="1" t="n">
        <v>44827</v>
      </c>
      <c r="C1620" s="1" t="n">
        <v>45292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42109-2022</t>
        </is>
      </c>
      <c r="B1621" s="1" t="n">
        <v>44827</v>
      </c>
      <c r="C1621" s="1" t="n">
        <v>45292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42099-2022</t>
        </is>
      </c>
      <c r="B1622" s="1" t="n">
        <v>44827</v>
      </c>
      <c r="C1622" s="1" t="n">
        <v>45292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41889-2022</t>
        </is>
      </c>
      <c r="B1623" s="1" t="n">
        <v>44830</v>
      </c>
      <c r="C1623" s="1" t="n">
        <v>45292</v>
      </c>
      <c r="D1623" t="inlineStr">
        <is>
          <t>VÄSTERBOTTENS LÄN</t>
        </is>
      </c>
      <c r="E1623" t="inlineStr">
        <is>
          <t>SKELLEFTEÅ</t>
        </is>
      </c>
      <c r="G1623" t="n">
        <v>15.3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41956-2022</t>
        </is>
      </c>
      <c r="B1624" s="1" t="n">
        <v>44830</v>
      </c>
      <c r="C1624" s="1" t="n">
        <v>45292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41883-2022</t>
        </is>
      </c>
      <c r="B1625" s="1" t="n">
        <v>44830</v>
      </c>
      <c r="C1625" s="1" t="n">
        <v>45292</v>
      </c>
      <c r="D1625" t="inlineStr">
        <is>
          <t>VÄSTERBOTTENS LÄN</t>
        </is>
      </c>
      <c r="E1625" t="inlineStr">
        <is>
          <t>SKELLEFTEÅ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42255-2022</t>
        </is>
      </c>
      <c r="B1626" s="1" t="n">
        <v>44830</v>
      </c>
      <c r="C1626" s="1" t="n">
        <v>45292</v>
      </c>
      <c r="D1626" t="inlineStr">
        <is>
          <t>VÄSTERBOTTENS LÄN</t>
        </is>
      </c>
      <c r="E1626" t="inlineStr">
        <is>
          <t>SKELLEFTEÅ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42260-2022</t>
        </is>
      </c>
      <c r="B1627" s="1" t="n">
        <v>44830</v>
      </c>
      <c r="C1627" s="1" t="n">
        <v>45292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42682-2022</t>
        </is>
      </c>
      <c r="B1628" s="1" t="n">
        <v>44831</v>
      </c>
      <c r="C1628" s="1" t="n">
        <v>45292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42798-2022</t>
        </is>
      </c>
      <c r="B1629" s="1" t="n">
        <v>44832</v>
      </c>
      <c r="C1629" s="1" t="n">
        <v>45292</v>
      </c>
      <c r="D1629" t="inlineStr">
        <is>
          <t>VÄSTERBOTTENS LÄN</t>
        </is>
      </c>
      <c r="E1629" t="inlineStr">
        <is>
          <t>SKELLEFTEÅ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42808-2022</t>
        </is>
      </c>
      <c r="B1630" s="1" t="n">
        <v>44832</v>
      </c>
      <c r="C1630" s="1" t="n">
        <v>45292</v>
      </c>
      <c r="D1630" t="inlineStr">
        <is>
          <t>VÄSTERBOTTENS LÄN</t>
        </is>
      </c>
      <c r="E1630" t="inlineStr">
        <is>
          <t>SKELLEFTEÅ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42946-2022</t>
        </is>
      </c>
      <c r="B1631" s="1" t="n">
        <v>44833</v>
      </c>
      <c r="C1631" s="1" t="n">
        <v>45292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43069-2022</t>
        </is>
      </c>
      <c r="B1632" s="1" t="n">
        <v>44833</v>
      </c>
      <c r="C1632" s="1" t="n">
        <v>45292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43078-2022</t>
        </is>
      </c>
      <c r="B1633" s="1" t="n">
        <v>44833</v>
      </c>
      <c r="C1633" s="1" t="n">
        <v>45292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43515-2022</t>
        </is>
      </c>
      <c r="B1634" s="1" t="n">
        <v>44837</v>
      </c>
      <c r="C1634" s="1" t="n">
        <v>45292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43544-2022</t>
        </is>
      </c>
      <c r="B1635" s="1" t="n">
        <v>44837</v>
      </c>
      <c r="C1635" s="1" t="n">
        <v>45292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43763-2022</t>
        </is>
      </c>
      <c r="B1636" s="1" t="n">
        <v>44838</v>
      </c>
      <c r="C1636" s="1" t="n">
        <v>45292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43917-2022</t>
        </is>
      </c>
      <c r="B1637" s="1" t="n">
        <v>44838</v>
      </c>
      <c r="C1637" s="1" t="n">
        <v>45292</v>
      </c>
      <c r="D1637" t="inlineStr">
        <is>
          <t>VÄSTERBOTTENS LÄN</t>
        </is>
      </c>
      <c r="E1637" t="inlineStr">
        <is>
          <t>SKELLEFTEÅ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44621-2022</t>
        </is>
      </c>
      <c r="B1638" s="1" t="n">
        <v>44838</v>
      </c>
      <c r="C1638" s="1" t="n">
        <v>45292</v>
      </c>
      <c r="D1638" t="inlineStr">
        <is>
          <t>VÄSTERBOTTENS LÄN</t>
        </is>
      </c>
      <c r="E1638" t="inlineStr">
        <is>
          <t>SKELLEFTEÅ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44397-2022</t>
        </is>
      </c>
      <c r="B1639" s="1" t="n">
        <v>44839</v>
      </c>
      <c r="C1639" s="1" t="n">
        <v>45292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44398-2022</t>
        </is>
      </c>
      <c r="B1640" s="1" t="n">
        <v>44839</v>
      </c>
      <c r="C1640" s="1" t="n">
        <v>45292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44616-2022</t>
        </is>
      </c>
      <c r="B1641" s="1" t="n">
        <v>44839</v>
      </c>
      <c r="C1641" s="1" t="n">
        <v>45292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44959-2022</t>
        </is>
      </c>
      <c r="B1642" s="1" t="n">
        <v>44839</v>
      </c>
      <c r="C1642" s="1" t="n">
        <v>45292</v>
      </c>
      <c r="D1642" t="inlineStr">
        <is>
          <t>VÄSTERBOTTENS LÄN</t>
        </is>
      </c>
      <c r="E1642" t="inlineStr">
        <is>
          <t>SKELLEFTEÅ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44724-2022</t>
        </is>
      </c>
      <c r="B1643" s="1" t="n">
        <v>44840</v>
      </c>
      <c r="C1643" s="1" t="n">
        <v>45292</v>
      </c>
      <c r="D1643" t="inlineStr">
        <is>
          <t>VÄSTERBOTTENS LÄN</t>
        </is>
      </c>
      <c r="E1643" t="inlineStr">
        <is>
          <t>SKELLEFTEÅ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44722-2022</t>
        </is>
      </c>
      <c r="B1644" s="1" t="n">
        <v>44840</v>
      </c>
      <c r="C1644" s="1" t="n">
        <v>45292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45011-2022</t>
        </is>
      </c>
      <c r="B1645" s="1" t="n">
        <v>44840</v>
      </c>
      <c r="C1645" s="1" t="n">
        <v>45292</v>
      </c>
      <c r="D1645" t="inlineStr">
        <is>
          <t>VÄSTERBOTTENS LÄN</t>
        </is>
      </c>
      <c r="E1645" t="inlineStr">
        <is>
          <t>SKELLEFTEÅ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45266-2022</t>
        </is>
      </c>
      <c r="B1646" s="1" t="n">
        <v>44844</v>
      </c>
      <c r="C1646" s="1" t="n">
        <v>45292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45250-2022</t>
        </is>
      </c>
      <c r="B1647" s="1" t="n">
        <v>44844</v>
      </c>
      <c r="C1647" s="1" t="n">
        <v>45292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45985-2022</t>
        </is>
      </c>
      <c r="B1648" s="1" t="n">
        <v>44844</v>
      </c>
      <c r="C1648" s="1" t="n">
        <v>45292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45890-2022</t>
        </is>
      </c>
      <c r="B1649" s="1" t="n">
        <v>44844</v>
      </c>
      <c r="C1649" s="1" t="n">
        <v>45292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45495-2022</t>
        </is>
      </c>
      <c r="B1650" s="1" t="n">
        <v>44845</v>
      </c>
      <c r="C1650" s="1" t="n">
        <v>45292</v>
      </c>
      <c r="D1650" t="inlineStr">
        <is>
          <t>VÄSTERBOTTENS LÄN</t>
        </is>
      </c>
      <c r="E1650" t="inlineStr">
        <is>
          <t>SKELLEFTEÅ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45554-2022</t>
        </is>
      </c>
      <c r="B1651" s="1" t="n">
        <v>44845</v>
      </c>
      <c r="C1651" s="1" t="n">
        <v>45292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45619-2022</t>
        </is>
      </c>
      <c r="B1652" s="1" t="n">
        <v>44845</v>
      </c>
      <c r="C1652" s="1" t="n">
        <v>45292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46181-2022</t>
        </is>
      </c>
      <c r="B1653" s="1" t="n">
        <v>44845</v>
      </c>
      <c r="C1653" s="1" t="n">
        <v>45292</v>
      </c>
      <c r="D1653" t="inlineStr">
        <is>
          <t>VÄSTERBOTTENS LÄN</t>
        </is>
      </c>
      <c r="E1653" t="inlineStr">
        <is>
          <t>SKELLEFTEÅ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46218-2022</t>
        </is>
      </c>
      <c r="B1654" s="1" t="n">
        <v>44845</v>
      </c>
      <c r="C1654" s="1" t="n">
        <v>45292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45748-2022</t>
        </is>
      </c>
      <c r="B1655" s="1" t="n">
        <v>44846</v>
      </c>
      <c r="C1655" s="1" t="n">
        <v>45292</v>
      </c>
      <c r="D1655" t="inlineStr">
        <is>
          <t>VÄSTERBOTTENS LÄN</t>
        </is>
      </c>
      <c r="E1655" t="inlineStr">
        <is>
          <t>SKELLEFTEÅ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46233-2022</t>
        </is>
      </c>
      <c r="B1656" s="1" t="n">
        <v>44847</v>
      </c>
      <c r="C1656" s="1" t="n">
        <v>45292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46216-2022</t>
        </is>
      </c>
      <c r="B1657" s="1" t="n">
        <v>44847</v>
      </c>
      <c r="C1657" s="1" t="n">
        <v>45292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46409-2022</t>
        </is>
      </c>
      <c r="B1658" s="1" t="n">
        <v>44848</v>
      </c>
      <c r="C1658" s="1" t="n">
        <v>45292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46445-2022</t>
        </is>
      </c>
      <c r="B1659" s="1" t="n">
        <v>44848</v>
      </c>
      <c r="C1659" s="1" t="n">
        <v>45292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46868-2022</t>
        </is>
      </c>
      <c r="B1660" s="1" t="n">
        <v>44848</v>
      </c>
      <c r="C1660" s="1" t="n">
        <v>45292</v>
      </c>
      <c r="D1660" t="inlineStr">
        <is>
          <t>VÄSTERBOTTENS LÄN</t>
        </is>
      </c>
      <c r="E1660" t="inlineStr">
        <is>
          <t>SKELLEFTEÅ</t>
        </is>
      </c>
      <c r="G1660" t="n">
        <v>11.8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47637-2022</t>
        </is>
      </c>
      <c r="B1661" s="1" t="n">
        <v>44852</v>
      </c>
      <c r="C1661" s="1" t="n">
        <v>45292</v>
      </c>
      <c r="D1661" t="inlineStr">
        <is>
          <t>VÄSTERBOTTENS LÄN</t>
        </is>
      </c>
      <c r="E1661" t="inlineStr">
        <is>
          <t>SKELLEFTEÅ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47500-2022</t>
        </is>
      </c>
      <c r="B1662" s="1" t="n">
        <v>44852</v>
      </c>
      <c r="C1662" s="1" t="n">
        <v>45292</v>
      </c>
      <c r="D1662" t="inlineStr">
        <is>
          <t>VÄSTERBOTTENS LÄN</t>
        </is>
      </c>
      <c r="E1662" t="inlineStr">
        <is>
          <t>SKELLEFTEÅ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47410-2022</t>
        </is>
      </c>
      <c r="B1663" s="1" t="n">
        <v>44853</v>
      </c>
      <c r="C1663" s="1" t="n">
        <v>45292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47548-2022</t>
        </is>
      </c>
      <c r="B1664" s="1" t="n">
        <v>44854</v>
      </c>
      <c r="C1664" s="1" t="n">
        <v>45292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47554-2022</t>
        </is>
      </c>
      <c r="B1665" s="1" t="n">
        <v>44854</v>
      </c>
      <c r="C1665" s="1" t="n">
        <v>45292</v>
      </c>
      <c r="D1665" t="inlineStr">
        <is>
          <t>VÄSTERBOTTENS LÄN</t>
        </is>
      </c>
      <c r="E1665" t="inlineStr">
        <is>
          <t>SKELLEFTEÅ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47988-2022</t>
        </is>
      </c>
      <c r="B1666" s="1" t="n">
        <v>44853</v>
      </c>
      <c r="C1666" s="1" t="n">
        <v>45292</v>
      </c>
      <c r="D1666" t="inlineStr">
        <is>
          <t>VÄSTERBOTTENS LÄN</t>
        </is>
      </c>
      <c r="E1666" t="inlineStr">
        <is>
          <t>SKELLEFTEÅ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47984-2022</t>
        </is>
      </c>
      <c r="B1667" s="1" t="n">
        <v>44853</v>
      </c>
      <c r="C1667" s="1" t="n">
        <v>45292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47991-2022</t>
        </is>
      </c>
      <c r="B1668" s="1" t="n">
        <v>44853</v>
      </c>
      <c r="C1668" s="1" t="n">
        <v>45292</v>
      </c>
      <c r="D1668" t="inlineStr">
        <is>
          <t>VÄSTERBOTTENS LÄN</t>
        </is>
      </c>
      <c r="E1668" t="inlineStr">
        <is>
          <t>SKELLEFTEÅ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47696-2022</t>
        </is>
      </c>
      <c r="B1669" s="1" t="n">
        <v>44854</v>
      </c>
      <c r="C1669" s="1" t="n">
        <v>45292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48011-2022</t>
        </is>
      </c>
      <c r="B1670" s="1" t="n">
        <v>44855</v>
      </c>
      <c r="C1670" s="1" t="n">
        <v>45292</v>
      </c>
      <c r="D1670" t="inlineStr">
        <is>
          <t>VÄSTERBOTTENS LÄN</t>
        </is>
      </c>
      <c r="E1670" t="inlineStr">
        <is>
          <t>SKELLEFTEÅ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48082-2022</t>
        </is>
      </c>
      <c r="B1671" s="1" t="n">
        <v>44856</v>
      </c>
      <c r="C1671" s="1" t="n">
        <v>45292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SCA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48722-2022</t>
        </is>
      </c>
      <c r="B1672" s="1" t="n">
        <v>44855</v>
      </c>
      <c r="C1672" s="1" t="n">
        <v>45292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48125-2022</t>
        </is>
      </c>
      <c r="B1673" s="1" t="n">
        <v>44857</v>
      </c>
      <c r="C1673" s="1" t="n">
        <v>45292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45292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49241-2022</t>
        </is>
      </c>
      <c r="B1675" s="1" t="n">
        <v>44858</v>
      </c>
      <c r="C1675" s="1" t="n">
        <v>45292</v>
      </c>
      <c r="D1675" t="inlineStr">
        <is>
          <t>VÄSTERBOTTENS LÄN</t>
        </is>
      </c>
      <c r="E1675" t="inlineStr">
        <is>
          <t>SKELLEFTEÅ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49992-2022</t>
        </is>
      </c>
      <c r="B1676" s="1" t="n">
        <v>44860</v>
      </c>
      <c r="C1676" s="1" t="n">
        <v>45292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49246-2022</t>
        </is>
      </c>
      <c r="B1677" s="1" t="n">
        <v>44861</v>
      </c>
      <c r="C1677" s="1" t="n">
        <v>45292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49328-2022</t>
        </is>
      </c>
      <c r="B1678" s="1" t="n">
        <v>44861</v>
      </c>
      <c r="C1678" s="1" t="n">
        <v>45292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49382-2022</t>
        </is>
      </c>
      <c r="B1679" s="1" t="n">
        <v>44861</v>
      </c>
      <c r="C1679" s="1" t="n">
        <v>45292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49277-2022</t>
        </is>
      </c>
      <c r="B1680" s="1" t="n">
        <v>44861</v>
      </c>
      <c r="C1680" s="1" t="n">
        <v>45292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49578-2022</t>
        </is>
      </c>
      <c r="B1681" s="1" t="n">
        <v>44862</v>
      </c>
      <c r="C1681" s="1" t="n">
        <v>45292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49757-2022</t>
        </is>
      </c>
      <c r="B1682" s="1" t="n">
        <v>44862</v>
      </c>
      <c r="C1682" s="1" t="n">
        <v>45292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49749-2022</t>
        </is>
      </c>
      <c r="B1683" s="1" t="n">
        <v>44862</v>
      </c>
      <c r="C1683" s="1" t="n">
        <v>45292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49876-2022</t>
        </is>
      </c>
      <c r="B1684" s="1" t="n">
        <v>44864</v>
      </c>
      <c r="C1684" s="1" t="n">
        <v>45292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49875-2022</t>
        </is>
      </c>
      <c r="B1685" s="1" t="n">
        <v>44864</v>
      </c>
      <c r="C1685" s="1" t="n">
        <v>45292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49906-2022</t>
        </is>
      </c>
      <c r="B1686" s="1" t="n">
        <v>44864</v>
      </c>
      <c r="C1686" s="1" t="n">
        <v>45292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49908-2022</t>
        </is>
      </c>
      <c r="B1687" s="1" t="n">
        <v>44864</v>
      </c>
      <c r="C1687" s="1" t="n">
        <v>45292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49905-2022</t>
        </is>
      </c>
      <c r="B1688" s="1" t="n">
        <v>44864</v>
      </c>
      <c r="C1688" s="1" t="n">
        <v>45292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49907-2022</t>
        </is>
      </c>
      <c r="B1689" s="1" t="n">
        <v>44864</v>
      </c>
      <c r="C1689" s="1" t="n">
        <v>45292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SCA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50055-2022</t>
        </is>
      </c>
      <c r="B1690" s="1" t="n">
        <v>44865</v>
      </c>
      <c r="C1690" s="1" t="n">
        <v>45292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49961-2022</t>
        </is>
      </c>
      <c r="B1691" s="1" t="n">
        <v>44865</v>
      </c>
      <c r="C1691" s="1" t="n">
        <v>45292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50371-2022</t>
        </is>
      </c>
      <c r="B1692" s="1" t="n">
        <v>44866</v>
      </c>
      <c r="C1692" s="1" t="n">
        <v>45292</v>
      </c>
      <c r="D1692" t="inlineStr">
        <is>
          <t>VÄSTERBOTTENS LÄN</t>
        </is>
      </c>
      <c r="E1692" t="inlineStr">
        <is>
          <t>SKELLEFTEÅ</t>
        </is>
      </c>
      <c r="G1692" t="n">
        <v>10.5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50366-2022</t>
        </is>
      </c>
      <c r="B1693" s="1" t="n">
        <v>44866</v>
      </c>
      <c r="C1693" s="1" t="n">
        <v>45292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50529-2022</t>
        </is>
      </c>
      <c r="B1694" s="1" t="n">
        <v>44866</v>
      </c>
      <c r="C1694" s="1" t="n">
        <v>45292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50409-2022</t>
        </is>
      </c>
      <c r="B1695" s="1" t="n">
        <v>44866</v>
      </c>
      <c r="C1695" s="1" t="n">
        <v>45292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50538-2022</t>
        </is>
      </c>
      <c r="B1696" s="1" t="n">
        <v>44866</v>
      </c>
      <c r="C1696" s="1" t="n">
        <v>45292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50549-2022</t>
        </is>
      </c>
      <c r="B1697" s="1" t="n">
        <v>44866</v>
      </c>
      <c r="C1697" s="1" t="n">
        <v>45292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50531-2022</t>
        </is>
      </c>
      <c r="B1698" s="1" t="n">
        <v>44866</v>
      </c>
      <c r="C1698" s="1" t="n">
        <v>45292</v>
      </c>
      <c r="D1698" t="inlineStr">
        <is>
          <t>VÄSTERBOTTENS LÄN</t>
        </is>
      </c>
      <c r="E1698" t="inlineStr">
        <is>
          <t>SKELLEFTEÅ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50554-2022</t>
        </is>
      </c>
      <c r="B1699" s="1" t="n">
        <v>44866</v>
      </c>
      <c r="C1699" s="1" t="n">
        <v>45292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50872-2022</t>
        </is>
      </c>
      <c r="B1700" s="1" t="n">
        <v>44867</v>
      </c>
      <c r="C1700" s="1" t="n">
        <v>45292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50838-2022</t>
        </is>
      </c>
      <c r="B1701" s="1" t="n">
        <v>44867</v>
      </c>
      <c r="C1701" s="1" t="n">
        <v>45292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51811-2022</t>
        </is>
      </c>
      <c r="B1702" s="1" t="n">
        <v>44867</v>
      </c>
      <c r="C1702" s="1" t="n">
        <v>45292</v>
      </c>
      <c r="D1702" t="inlineStr">
        <is>
          <t>VÄSTERBOTTENS LÄN</t>
        </is>
      </c>
      <c r="E1702" t="inlineStr">
        <is>
          <t>SKELLEFTEÅ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51222-2022</t>
        </is>
      </c>
      <c r="B1703" s="1" t="n">
        <v>44868</v>
      </c>
      <c r="C1703" s="1" t="n">
        <v>45292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51160-2022</t>
        </is>
      </c>
      <c r="B1704" s="1" t="n">
        <v>44868</v>
      </c>
      <c r="C1704" s="1" t="n">
        <v>45292</v>
      </c>
      <c r="D1704" t="inlineStr">
        <is>
          <t>VÄSTERBOTTENS LÄN</t>
        </is>
      </c>
      <c r="E1704" t="inlineStr">
        <is>
          <t>SKELLEFTEÅ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51240-2022</t>
        </is>
      </c>
      <c r="B1705" s="1" t="n">
        <v>44868</v>
      </c>
      <c r="C1705" s="1" t="n">
        <v>45292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52129-2022</t>
        </is>
      </c>
      <c r="B1706" s="1" t="n">
        <v>44868</v>
      </c>
      <c r="C1706" s="1" t="n">
        <v>45292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52141-2022</t>
        </is>
      </c>
      <c r="B1707" s="1" t="n">
        <v>44868</v>
      </c>
      <c r="C1707" s="1" t="n">
        <v>45292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52148-2022</t>
        </is>
      </c>
      <c r="B1708" s="1" t="n">
        <v>44868</v>
      </c>
      <c r="C1708" s="1" t="n">
        <v>45292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52135-2022</t>
        </is>
      </c>
      <c r="B1709" s="1" t="n">
        <v>44868</v>
      </c>
      <c r="C1709" s="1" t="n">
        <v>45292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51486-2022</t>
        </is>
      </c>
      <c r="B1710" s="1" t="n">
        <v>44869</v>
      </c>
      <c r="C1710" s="1" t="n">
        <v>45292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51427-2022</t>
        </is>
      </c>
      <c r="B1711" s="1" t="n">
        <v>44869</v>
      </c>
      <c r="C1711" s="1" t="n">
        <v>45292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51438-2022</t>
        </is>
      </c>
      <c r="B1712" s="1" t="n">
        <v>44869</v>
      </c>
      <c r="C1712" s="1" t="n">
        <v>45292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52482-2022</t>
        </is>
      </c>
      <c r="B1713" s="1" t="n">
        <v>44869</v>
      </c>
      <c r="C1713" s="1" t="n">
        <v>45292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52500-2022</t>
        </is>
      </c>
      <c r="B1714" s="1" t="n">
        <v>44869</v>
      </c>
      <c r="C1714" s="1" t="n">
        <v>45292</v>
      </c>
      <c r="D1714" t="inlineStr">
        <is>
          <t>VÄSTERBOTTENS LÄN</t>
        </is>
      </c>
      <c r="E1714" t="inlineStr">
        <is>
          <t>SKELLEFTEÅ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52475-2022</t>
        </is>
      </c>
      <c r="B1715" s="1" t="n">
        <v>44869</v>
      </c>
      <c r="C1715" s="1" t="n">
        <v>45292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52497-2022</t>
        </is>
      </c>
      <c r="B1716" s="1" t="n">
        <v>44869</v>
      </c>
      <c r="C1716" s="1" t="n">
        <v>45292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52459-2022</t>
        </is>
      </c>
      <c r="B1717" s="1" t="n">
        <v>44869</v>
      </c>
      <c r="C1717" s="1" t="n">
        <v>45292</v>
      </c>
      <c r="D1717" t="inlineStr">
        <is>
          <t>VÄSTERBOTTENS LÄN</t>
        </is>
      </c>
      <c r="E1717" t="inlineStr">
        <is>
          <t>SKELLEFTEÅ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52492-2022</t>
        </is>
      </c>
      <c r="B1718" s="1" t="n">
        <v>44869</v>
      </c>
      <c r="C1718" s="1" t="n">
        <v>45292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52488-2022</t>
        </is>
      </c>
      <c r="B1719" s="1" t="n">
        <v>44869</v>
      </c>
      <c r="C1719" s="1" t="n">
        <v>45292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51919-2022</t>
        </is>
      </c>
      <c r="B1720" s="1" t="n">
        <v>44872</v>
      </c>
      <c r="C1720" s="1" t="n">
        <v>45292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51951-2022</t>
        </is>
      </c>
      <c r="B1721" s="1" t="n">
        <v>44872</v>
      </c>
      <c r="C1721" s="1" t="n">
        <v>45292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52009-2022</t>
        </is>
      </c>
      <c r="B1722" s="1" t="n">
        <v>44872</v>
      </c>
      <c r="C1722" s="1" t="n">
        <v>45292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51982-2022</t>
        </is>
      </c>
      <c r="B1723" s="1" t="n">
        <v>44872</v>
      </c>
      <c r="C1723" s="1" t="n">
        <v>45292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51874-2022</t>
        </is>
      </c>
      <c r="B1724" s="1" t="n">
        <v>44872</v>
      </c>
      <c r="C1724" s="1" t="n">
        <v>45292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52864-2022</t>
        </is>
      </c>
      <c r="B1725" s="1" t="n">
        <v>44872</v>
      </c>
      <c r="C1725" s="1" t="n">
        <v>45292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52003-2022</t>
        </is>
      </c>
      <c r="B1726" s="1" t="n">
        <v>44872</v>
      </c>
      <c r="C1726" s="1" t="n">
        <v>45292</v>
      </c>
      <c r="D1726" t="inlineStr">
        <is>
          <t>VÄSTERBOTTENS LÄN</t>
        </is>
      </c>
      <c r="E1726" t="inlineStr">
        <is>
          <t>SKELLEFTEÅ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52817-2022</t>
        </is>
      </c>
      <c r="B1727" s="1" t="n">
        <v>44872</v>
      </c>
      <c r="C1727" s="1" t="n">
        <v>45292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53753-2022</t>
        </is>
      </c>
      <c r="B1728" s="1" t="n">
        <v>44872</v>
      </c>
      <c r="C1728" s="1" t="n">
        <v>45292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52871-2022</t>
        </is>
      </c>
      <c r="B1729" s="1" t="n">
        <v>44872</v>
      </c>
      <c r="C1729" s="1" t="n">
        <v>45292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53743-2022</t>
        </is>
      </c>
      <c r="B1730" s="1" t="n">
        <v>44872</v>
      </c>
      <c r="C1730" s="1" t="n">
        <v>45292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52855-2022</t>
        </is>
      </c>
      <c r="B1731" s="1" t="n">
        <v>44872</v>
      </c>
      <c r="C1731" s="1" t="n">
        <v>45292</v>
      </c>
      <c r="D1731" t="inlineStr">
        <is>
          <t>VÄSTERBOTTENS LÄN</t>
        </is>
      </c>
      <c r="E1731" t="inlineStr">
        <is>
          <t>SKELLEFTEÅ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52043-2022</t>
        </is>
      </c>
      <c r="B1732" s="1" t="n">
        <v>44873</v>
      </c>
      <c r="C1732" s="1" t="n">
        <v>45292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52589-2022</t>
        </is>
      </c>
      <c r="B1733" s="1" t="n">
        <v>44874</v>
      </c>
      <c r="C1733" s="1" t="n">
        <v>45292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52548-2022</t>
        </is>
      </c>
      <c r="B1734" s="1" t="n">
        <v>44874</v>
      </c>
      <c r="C1734" s="1" t="n">
        <v>45292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52555-2022</t>
        </is>
      </c>
      <c r="B1735" s="1" t="n">
        <v>44874</v>
      </c>
      <c r="C1735" s="1" t="n">
        <v>45292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52835-2022</t>
        </is>
      </c>
      <c r="B1736" s="1" t="n">
        <v>44875</v>
      </c>
      <c r="C1736" s="1" t="n">
        <v>45292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52869-2022</t>
        </is>
      </c>
      <c r="B1737" s="1" t="n">
        <v>44875</v>
      </c>
      <c r="C1737" s="1" t="n">
        <v>45292</v>
      </c>
      <c r="D1737" t="inlineStr">
        <is>
          <t>VÄSTERBOTTENS LÄN</t>
        </is>
      </c>
      <c r="E1737" t="inlineStr">
        <is>
          <t>SKELLEFTEÅ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52986-2022</t>
        </is>
      </c>
      <c r="B1738" s="1" t="n">
        <v>44875</v>
      </c>
      <c r="C1738" s="1" t="n">
        <v>45292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52988-2022</t>
        </is>
      </c>
      <c r="B1739" s="1" t="n">
        <v>44875</v>
      </c>
      <c r="C1739" s="1" t="n">
        <v>45292</v>
      </c>
      <c r="D1739" t="inlineStr">
        <is>
          <t>VÄSTERBOTTENS LÄN</t>
        </is>
      </c>
      <c r="E1739" t="inlineStr">
        <is>
          <t>SKELLEFTEÅ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53033-2022</t>
        </is>
      </c>
      <c r="B1740" s="1" t="n">
        <v>44876</v>
      </c>
      <c r="C1740" s="1" t="n">
        <v>45292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53075-2022</t>
        </is>
      </c>
      <c r="B1741" s="1" t="n">
        <v>44876</v>
      </c>
      <c r="C1741" s="1" t="n">
        <v>45292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53089-2022</t>
        </is>
      </c>
      <c r="B1742" s="1" t="n">
        <v>44876</v>
      </c>
      <c r="C1742" s="1" t="n">
        <v>45292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53092-2022</t>
        </is>
      </c>
      <c r="B1743" s="1" t="n">
        <v>44876</v>
      </c>
      <c r="C1743" s="1" t="n">
        <v>45292</v>
      </c>
      <c r="D1743" t="inlineStr">
        <is>
          <t>VÄSTERBOTTENS LÄN</t>
        </is>
      </c>
      <c r="E1743" t="inlineStr">
        <is>
          <t>SKELLEFTEÅ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53083-2022</t>
        </is>
      </c>
      <c r="B1744" s="1" t="n">
        <v>44876</v>
      </c>
      <c r="C1744" s="1" t="n">
        <v>45292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53639-2022</t>
        </is>
      </c>
      <c r="B1745" s="1" t="n">
        <v>44879</v>
      </c>
      <c r="C1745" s="1" t="n">
        <v>45292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53646-2022</t>
        </is>
      </c>
      <c r="B1746" s="1" t="n">
        <v>44879</v>
      </c>
      <c r="C1746" s="1" t="n">
        <v>45292</v>
      </c>
      <c r="D1746" t="inlineStr">
        <is>
          <t>VÄSTERBOTTENS LÄN</t>
        </is>
      </c>
      <c r="E1746" t="inlineStr">
        <is>
          <t>SKELLEFTEÅ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53642-2022</t>
        </is>
      </c>
      <c r="B1747" s="1" t="n">
        <v>44879</v>
      </c>
      <c r="C1747" s="1" t="n">
        <v>45292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53641-2022</t>
        </is>
      </c>
      <c r="B1748" s="1" t="n">
        <v>44879</v>
      </c>
      <c r="C1748" s="1" t="n">
        <v>45292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54316-2022</t>
        </is>
      </c>
      <c r="B1749" s="1" t="n">
        <v>44879</v>
      </c>
      <c r="C1749" s="1" t="n">
        <v>45292</v>
      </c>
      <c r="D1749" t="inlineStr">
        <is>
          <t>VÄSTERBOTTENS LÄN</t>
        </is>
      </c>
      <c r="E1749" t="inlineStr">
        <is>
          <t>SKELLEFTEÅ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54438-2022</t>
        </is>
      </c>
      <c r="B1750" s="1" t="n">
        <v>44880</v>
      </c>
      <c r="C1750" s="1" t="n">
        <v>45292</v>
      </c>
      <c r="D1750" t="inlineStr">
        <is>
          <t>VÄSTERBOTTENS LÄN</t>
        </is>
      </c>
      <c r="E1750" t="inlineStr">
        <is>
          <t>SKELLEFTEÅ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53903-2022</t>
        </is>
      </c>
      <c r="B1751" s="1" t="n">
        <v>44880</v>
      </c>
      <c r="C1751" s="1" t="n">
        <v>45292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54456-2022</t>
        </is>
      </c>
      <c r="B1752" s="1" t="n">
        <v>44880</v>
      </c>
      <c r="C1752" s="1" t="n">
        <v>45292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54081-2022</t>
        </is>
      </c>
      <c r="B1753" s="1" t="n">
        <v>44881</v>
      </c>
      <c r="C1753" s="1" t="n">
        <v>45292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54825-2022</t>
        </is>
      </c>
      <c r="B1754" s="1" t="n">
        <v>44883</v>
      </c>
      <c r="C1754" s="1" t="n">
        <v>45292</v>
      </c>
      <c r="D1754" t="inlineStr">
        <is>
          <t>VÄSTERBOTTENS LÄN</t>
        </is>
      </c>
      <c r="E1754" t="inlineStr">
        <is>
          <t>SKELLEFTEÅ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54635-2022</t>
        </is>
      </c>
      <c r="B1755" s="1" t="n">
        <v>44883</v>
      </c>
      <c r="C1755" s="1" t="n">
        <v>45292</v>
      </c>
      <c r="D1755" t="inlineStr">
        <is>
          <t>VÄSTERBOTTENS LÄN</t>
        </is>
      </c>
      <c r="E1755" t="inlineStr">
        <is>
          <t>SKELLEFTEÅ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55018-2022</t>
        </is>
      </c>
      <c r="B1756" s="1" t="n">
        <v>44886</v>
      </c>
      <c r="C1756" s="1" t="n">
        <v>45292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55063-2022</t>
        </is>
      </c>
      <c r="B1757" s="1" t="n">
        <v>44886</v>
      </c>
      <c r="C1757" s="1" t="n">
        <v>45292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55037-2022</t>
        </is>
      </c>
      <c r="B1758" s="1" t="n">
        <v>44886</v>
      </c>
      <c r="C1758" s="1" t="n">
        <v>45292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55176-2022</t>
        </is>
      </c>
      <c r="B1759" s="1" t="n">
        <v>44886</v>
      </c>
      <c r="C1759" s="1" t="n">
        <v>45292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56313-2022</t>
        </is>
      </c>
      <c r="B1760" s="1" t="n">
        <v>44887</v>
      </c>
      <c r="C1760" s="1" t="n">
        <v>45292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56299-2022</t>
        </is>
      </c>
      <c r="B1761" s="1" t="n">
        <v>44887</v>
      </c>
      <c r="C1761" s="1" t="n">
        <v>45292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55611-2022</t>
        </is>
      </c>
      <c r="B1762" s="1" t="n">
        <v>44888</v>
      </c>
      <c r="C1762" s="1" t="n">
        <v>45292</v>
      </c>
      <c r="D1762" t="inlineStr">
        <is>
          <t>VÄSTERBOTTENS LÄN</t>
        </is>
      </c>
      <c r="E1762" t="inlineStr">
        <is>
          <t>SKELLEFTEÅ</t>
        </is>
      </c>
      <c r="G1762" t="n">
        <v>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55584-2022</t>
        </is>
      </c>
      <c r="B1763" s="1" t="n">
        <v>44888</v>
      </c>
      <c r="C1763" s="1" t="n">
        <v>45292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55603-2022</t>
        </is>
      </c>
      <c r="B1764" s="1" t="n">
        <v>44888</v>
      </c>
      <c r="C1764" s="1" t="n">
        <v>45292</v>
      </c>
      <c r="D1764" t="inlineStr">
        <is>
          <t>VÄSTERBOTTENS LÄN</t>
        </is>
      </c>
      <c r="E1764" t="inlineStr">
        <is>
          <t>SKELLEFTEÅ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55623-2022</t>
        </is>
      </c>
      <c r="B1765" s="1" t="n">
        <v>44888</v>
      </c>
      <c r="C1765" s="1" t="n">
        <v>45292</v>
      </c>
      <c r="D1765" t="inlineStr">
        <is>
          <t>VÄSTERBOTTENS LÄN</t>
        </is>
      </c>
      <c r="E1765" t="inlineStr">
        <is>
          <t>SKELLEFTEÅ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55815-2022</t>
        </is>
      </c>
      <c r="B1766" s="1" t="n">
        <v>44888</v>
      </c>
      <c r="C1766" s="1" t="n">
        <v>45292</v>
      </c>
      <c r="D1766" t="inlineStr">
        <is>
          <t>VÄSTERBOTTENS LÄN</t>
        </is>
      </c>
      <c r="E1766" t="inlineStr">
        <is>
          <t>SKELLEFTEÅ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55827-2022</t>
        </is>
      </c>
      <c r="B1767" s="1" t="n">
        <v>44888</v>
      </c>
      <c r="C1767" s="1" t="n">
        <v>45292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56824-2022</t>
        </is>
      </c>
      <c r="B1768" s="1" t="n">
        <v>44888</v>
      </c>
      <c r="C1768" s="1" t="n">
        <v>45292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56031-2022</t>
        </is>
      </c>
      <c r="B1769" s="1" t="n">
        <v>44889</v>
      </c>
      <c r="C1769" s="1" t="n">
        <v>45292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55982-2022</t>
        </is>
      </c>
      <c r="B1770" s="1" t="n">
        <v>44889</v>
      </c>
      <c r="C1770" s="1" t="n">
        <v>45292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55999-2022</t>
        </is>
      </c>
      <c r="B1771" s="1" t="n">
        <v>44889</v>
      </c>
      <c r="C1771" s="1" t="n">
        <v>45292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56072-2022</t>
        </is>
      </c>
      <c r="B1772" s="1" t="n">
        <v>44889</v>
      </c>
      <c r="C1772" s="1" t="n">
        <v>45292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56141-2022</t>
        </is>
      </c>
      <c r="B1773" s="1" t="n">
        <v>44889</v>
      </c>
      <c r="C1773" s="1" t="n">
        <v>45292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56155-2022</t>
        </is>
      </c>
      <c r="B1774" s="1" t="n">
        <v>44889</v>
      </c>
      <c r="C1774" s="1" t="n">
        <v>45292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56113-2022</t>
        </is>
      </c>
      <c r="B1775" s="1" t="n">
        <v>44889</v>
      </c>
      <c r="C1775" s="1" t="n">
        <v>45292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56156-2022</t>
        </is>
      </c>
      <c r="B1776" s="1" t="n">
        <v>44889</v>
      </c>
      <c r="C1776" s="1" t="n">
        <v>45292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57405-2022</t>
        </is>
      </c>
      <c r="B1777" s="1" t="n">
        <v>44889</v>
      </c>
      <c r="C1777" s="1" t="n">
        <v>45292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57432-2022</t>
        </is>
      </c>
      <c r="B1778" s="1" t="n">
        <v>44889</v>
      </c>
      <c r="C1778" s="1" t="n">
        <v>45292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56284-2022</t>
        </is>
      </c>
      <c r="B1779" s="1" t="n">
        <v>44890</v>
      </c>
      <c r="C1779" s="1" t="n">
        <v>45292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56394-2022</t>
        </is>
      </c>
      <c r="B1780" s="1" t="n">
        <v>44890</v>
      </c>
      <c r="C1780" s="1" t="n">
        <v>45292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56435-2022</t>
        </is>
      </c>
      <c r="B1781" s="1" t="n">
        <v>44892</v>
      </c>
      <c r="C1781" s="1" t="n">
        <v>45292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56503-2022</t>
        </is>
      </c>
      <c r="B1782" s="1" t="n">
        <v>44893</v>
      </c>
      <c r="C1782" s="1" t="n">
        <v>45292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57406-2022</t>
        </is>
      </c>
      <c r="B1783" s="1" t="n">
        <v>44893</v>
      </c>
      <c r="C1783" s="1" t="n">
        <v>45292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58114-2022</t>
        </is>
      </c>
      <c r="B1784" s="1" t="n">
        <v>44893</v>
      </c>
      <c r="C1784" s="1" t="n">
        <v>45292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56993-2022</t>
        </is>
      </c>
      <c r="B1785" s="1" t="n">
        <v>44894</v>
      </c>
      <c r="C1785" s="1" t="n">
        <v>45292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56960-2022</t>
        </is>
      </c>
      <c r="B1786" s="1" t="n">
        <v>44894</v>
      </c>
      <c r="C1786" s="1" t="n">
        <v>45292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56995-2022</t>
        </is>
      </c>
      <c r="B1787" s="1" t="n">
        <v>44894</v>
      </c>
      <c r="C1787" s="1" t="n">
        <v>45292</v>
      </c>
      <c r="D1787" t="inlineStr">
        <is>
          <t>VÄSTERBOTTENS LÄN</t>
        </is>
      </c>
      <c r="E1787" t="inlineStr">
        <is>
          <t>SKELLEFTEÅ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58250-2022</t>
        </is>
      </c>
      <c r="B1788" s="1" t="n">
        <v>44894</v>
      </c>
      <c r="C1788" s="1" t="n">
        <v>45292</v>
      </c>
      <c r="D1788" t="inlineStr">
        <is>
          <t>VÄSTERBOTTENS LÄN</t>
        </is>
      </c>
      <c r="E1788" t="inlineStr">
        <is>
          <t>SKELLEFTEÅ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58634-2022</t>
        </is>
      </c>
      <c r="B1789" s="1" t="n">
        <v>44894</v>
      </c>
      <c r="C1789" s="1" t="n">
        <v>45292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57059-2022</t>
        </is>
      </c>
      <c r="B1790" s="1" t="n">
        <v>44895</v>
      </c>
      <c r="C1790" s="1" t="n">
        <v>45292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57103-2022</t>
        </is>
      </c>
      <c r="B1791" s="1" t="n">
        <v>44895</v>
      </c>
      <c r="C1791" s="1" t="n">
        <v>45292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57057-2022</t>
        </is>
      </c>
      <c r="B1792" s="1" t="n">
        <v>44895</v>
      </c>
      <c r="C1792" s="1" t="n">
        <v>45292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57054-2022</t>
        </is>
      </c>
      <c r="B1793" s="1" t="n">
        <v>44895</v>
      </c>
      <c r="C1793" s="1" t="n">
        <v>45292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57152-2022</t>
        </is>
      </c>
      <c r="B1794" s="1" t="n">
        <v>44895</v>
      </c>
      <c r="C1794" s="1" t="n">
        <v>45292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57187-2022</t>
        </is>
      </c>
      <c r="B1795" s="1" t="n">
        <v>44895</v>
      </c>
      <c r="C1795" s="1" t="n">
        <v>45292</v>
      </c>
      <c r="D1795" t="inlineStr">
        <is>
          <t>VÄSTERBOTTENS LÄN</t>
        </is>
      </c>
      <c r="E1795" t="inlineStr">
        <is>
          <t>SKELLEFTEÅ</t>
        </is>
      </c>
      <c r="G1795" t="n">
        <v>9.9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58897-2022</t>
        </is>
      </c>
      <c r="B1796" s="1" t="n">
        <v>44895</v>
      </c>
      <c r="C1796" s="1" t="n">
        <v>45292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58814-2022</t>
        </is>
      </c>
      <c r="B1797" s="1" t="n">
        <v>44895</v>
      </c>
      <c r="C1797" s="1" t="n">
        <v>45292</v>
      </c>
      <c r="D1797" t="inlineStr">
        <is>
          <t>VÄSTERBOTTENS LÄN</t>
        </is>
      </c>
      <c r="E1797" t="inlineStr">
        <is>
          <t>SKELLEFTEÅ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57364-2022</t>
        </is>
      </c>
      <c r="B1798" s="1" t="n">
        <v>44896</v>
      </c>
      <c r="C1798" s="1" t="n">
        <v>45292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57417-2022</t>
        </is>
      </c>
      <c r="B1799" s="1" t="n">
        <v>44896</v>
      </c>
      <c r="C1799" s="1" t="n">
        <v>45292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57579-2022</t>
        </is>
      </c>
      <c r="B1800" s="1" t="n">
        <v>44896</v>
      </c>
      <c r="C1800" s="1" t="n">
        <v>45292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57362-2022</t>
        </is>
      </c>
      <c r="B1801" s="1" t="n">
        <v>44896</v>
      </c>
      <c r="C1801" s="1" t="n">
        <v>45292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57457-2022</t>
        </is>
      </c>
      <c r="B1802" s="1" t="n">
        <v>44896</v>
      </c>
      <c r="C1802" s="1" t="n">
        <v>45292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57569-2022</t>
        </is>
      </c>
      <c r="B1803" s="1" t="n">
        <v>44896</v>
      </c>
      <c r="C1803" s="1" t="n">
        <v>45292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57570-2022</t>
        </is>
      </c>
      <c r="B1804" s="1" t="n">
        <v>44896</v>
      </c>
      <c r="C1804" s="1" t="n">
        <v>45292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57577-2022</t>
        </is>
      </c>
      <c r="B1805" s="1" t="n">
        <v>44896</v>
      </c>
      <c r="C1805" s="1" t="n">
        <v>45292</v>
      </c>
      <c r="D1805" t="inlineStr">
        <is>
          <t>VÄSTERBOTTENS LÄN</t>
        </is>
      </c>
      <c r="E1805" t="inlineStr">
        <is>
          <t>SKELLEFTEÅ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57583-2022</t>
        </is>
      </c>
      <c r="B1806" s="1" t="n">
        <v>44896</v>
      </c>
      <c r="C1806" s="1" t="n">
        <v>45292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57582-2022</t>
        </is>
      </c>
      <c r="B1807" s="1" t="n">
        <v>44896</v>
      </c>
      <c r="C1807" s="1" t="n">
        <v>45292</v>
      </c>
      <c r="D1807" t="inlineStr">
        <is>
          <t>VÄSTERBOTTENS LÄN</t>
        </is>
      </c>
      <c r="E1807" t="inlineStr">
        <is>
          <t>SKELLEFTEÅ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57571-2022</t>
        </is>
      </c>
      <c r="B1808" s="1" t="n">
        <v>44896</v>
      </c>
      <c r="C1808" s="1" t="n">
        <v>45292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57578-2022</t>
        </is>
      </c>
      <c r="B1809" s="1" t="n">
        <v>44896</v>
      </c>
      <c r="C1809" s="1" t="n">
        <v>45292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57584-2022</t>
        </is>
      </c>
      <c r="B1810" s="1" t="n">
        <v>44896</v>
      </c>
      <c r="C1810" s="1" t="n">
        <v>45292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58877-2022</t>
        </is>
      </c>
      <c r="B1811" s="1" t="n">
        <v>44896</v>
      </c>
      <c r="C1811" s="1" t="n">
        <v>45292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58926-2022</t>
        </is>
      </c>
      <c r="B1812" s="1" t="n">
        <v>44896</v>
      </c>
      <c r="C1812" s="1" t="n">
        <v>45292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57646-2022</t>
        </is>
      </c>
      <c r="B1813" s="1" t="n">
        <v>44897</v>
      </c>
      <c r="C1813" s="1" t="n">
        <v>45292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57770-2022</t>
        </is>
      </c>
      <c r="B1814" s="1" t="n">
        <v>44897</v>
      </c>
      <c r="C1814" s="1" t="n">
        <v>45292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57654-2022</t>
        </is>
      </c>
      <c r="B1815" s="1" t="n">
        <v>44897</v>
      </c>
      <c r="C1815" s="1" t="n">
        <v>45292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57659-2022</t>
        </is>
      </c>
      <c r="B1816" s="1" t="n">
        <v>44897</v>
      </c>
      <c r="C1816" s="1" t="n">
        <v>45292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59020-2022</t>
        </is>
      </c>
      <c r="B1817" s="1" t="n">
        <v>44897</v>
      </c>
      <c r="C1817" s="1" t="n">
        <v>45292</v>
      </c>
      <c r="D1817" t="inlineStr">
        <is>
          <t>VÄSTERBOTTENS LÄN</t>
        </is>
      </c>
      <c r="E1817" t="inlineStr">
        <is>
          <t>SKELLEFTEÅ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57847-2022</t>
        </is>
      </c>
      <c r="B1818" s="1" t="n">
        <v>44898</v>
      </c>
      <c r="C1818" s="1" t="n">
        <v>45292</v>
      </c>
      <c r="D1818" t="inlineStr">
        <is>
          <t>VÄSTERBOTTENS LÄN</t>
        </is>
      </c>
      <c r="E1818" t="inlineStr">
        <is>
          <t>SKELLEFTEÅ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57849-2022</t>
        </is>
      </c>
      <c r="B1819" s="1" t="n">
        <v>44898</v>
      </c>
      <c r="C1819" s="1" t="n">
        <v>45292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57848-2022</t>
        </is>
      </c>
      <c r="B1820" s="1" t="n">
        <v>44898</v>
      </c>
      <c r="C1820" s="1" t="n">
        <v>45292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57851-2022</t>
        </is>
      </c>
      <c r="B1821" s="1" t="n">
        <v>44898</v>
      </c>
      <c r="C1821" s="1" t="n">
        <v>45292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57908-2022</t>
        </is>
      </c>
      <c r="B1822" s="1" t="n">
        <v>44900</v>
      </c>
      <c r="C1822" s="1" t="n">
        <v>45292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58053-2022</t>
        </is>
      </c>
      <c r="B1823" s="1" t="n">
        <v>44900</v>
      </c>
      <c r="C1823" s="1" t="n">
        <v>45292</v>
      </c>
      <c r="D1823" t="inlineStr">
        <is>
          <t>VÄSTERBOTTENS LÄN</t>
        </is>
      </c>
      <c r="E1823" t="inlineStr">
        <is>
          <t>SKELLEFTEÅ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57899-2022</t>
        </is>
      </c>
      <c r="B1824" s="1" t="n">
        <v>44900</v>
      </c>
      <c r="C1824" s="1" t="n">
        <v>45292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58063-2022</t>
        </is>
      </c>
      <c r="B1825" s="1" t="n">
        <v>44900</v>
      </c>
      <c r="C1825" s="1" t="n">
        <v>45292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59754-2022</t>
        </is>
      </c>
      <c r="B1826" s="1" t="n">
        <v>44900</v>
      </c>
      <c r="C1826" s="1" t="n">
        <v>45292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58298-2022</t>
        </is>
      </c>
      <c r="B1827" s="1" t="n">
        <v>44901</v>
      </c>
      <c r="C1827" s="1" t="n">
        <v>45292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58325-2022</t>
        </is>
      </c>
      <c r="B1828" s="1" t="n">
        <v>44901</v>
      </c>
      <c r="C1828" s="1" t="n">
        <v>45292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58376-2022</t>
        </is>
      </c>
      <c r="B1829" s="1" t="n">
        <v>44901</v>
      </c>
      <c r="C1829" s="1" t="n">
        <v>45292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58429-2022</t>
        </is>
      </c>
      <c r="B1830" s="1" t="n">
        <v>44901</v>
      </c>
      <c r="C1830" s="1" t="n">
        <v>45292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58304-2022</t>
        </is>
      </c>
      <c r="B1831" s="1" t="n">
        <v>44901</v>
      </c>
      <c r="C1831" s="1" t="n">
        <v>45292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58197-2022</t>
        </is>
      </c>
      <c r="B1832" s="1" t="n">
        <v>44901</v>
      </c>
      <c r="C1832" s="1" t="n">
        <v>45292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58295-2022</t>
        </is>
      </c>
      <c r="B1833" s="1" t="n">
        <v>44901</v>
      </c>
      <c r="C1833" s="1" t="n">
        <v>45292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58349-2022</t>
        </is>
      </c>
      <c r="B1834" s="1" t="n">
        <v>44901</v>
      </c>
      <c r="C1834" s="1" t="n">
        <v>45292</v>
      </c>
      <c r="D1834" t="inlineStr">
        <is>
          <t>VÄSTERBOTTENS LÄN</t>
        </is>
      </c>
      <c r="E1834" t="inlineStr">
        <is>
          <t>SKELLEFTEÅ</t>
        </is>
      </c>
      <c r="G1834" t="n">
        <v>5.9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58464-2022</t>
        </is>
      </c>
      <c r="B1835" s="1" t="n">
        <v>44902</v>
      </c>
      <c r="C1835" s="1" t="n">
        <v>45292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58572-2022</t>
        </is>
      </c>
      <c r="B1836" s="1" t="n">
        <v>44902</v>
      </c>
      <c r="C1836" s="1" t="n">
        <v>45292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58676-2022</t>
        </is>
      </c>
      <c r="B1837" s="1" t="n">
        <v>44902</v>
      </c>
      <c r="C1837" s="1" t="n">
        <v>45292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58803-2022</t>
        </is>
      </c>
      <c r="B1838" s="1" t="n">
        <v>44903</v>
      </c>
      <c r="C1838" s="1" t="n">
        <v>45292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60237-2022</t>
        </is>
      </c>
      <c r="B1839" s="1" t="n">
        <v>44903</v>
      </c>
      <c r="C1839" s="1" t="n">
        <v>45292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59067-2022</t>
        </is>
      </c>
      <c r="B1840" s="1" t="n">
        <v>44904</v>
      </c>
      <c r="C1840" s="1" t="n">
        <v>45292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45292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60356-2022</t>
        </is>
      </c>
      <c r="B1842" s="1" t="n">
        <v>44904</v>
      </c>
      <c r="C1842" s="1" t="n">
        <v>45292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59531-2022</t>
        </is>
      </c>
      <c r="B1843" s="1" t="n">
        <v>44907</v>
      </c>
      <c r="C1843" s="1" t="n">
        <v>45292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60981-2022</t>
        </is>
      </c>
      <c r="B1844" s="1" t="n">
        <v>44907</v>
      </c>
      <c r="C1844" s="1" t="n">
        <v>45292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60785-2022</t>
        </is>
      </c>
      <c r="B1845" s="1" t="n">
        <v>44907</v>
      </c>
      <c r="C1845" s="1" t="n">
        <v>45292</v>
      </c>
      <c r="D1845" t="inlineStr">
        <is>
          <t>VÄSTERBOTTENS LÄN</t>
        </is>
      </c>
      <c r="E1845" t="inlineStr">
        <is>
          <t>SKELLEFTEÅ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60970-2022</t>
        </is>
      </c>
      <c r="B1846" s="1" t="n">
        <v>44907</v>
      </c>
      <c r="C1846" s="1" t="n">
        <v>45292</v>
      </c>
      <c r="D1846" t="inlineStr">
        <is>
          <t>VÄSTERBOTTENS LÄN</t>
        </is>
      </c>
      <c r="E1846" t="inlineStr">
        <is>
          <t>SKELLEFTEÅ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59666-2022</t>
        </is>
      </c>
      <c r="B1847" s="1" t="n">
        <v>44908</v>
      </c>
      <c r="C1847" s="1" t="n">
        <v>45292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59744-2022</t>
        </is>
      </c>
      <c r="B1848" s="1" t="n">
        <v>44908</v>
      </c>
      <c r="C1848" s="1" t="n">
        <v>45292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59664-2022</t>
        </is>
      </c>
      <c r="B1849" s="1" t="n">
        <v>44908</v>
      </c>
      <c r="C1849" s="1" t="n">
        <v>45292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59748-2022</t>
        </is>
      </c>
      <c r="B1850" s="1" t="n">
        <v>44908</v>
      </c>
      <c r="C1850" s="1" t="n">
        <v>45292</v>
      </c>
      <c r="D1850" t="inlineStr">
        <is>
          <t>VÄSTERBOTTENS LÄN</t>
        </is>
      </c>
      <c r="E1850" t="inlineStr">
        <is>
          <t>SKELLEFTEÅ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61153-2022</t>
        </is>
      </c>
      <c r="B1851" s="1" t="n">
        <v>44908</v>
      </c>
      <c r="C1851" s="1" t="n">
        <v>45292</v>
      </c>
      <c r="D1851" t="inlineStr">
        <is>
          <t>VÄSTERBOTTENS LÄN</t>
        </is>
      </c>
      <c r="E1851" t="inlineStr">
        <is>
          <t>SKELLEFTEÅ</t>
        </is>
      </c>
      <c r="G1851" t="n">
        <v>18.3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60000-2022</t>
        </is>
      </c>
      <c r="B1852" s="1" t="n">
        <v>44909</v>
      </c>
      <c r="C1852" s="1" t="n">
        <v>45292</v>
      </c>
      <c r="D1852" t="inlineStr">
        <is>
          <t>VÄSTERBOTTENS LÄN</t>
        </is>
      </c>
      <c r="E1852" t="inlineStr">
        <is>
          <t>SKELLEFTEÅ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61275-2022</t>
        </is>
      </c>
      <c r="B1853" s="1" t="n">
        <v>44909</v>
      </c>
      <c r="C1853" s="1" t="n">
        <v>45292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60378-2022</t>
        </is>
      </c>
      <c r="B1854" s="1" t="n">
        <v>44910</v>
      </c>
      <c r="C1854" s="1" t="n">
        <v>45292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60488-2022</t>
        </is>
      </c>
      <c r="B1855" s="1" t="n">
        <v>44911</v>
      </c>
      <c r="C1855" s="1" t="n">
        <v>45292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60488-2022 karta knärot.png", "A 60488-2022")</f>
        <v/>
      </c>
      <c r="V1855">
        <f>HYPERLINK("https://klasma.github.io/Logging_2482/klagomål/A 60488-2022 FSC-klagomål.docx", "A 60488-2022")</f>
        <v/>
      </c>
      <c r="W1855">
        <f>HYPERLINK("https://klasma.github.io/Logging_2482/klagomålsmail/A 60488-2022 FSC-klagomål mail.docx", "A 60488-2022")</f>
        <v/>
      </c>
      <c r="X1855">
        <f>HYPERLINK("https://klasma.github.io/Logging_2482/tillsyn/A 60488-2022 tillsynsbegäran.docx", "A 60488-2022")</f>
        <v/>
      </c>
      <c r="Y1855">
        <f>HYPERLINK("https://klasma.github.io/Logging_2482/tillsynsmail/A 60488-2022 tillsynsbegäran mail.docx", "A 60488-2022")</f>
        <v/>
      </c>
    </row>
    <row r="1856" ht="15" customHeight="1">
      <c r="A1856" t="inlineStr">
        <is>
          <t>A 60498-2022</t>
        </is>
      </c>
      <c r="B1856" s="1" t="n">
        <v>44911</v>
      </c>
      <c r="C1856" s="1" t="n">
        <v>45292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60582-2022</t>
        </is>
      </c>
      <c r="B1857" s="1" t="n">
        <v>44911</v>
      </c>
      <c r="C1857" s="1" t="n">
        <v>45292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60656-2022</t>
        </is>
      </c>
      <c r="B1858" s="1" t="n">
        <v>44911</v>
      </c>
      <c r="C1858" s="1" t="n">
        <v>45292</v>
      </c>
      <c r="D1858" t="inlineStr">
        <is>
          <t>VÄSTERBOTTENS LÄN</t>
        </is>
      </c>
      <c r="E1858" t="inlineStr">
        <is>
          <t>SKELLEFTEÅ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60452-2022</t>
        </is>
      </c>
      <c r="B1859" s="1" t="n">
        <v>44911</v>
      </c>
      <c r="C1859" s="1" t="n">
        <v>45292</v>
      </c>
      <c r="D1859" t="inlineStr">
        <is>
          <t>VÄSTERBOTTENS LÄN</t>
        </is>
      </c>
      <c r="E1859" t="inlineStr">
        <is>
          <t>SKELLEFTEÅ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</v>
      </c>
      <c r="C1860" s="1" t="n">
        <v>45292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60524-2022</t>
        </is>
      </c>
      <c r="B1861" s="1" t="n">
        <v>44911</v>
      </c>
      <c r="C1861" s="1" t="n">
        <v>45292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60581-2022</t>
        </is>
      </c>
      <c r="B1862" s="1" t="n">
        <v>44911</v>
      </c>
      <c r="C1862" s="1" t="n">
        <v>45292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60655-2022</t>
        </is>
      </c>
      <c r="B1863" s="1" t="n">
        <v>44911</v>
      </c>
      <c r="C1863" s="1" t="n">
        <v>45292</v>
      </c>
      <c r="D1863" t="inlineStr">
        <is>
          <t>VÄSTERBOTTENS LÄN</t>
        </is>
      </c>
      <c r="E1863" t="inlineStr">
        <is>
          <t>SKELLEFTEÅ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60506-2022</t>
        </is>
      </c>
      <c r="B1864" s="1" t="n">
        <v>44911</v>
      </c>
      <c r="C1864" s="1" t="n">
        <v>45292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60484-2022</t>
        </is>
      </c>
      <c r="B1865" s="1" t="n">
        <v>44911</v>
      </c>
      <c r="C1865" s="1" t="n">
        <v>45292</v>
      </c>
      <c r="D1865" t="inlineStr">
        <is>
          <t>VÄSTERBOTTENS LÄN</t>
        </is>
      </c>
      <c r="E1865" t="inlineStr">
        <is>
          <t>SKELLEFTEÅ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60585-2022</t>
        </is>
      </c>
      <c r="B1866" s="1" t="n">
        <v>44911</v>
      </c>
      <c r="C1866" s="1" t="n">
        <v>45292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60590-2022</t>
        </is>
      </c>
      <c r="B1867" s="1" t="n">
        <v>44911</v>
      </c>
      <c r="C1867" s="1" t="n">
        <v>45292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61697-2022</t>
        </is>
      </c>
      <c r="B1868" s="1" t="n">
        <v>44911</v>
      </c>
      <c r="C1868" s="1" t="n">
        <v>45292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61700-2022</t>
        </is>
      </c>
      <c r="B1869" s="1" t="n">
        <v>44911</v>
      </c>
      <c r="C1869" s="1" t="n">
        <v>45292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60787-2022</t>
        </is>
      </c>
      <c r="B1870" s="1" t="n">
        <v>44914</v>
      </c>
      <c r="C1870" s="1" t="n">
        <v>45292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60853-2022</t>
        </is>
      </c>
      <c r="B1871" s="1" t="n">
        <v>44914</v>
      </c>
      <c r="C1871" s="1" t="n">
        <v>45292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60858-2022</t>
        </is>
      </c>
      <c r="B1872" s="1" t="n">
        <v>44914</v>
      </c>
      <c r="C1872" s="1" t="n">
        <v>45292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60789-2022</t>
        </is>
      </c>
      <c r="B1873" s="1" t="n">
        <v>44914</v>
      </c>
      <c r="C1873" s="1" t="n">
        <v>45292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62028-2022</t>
        </is>
      </c>
      <c r="B1874" s="1" t="n">
        <v>44914</v>
      </c>
      <c r="C1874" s="1" t="n">
        <v>45292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62027-2022</t>
        </is>
      </c>
      <c r="B1875" s="1" t="n">
        <v>44914</v>
      </c>
      <c r="C1875" s="1" t="n">
        <v>45292</v>
      </c>
      <c r="D1875" t="inlineStr">
        <is>
          <t>VÄSTERBOTTENS LÄN</t>
        </is>
      </c>
      <c r="E1875" t="inlineStr">
        <is>
          <t>SKELLEFTEÅ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45292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61105-2022</t>
        </is>
      </c>
      <c r="B1877" s="1" t="n">
        <v>44915</v>
      </c>
      <c r="C1877" s="1" t="n">
        <v>45292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61101-2022</t>
        </is>
      </c>
      <c r="B1878" s="1" t="n">
        <v>44915</v>
      </c>
      <c r="C1878" s="1" t="n">
        <v>45292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61132-2022</t>
        </is>
      </c>
      <c r="B1879" s="1" t="n">
        <v>44915</v>
      </c>
      <c r="C1879" s="1" t="n">
        <v>45292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61348-2022</t>
        </is>
      </c>
      <c r="B1880" s="1" t="n">
        <v>44915</v>
      </c>
      <c r="C1880" s="1" t="n">
        <v>45292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61467-2022</t>
        </is>
      </c>
      <c r="B1881" s="1" t="n">
        <v>44916</v>
      </c>
      <c r="C1881" s="1" t="n">
        <v>45292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61635-2022</t>
        </is>
      </c>
      <c r="B1882" s="1" t="n">
        <v>44916</v>
      </c>
      <c r="C1882" s="1" t="n">
        <v>45292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61634-2022</t>
        </is>
      </c>
      <c r="B1883" s="1" t="n">
        <v>44916</v>
      </c>
      <c r="C1883" s="1" t="n">
        <v>45292</v>
      </c>
      <c r="D1883" t="inlineStr">
        <is>
          <t>VÄSTERBOTTENS LÄN</t>
        </is>
      </c>
      <c r="E1883" t="inlineStr">
        <is>
          <t>SKELLEFTEÅ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61569-2022</t>
        </is>
      </c>
      <c r="B1884" s="1" t="n">
        <v>44916</v>
      </c>
      <c r="C1884" s="1" t="n">
        <v>45292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61631-2022</t>
        </is>
      </c>
      <c r="B1885" s="1" t="n">
        <v>44916</v>
      </c>
      <c r="C1885" s="1" t="n">
        <v>45292</v>
      </c>
      <c r="D1885" t="inlineStr">
        <is>
          <t>VÄSTERBOTTENS LÄN</t>
        </is>
      </c>
      <c r="E1885" t="inlineStr">
        <is>
          <t>SKELLEFTEÅ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62325-2022</t>
        </is>
      </c>
      <c r="B1886" s="1" t="n">
        <v>44916</v>
      </c>
      <c r="C1886" s="1" t="n">
        <v>45292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62323-2022</t>
        </is>
      </c>
      <c r="B1887" s="1" t="n">
        <v>44916</v>
      </c>
      <c r="C1887" s="1" t="n">
        <v>45292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62536-2022</t>
        </is>
      </c>
      <c r="B1888" s="1" t="n">
        <v>44917</v>
      </c>
      <c r="C1888" s="1" t="n">
        <v>45292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121-2023</t>
        </is>
      </c>
      <c r="B1889" s="1" t="n">
        <v>44918</v>
      </c>
      <c r="C1889" s="1" t="n">
        <v>45292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62249-2022</t>
        </is>
      </c>
      <c r="B1890" s="1" t="n">
        <v>44922</v>
      </c>
      <c r="C1890" s="1" t="n">
        <v>45292</v>
      </c>
      <c r="D1890" t="inlineStr">
        <is>
          <t>VÄSTERBOTTENS LÄN</t>
        </is>
      </c>
      <c r="E1890" t="inlineStr">
        <is>
          <t>SKELLEFTEÅ</t>
        </is>
      </c>
      <c r="G1890" t="n">
        <v>18.2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62279-2022</t>
        </is>
      </c>
      <c r="B1891" s="1" t="n">
        <v>44923</v>
      </c>
      <c r="C1891" s="1" t="n">
        <v>45292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62284-2022</t>
        </is>
      </c>
      <c r="B1892" s="1" t="n">
        <v>44923</v>
      </c>
      <c r="C1892" s="1" t="n">
        <v>45292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62308-2022</t>
        </is>
      </c>
      <c r="B1893" s="1" t="n">
        <v>44923</v>
      </c>
      <c r="C1893" s="1" t="n">
        <v>45292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62319-2022</t>
        </is>
      </c>
      <c r="B1894" s="1" t="n">
        <v>44923</v>
      </c>
      <c r="C1894" s="1" t="n">
        <v>45292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62483-2022</t>
        </is>
      </c>
      <c r="B1895" s="1" t="n">
        <v>44924</v>
      </c>
      <c r="C1895" s="1" t="n">
        <v>45292</v>
      </c>
      <c r="D1895" t="inlineStr">
        <is>
          <t>VÄSTERBOTTENS LÄN</t>
        </is>
      </c>
      <c r="E1895" t="inlineStr">
        <is>
          <t>SKELLEFTEÅ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62577-2022</t>
        </is>
      </c>
      <c r="B1896" s="1" t="n">
        <v>44924</v>
      </c>
      <c r="C1896" s="1" t="n">
        <v>45292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62642-2022</t>
        </is>
      </c>
      <c r="B1897" s="1" t="n">
        <v>44925</v>
      </c>
      <c r="C1897" s="1" t="n">
        <v>45292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531-2023</t>
        </is>
      </c>
      <c r="B1898" s="1" t="n">
        <v>44925</v>
      </c>
      <c r="C1898" s="1" t="n">
        <v>45292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639-2023</t>
        </is>
      </c>
      <c r="B1899" s="1" t="n">
        <v>44928</v>
      </c>
      <c r="C1899" s="1" t="n">
        <v>45292</v>
      </c>
      <c r="D1899" t="inlineStr">
        <is>
          <t>VÄSTERBOTTENS LÄN</t>
        </is>
      </c>
      <c r="E1899" t="inlineStr">
        <is>
          <t>SKELLEFTEÅ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640-2023</t>
        </is>
      </c>
      <c r="B1900" s="1" t="n">
        <v>44928</v>
      </c>
      <c r="C1900" s="1" t="n">
        <v>45292</v>
      </c>
      <c r="D1900" t="inlineStr">
        <is>
          <t>VÄSTERBOTTENS LÄN</t>
        </is>
      </c>
      <c r="E1900" t="inlineStr">
        <is>
          <t>SKELLEFTEÅ</t>
        </is>
      </c>
      <c r="G1900" t="n">
        <v>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1076-2023</t>
        </is>
      </c>
      <c r="B1901" s="1" t="n">
        <v>44929</v>
      </c>
      <c r="C1901" s="1" t="n">
        <v>45292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547-2023</t>
        </is>
      </c>
      <c r="B1902" s="1" t="n">
        <v>44930</v>
      </c>
      <c r="C1902" s="1" t="n">
        <v>45292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589-2023</t>
        </is>
      </c>
      <c r="B1903" s="1" t="n">
        <v>44930</v>
      </c>
      <c r="C1903" s="1" t="n">
        <v>45292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703-2023</t>
        </is>
      </c>
      <c r="B1904" s="1" t="n">
        <v>44930</v>
      </c>
      <c r="C1904" s="1" t="n">
        <v>45292</v>
      </c>
      <c r="D1904" t="inlineStr">
        <is>
          <t>VÄSTERBOTTENS LÄN</t>
        </is>
      </c>
      <c r="E1904" t="inlineStr">
        <is>
          <t>SKELLEFTEÅ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707-2023</t>
        </is>
      </c>
      <c r="B1905" s="1" t="n">
        <v>44930</v>
      </c>
      <c r="C1905" s="1" t="n">
        <v>45292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702-2023</t>
        </is>
      </c>
      <c r="B1906" s="1" t="n">
        <v>44930</v>
      </c>
      <c r="C1906" s="1" t="n">
        <v>45292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706-2023</t>
        </is>
      </c>
      <c r="B1907" s="1" t="n">
        <v>44930</v>
      </c>
      <c r="C1907" s="1" t="n">
        <v>45292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1206-2023</t>
        </is>
      </c>
      <c r="B1908" s="1" t="n">
        <v>44930</v>
      </c>
      <c r="C1908" s="1" t="n">
        <v>45292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902-2023</t>
        </is>
      </c>
      <c r="B1909" s="1" t="n">
        <v>44931</v>
      </c>
      <c r="C1909" s="1" t="n">
        <v>45292</v>
      </c>
      <c r="D1909" t="inlineStr">
        <is>
          <t>VÄSTERBOTTENS LÄN</t>
        </is>
      </c>
      <c r="E1909" t="inlineStr">
        <is>
          <t>SKELLEFTEÅ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911-2023</t>
        </is>
      </c>
      <c r="B1910" s="1" t="n">
        <v>44931</v>
      </c>
      <c r="C1910" s="1" t="n">
        <v>45292</v>
      </c>
      <c r="D1910" t="inlineStr">
        <is>
          <t>VÄSTERBOTTENS LÄN</t>
        </is>
      </c>
      <c r="E1910" t="inlineStr">
        <is>
          <t>SKELLEFTEÅ</t>
        </is>
      </c>
      <c r="G1910" t="n">
        <v>18.3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900-2023</t>
        </is>
      </c>
      <c r="B1911" s="1" t="n">
        <v>44931</v>
      </c>
      <c r="C1911" s="1" t="n">
        <v>45292</v>
      </c>
      <c r="D1911" t="inlineStr">
        <is>
          <t>VÄSTERBOTTENS LÄN</t>
        </is>
      </c>
      <c r="E1911" t="inlineStr">
        <is>
          <t>SKELLEFTEÅ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904-2023</t>
        </is>
      </c>
      <c r="B1912" s="1" t="n">
        <v>44931</v>
      </c>
      <c r="C1912" s="1" t="n">
        <v>45292</v>
      </c>
      <c r="D1912" t="inlineStr">
        <is>
          <t>VÄSTERBOTTENS LÄN</t>
        </is>
      </c>
      <c r="E1912" t="inlineStr">
        <is>
          <t>SKELLEFTEÅ</t>
        </is>
      </c>
      <c r="G1912" t="n">
        <v>22.2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913-2023</t>
        </is>
      </c>
      <c r="B1913" s="1" t="n">
        <v>44931</v>
      </c>
      <c r="C1913" s="1" t="n">
        <v>45292</v>
      </c>
      <c r="D1913" t="inlineStr">
        <is>
          <t>VÄSTERBOTTENS LÄN</t>
        </is>
      </c>
      <c r="E1913" t="inlineStr">
        <is>
          <t>SKELLEFTEÅ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901-2023</t>
        </is>
      </c>
      <c r="B1914" s="1" t="n">
        <v>44931</v>
      </c>
      <c r="C1914" s="1" t="n">
        <v>45292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909-2023</t>
        </is>
      </c>
      <c r="B1915" s="1" t="n">
        <v>44931</v>
      </c>
      <c r="C1915" s="1" t="n">
        <v>45292</v>
      </c>
      <c r="D1915" t="inlineStr">
        <is>
          <t>VÄSTERBOTTENS LÄN</t>
        </is>
      </c>
      <c r="E1915" t="inlineStr">
        <is>
          <t>SKELLEFTEÅ</t>
        </is>
      </c>
      <c r="G1915" t="n">
        <v>11.8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903-2023</t>
        </is>
      </c>
      <c r="B1916" s="1" t="n">
        <v>44931</v>
      </c>
      <c r="C1916" s="1" t="n">
        <v>45292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1113-2023</t>
        </is>
      </c>
      <c r="B1917" s="1" t="n">
        <v>44935</v>
      </c>
      <c r="C1917" s="1" t="n">
        <v>45292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1134-2023</t>
        </is>
      </c>
      <c r="B1918" s="1" t="n">
        <v>44935</v>
      </c>
      <c r="C1918" s="1" t="n">
        <v>45292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1111-2023</t>
        </is>
      </c>
      <c r="B1919" s="1" t="n">
        <v>44935</v>
      </c>
      <c r="C1919" s="1" t="n">
        <v>45292</v>
      </c>
      <c r="D1919" t="inlineStr">
        <is>
          <t>VÄSTERBOTTENS LÄN</t>
        </is>
      </c>
      <c r="E1919" t="inlineStr">
        <is>
          <t>SKELLEFTEÅ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1602-2023</t>
        </is>
      </c>
      <c r="B1920" s="1" t="n">
        <v>44935</v>
      </c>
      <c r="C1920" s="1" t="n">
        <v>45292</v>
      </c>
      <c r="D1920" t="inlineStr">
        <is>
          <t>VÄSTERBOTTENS LÄN</t>
        </is>
      </c>
      <c r="E1920" t="inlineStr">
        <is>
          <t>SKELLEFTEÅ</t>
        </is>
      </c>
      <c r="G1920" t="n">
        <v>12.6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1612-2023</t>
        </is>
      </c>
      <c r="B1921" s="1" t="n">
        <v>44935</v>
      </c>
      <c r="C1921" s="1" t="n">
        <v>45292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1533-2023</t>
        </is>
      </c>
      <c r="B1922" s="1" t="n">
        <v>44935</v>
      </c>
      <c r="C1922" s="1" t="n">
        <v>45292</v>
      </c>
      <c r="D1922" t="inlineStr">
        <is>
          <t>VÄSTERBOTTENS LÄN</t>
        </is>
      </c>
      <c r="E1922" t="inlineStr">
        <is>
          <t>SKELLEFTEÅ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1528-2023</t>
        </is>
      </c>
      <c r="B1923" s="1" t="n">
        <v>44935</v>
      </c>
      <c r="C1923" s="1" t="n">
        <v>45292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1419-2023</t>
        </is>
      </c>
      <c r="B1924" s="1" t="n">
        <v>44936</v>
      </c>
      <c r="C1924" s="1" t="n">
        <v>45292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1639-2023</t>
        </is>
      </c>
      <c r="B1925" s="1" t="n">
        <v>44937</v>
      </c>
      <c r="C1925" s="1" t="n">
        <v>45292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1640-2023</t>
        </is>
      </c>
      <c r="B1926" s="1" t="n">
        <v>44937</v>
      </c>
      <c r="C1926" s="1" t="n">
        <v>45292</v>
      </c>
      <c r="D1926" t="inlineStr">
        <is>
          <t>VÄSTERBOTTENS LÄN</t>
        </is>
      </c>
      <c r="E1926" t="inlineStr">
        <is>
          <t>SKELLEFTEÅ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1978-2023</t>
        </is>
      </c>
      <c r="B1927" s="1" t="n">
        <v>44937</v>
      </c>
      <c r="C1927" s="1" t="n">
        <v>45292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1988-2023</t>
        </is>
      </c>
      <c r="B1928" s="1" t="n">
        <v>44937</v>
      </c>
      <c r="C1928" s="1" t="n">
        <v>45292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</v>
      </c>
      <c r="C1929" s="1" t="n">
        <v>45292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1858-2023</t>
        </is>
      </c>
      <c r="B1930" s="1" t="n">
        <v>44938</v>
      </c>
      <c r="C1930" s="1" t="n">
        <v>45292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45292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</v>
      </c>
      <c r="C1932" s="1" t="n">
        <v>45292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1859-2023</t>
        </is>
      </c>
      <c r="B1933" s="1" t="n">
        <v>44938</v>
      </c>
      <c r="C1933" s="1" t="n">
        <v>45292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1854-2023</t>
        </is>
      </c>
      <c r="B1934" s="1" t="n">
        <v>44938</v>
      </c>
      <c r="C1934" s="1" t="n">
        <v>45292</v>
      </c>
      <c r="D1934" t="inlineStr">
        <is>
          <t>VÄSTERBOTTENS LÄN</t>
        </is>
      </c>
      <c r="E1934" t="inlineStr">
        <is>
          <t>SKELLEFTEÅ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1860-2023</t>
        </is>
      </c>
      <c r="B1935" s="1" t="n">
        <v>44938</v>
      </c>
      <c r="C1935" s="1" t="n">
        <v>45292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1942-2023</t>
        </is>
      </c>
      <c r="B1936" s="1" t="n">
        <v>44938</v>
      </c>
      <c r="C1936" s="1" t="n">
        <v>45292</v>
      </c>
      <c r="D1936" t="inlineStr">
        <is>
          <t>VÄSTERBOTTENS LÄN</t>
        </is>
      </c>
      <c r="E1936" t="inlineStr">
        <is>
          <t>SKELLEFTEÅ</t>
        </is>
      </c>
      <c r="G1936" t="n">
        <v>7.2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2112-2023</t>
        </is>
      </c>
      <c r="B1937" s="1" t="n">
        <v>44939</v>
      </c>
      <c r="C1937" s="1" t="n">
        <v>45292</v>
      </c>
      <c r="D1937" t="inlineStr">
        <is>
          <t>VÄSTERBOTTENS LÄN</t>
        </is>
      </c>
      <c r="E1937" t="inlineStr">
        <is>
          <t>SKELLEFTEÅ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2177-2023</t>
        </is>
      </c>
      <c r="B1938" s="1" t="n">
        <v>44942</v>
      </c>
      <c r="C1938" s="1" t="n">
        <v>45292</v>
      </c>
      <c r="D1938" t="inlineStr">
        <is>
          <t>VÄSTERBOTTENS LÄN</t>
        </is>
      </c>
      <c r="E1938" t="inlineStr">
        <is>
          <t>SKELLEFTEÅ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2336-2023</t>
        </is>
      </c>
      <c r="B1939" s="1" t="n">
        <v>44942</v>
      </c>
      <c r="C1939" s="1" t="n">
        <v>45292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2395-2023</t>
        </is>
      </c>
      <c r="B1940" s="1" t="n">
        <v>44942</v>
      </c>
      <c r="C1940" s="1" t="n">
        <v>45292</v>
      </c>
      <c r="D1940" t="inlineStr">
        <is>
          <t>VÄSTERBOTTENS LÄN</t>
        </is>
      </c>
      <c r="E1940" t="inlineStr">
        <is>
          <t>SKELLEFTEÅ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2393-2023</t>
        </is>
      </c>
      <c r="B1941" s="1" t="n">
        <v>44942</v>
      </c>
      <c r="C1941" s="1" t="n">
        <v>45292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2439-2023</t>
        </is>
      </c>
      <c r="B1942" s="1" t="n">
        <v>44942</v>
      </c>
      <c r="C1942" s="1" t="n">
        <v>45292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2718-2023</t>
        </is>
      </c>
      <c r="B1943" s="1" t="n">
        <v>44942</v>
      </c>
      <c r="C1943" s="1" t="n">
        <v>45292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2496-2023</t>
        </is>
      </c>
      <c r="B1944" s="1" t="n">
        <v>44943</v>
      </c>
      <c r="C1944" s="1" t="n">
        <v>45292</v>
      </c>
      <c r="D1944" t="inlineStr">
        <is>
          <t>VÄSTERBOTTENS LÄN</t>
        </is>
      </c>
      <c r="E1944" t="inlineStr">
        <is>
          <t>SKELLEFTEÅ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2444-2023</t>
        </is>
      </c>
      <c r="B1945" s="1" t="n">
        <v>44943</v>
      </c>
      <c r="C1945" s="1" t="n">
        <v>45292</v>
      </c>
      <c r="D1945" t="inlineStr">
        <is>
          <t>VÄSTERBOTTENS LÄN</t>
        </is>
      </c>
      <c r="E1945" t="inlineStr">
        <is>
          <t>SKELLEFTEÅ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2720-2023</t>
        </is>
      </c>
      <c r="B1946" s="1" t="n">
        <v>44944</v>
      </c>
      <c r="C1946" s="1" t="n">
        <v>45292</v>
      </c>
      <c r="D1946" t="inlineStr">
        <is>
          <t>VÄSTERBOTTENS LÄN</t>
        </is>
      </c>
      <c r="E1946" t="inlineStr">
        <is>
          <t>SKELLEFTEÅ</t>
        </is>
      </c>
      <c r="G1946" t="n">
        <v>31.7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2895-2023</t>
        </is>
      </c>
      <c r="B1947" s="1" t="n">
        <v>44945</v>
      </c>
      <c r="C1947" s="1" t="n">
        <v>45292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3277-2023</t>
        </is>
      </c>
      <c r="B1948" s="1" t="n">
        <v>44945</v>
      </c>
      <c r="C1948" s="1" t="n">
        <v>45292</v>
      </c>
      <c r="D1948" t="inlineStr">
        <is>
          <t>VÄSTERBOTTENS LÄN</t>
        </is>
      </c>
      <c r="E1948" t="inlineStr">
        <is>
          <t>SKELLEFTEÅ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3603-2023</t>
        </is>
      </c>
      <c r="B1949" s="1" t="n">
        <v>44946</v>
      </c>
      <c r="C1949" s="1" t="n">
        <v>45292</v>
      </c>
      <c r="D1949" t="inlineStr">
        <is>
          <t>VÄSTERBOTTENS LÄN</t>
        </is>
      </c>
      <c r="E1949" t="inlineStr">
        <is>
          <t>SKELLEFTEÅ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3600-2023</t>
        </is>
      </c>
      <c r="B1950" s="1" t="n">
        <v>44946</v>
      </c>
      <c r="C1950" s="1" t="n">
        <v>45292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3852-2023</t>
        </is>
      </c>
      <c r="B1951" s="1" t="n">
        <v>44950</v>
      </c>
      <c r="C1951" s="1" t="n">
        <v>45292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3848-2023</t>
        </is>
      </c>
      <c r="B1952" s="1" t="n">
        <v>44950</v>
      </c>
      <c r="C1952" s="1" t="n">
        <v>45292</v>
      </c>
      <c r="D1952" t="inlineStr">
        <is>
          <t>VÄSTERBOTTENS LÄN</t>
        </is>
      </c>
      <c r="E1952" t="inlineStr">
        <is>
          <t>SKELLEFTEÅ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3744-2023</t>
        </is>
      </c>
      <c r="B1953" s="1" t="n">
        <v>44951</v>
      </c>
      <c r="C1953" s="1" t="n">
        <v>45292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4447-2023</t>
        </is>
      </c>
      <c r="B1954" s="1" t="n">
        <v>44951</v>
      </c>
      <c r="C1954" s="1" t="n">
        <v>45292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4104-2023</t>
        </is>
      </c>
      <c r="B1955" s="1" t="n">
        <v>44952</v>
      </c>
      <c r="C1955" s="1" t="n">
        <v>45292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4031-2023</t>
        </is>
      </c>
      <c r="B1956" s="1" t="n">
        <v>44952</v>
      </c>
      <c r="C1956" s="1" t="n">
        <v>45292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4102-2023</t>
        </is>
      </c>
      <c r="B1957" s="1" t="n">
        <v>44952</v>
      </c>
      <c r="C1957" s="1" t="n">
        <v>45292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45292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4453-2023</t>
        </is>
      </c>
      <c r="B1959" s="1" t="n">
        <v>44956</v>
      </c>
      <c r="C1959" s="1" t="n">
        <v>45292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4930-2023</t>
        </is>
      </c>
      <c r="B1960" s="1" t="n">
        <v>44956</v>
      </c>
      <c r="C1960" s="1" t="n">
        <v>45292</v>
      </c>
      <c r="D1960" t="inlineStr">
        <is>
          <t>VÄSTERBOTTENS LÄN</t>
        </is>
      </c>
      <c r="E1960" t="inlineStr">
        <is>
          <t>SKELLEFTEÅ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4948-2023</t>
        </is>
      </c>
      <c r="B1961" s="1" t="n">
        <v>44956</v>
      </c>
      <c r="C1961" s="1" t="n">
        <v>45292</v>
      </c>
      <c r="D1961" t="inlineStr">
        <is>
          <t>VÄSTERBOTTENS LÄN</t>
        </is>
      </c>
      <c r="E1961" t="inlineStr">
        <is>
          <t>SKELLEFTEÅ</t>
        </is>
      </c>
      <c r="G1961" t="n">
        <v>21.1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4938-2023</t>
        </is>
      </c>
      <c r="B1962" s="1" t="n">
        <v>44956</v>
      </c>
      <c r="C1962" s="1" t="n">
        <v>45292</v>
      </c>
      <c r="D1962" t="inlineStr">
        <is>
          <t>VÄSTERBOTTENS LÄN</t>
        </is>
      </c>
      <c r="E1962" t="inlineStr">
        <is>
          <t>SKELLEFTEÅ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4943-2023</t>
        </is>
      </c>
      <c r="B1963" s="1" t="n">
        <v>44956</v>
      </c>
      <c r="C1963" s="1" t="n">
        <v>45292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4710-2023</t>
        </is>
      </c>
      <c r="B1964" s="1" t="n">
        <v>44957</v>
      </c>
      <c r="C1964" s="1" t="n">
        <v>45292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5416-2023</t>
        </is>
      </c>
      <c r="B1965" s="1" t="n">
        <v>44957</v>
      </c>
      <c r="C1965" s="1" t="n">
        <v>45292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5481-2023</t>
        </is>
      </c>
      <c r="B1966" s="1" t="n">
        <v>44957</v>
      </c>
      <c r="C1966" s="1" t="n">
        <v>45292</v>
      </c>
      <c r="D1966" t="inlineStr">
        <is>
          <t>VÄSTERBOTTENS LÄN</t>
        </is>
      </c>
      <c r="E1966" t="inlineStr">
        <is>
          <t>SKELLEFTEÅ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5495-2023</t>
        </is>
      </c>
      <c r="B1967" s="1" t="n">
        <v>44957</v>
      </c>
      <c r="C1967" s="1" t="n">
        <v>45292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5515-2023</t>
        </is>
      </c>
      <c r="B1968" s="1" t="n">
        <v>44957</v>
      </c>
      <c r="C1968" s="1" t="n">
        <v>45292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5490-2023</t>
        </is>
      </c>
      <c r="B1969" s="1" t="n">
        <v>44957</v>
      </c>
      <c r="C1969" s="1" t="n">
        <v>45292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5373-2023</t>
        </is>
      </c>
      <c r="B1970" s="1" t="n">
        <v>44957</v>
      </c>
      <c r="C1970" s="1" t="n">
        <v>45292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5973-2023</t>
        </is>
      </c>
      <c r="B1971" s="1" t="n">
        <v>44959</v>
      </c>
      <c r="C1971" s="1" t="n">
        <v>45292</v>
      </c>
      <c r="D1971" t="inlineStr">
        <is>
          <t>VÄSTERBOTTENS LÄN</t>
        </is>
      </c>
      <c r="E1971" t="inlineStr">
        <is>
          <t>SKELLEFTEÅ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5996-2023</t>
        </is>
      </c>
      <c r="B1972" s="1" t="n">
        <v>44959</v>
      </c>
      <c r="C1972" s="1" t="n">
        <v>45292</v>
      </c>
      <c r="D1972" t="inlineStr">
        <is>
          <t>VÄSTERBOTTENS LÄN</t>
        </is>
      </c>
      <c r="E1972" t="inlineStr">
        <is>
          <t>SKELLEFTEÅ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6016-2023</t>
        </is>
      </c>
      <c r="B1973" s="1" t="n">
        <v>44959</v>
      </c>
      <c r="C1973" s="1" t="n">
        <v>45292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5986-2023</t>
        </is>
      </c>
      <c r="B1974" s="1" t="n">
        <v>44959</v>
      </c>
      <c r="C1974" s="1" t="n">
        <v>45292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5991-2023</t>
        </is>
      </c>
      <c r="B1975" s="1" t="n">
        <v>44959</v>
      </c>
      <c r="C1975" s="1" t="n">
        <v>45292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6012-2023</t>
        </is>
      </c>
      <c r="B1976" s="1" t="n">
        <v>44959</v>
      </c>
      <c r="C1976" s="1" t="n">
        <v>45292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5687-2023</t>
        </is>
      </c>
      <c r="B1977" s="1" t="n">
        <v>44960</v>
      </c>
      <c r="C1977" s="1" t="n">
        <v>45292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5470-2023</t>
        </is>
      </c>
      <c r="B1978" s="1" t="n">
        <v>44960</v>
      </c>
      <c r="C1978" s="1" t="n">
        <v>45292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5541-2023</t>
        </is>
      </c>
      <c r="B1979" s="1" t="n">
        <v>44960</v>
      </c>
      <c r="C1979" s="1" t="n">
        <v>45292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5602-2023</t>
        </is>
      </c>
      <c r="B1980" s="1" t="n">
        <v>44960</v>
      </c>
      <c r="C1980" s="1" t="n">
        <v>45292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5740-2023</t>
        </is>
      </c>
      <c r="B1981" s="1" t="n">
        <v>44962</v>
      </c>
      <c r="C1981" s="1" t="n">
        <v>45292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5744-2023</t>
        </is>
      </c>
      <c r="B1982" s="1" t="n">
        <v>44962</v>
      </c>
      <c r="C1982" s="1" t="n">
        <v>45292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5743-2023</t>
        </is>
      </c>
      <c r="B1983" s="1" t="n">
        <v>44962</v>
      </c>
      <c r="C1983" s="1" t="n">
        <v>45292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5929-2023</t>
        </is>
      </c>
      <c r="B1984" s="1" t="n">
        <v>44963</v>
      </c>
      <c r="C1984" s="1" t="n">
        <v>45292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</v>
      </c>
      <c r="C1985" s="1" t="n">
        <v>45292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6596-2023</t>
        </is>
      </c>
      <c r="B1986" s="1" t="n">
        <v>44963</v>
      </c>
      <c r="C1986" s="1" t="n">
        <v>45292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6656-2023</t>
        </is>
      </c>
      <c r="B1987" s="1" t="n">
        <v>44963</v>
      </c>
      <c r="C1987" s="1" t="n">
        <v>45292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5965-2023</t>
        </is>
      </c>
      <c r="B1988" s="1" t="n">
        <v>44964</v>
      </c>
      <c r="C1988" s="1" t="n">
        <v>45292</v>
      </c>
      <c r="D1988" t="inlineStr">
        <is>
          <t>VÄSTERBOTTENS LÄN</t>
        </is>
      </c>
      <c r="E1988" t="inlineStr">
        <is>
          <t>SKELLEFTEÅ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6441-2023</t>
        </is>
      </c>
      <c r="B1989" s="1" t="n">
        <v>44965</v>
      </c>
      <c r="C1989" s="1" t="n">
        <v>45292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6443-2023</t>
        </is>
      </c>
      <c r="B1990" s="1" t="n">
        <v>44965</v>
      </c>
      <c r="C1990" s="1" t="n">
        <v>45292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6442-2023</t>
        </is>
      </c>
      <c r="B1991" s="1" t="n">
        <v>44965</v>
      </c>
      <c r="C1991" s="1" t="n">
        <v>45292</v>
      </c>
      <c r="D1991" t="inlineStr">
        <is>
          <t>VÄSTERBOTTENS LÄN</t>
        </is>
      </c>
      <c r="E1991" t="inlineStr">
        <is>
          <t>SKELLEFTEÅ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6450-2023</t>
        </is>
      </c>
      <c r="B1992" s="1" t="n">
        <v>44965</v>
      </c>
      <c r="C1992" s="1" t="n">
        <v>45292</v>
      </c>
      <c r="D1992" t="inlineStr">
        <is>
          <t>VÄSTERBOTTENS LÄN</t>
        </is>
      </c>
      <c r="E1992" t="inlineStr">
        <is>
          <t>SKELLEFTEÅ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6511-2023</t>
        </is>
      </c>
      <c r="B1993" s="1" t="n">
        <v>44966</v>
      </c>
      <c r="C1993" s="1" t="n">
        <v>45292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7023-2023</t>
        </is>
      </c>
      <c r="B1994" s="1" t="n">
        <v>44968</v>
      </c>
      <c r="C1994" s="1" t="n">
        <v>45292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7022-2023</t>
        </is>
      </c>
      <c r="B1995" s="1" t="n">
        <v>44968</v>
      </c>
      <c r="C1995" s="1" t="n">
        <v>45292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7875-2023</t>
        </is>
      </c>
      <c r="B1996" s="1" t="n">
        <v>44967</v>
      </c>
      <c r="C1996" s="1" t="n">
        <v>45292</v>
      </c>
      <c r="D1996" t="inlineStr">
        <is>
          <t>VÄSTERBOTTENS LÄN</t>
        </is>
      </c>
      <c r="E1996" t="inlineStr">
        <is>
          <t>SKELLEFTEÅ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7364-2023</t>
        </is>
      </c>
      <c r="B1997" s="1" t="n">
        <v>44971</v>
      </c>
      <c r="C1997" s="1" t="n">
        <v>45292</v>
      </c>
      <c r="D1997" t="inlineStr">
        <is>
          <t>VÄSTERBOTTENS LÄN</t>
        </is>
      </c>
      <c r="E1997" t="inlineStr">
        <is>
          <t>SKELLEFTEÅ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7517-2023</t>
        </is>
      </c>
      <c r="B1998" s="1" t="n">
        <v>44971</v>
      </c>
      <c r="C1998" s="1" t="n">
        <v>45292</v>
      </c>
      <c r="D1998" t="inlineStr">
        <is>
          <t>VÄSTERBOTTENS LÄN</t>
        </is>
      </c>
      <c r="E1998" t="inlineStr">
        <is>
          <t>SKELLEFTEÅ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7516-2023</t>
        </is>
      </c>
      <c r="B1999" s="1" t="n">
        <v>44971</v>
      </c>
      <c r="C1999" s="1" t="n">
        <v>45292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8206-2023</t>
        </is>
      </c>
      <c r="B2000" s="1" t="n">
        <v>44971</v>
      </c>
      <c r="C2000" s="1" t="n">
        <v>45292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8422-2023</t>
        </is>
      </c>
      <c r="B2001" s="1" t="n">
        <v>44972</v>
      </c>
      <c r="C2001" s="1" t="n">
        <v>45292</v>
      </c>
      <c r="D2001" t="inlineStr">
        <is>
          <t>VÄSTERBOTTENS LÄN</t>
        </is>
      </c>
      <c r="E2001" t="inlineStr">
        <is>
          <t>SKELLEFTEÅ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8477-2023</t>
        </is>
      </c>
      <c r="B2002" s="1" t="n">
        <v>44972</v>
      </c>
      <c r="C2002" s="1" t="n">
        <v>45292</v>
      </c>
      <c r="D2002" t="inlineStr">
        <is>
          <t>VÄSTERBOTTENS LÄN</t>
        </is>
      </c>
      <c r="E2002" t="inlineStr">
        <is>
          <t>SKELLEFTEÅ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8479-2023</t>
        </is>
      </c>
      <c r="B2003" s="1" t="n">
        <v>44972</v>
      </c>
      <c r="C2003" s="1" t="n">
        <v>45292</v>
      </c>
      <c r="D2003" t="inlineStr">
        <is>
          <t>VÄSTERBOTTENS LÄN</t>
        </is>
      </c>
      <c r="E2003" t="inlineStr">
        <is>
          <t>SKELLEFTEÅ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8549-2023</t>
        </is>
      </c>
      <c r="B2004" s="1" t="n">
        <v>44972</v>
      </c>
      <c r="C2004" s="1" t="n">
        <v>45292</v>
      </c>
      <c r="D2004" t="inlineStr">
        <is>
          <t>VÄSTERBOTTENS LÄN</t>
        </is>
      </c>
      <c r="E2004" t="inlineStr">
        <is>
          <t>SKELLEFTEÅ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8480-2023</t>
        </is>
      </c>
      <c r="B2005" s="1" t="n">
        <v>44972</v>
      </c>
      <c r="C2005" s="1" t="n">
        <v>45292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7712-2023</t>
        </is>
      </c>
      <c r="B2006" s="1" t="n">
        <v>44972</v>
      </c>
      <c r="C2006" s="1" t="n">
        <v>45292</v>
      </c>
      <c r="D2006" t="inlineStr">
        <is>
          <t>VÄSTERBOTTENS LÄN</t>
        </is>
      </c>
      <c r="E2006" t="inlineStr">
        <is>
          <t>SKELLEFTEÅ</t>
        </is>
      </c>
      <c r="G2006" t="n">
        <v>11.6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8478-2023</t>
        </is>
      </c>
      <c r="B2007" s="1" t="n">
        <v>44972</v>
      </c>
      <c r="C2007" s="1" t="n">
        <v>45292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8563-2023</t>
        </is>
      </c>
      <c r="B2008" s="1" t="n">
        <v>44972</v>
      </c>
      <c r="C2008" s="1" t="n">
        <v>45292</v>
      </c>
      <c r="D2008" t="inlineStr">
        <is>
          <t>VÄSTERBOTTENS LÄN</t>
        </is>
      </c>
      <c r="E2008" t="inlineStr">
        <is>
          <t>SKELLEFTEÅ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8028-2023</t>
        </is>
      </c>
      <c r="B2009" s="1" t="n">
        <v>44973</v>
      </c>
      <c r="C2009" s="1" t="n">
        <v>45292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8029-2023</t>
        </is>
      </c>
      <c r="B2010" s="1" t="n">
        <v>44973</v>
      </c>
      <c r="C2010" s="1" t="n">
        <v>45292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8328-2023</t>
        </is>
      </c>
      <c r="B2011" s="1" t="n">
        <v>44974</v>
      </c>
      <c r="C2011" s="1" t="n">
        <v>45292</v>
      </c>
      <c r="D2011" t="inlineStr">
        <is>
          <t>VÄSTERBOTTENS LÄN</t>
        </is>
      </c>
      <c r="E2011" t="inlineStr">
        <is>
          <t>SKELLEFTEÅ</t>
        </is>
      </c>
      <c r="G2011" t="n">
        <v>18.5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8930-2023</t>
        </is>
      </c>
      <c r="B2012" s="1" t="n">
        <v>44974</v>
      </c>
      <c r="C2012" s="1" t="n">
        <v>45292</v>
      </c>
      <c r="D2012" t="inlineStr">
        <is>
          <t>VÄSTERBOTTENS LÄN</t>
        </is>
      </c>
      <c r="E2012" t="inlineStr">
        <is>
          <t>SKELLEFTEÅ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8952-2023</t>
        </is>
      </c>
      <c r="B2013" s="1" t="n">
        <v>44974</v>
      </c>
      <c r="C2013" s="1" t="n">
        <v>45292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8648-2023</t>
        </is>
      </c>
      <c r="B2014" s="1" t="n">
        <v>44978</v>
      </c>
      <c r="C2014" s="1" t="n">
        <v>45292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9624-2023</t>
        </is>
      </c>
      <c r="B2015" s="1" t="n">
        <v>44978</v>
      </c>
      <c r="C2015" s="1" t="n">
        <v>45292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8801-2023</t>
        </is>
      </c>
      <c r="B2016" s="1" t="n">
        <v>44978</v>
      </c>
      <c r="C2016" s="1" t="n">
        <v>45292</v>
      </c>
      <c r="D2016" t="inlineStr">
        <is>
          <t>VÄSTERBOTTENS LÄN</t>
        </is>
      </c>
      <c r="E2016" t="inlineStr">
        <is>
          <t>SKELLEFTEÅ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9619-2023</t>
        </is>
      </c>
      <c r="B2017" s="1" t="n">
        <v>44978</v>
      </c>
      <c r="C2017" s="1" t="n">
        <v>45292</v>
      </c>
      <c r="D2017" t="inlineStr">
        <is>
          <t>VÄSTERBOTTENS LÄN</t>
        </is>
      </c>
      <c r="E2017" t="inlineStr">
        <is>
          <t>SKELLEFTEÅ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9740-2023</t>
        </is>
      </c>
      <c r="B2018" s="1" t="n">
        <v>44978</v>
      </c>
      <c r="C2018" s="1" t="n">
        <v>45292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9027-2023</t>
        </is>
      </c>
      <c r="B2019" s="1" t="n">
        <v>44979</v>
      </c>
      <c r="C2019" s="1" t="n">
        <v>45292</v>
      </c>
      <c r="D2019" t="inlineStr">
        <is>
          <t>VÄSTERBOTTENS LÄN</t>
        </is>
      </c>
      <c r="E2019" t="inlineStr">
        <is>
          <t>SKELLEFTEÅ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9078-2023</t>
        </is>
      </c>
      <c r="B2020" s="1" t="n">
        <v>44979</v>
      </c>
      <c r="C2020" s="1" t="n">
        <v>45292</v>
      </c>
      <c r="D2020" t="inlineStr">
        <is>
          <t>VÄSTERBOTTENS LÄN</t>
        </is>
      </c>
      <c r="E2020" t="inlineStr">
        <is>
          <t>SKELLEFTEÅ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9080-2023</t>
        </is>
      </c>
      <c r="B2021" s="1" t="n">
        <v>44979</v>
      </c>
      <c r="C2021" s="1" t="n">
        <v>45292</v>
      </c>
      <c r="D2021" t="inlineStr">
        <is>
          <t>VÄSTERBOTTENS LÄN</t>
        </is>
      </c>
      <c r="E2021" t="inlineStr">
        <is>
          <t>SKELLEFTEÅ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9980-2023</t>
        </is>
      </c>
      <c r="B2022" s="1" t="n">
        <v>44979</v>
      </c>
      <c r="C2022" s="1" t="n">
        <v>45292</v>
      </c>
      <c r="D2022" t="inlineStr">
        <is>
          <t>VÄSTERBOTTENS LÄN</t>
        </is>
      </c>
      <c r="E2022" t="inlineStr">
        <is>
          <t>SKELLEFTEÅ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9079-2023</t>
        </is>
      </c>
      <c r="B2023" s="1" t="n">
        <v>44979</v>
      </c>
      <c r="C2023" s="1" t="n">
        <v>45292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9982-2023</t>
        </is>
      </c>
      <c r="B2024" s="1" t="n">
        <v>44979</v>
      </c>
      <c r="C2024" s="1" t="n">
        <v>45292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10172-2023</t>
        </is>
      </c>
      <c r="B2025" s="1" t="n">
        <v>44979</v>
      </c>
      <c r="C2025" s="1" t="n">
        <v>45292</v>
      </c>
      <c r="D2025" t="inlineStr">
        <is>
          <t>VÄSTERBOTTENS LÄN</t>
        </is>
      </c>
      <c r="E2025" t="inlineStr">
        <is>
          <t>SKELLEFTEÅ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9209-2023</t>
        </is>
      </c>
      <c r="B2026" s="1" t="n">
        <v>44980</v>
      </c>
      <c r="C2026" s="1" t="n">
        <v>45292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9343-2023</t>
        </is>
      </c>
      <c r="B2027" s="1" t="n">
        <v>44980</v>
      </c>
      <c r="C2027" s="1" t="n">
        <v>45292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9342-2023</t>
        </is>
      </c>
      <c r="B2028" s="1" t="n">
        <v>44980</v>
      </c>
      <c r="C2028" s="1" t="n">
        <v>45292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9345-2023</t>
        </is>
      </c>
      <c r="B2029" s="1" t="n">
        <v>44980</v>
      </c>
      <c r="C2029" s="1" t="n">
        <v>45292</v>
      </c>
      <c r="D2029" t="inlineStr">
        <is>
          <t>VÄSTERBOTTENS LÄN</t>
        </is>
      </c>
      <c r="E2029" t="inlineStr">
        <is>
          <t>SKELLEFTEÅ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9402-2023</t>
        </is>
      </c>
      <c r="B2030" s="1" t="n">
        <v>44981</v>
      </c>
      <c r="C2030" s="1" t="n">
        <v>45292</v>
      </c>
      <c r="D2030" t="inlineStr">
        <is>
          <t>VÄSTERBOTTENS LÄN</t>
        </is>
      </c>
      <c r="E2030" t="inlineStr">
        <is>
          <t>SKELLEFTEÅ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9463-2023</t>
        </is>
      </c>
      <c r="B2031" s="1" t="n">
        <v>44981</v>
      </c>
      <c r="C2031" s="1" t="n">
        <v>45292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10568-2023</t>
        </is>
      </c>
      <c r="B2032" s="1" t="n">
        <v>44981</v>
      </c>
      <c r="C2032" s="1" t="n">
        <v>45292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45292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10570-2023</t>
        </is>
      </c>
      <c r="B2034" s="1" t="n">
        <v>44981</v>
      </c>
      <c r="C2034" s="1" t="n">
        <v>45292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10696-2023</t>
        </is>
      </c>
      <c r="B2035" s="1" t="n">
        <v>44984</v>
      </c>
      <c r="C2035" s="1" t="n">
        <v>45292</v>
      </c>
      <c r="D2035" t="inlineStr">
        <is>
          <t>VÄSTERBOTTENS LÄN</t>
        </is>
      </c>
      <c r="E2035" t="inlineStr">
        <is>
          <t>SKELLEFTEÅ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10647-2023</t>
        </is>
      </c>
      <c r="B2036" s="1" t="n">
        <v>44984</v>
      </c>
      <c r="C2036" s="1" t="n">
        <v>45292</v>
      </c>
      <c r="D2036" t="inlineStr">
        <is>
          <t>VÄSTERBOTTENS LÄN</t>
        </is>
      </c>
      <c r="E2036" t="inlineStr">
        <is>
          <t>SKELLEFTEÅ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10072-2023</t>
        </is>
      </c>
      <c r="B2037" s="1" t="n">
        <v>44985</v>
      </c>
      <c r="C2037" s="1" t="n">
        <v>45292</v>
      </c>
      <c r="D2037" t="inlineStr">
        <is>
          <t>VÄSTERBOTTENS LÄN</t>
        </is>
      </c>
      <c r="E2037" t="inlineStr">
        <is>
          <t>SKELLEFTEÅ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10073-2023</t>
        </is>
      </c>
      <c r="B2038" s="1" t="n">
        <v>44985</v>
      </c>
      <c r="C2038" s="1" t="n">
        <v>45292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10840-2023</t>
        </is>
      </c>
      <c r="B2039" s="1" t="n">
        <v>44985</v>
      </c>
      <c r="C2039" s="1" t="n">
        <v>45292</v>
      </c>
      <c r="D2039" t="inlineStr">
        <is>
          <t>VÄSTERBOTTENS LÄN</t>
        </is>
      </c>
      <c r="E2039" t="inlineStr">
        <is>
          <t>SKELLEFTEÅ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10846-2023</t>
        </is>
      </c>
      <c r="B2040" s="1" t="n">
        <v>44985</v>
      </c>
      <c r="C2040" s="1" t="n">
        <v>45292</v>
      </c>
      <c r="D2040" t="inlineStr">
        <is>
          <t>VÄSTERBOTTENS LÄN</t>
        </is>
      </c>
      <c r="E2040" t="inlineStr">
        <is>
          <t>SKELLEFTEÅ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10852-2023</t>
        </is>
      </c>
      <c r="B2041" s="1" t="n">
        <v>44985</v>
      </c>
      <c r="C2041" s="1" t="n">
        <v>45292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10291-2023</t>
        </is>
      </c>
      <c r="B2042" s="1" t="n">
        <v>44986</v>
      </c>
      <c r="C2042" s="1" t="n">
        <v>45292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11030-2023</t>
        </is>
      </c>
      <c r="B2043" s="1" t="n">
        <v>44991</v>
      </c>
      <c r="C2043" s="1" t="n">
        <v>45292</v>
      </c>
      <c r="D2043" t="inlineStr">
        <is>
          <t>VÄSTERBOTTENS LÄN</t>
        </is>
      </c>
      <c r="E2043" t="inlineStr">
        <is>
          <t>SKELLEFTEÅ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11028-2023</t>
        </is>
      </c>
      <c r="B2044" s="1" t="n">
        <v>44991</v>
      </c>
      <c r="C2044" s="1" t="n">
        <v>45292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11031-2023</t>
        </is>
      </c>
      <c r="B2045" s="1" t="n">
        <v>44991</v>
      </c>
      <c r="C2045" s="1" t="n">
        <v>45292</v>
      </c>
      <c r="D2045" t="inlineStr">
        <is>
          <t>VÄSTERBOTTENS LÄN</t>
        </is>
      </c>
      <c r="E2045" t="inlineStr">
        <is>
          <t>SKELLEFTEÅ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11029-2023</t>
        </is>
      </c>
      <c r="B2046" s="1" t="n">
        <v>44991</v>
      </c>
      <c r="C2046" s="1" t="n">
        <v>45292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11707-2023</t>
        </is>
      </c>
      <c r="B2047" s="1" t="n">
        <v>44992</v>
      </c>
      <c r="C2047" s="1" t="n">
        <v>45292</v>
      </c>
      <c r="D2047" t="inlineStr">
        <is>
          <t>VÄSTERBOTTENS LÄN</t>
        </is>
      </c>
      <c r="E2047" t="inlineStr">
        <is>
          <t>SKELLEFTEÅ</t>
        </is>
      </c>
      <c r="G2047" t="n">
        <v>7.2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11377-2023</t>
        </is>
      </c>
      <c r="B2048" s="1" t="n">
        <v>44993</v>
      </c>
      <c r="C2048" s="1" t="n">
        <v>45292</v>
      </c>
      <c r="D2048" t="inlineStr">
        <is>
          <t>VÄSTERBOTTENS LÄN</t>
        </is>
      </c>
      <c r="E2048" t="inlineStr">
        <is>
          <t>SKELLEFTEÅ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11339-2023</t>
        </is>
      </c>
      <c r="B2049" s="1" t="n">
        <v>44993</v>
      </c>
      <c r="C2049" s="1" t="n">
        <v>45292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11624-2023</t>
        </is>
      </c>
      <c r="B2050" s="1" t="n">
        <v>44994</v>
      </c>
      <c r="C2050" s="1" t="n">
        <v>45292</v>
      </c>
      <c r="D2050" t="inlineStr">
        <is>
          <t>VÄSTERBOTTENS LÄN</t>
        </is>
      </c>
      <c r="E2050" t="inlineStr">
        <is>
          <t>SKELLEFTEÅ</t>
        </is>
      </c>
      <c r="G2050" t="n">
        <v>47.6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11629-2023</t>
        </is>
      </c>
      <c r="B2051" s="1" t="n">
        <v>44994</v>
      </c>
      <c r="C2051" s="1" t="n">
        <v>45292</v>
      </c>
      <c r="D2051" t="inlineStr">
        <is>
          <t>VÄSTERBOTTENS LÄN</t>
        </is>
      </c>
      <c r="E2051" t="inlineStr">
        <is>
          <t>SKELLEFTEÅ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11638-2023</t>
        </is>
      </c>
      <c r="B2052" s="1" t="n">
        <v>44994</v>
      </c>
      <c r="C2052" s="1" t="n">
        <v>45292</v>
      </c>
      <c r="D2052" t="inlineStr">
        <is>
          <t>VÄSTERBOTTENS LÄN</t>
        </is>
      </c>
      <c r="E2052" t="inlineStr">
        <is>
          <t>SKELLEFTEÅ</t>
        </is>
      </c>
      <c r="G2052" t="n">
        <v>19.8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11642-2023</t>
        </is>
      </c>
      <c r="B2053" s="1" t="n">
        <v>44994</v>
      </c>
      <c r="C2053" s="1" t="n">
        <v>45292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11771-2023</t>
        </is>
      </c>
      <c r="B2054" s="1" t="n">
        <v>44994</v>
      </c>
      <c r="C2054" s="1" t="n">
        <v>45292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11973-2023</t>
        </is>
      </c>
      <c r="B2055" s="1" t="n">
        <v>44994</v>
      </c>
      <c r="C2055" s="1" t="n">
        <v>45292</v>
      </c>
      <c r="D2055" t="inlineStr">
        <is>
          <t>VÄSTERBOTTENS LÄN</t>
        </is>
      </c>
      <c r="E2055" t="inlineStr">
        <is>
          <t>SKELLEFTEÅ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11963-2023</t>
        </is>
      </c>
      <c r="B2056" s="1" t="n">
        <v>44994</v>
      </c>
      <c r="C2056" s="1" t="n">
        <v>45292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11989-2023</t>
        </is>
      </c>
      <c r="B2057" s="1" t="n">
        <v>44994</v>
      </c>
      <c r="C2057" s="1" t="n">
        <v>45292</v>
      </c>
      <c r="D2057" t="inlineStr">
        <is>
          <t>VÄSTERBOTTENS LÄN</t>
        </is>
      </c>
      <c r="E2057" t="inlineStr">
        <is>
          <t>SKELLEFTEÅ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11995-2023</t>
        </is>
      </c>
      <c r="B2058" s="1" t="n">
        <v>44994</v>
      </c>
      <c r="C2058" s="1" t="n">
        <v>45292</v>
      </c>
      <c r="D2058" t="inlineStr">
        <is>
          <t>VÄSTERBOTTENS LÄN</t>
        </is>
      </c>
      <c r="E2058" t="inlineStr">
        <is>
          <t>SKELLEFTEÅ</t>
        </is>
      </c>
      <c r="G2058" t="n">
        <v>25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11942-2023</t>
        </is>
      </c>
      <c r="B2059" s="1" t="n">
        <v>44995</v>
      </c>
      <c r="C2059" s="1" t="n">
        <v>45292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12017-2023</t>
        </is>
      </c>
      <c r="B2060" s="1" t="n">
        <v>44995</v>
      </c>
      <c r="C2060" s="1" t="n">
        <v>45292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11945-2023</t>
        </is>
      </c>
      <c r="B2061" s="1" t="n">
        <v>44995</v>
      </c>
      <c r="C2061" s="1" t="n">
        <v>45292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12137-2023</t>
        </is>
      </c>
      <c r="B2062" s="1" t="n">
        <v>44995</v>
      </c>
      <c r="C2062" s="1" t="n">
        <v>45292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12019-2023</t>
        </is>
      </c>
      <c r="B2063" s="1" t="n">
        <v>44995</v>
      </c>
      <c r="C2063" s="1" t="n">
        <v>45292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12033-2023</t>
        </is>
      </c>
      <c r="B2064" s="1" t="n">
        <v>44995</v>
      </c>
      <c r="C2064" s="1" t="n">
        <v>45292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12032-2023</t>
        </is>
      </c>
      <c r="B2065" s="1" t="n">
        <v>44995</v>
      </c>
      <c r="C2065" s="1" t="n">
        <v>45292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12366-2023</t>
        </is>
      </c>
      <c r="B2066" s="1" t="n">
        <v>44998</v>
      </c>
      <c r="C2066" s="1" t="n">
        <v>45292</v>
      </c>
      <c r="D2066" t="inlineStr">
        <is>
          <t>VÄSTERBOTTENS LÄN</t>
        </is>
      </c>
      <c r="E2066" t="inlineStr">
        <is>
          <t>SKELLEFTEÅ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12392-2023</t>
        </is>
      </c>
      <c r="B2067" s="1" t="n">
        <v>44998</v>
      </c>
      <c r="C2067" s="1" t="n">
        <v>45292</v>
      </c>
      <c r="D2067" t="inlineStr">
        <is>
          <t>VÄSTERBOTTENS LÄN</t>
        </is>
      </c>
      <c r="E2067" t="inlineStr">
        <is>
          <t>SKELLEFTEÅ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12728-2023</t>
        </is>
      </c>
      <c r="B2068" s="1" t="n">
        <v>45000</v>
      </c>
      <c r="C2068" s="1" t="n">
        <v>45292</v>
      </c>
      <c r="D2068" t="inlineStr">
        <is>
          <t>VÄSTERBOTTENS LÄN</t>
        </is>
      </c>
      <c r="E2068" t="inlineStr">
        <is>
          <t>SKELLEFTEÅ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12601-2023</t>
        </is>
      </c>
      <c r="B2069" s="1" t="n">
        <v>45000</v>
      </c>
      <c r="C2069" s="1" t="n">
        <v>45292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12648-2023</t>
        </is>
      </c>
      <c r="B2070" s="1" t="n">
        <v>45000</v>
      </c>
      <c r="C2070" s="1" t="n">
        <v>45292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12803-2023</t>
        </is>
      </c>
      <c r="B2071" s="1" t="n">
        <v>45000</v>
      </c>
      <c r="C2071" s="1" t="n">
        <v>45292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13149-2023</t>
        </is>
      </c>
      <c r="B2072" s="1" t="n">
        <v>45002</v>
      </c>
      <c r="C2072" s="1" t="n">
        <v>45292</v>
      </c>
      <c r="D2072" t="inlineStr">
        <is>
          <t>VÄSTERBOTTENS LÄN</t>
        </is>
      </c>
      <c r="E2072" t="inlineStr">
        <is>
          <t>SKELLEFTEÅ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13312-2023</t>
        </is>
      </c>
      <c r="B2073" s="1" t="n">
        <v>45005</v>
      </c>
      <c r="C2073" s="1" t="n">
        <v>45292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13470-2023</t>
        </is>
      </c>
      <c r="B2074" s="1" t="n">
        <v>45005</v>
      </c>
      <c r="C2074" s="1" t="n">
        <v>45292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13375-2023</t>
        </is>
      </c>
      <c r="B2075" s="1" t="n">
        <v>45005</v>
      </c>
      <c r="C2075" s="1" t="n">
        <v>45292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13641-2023</t>
        </is>
      </c>
      <c r="B2076" s="1" t="n">
        <v>45006</v>
      </c>
      <c r="C2076" s="1" t="n">
        <v>45292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14066-2023</t>
        </is>
      </c>
      <c r="B2077" s="1" t="n">
        <v>45008</v>
      </c>
      <c r="C2077" s="1" t="n">
        <v>45292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14197-2023</t>
        </is>
      </c>
      <c r="B2078" s="1" t="n">
        <v>45009</v>
      </c>
      <c r="C2078" s="1" t="n">
        <v>45292</v>
      </c>
      <c r="D2078" t="inlineStr">
        <is>
          <t>VÄSTERBOTTENS LÄN</t>
        </is>
      </c>
      <c r="E2078" t="inlineStr">
        <is>
          <t>SKELLEFTEÅ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14089-2023</t>
        </is>
      </c>
      <c r="B2079" s="1" t="n">
        <v>45009</v>
      </c>
      <c r="C2079" s="1" t="n">
        <v>45292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14332-2023</t>
        </is>
      </c>
      <c r="B2080" s="1" t="n">
        <v>45009</v>
      </c>
      <c r="C2080" s="1" t="n">
        <v>45292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14341-2023</t>
        </is>
      </c>
      <c r="B2081" s="1" t="n">
        <v>45009</v>
      </c>
      <c r="C2081" s="1" t="n">
        <v>45292</v>
      </c>
      <c r="D2081" t="inlineStr">
        <is>
          <t>VÄSTERBOTTENS LÄN</t>
        </is>
      </c>
      <c r="E2081" t="inlineStr">
        <is>
          <t>SKELLEFTEÅ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14351-2023</t>
        </is>
      </c>
      <c r="B2082" s="1" t="n">
        <v>45009</v>
      </c>
      <c r="C2082" s="1" t="n">
        <v>45292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14458-2023</t>
        </is>
      </c>
      <c r="B2083" s="1" t="n">
        <v>45012</v>
      </c>
      <c r="C2083" s="1" t="n">
        <v>45292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14697-2023</t>
        </is>
      </c>
      <c r="B2084" s="1" t="n">
        <v>45012</v>
      </c>
      <c r="C2084" s="1" t="n">
        <v>45292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14705-2023</t>
        </is>
      </c>
      <c r="B2085" s="1" t="n">
        <v>45012</v>
      </c>
      <c r="C2085" s="1" t="n">
        <v>45292</v>
      </c>
      <c r="D2085" t="inlineStr">
        <is>
          <t>VÄSTERBOTTENS LÄN</t>
        </is>
      </c>
      <c r="E2085" t="inlineStr">
        <is>
          <t>SKELLEFTEÅ</t>
        </is>
      </c>
      <c r="G2085" t="n">
        <v>11.4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14902-2023</t>
        </is>
      </c>
      <c r="B2086" s="1" t="n">
        <v>45014</v>
      </c>
      <c r="C2086" s="1" t="n">
        <v>45292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14992-2023</t>
        </is>
      </c>
      <c r="B2087" s="1" t="n">
        <v>45014</v>
      </c>
      <c r="C2087" s="1" t="n">
        <v>45292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14983-2023</t>
        </is>
      </c>
      <c r="B2088" s="1" t="n">
        <v>45014</v>
      </c>
      <c r="C2088" s="1" t="n">
        <v>45292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14998-2023</t>
        </is>
      </c>
      <c r="B2089" s="1" t="n">
        <v>45015</v>
      </c>
      <c r="C2089" s="1" t="n">
        <v>45292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15155-2023</t>
        </is>
      </c>
      <c r="B2090" s="1" t="n">
        <v>45016</v>
      </c>
      <c r="C2090" s="1" t="n">
        <v>45292</v>
      </c>
      <c r="D2090" t="inlineStr">
        <is>
          <t>VÄSTERBOTTENS LÄN</t>
        </is>
      </c>
      <c r="E2090" t="inlineStr">
        <is>
          <t>SKELLEFTEÅ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15327-2023</t>
        </is>
      </c>
      <c r="B2091" s="1" t="n">
        <v>45016</v>
      </c>
      <c r="C2091" s="1" t="n">
        <v>45292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45292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15405-2023</t>
        </is>
      </c>
      <c r="B2093" s="1" t="n">
        <v>45019</v>
      </c>
      <c r="C2093" s="1" t="n">
        <v>45292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15593-2023</t>
        </is>
      </c>
      <c r="B2094" s="1" t="n">
        <v>45019</v>
      </c>
      <c r="C2094" s="1" t="n">
        <v>45292</v>
      </c>
      <c r="D2094" t="inlineStr">
        <is>
          <t>VÄSTERBOTTENS LÄN</t>
        </is>
      </c>
      <c r="E2094" t="inlineStr">
        <is>
          <t>SKELLEFTEÅ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15536-2023</t>
        </is>
      </c>
      <c r="B2095" s="1" t="n">
        <v>45020</v>
      </c>
      <c r="C2095" s="1" t="n">
        <v>45292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15479-2023</t>
        </is>
      </c>
      <c r="B2096" s="1" t="n">
        <v>45020</v>
      </c>
      <c r="C2096" s="1" t="n">
        <v>45292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15709-2023</t>
        </is>
      </c>
      <c r="B2097" s="1" t="n">
        <v>45020</v>
      </c>
      <c r="C2097" s="1" t="n">
        <v>45292</v>
      </c>
      <c r="D2097" t="inlineStr">
        <is>
          <t>VÄSTERBOTTENS LÄN</t>
        </is>
      </c>
      <c r="E2097" t="inlineStr">
        <is>
          <t>SKELLEFTEÅ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15732-2023</t>
        </is>
      </c>
      <c r="B2098" s="1" t="n">
        <v>45020</v>
      </c>
      <c r="C2098" s="1" t="n">
        <v>45292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15570-2023</t>
        </is>
      </c>
      <c r="B2099" s="1" t="n">
        <v>45020</v>
      </c>
      <c r="C2099" s="1" t="n">
        <v>45292</v>
      </c>
      <c r="D2099" t="inlineStr">
        <is>
          <t>VÄSTERBOTTENS LÄN</t>
        </is>
      </c>
      <c r="E2099" t="inlineStr">
        <is>
          <t>SKELLEFTEÅ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15717-2023</t>
        </is>
      </c>
      <c r="B2100" s="1" t="n">
        <v>45020</v>
      </c>
      <c r="C2100" s="1" t="n">
        <v>45292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15706-2023</t>
        </is>
      </c>
      <c r="B2101" s="1" t="n">
        <v>45020</v>
      </c>
      <c r="C2101" s="1" t="n">
        <v>45292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15806-2023</t>
        </is>
      </c>
      <c r="B2102" s="1" t="n">
        <v>45021</v>
      </c>
      <c r="C2102" s="1" t="n">
        <v>45292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15825-2023</t>
        </is>
      </c>
      <c r="B2103" s="1" t="n">
        <v>45022</v>
      </c>
      <c r="C2103" s="1" t="n">
        <v>45292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SCA</t>
        </is>
      </c>
      <c r="G2103" t="n">
        <v>16.8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15899-2023</t>
        </is>
      </c>
      <c r="B2104" s="1" t="n">
        <v>45021</v>
      </c>
      <c r="C2104" s="1" t="n">
        <v>45292</v>
      </c>
      <c r="D2104" t="inlineStr">
        <is>
          <t>VÄSTERBOTTENS LÄN</t>
        </is>
      </c>
      <c r="E2104" t="inlineStr">
        <is>
          <t>SKELLEFTEÅ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15903-2023</t>
        </is>
      </c>
      <c r="B2105" s="1" t="n">
        <v>45021</v>
      </c>
      <c r="C2105" s="1" t="n">
        <v>45292</v>
      </c>
      <c r="D2105" t="inlineStr">
        <is>
          <t>VÄSTERBOTTENS LÄN</t>
        </is>
      </c>
      <c r="E2105" t="inlineStr">
        <is>
          <t>SKELLEFTEÅ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15906-2023</t>
        </is>
      </c>
      <c r="B2106" s="1" t="n">
        <v>45021</v>
      </c>
      <c r="C2106" s="1" t="n">
        <v>45292</v>
      </c>
      <c r="D2106" t="inlineStr">
        <is>
          <t>VÄSTERBOTTENS LÄN</t>
        </is>
      </c>
      <c r="E2106" t="inlineStr">
        <is>
          <t>SKELLEFTEÅ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16027-2023</t>
        </is>
      </c>
      <c r="B2107" s="1" t="n">
        <v>45027</v>
      </c>
      <c r="C2107" s="1" t="n">
        <v>45292</v>
      </c>
      <c r="D2107" t="inlineStr">
        <is>
          <t>VÄSTERBOTTENS LÄN</t>
        </is>
      </c>
      <c r="E2107" t="inlineStr">
        <is>
          <t>SKELLEFTEÅ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16183-2023</t>
        </is>
      </c>
      <c r="B2108" s="1" t="n">
        <v>45027</v>
      </c>
      <c r="C2108" s="1" t="n">
        <v>45292</v>
      </c>
      <c r="D2108" t="inlineStr">
        <is>
          <t>VÄSTERBOTTENS LÄN</t>
        </is>
      </c>
      <c r="E2108" t="inlineStr">
        <is>
          <t>SKELLEFTEÅ</t>
        </is>
      </c>
      <c r="G2108" t="n">
        <v>24.7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16186-2023</t>
        </is>
      </c>
      <c r="B2109" s="1" t="n">
        <v>45028</v>
      </c>
      <c r="C2109" s="1" t="n">
        <v>45292</v>
      </c>
      <c r="D2109" t="inlineStr">
        <is>
          <t>VÄSTERBOTTENS LÄN</t>
        </is>
      </c>
      <c r="E2109" t="inlineStr">
        <is>
          <t>SKELLEFTEÅ</t>
        </is>
      </c>
      <c r="G2109" t="n">
        <v>12.4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16239-2023</t>
        </is>
      </c>
      <c r="B2110" s="1" t="n">
        <v>45028</v>
      </c>
      <c r="C2110" s="1" t="n">
        <v>45292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16237-2023</t>
        </is>
      </c>
      <c r="B2111" s="1" t="n">
        <v>45028</v>
      </c>
      <c r="C2111" s="1" t="n">
        <v>45292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16494-2023</t>
        </is>
      </c>
      <c r="B2112" s="1" t="n">
        <v>45029</v>
      </c>
      <c r="C2112" s="1" t="n">
        <v>45292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16753-2023</t>
        </is>
      </c>
      <c r="B2113" s="1" t="n">
        <v>45031</v>
      </c>
      <c r="C2113" s="1" t="n">
        <v>45292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17026-2023</t>
        </is>
      </c>
      <c r="B2114" s="1" t="n">
        <v>45030</v>
      </c>
      <c r="C2114" s="1" t="n">
        <v>45292</v>
      </c>
      <c r="D2114" t="inlineStr">
        <is>
          <t>VÄSTERBOTTENS LÄN</t>
        </is>
      </c>
      <c r="E2114" t="inlineStr">
        <is>
          <t>SKELLEFTEÅ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17086-2023</t>
        </is>
      </c>
      <c r="B2115" s="1" t="n">
        <v>45030</v>
      </c>
      <c r="C2115" s="1" t="n">
        <v>45292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17071-2023</t>
        </is>
      </c>
      <c r="B2116" s="1" t="n">
        <v>45030</v>
      </c>
      <c r="C2116" s="1" t="n">
        <v>45292</v>
      </c>
      <c r="D2116" t="inlineStr">
        <is>
          <t>VÄSTERBOTTENS LÄN</t>
        </is>
      </c>
      <c r="E2116" t="inlineStr">
        <is>
          <t>SKELLEFTEÅ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16858-2023</t>
        </is>
      </c>
      <c r="B2117" s="1" t="n">
        <v>45033</v>
      </c>
      <c r="C2117" s="1" t="n">
        <v>45292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16998-2023</t>
        </is>
      </c>
      <c r="B2118" s="1" t="n">
        <v>45033</v>
      </c>
      <c r="C2118" s="1" t="n">
        <v>45292</v>
      </c>
      <c r="D2118" t="inlineStr">
        <is>
          <t>VÄSTERBOTTENS LÄN</t>
        </is>
      </c>
      <c r="E2118" t="inlineStr">
        <is>
          <t>SKELLEFTEÅ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17208-2023</t>
        </is>
      </c>
      <c r="B2119" s="1" t="n">
        <v>45035</v>
      </c>
      <c r="C2119" s="1" t="n">
        <v>45292</v>
      </c>
      <c r="D2119" t="inlineStr">
        <is>
          <t>VÄSTERBOTTENS LÄN</t>
        </is>
      </c>
      <c r="E2119" t="inlineStr">
        <is>
          <t>SKELLEFTEÅ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17205-2023</t>
        </is>
      </c>
      <c r="B2120" s="1" t="n">
        <v>45035</v>
      </c>
      <c r="C2120" s="1" t="n">
        <v>45292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17365-2023</t>
        </is>
      </c>
      <c r="B2121" s="1" t="n">
        <v>45034</v>
      </c>
      <c r="C2121" s="1" t="n">
        <v>45292</v>
      </c>
      <c r="D2121" t="inlineStr">
        <is>
          <t>VÄSTERBOTTENS LÄN</t>
        </is>
      </c>
      <c r="E2121" t="inlineStr">
        <is>
          <t>SKELLEFTEÅ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17482-2023</t>
        </is>
      </c>
      <c r="B2122" s="1" t="n">
        <v>45034</v>
      </c>
      <c r="C2122" s="1" t="n">
        <v>45292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17478-2023</t>
        </is>
      </c>
      <c r="B2123" s="1" t="n">
        <v>45034</v>
      </c>
      <c r="C2123" s="1" t="n">
        <v>45292</v>
      </c>
      <c r="D2123" t="inlineStr">
        <is>
          <t>VÄSTERBOTTENS LÄN</t>
        </is>
      </c>
      <c r="E2123" t="inlineStr">
        <is>
          <t>SKELLEFTEÅ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17487-2023</t>
        </is>
      </c>
      <c r="B2124" s="1" t="n">
        <v>45034</v>
      </c>
      <c r="C2124" s="1" t="n">
        <v>45292</v>
      </c>
      <c r="D2124" t="inlineStr">
        <is>
          <t>VÄSTERBOTTENS LÄN</t>
        </is>
      </c>
      <c r="E2124" t="inlineStr">
        <is>
          <t>SKELLEFTEÅ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17483-2023</t>
        </is>
      </c>
      <c r="B2125" s="1" t="n">
        <v>45034</v>
      </c>
      <c r="C2125" s="1" t="n">
        <v>45292</v>
      </c>
      <c r="D2125" t="inlineStr">
        <is>
          <t>VÄSTERBOTTENS LÄN</t>
        </is>
      </c>
      <c r="E2125" t="inlineStr">
        <is>
          <t>SKELLEFTEÅ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17485-2023</t>
        </is>
      </c>
      <c r="B2126" s="1" t="n">
        <v>45034</v>
      </c>
      <c r="C2126" s="1" t="n">
        <v>45292</v>
      </c>
      <c r="D2126" t="inlineStr">
        <is>
          <t>VÄSTERBOTTENS LÄN</t>
        </is>
      </c>
      <c r="E2126" t="inlineStr">
        <is>
          <t>SKELLEFTEÅ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17444-2023</t>
        </is>
      </c>
      <c r="B2127" s="1" t="n">
        <v>45036</v>
      </c>
      <c r="C2127" s="1" t="n">
        <v>45292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17446-2023</t>
        </is>
      </c>
      <c r="B2128" s="1" t="n">
        <v>45036</v>
      </c>
      <c r="C2128" s="1" t="n">
        <v>45292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SCA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17659-2023</t>
        </is>
      </c>
      <c r="B2129" s="1" t="n">
        <v>45037</v>
      </c>
      <c r="C2129" s="1" t="n">
        <v>45292</v>
      </c>
      <c r="D2129" t="inlineStr">
        <is>
          <t>VÄSTERBOTTENS LÄN</t>
        </is>
      </c>
      <c r="E2129" t="inlineStr">
        <is>
          <t>SKELLEFTEÅ</t>
        </is>
      </c>
      <c r="G2129" t="n">
        <v>14.4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17755-2023</t>
        </is>
      </c>
      <c r="B2130" s="1" t="n">
        <v>45036</v>
      </c>
      <c r="C2130" s="1" t="n">
        <v>45292</v>
      </c>
      <c r="D2130" t="inlineStr">
        <is>
          <t>VÄSTERBOTTENS LÄN</t>
        </is>
      </c>
      <c r="E2130" t="inlineStr">
        <is>
          <t>SKELLEFTEÅ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17842-2023</t>
        </is>
      </c>
      <c r="B2131" s="1" t="n">
        <v>45037</v>
      </c>
      <c r="C2131" s="1" t="n">
        <v>45292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18035-2023</t>
        </is>
      </c>
      <c r="B2132" s="1" t="n">
        <v>45037</v>
      </c>
      <c r="C2132" s="1" t="n">
        <v>45292</v>
      </c>
      <c r="D2132" t="inlineStr">
        <is>
          <t>VÄSTERBOTTENS LÄN</t>
        </is>
      </c>
      <c r="E2132" t="inlineStr">
        <is>
          <t>SKELLEFTEÅ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18016-2023</t>
        </is>
      </c>
      <c r="B2133" s="1" t="n">
        <v>45040</v>
      </c>
      <c r="C2133" s="1" t="n">
        <v>45292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18357-2023</t>
        </is>
      </c>
      <c r="B2134" s="1" t="n">
        <v>45041</v>
      </c>
      <c r="C2134" s="1" t="n">
        <v>45292</v>
      </c>
      <c r="D2134" t="inlineStr">
        <is>
          <t>VÄSTERBOTTENS LÄN</t>
        </is>
      </c>
      <c r="E2134" t="inlineStr">
        <is>
          <t>SKELLEFTEÅ</t>
        </is>
      </c>
      <c r="G2134" t="n">
        <v>11.2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18455-2023</t>
        </is>
      </c>
      <c r="B2135" s="1" t="n">
        <v>45041</v>
      </c>
      <c r="C2135" s="1" t="n">
        <v>45292</v>
      </c>
      <c r="D2135" t="inlineStr">
        <is>
          <t>VÄSTERBOTTENS LÄN</t>
        </is>
      </c>
      <c r="E2135" t="inlineStr">
        <is>
          <t>SKELLEFTEÅ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18607-2023</t>
        </is>
      </c>
      <c r="B2136" s="1" t="n">
        <v>45041</v>
      </c>
      <c r="C2136" s="1" t="n">
        <v>45292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18479-2023</t>
        </is>
      </c>
      <c r="B2137" s="1" t="n">
        <v>45042</v>
      </c>
      <c r="C2137" s="1" t="n">
        <v>45292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18501-2023</t>
        </is>
      </c>
      <c r="B2138" s="1" t="n">
        <v>45042</v>
      </c>
      <c r="C2138" s="1" t="n">
        <v>45292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18478-2023</t>
        </is>
      </c>
      <c r="B2139" s="1" t="n">
        <v>45042</v>
      </c>
      <c r="C2139" s="1" t="n">
        <v>45292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18701-2023</t>
        </is>
      </c>
      <c r="B2140" s="1" t="n">
        <v>45042</v>
      </c>
      <c r="C2140" s="1" t="n">
        <v>45292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18709-2023</t>
        </is>
      </c>
      <c r="B2141" s="1" t="n">
        <v>45043</v>
      </c>
      <c r="C2141" s="1" t="n">
        <v>45292</v>
      </c>
      <c r="D2141" t="inlineStr">
        <is>
          <t>VÄSTERBOTTENS LÄN</t>
        </is>
      </c>
      <c r="E2141" t="inlineStr">
        <is>
          <t>SKELLEFTEÅ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19066-2023</t>
        </is>
      </c>
      <c r="B2142" s="1" t="n">
        <v>45043</v>
      </c>
      <c r="C2142" s="1" t="n">
        <v>45292</v>
      </c>
      <c r="D2142" t="inlineStr">
        <is>
          <t>VÄSTERBOTTENS LÄN</t>
        </is>
      </c>
      <c r="E2142" t="inlineStr">
        <is>
          <t>SKELLEFTEÅ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18975-2023</t>
        </is>
      </c>
      <c r="B2143" s="1" t="n">
        <v>45044</v>
      </c>
      <c r="C2143" s="1" t="n">
        <v>45292</v>
      </c>
      <c r="D2143" t="inlineStr">
        <is>
          <t>VÄSTERBOTTENS LÄN</t>
        </is>
      </c>
      <c r="E2143" t="inlineStr">
        <is>
          <t>SKELLEFTEÅ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18819-2023</t>
        </is>
      </c>
      <c r="B2144" s="1" t="n">
        <v>45044</v>
      </c>
      <c r="C2144" s="1" t="n">
        <v>45292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19073-2023</t>
        </is>
      </c>
      <c r="B2145" s="1" t="n">
        <v>45048</v>
      </c>
      <c r="C2145" s="1" t="n">
        <v>45292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19349-2023</t>
        </is>
      </c>
      <c r="B2146" s="1" t="n">
        <v>45049</v>
      </c>
      <c r="C2146" s="1" t="n">
        <v>45292</v>
      </c>
      <c r="D2146" t="inlineStr">
        <is>
          <t>VÄSTERBOTTENS LÄN</t>
        </is>
      </c>
      <c r="E2146" t="inlineStr">
        <is>
          <t>SKELLEFTEÅ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19424-2023</t>
        </is>
      </c>
      <c r="B2147" s="1" t="n">
        <v>45050</v>
      </c>
      <c r="C2147" s="1" t="n">
        <v>45292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19422-2023</t>
        </is>
      </c>
      <c r="B2148" s="1" t="n">
        <v>45049</v>
      </c>
      <c r="C2148" s="1" t="n">
        <v>45292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19428-2023</t>
        </is>
      </c>
      <c r="B2149" s="1" t="n">
        <v>45050</v>
      </c>
      <c r="C2149" s="1" t="n">
        <v>45292</v>
      </c>
      <c r="D2149" t="inlineStr">
        <is>
          <t>VÄSTERBOTTENS LÄN</t>
        </is>
      </c>
      <c r="E2149" t="inlineStr">
        <is>
          <t>SKELLEFTEÅ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19491-2023</t>
        </is>
      </c>
      <c r="B2150" s="1" t="n">
        <v>45049</v>
      </c>
      <c r="C2150" s="1" t="n">
        <v>45292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19498-2023</t>
        </is>
      </c>
      <c r="B2151" s="1" t="n">
        <v>45049</v>
      </c>
      <c r="C2151" s="1" t="n">
        <v>45292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20080-2023</t>
        </is>
      </c>
      <c r="B2152" s="1" t="n">
        <v>45055</v>
      </c>
      <c r="C2152" s="1" t="n">
        <v>45292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20301-2023</t>
        </is>
      </c>
      <c r="B2153" s="1" t="n">
        <v>45056</v>
      </c>
      <c r="C2153" s="1" t="n">
        <v>45292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20290-2023</t>
        </is>
      </c>
      <c r="B2154" s="1" t="n">
        <v>45056</v>
      </c>
      <c r="C2154" s="1" t="n">
        <v>45292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20499-2023</t>
        </is>
      </c>
      <c r="B2155" s="1" t="n">
        <v>45057</v>
      </c>
      <c r="C2155" s="1" t="n">
        <v>45292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21238-2023</t>
        </is>
      </c>
      <c r="B2156" s="1" t="n">
        <v>45058</v>
      </c>
      <c r="C2156" s="1" t="n">
        <v>45292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21336-2023</t>
        </is>
      </c>
      <c r="B2157" s="1" t="n">
        <v>45062</v>
      </c>
      <c r="C2157" s="1" t="n">
        <v>45292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21565-2023</t>
        </is>
      </c>
      <c r="B2158" s="1" t="n">
        <v>45062</v>
      </c>
      <c r="C2158" s="1" t="n">
        <v>45292</v>
      </c>
      <c r="D2158" t="inlineStr">
        <is>
          <t>VÄSTERBOTTENS LÄN</t>
        </is>
      </c>
      <c r="E2158" t="inlineStr">
        <is>
          <t>SKELLEFTEÅ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21463-2023</t>
        </is>
      </c>
      <c r="B2159" s="1" t="n">
        <v>45063</v>
      </c>
      <c r="C2159" s="1" t="n">
        <v>45292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22341-2023</t>
        </is>
      </c>
      <c r="B2160" s="1" t="n">
        <v>45068</v>
      </c>
      <c r="C2160" s="1" t="n">
        <v>45292</v>
      </c>
      <c r="D2160" t="inlineStr">
        <is>
          <t>VÄSTERBOTTENS LÄN</t>
        </is>
      </c>
      <c r="E2160" t="inlineStr">
        <is>
          <t>SKELLEFTEÅ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22351-2023</t>
        </is>
      </c>
      <c r="B2161" s="1" t="n">
        <v>45068</v>
      </c>
      <c r="C2161" s="1" t="n">
        <v>45292</v>
      </c>
      <c r="D2161" t="inlineStr">
        <is>
          <t>VÄSTERBOTTENS LÄN</t>
        </is>
      </c>
      <c r="E2161" t="inlineStr">
        <is>
          <t>SKELLEFTEÅ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22334-2023</t>
        </is>
      </c>
      <c r="B2162" s="1" t="n">
        <v>45068</v>
      </c>
      <c r="C2162" s="1" t="n">
        <v>45292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22062-2023</t>
        </is>
      </c>
      <c r="B2163" s="1" t="n">
        <v>45069</v>
      </c>
      <c r="C2163" s="1" t="n">
        <v>45292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22121-2023</t>
        </is>
      </c>
      <c r="B2164" s="1" t="n">
        <v>45069</v>
      </c>
      <c r="C2164" s="1" t="n">
        <v>45292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22060-2023</t>
        </is>
      </c>
      <c r="B2165" s="1" t="n">
        <v>45069</v>
      </c>
      <c r="C2165" s="1" t="n">
        <v>45292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22064-2023</t>
        </is>
      </c>
      <c r="B2166" s="1" t="n">
        <v>45069</v>
      </c>
      <c r="C2166" s="1" t="n">
        <v>45292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22025-2023</t>
        </is>
      </c>
      <c r="B2167" s="1" t="n">
        <v>45069</v>
      </c>
      <c r="C2167" s="1" t="n">
        <v>45292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22045-2023</t>
        </is>
      </c>
      <c r="B2168" s="1" t="n">
        <v>45069</v>
      </c>
      <c r="C2168" s="1" t="n">
        <v>45292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22516-2023</t>
        </is>
      </c>
      <c r="B2169" s="1" t="n">
        <v>45069</v>
      </c>
      <c r="C2169" s="1" t="n">
        <v>45292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22548-2023</t>
        </is>
      </c>
      <c r="B2170" s="1" t="n">
        <v>45069</v>
      </c>
      <c r="C2170" s="1" t="n">
        <v>45292</v>
      </c>
      <c r="D2170" t="inlineStr">
        <is>
          <t>VÄSTERBOTTENS LÄN</t>
        </is>
      </c>
      <c r="E2170" t="inlineStr">
        <is>
          <t>SKELLEFTEÅ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22020-2023</t>
        </is>
      </c>
      <c r="B2171" s="1" t="n">
        <v>45069</v>
      </c>
      <c r="C2171" s="1" t="n">
        <v>45292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22344-2023</t>
        </is>
      </c>
      <c r="B2172" s="1" t="n">
        <v>45070</v>
      </c>
      <c r="C2172" s="1" t="n">
        <v>45292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22461-2023</t>
        </is>
      </c>
      <c r="B2173" s="1" t="n">
        <v>45071</v>
      </c>
      <c r="C2173" s="1" t="n">
        <v>45292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22579-2023</t>
        </is>
      </c>
      <c r="B2174" s="1" t="n">
        <v>45071</v>
      </c>
      <c r="C2174" s="1" t="n">
        <v>45292</v>
      </c>
      <c r="D2174" t="inlineStr">
        <is>
          <t>VÄSTERBOTTENS LÄN</t>
        </is>
      </c>
      <c r="E2174" t="inlineStr">
        <is>
          <t>SKELLEFTEÅ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22735-2023</t>
        </is>
      </c>
      <c r="B2175" s="1" t="n">
        <v>45071</v>
      </c>
      <c r="C2175" s="1" t="n">
        <v>45292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23704-2023</t>
        </is>
      </c>
      <c r="B2176" s="1" t="n">
        <v>45075</v>
      </c>
      <c r="C2176" s="1" t="n">
        <v>45292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23710-2023</t>
        </is>
      </c>
      <c r="B2177" s="1" t="n">
        <v>45075</v>
      </c>
      <c r="C2177" s="1" t="n">
        <v>45292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23709-2023</t>
        </is>
      </c>
      <c r="B2178" s="1" t="n">
        <v>45075</v>
      </c>
      <c r="C2178" s="1" t="n">
        <v>45292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23458-2023</t>
        </is>
      </c>
      <c r="B2179" s="1" t="n">
        <v>45076</v>
      </c>
      <c r="C2179" s="1" t="n">
        <v>45292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23420-2023</t>
        </is>
      </c>
      <c r="B2180" s="1" t="n">
        <v>45076</v>
      </c>
      <c r="C2180" s="1" t="n">
        <v>45292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9.199999999999999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23430-2023</t>
        </is>
      </c>
      <c r="B2181" s="1" t="n">
        <v>45076</v>
      </c>
      <c r="C2181" s="1" t="n">
        <v>45292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24430-2023</t>
        </is>
      </c>
      <c r="B2182" s="1" t="n">
        <v>45076</v>
      </c>
      <c r="C2182" s="1" t="n">
        <v>45292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23714-2023</t>
        </is>
      </c>
      <c r="B2183" s="1" t="n">
        <v>45077</v>
      </c>
      <c r="C2183" s="1" t="n">
        <v>45292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23757-2023</t>
        </is>
      </c>
      <c r="B2184" s="1" t="n">
        <v>45077</v>
      </c>
      <c r="C2184" s="1" t="n">
        <v>45292</v>
      </c>
      <c r="D2184" t="inlineStr">
        <is>
          <t>VÄSTERBOTTENS LÄN</t>
        </is>
      </c>
      <c r="E2184" t="inlineStr">
        <is>
          <t>SKELLEFTEÅ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23761-2023</t>
        </is>
      </c>
      <c r="B2185" s="1" t="n">
        <v>45077</v>
      </c>
      <c r="C2185" s="1" t="n">
        <v>45292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23760-2023</t>
        </is>
      </c>
      <c r="B2186" s="1" t="n">
        <v>45077</v>
      </c>
      <c r="C2186" s="1" t="n">
        <v>45292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23750-2023</t>
        </is>
      </c>
      <c r="B2187" s="1" t="n">
        <v>45077</v>
      </c>
      <c r="C2187" s="1" t="n">
        <v>45292</v>
      </c>
      <c r="D2187" t="inlineStr">
        <is>
          <t>VÄSTERBOTTENS LÄN</t>
        </is>
      </c>
      <c r="E2187" t="inlineStr">
        <is>
          <t>SKELLEFTEÅ</t>
        </is>
      </c>
      <c r="G2187" t="n">
        <v>11.2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45292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25256-2023</t>
        </is>
      </c>
      <c r="B2189" s="1" t="n">
        <v>45079</v>
      </c>
      <c r="C2189" s="1" t="n">
        <v>45292</v>
      </c>
      <c r="D2189" t="inlineStr">
        <is>
          <t>VÄSTERBOTTENS LÄN</t>
        </is>
      </c>
      <c r="E2189" t="inlineStr">
        <is>
          <t>SKELLEFTEÅ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25237-2023</t>
        </is>
      </c>
      <c r="B2190" s="1" t="n">
        <v>45079</v>
      </c>
      <c r="C2190" s="1" t="n">
        <v>45292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24327-2023</t>
        </is>
      </c>
      <c r="B2191" s="1" t="n">
        <v>45080</v>
      </c>
      <c r="C2191" s="1" t="n">
        <v>45292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SCA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24320-2023</t>
        </is>
      </c>
      <c r="B2192" s="1" t="n">
        <v>45080</v>
      </c>
      <c r="C2192" s="1" t="n">
        <v>45292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24805-2023</t>
        </is>
      </c>
      <c r="B2193" s="1" t="n">
        <v>45084</v>
      </c>
      <c r="C2193" s="1" t="n">
        <v>45292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25632-2023</t>
        </is>
      </c>
      <c r="B2194" s="1" t="n">
        <v>45084</v>
      </c>
      <c r="C2194" s="1" t="n">
        <v>45292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25634-2023</t>
        </is>
      </c>
      <c r="B2195" s="1" t="n">
        <v>45084</v>
      </c>
      <c r="C2195" s="1" t="n">
        <v>45292</v>
      </c>
      <c r="D2195" t="inlineStr">
        <is>
          <t>VÄSTERBOTTENS LÄN</t>
        </is>
      </c>
      <c r="E2195" t="inlineStr">
        <is>
          <t>SKELLEFTEÅ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25626-2023</t>
        </is>
      </c>
      <c r="B2196" s="1" t="n">
        <v>45084</v>
      </c>
      <c r="C2196" s="1" t="n">
        <v>45292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25638-2023</t>
        </is>
      </c>
      <c r="B2197" s="1" t="n">
        <v>45084</v>
      </c>
      <c r="C2197" s="1" t="n">
        <v>45292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24963-2023</t>
        </is>
      </c>
      <c r="B2198" s="1" t="n">
        <v>45085</v>
      </c>
      <c r="C2198" s="1" t="n">
        <v>45292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25019-2023</t>
        </is>
      </c>
      <c r="B2199" s="1" t="n">
        <v>45085</v>
      </c>
      <c r="C2199" s="1" t="n">
        <v>45292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25401-2023</t>
        </is>
      </c>
      <c r="B2200" s="1" t="n">
        <v>45089</v>
      </c>
      <c r="C2200" s="1" t="n">
        <v>45292</v>
      </c>
      <c r="D2200" t="inlineStr">
        <is>
          <t>VÄSTERBOTTENS LÄN</t>
        </is>
      </c>
      <c r="E2200" t="inlineStr">
        <is>
          <t>SKELLEFTEÅ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25787-2023</t>
        </is>
      </c>
      <c r="B2201" s="1" t="n">
        <v>45090</v>
      </c>
      <c r="C2201" s="1" t="n">
        <v>45292</v>
      </c>
      <c r="D2201" t="inlineStr">
        <is>
          <t>VÄSTERBOTTENS LÄN</t>
        </is>
      </c>
      <c r="E2201" t="inlineStr">
        <is>
          <t>SKELLEFTEÅ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26783-2023</t>
        </is>
      </c>
      <c r="B2202" s="1" t="n">
        <v>45090</v>
      </c>
      <c r="C2202" s="1" t="n">
        <v>45292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26767-2023</t>
        </is>
      </c>
      <c r="B2203" s="1" t="n">
        <v>45090</v>
      </c>
      <c r="C2203" s="1" t="n">
        <v>45292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26160-2023</t>
        </is>
      </c>
      <c r="B2204" s="1" t="n">
        <v>45091</v>
      </c>
      <c r="C2204" s="1" t="n">
        <v>45292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26217-2023</t>
        </is>
      </c>
      <c r="B2205" s="1" t="n">
        <v>45091</v>
      </c>
      <c r="C2205" s="1" t="n">
        <v>45292</v>
      </c>
      <c r="D2205" t="inlineStr">
        <is>
          <t>VÄSTERBOTTENS LÄN</t>
        </is>
      </c>
      <c r="E2205" t="inlineStr">
        <is>
          <t>SKELLEFTEÅ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26334-2023</t>
        </is>
      </c>
      <c r="B2206" s="1" t="n">
        <v>45091</v>
      </c>
      <c r="C2206" s="1" t="n">
        <v>45292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26019-2023</t>
        </is>
      </c>
      <c r="B2207" s="1" t="n">
        <v>45091</v>
      </c>
      <c r="C2207" s="1" t="n">
        <v>45292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26062-2023</t>
        </is>
      </c>
      <c r="B2208" s="1" t="n">
        <v>45091</v>
      </c>
      <c r="C2208" s="1" t="n">
        <v>45292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26095-2023</t>
        </is>
      </c>
      <c r="B2209" s="1" t="n">
        <v>45091</v>
      </c>
      <c r="C2209" s="1" t="n">
        <v>45292</v>
      </c>
      <c r="D2209" t="inlineStr">
        <is>
          <t>VÄSTERBOTTENS LÄN</t>
        </is>
      </c>
      <c r="E2209" t="inlineStr">
        <is>
          <t>SKELLEFTEÅ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26154-2023</t>
        </is>
      </c>
      <c r="B2210" s="1" t="n">
        <v>45091</v>
      </c>
      <c r="C2210" s="1" t="n">
        <v>45292</v>
      </c>
      <c r="D2210" t="inlineStr">
        <is>
          <t>VÄSTERBOTTENS LÄN</t>
        </is>
      </c>
      <c r="E2210" t="inlineStr">
        <is>
          <t>SKELLEFTEÅ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26955-2023</t>
        </is>
      </c>
      <c r="B2211" s="1" t="n">
        <v>45091</v>
      </c>
      <c r="C2211" s="1" t="n">
        <v>45292</v>
      </c>
      <c r="D2211" t="inlineStr">
        <is>
          <t>VÄSTERBOTTENS LÄN</t>
        </is>
      </c>
      <c r="E2211" t="inlineStr">
        <is>
          <t>SKELLEFTEÅ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26978-2023</t>
        </is>
      </c>
      <c r="B2212" s="1" t="n">
        <v>45091</v>
      </c>
      <c r="C2212" s="1" t="n">
        <v>45292</v>
      </c>
      <c r="D2212" t="inlineStr">
        <is>
          <t>VÄSTERBOTTENS LÄN</t>
        </is>
      </c>
      <c r="E2212" t="inlineStr">
        <is>
          <t>SKELLEFTEÅ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26462-2023</t>
        </is>
      </c>
      <c r="B2213" s="1" t="n">
        <v>45092</v>
      </c>
      <c r="C2213" s="1" t="n">
        <v>45292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26632-2023</t>
        </is>
      </c>
      <c r="B2214" s="1" t="n">
        <v>45092</v>
      </c>
      <c r="C2214" s="1" t="n">
        <v>45292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26648-2023</t>
        </is>
      </c>
      <c r="B2215" s="1" t="n">
        <v>45093</v>
      </c>
      <c r="C2215" s="1" t="n">
        <v>45292</v>
      </c>
      <c r="D2215" t="inlineStr">
        <is>
          <t>VÄSTERBOTTENS LÄN</t>
        </is>
      </c>
      <c r="E2215" t="inlineStr">
        <is>
          <t>SKELLEFTEÅ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26649-2023</t>
        </is>
      </c>
      <c r="B2216" s="1" t="n">
        <v>45093</v>
      </c>
      <c r="C2216" s="1" t="n">
        <v>45292</v>
      </c>
      <c r="D2216" t="inlineStr">
        <is>
          <t>VÄSTERBOTTENS LÄN</t>
        </is>
      </c>
      <c r="E2216" t="inlineStr">
        <is>
          <t>SKELLEFTEÅ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26645-2023</t>
        </is>
      </c>
      <c r="B2217" s="1" t="n">
        <v>45093</v>
      </c>
      <c r="C2217" s="1" t="n">
        <v>45292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26631-2023</t>
        </is>
      </c>
      <c r="B2218" s="1" t="n">
        <v>45092</v>
      </c>
      <c r="C2218" s="1" t="n">
        <v>45292</v>
      </c>
      <c r="D2218" t="inlineStr">
        <is>
          <t>VÄSTERBOTTENS LÄN</t>
        </is>
      </c>
      <c r="E2218" t="inlineStr">
        <is>
          <t>SKELLEFTEÅ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26686-2023</t>
        </is>
      </c>
      <c r="B2219" s="1" t="n">
        <v>45093</v>
      </c>
      <c r="C2219" s="1" t="n">
        <v>45292</v>
      </c>
      <c r="D2219" t="inlineStr">
        <is>
          <t>VÄSTERBOTTENS LÄN</t>
        </is>
      </c>
      <c r="E2219" t="inlineStr">
        <is>
          <t>SKELLEFTEÅ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26690-2023</t>
        </is>
      </c>
      <c r="B2220" s="1" t="n">
        <v>45093</v>
      </c>
      <c r="C2220" s="1" t="n">
        <v>45292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26869-2023</t>
        </is>
      </c>
      <c r="B2221" s="1" t="n">
        <v>45093</v>
      </c>
      <c r="C2221" s="1" t="n">
        <v>45292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26720-2023</t>
        </is>
      </c>
      <c r="B2222" s="1" t="n">
        <v>45093</v>
      </c>
      <c r="C2222" s="1" t="n">
        <v>45292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Kyrkan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26900-2023</t>
        </is>
      </c>
      <c r="B2223" s="1" t="n">
        <v>45093</v>
      </c>
      <c r="C2223" s="1" t="n">
        <v>45292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26784-2023</t>
        </is>
      </c>
      <c r="B2224" s="1" t="n">
        <v>45093</v>
      </c>
      <c r="C2224" s="1" t="n">
        <v>45292</v>
      </c>
      <c r="D2224" t="inlineStr">
        <is>
          <t>VÄSTERBOTTENS LÄN</t>
        </is>
      </c>
      <c r="E2224" t="inlineStr">
        <is>
          <t>SKELLEFTEÅ</t>
        </is>
      </c>
      <c r="G2224" t="n">
        <v>19.5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27785-2023</t>
        </is>
      </c>
      <c r="B2225" s="1" t="n">
        <v>45093</v>
      </c>
      <c r="C2225" s="1" t="n">
        <v>45292</v>
      </c>
      <c r="D2225" t="inlineStr">
        <is>
          <t>VÄSTERBOTTENS LÄN</t>
        </is>
      </c>
      <c r="E2225" t="inlineStr">
        <is>
          <t>SKELLEFTEÅ</t>
        </is>
      </c>
      <c r="G2225" t="n">
        <v>18.5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27097-2023</t>
        </is>
      </c>
      <c r="B2226" s="1" t="n">
        <v>45096</v>
      </c>
      <c r="C2226" s="1" t="n">
        <v>45292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27134-2023</t>
        </is>
      </c>
      <c r="B2227" s="1" t="n">
        <v>45096</v>
      </c>
      <c r="C2227" s="1" t="n">
        <v>45292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27210-2023</t>
        </is>
      </c>
      <c r="B2228" s="1" t="n">
        <v>45096</v>
      </c>
      <c r="C2228" s="1" t="n">
        <v>45292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27200-2023</t>
        </is>
      </c>
      <c r="B2229" s="1" t="n">
        <v>45096</v>
      </c>
      <c r="C2229" s="1" t="n">
        <v>45292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27333-2023</t>
        </is>
      </c>
      <c r="B2230" s="1" t="n">
        <v>45096</v>
      </c>
      <c r="C2230" s="1" t="n">
        <v>45292</v>
      </c>
      <c r="D2230" t="inlineStr">
        <is>
          <t>VÄSTERBOTTENS LÄN</t>
        </is>
      </c>
      <c r="E2230" t="inlineStr">
        <is>
          <t>SKELLEFTEÅ</t>
        </is>
      </c>
      <c r="G2230" t="n">
        <v>12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27323-2023</t>
        </is>
      </c>
      <c r="B2231" s="1" t="n">
        <v>45096</v>
      </c>
      <c r="C2231" s="1" t="n">
        <v>45292</v>
      </c>
      <c r="D2231" t="inlineStr">
        <is>
          <t>VÄSTERBOTTENS LÄN</t>
        </is>
      </c>
      <c r="E2231" t="inlineStr">
        <is>
          <t>SKELLEFTEÅ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28153-2023</t>
        </is>
      </c>
      <c r="B2232" s="1" t="n">
        <v>45096</v>
      </c>
      <c r="C2232" s="1" t="n">
        <v>45292</v>
      </c>
      <c r="D2232" t="inlineStr">
        <is>
          <t>VÄSTERBOTTENS LÄN</t>
        </is>
      </c>
      <c r="E2232" t="inlineStr">
        <is>
          <t>SKELLEFTEÅ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28166-2023</t>
        </is>
      </c>
      <c r="B2233" s="1" t="n">
        <v>45096</v>
      </c>
      <c r="C2233" s="1" t="n">
        <v>45292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28113-2023</t>
        </is>
      </c>
      <c r="B2234" s="1" t="n">
        <v>45096</v>
      </c>
      <c r="C2234" s="1" t="n">
        <v>45292</v>
      </c>
      <c r="D2234" t="inlineStr">
        <is>
          <t>VÄSTERBOTTENS LÄN</t>
        </is>
      </c>
      <c r="E2234" t="inlineStr">
        <is>
          <t>SKELLEFTEÅ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28158-2023</t>
        </is>
      </c>
      <c r="B2235" s="1" t="n">
        <v>45096</v>
      </c>
      <c r="C2235" s="1" t="n">
        <v>45292</v>
      </c>
      <c r="D2235" t="inlineStr">
        <is>
          <t>VÄSTERBOTTENS LÄN</t>
        </is>
      </c>
      <c r="E2235" t="inlineStr">
        <is>
          <t>SKELLEFTEÅ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28171-2023</t>
        </is>
      </c>
      <c r="B2236" s="1" t="n">
        <v>45096</v>
      </c>
      <c r="C2236" s="1" t="n">
        <v>45292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28203-2023</t>
        </is>
      </c>
      <c r="B2237" s="1" t="n">
        <v>45096</v>
      </c>
      <c r="C2237" s="1" t="n">
        <v>45292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27322-2023</t>
        </is>
      </c>
      <c r="B2238" s="1" t="n">
        <v>45096</v>
      </c>
      <c r="C2238" s="1" t="n">
        <v>45292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28191-2023</t>
        </is>
      </c>
      <c r="B2239" s="1" t="n">
        <v>45096</v>
      </c>
      <c r="C2239" s="1" t="n">
        <v>45292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28192-2023</t>
        </is>
      </c>
      <c r="B2240" s="1" t="n">
        <v>45096</v>
      </c>
      <c r="C2240" s="1" t="n">
        <v>45292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28175-2023</t>
        </is>
      </c>
      <c r="B2241" s="1" t="n">
        <v>45096</v>
      </c>
      <c r="C2241" s="1" t="n">
        <v>45292</v>
      </c>
      <c r="D2241" t="inlineStr">
        <is>
          <t>VÄSTERBOTTENS LÄN</t>
        </is>
      </c>
      <c r="E2241" t="inlineStr">
        <is>
          <t>SKELLEFTEÅ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27433-2023</t>
        </is>
      </c>
      <c r="B2242" s="1" t="n">
        <v>45097</v>
      </c>
      <c r="C2242" s="1" t="n">
        <v>45292</v>
      </c>
      <c r="D2242" t="inlineStr">
        <is>
          <t>VÄSTERBOTTENS LÄN</t>
        </is>
      </c>
      <c r="E2242" t="inlineStr">
        <is>
          <t>SKELLEFTEÅ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27504-2023</t>
        </is>
      </c>
      <c r="B2243" s="1" t="n">
        <v>45097</v>
      </c>
      <c r="C2243" s="1" t="n">
        <v>45292</v>
      </c>
      <c r="D2243" t="inlineStr">
        <is>
          <t>VÄSTERBOTTENS LÄN</t>
        </is>
      </c>
      <c r="E2243" t="inlineStr">
        <is>
          <t>SKELLEFTEÅ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27508-2023</t>
        </is>
      </c>
      <c r="B2244" s="1" t="n">
        <v>45097</v>
      </c>
      <c r="C2244" s="1" t="n">
        <v>45292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27614-2023</t>
        </is>
      </c>
      <c r="B2245" s="1" t="n">
        <v>45097</v>
      </c>
      <c r="C2245" s="1" t="n">
        <v>45292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27670-2023</t>
        </is>
      </c>
      <c r="B2246" s="1" t="n">
        <v>45097</v>
      </c>
      <c r="C2246" s="1" t="n">
        <v>45292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27766-2023</t>
        </is>
      </c>
      <c r="B2247" s="1" t="n">
        <v>45098</v>
      </c>
      <c r="C2247" s="1" t="n">
        <v>45292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27829-2023</t>
        </is>
      </c>
      <c r="B2248" s="1" t="n">
        <v>45098</v>
      </c>
      <c r="C2248" s="1" t="n">
        <v>45292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27807-2023</t>
        </is>
      </c>
      <c r="B2249" s="1" t="n">
        <v>45098</v>
      </c>
      <c r="C2249" s="1" t="n">
        <v>45292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27900-2023</t>
        </is>
      </c>
      <c r="B2250" s="1" t="n">
        <v>45098</v>
      </c>
      <c r="C2250" s="1" t="n">
        <v>45292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27925-2023</t>
        </is>
      </c>
      <c r="B2251" s="1" t="n">
        <v>45098</v>
      </c>
      <c r="C2251" s="1" t="n">
        <v>45292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27794-2023</t>
        </is>
      </c>
      <c r="B2252" s="1" t="n">
        <v>45098</v>
      </c>
      <c r="C2252" s="1" t="n">
        <v>45292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29601-2023</t>
        </is>
      </c>
      <c r="B2253" s="1" t="n">
        <v>45098</v>
      </c>
      <c r="C2253" s="1" t="n">
        <v>45292</v>
      </c>
      <c r="D2253" t="inlineStr">
        <is>
          <t>VÄSTERBOTTENS LÄN</t>
        </is>
      </c>
      <c r="E2253" t="inlineStr">
        <is>
          <t>SKELLEFTEÅ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28148-2023</t>
        </is>
      </c>
      <c r="B2254" s="1" t="n">
        <v>45099</v>
      </c>
      <c r="C2254" s="1" t="n">
        <v>45292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28142-2023</t>
        </is>
      </c>
      <c r="B2255" s="1" t="n">
        <v>45099</v>
      </c>
      <c r="C2255" s="1" t="n">
        <v>45292</v>
      </c>
      <c r="D2255" t="inlineStr">
        <is>
          <t>VÄSTERBOTTENS LÄN</t>
        </is>
      </c>
      <c r="E2255" t="inlineStr">
        <is>
          <t>SKELLEFTEÅ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28185-2023</t>
        </is>
      </c>
      <c r="B2256" s="1" t="n">
        <v>45099</v>
      </c>
      <c r="C2256" s="1" t="n">
        <v>45292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28242-2023</t>
        </is>
      </c>
      <c r="B2257" s="1" t="n">
        <v>45099</v>
      </c>
      <c r="C2257" s="1" t="n">
        <v>45292</v>
      </c>
      <c r="D2257" t="inlineStr">
        <is>
          <t>VÄSTERBOTTENS LÄN</t>
        </is>
      </c>
      <c r="E2257" t="inlineStr">
        <is>
          <t>SKELLEFTEÅ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28160-2023</t>
        </is>
      </c>
      <c r="B2258" s="1" t="n">
        <v>45099</v>
      </c>
      <c r="C2258" s="1" t="n">
        <v>45292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28199-2023</t>
        </is>
      </c>
      <c r="B2259" s="1" t="n">
        <v>45099</v>
      </c>
      <c r="C2259" s="1" t="n">
        <v>45292</v>
      </c>
      <c r="D2259" t="inlineStr">
        <is>
          <t>VÄSTERBOTTENS LÄN</t>
        </is>
      </c>
      <c r="E2259" t="inlineStr">
        <is>
          <t>SKELLEFTEÅ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28360-2023</t>
        </is>
      </c>
      <c r="B2260" s="1" t="n">
        <v>45100</v>
      </c>
      <c r="C2260" s="1" t="n">
        <v>45292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28358-2023</t>
        </is>
      </c>
      <c r="B2261" s="1" t="n">
        <v>45100</v>
      </c>
      <c r="C2261" s="1" t="n">
        <v>45292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29921-2023</t>
        </is>
      </c>
      <c r="B2262" s="1" t="n">
        <v>45099</v>
      </c>
      <c r="C2262" s="1" t="n">
        <v>45292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30097-2023</t>
        </is>
      </c>
      <c r="B2263" s="1" t="n">
        <v>45099</v>
      </c>
      <c r="C2263" s="1" t="n">
        <v>45292</v>
      </c>
      <c r="D2263" t="inlineStr">
        <is>
          <t>VÄSTERBOTTENS LÄN</t>
        </is>
      </c>
      <c r="E2263" t="inlineStr">
        <is>
          <t>SKELLEFTEÅ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30103-2023</t>
        </is>
      </c>
      <c r="B2264" s="1" t="n">
        <v>45099</v>
      </c>
      <c r="C2264" s="1" t="n">
        <v>45292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30437-2023</t>
        </is>
      </c>
      <c r="B2265" s="1" t="n">
        <v>45099</v>
      </c>
      <c r="C2265" s="1" t="n">
        <v>45292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30378-2023</t>
        </is>
      </c>
      <c r="B2266" s="1" t="n">
        <v>45099</v>
      </c>
      <c r="C2266" s="1" t="n">
        <v>45292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28431-2023</t>
        </is>
      </c>
      <c r="B2267" s="1" t="n">
        <v>45102</v>
      </c>
      <c r="C2267" s="1" t="n">
        <v>45292</v>
      </c>
      <c r="D2267" t="inlineStr">
        <is>
          <t>VÄSTERBOTTENS LÄN</t>
        </is>
      </c>
      <c r="E2267" t="inlineStr">
        <is>
          <t>SKELLEFTEÅ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HYPERLINK("https://klasma.github.io/Logging_2482/knärot/A 28431-2023 karta knärot.png", "A 28431-2023")</f>
        <v/>
      </c>
      <c r="V2267">
        <f>HYPERLINK("https://klasma.github.io/Logging_2482/klagomål/A 28431-2023 FSC-klagomål.docx", "A 28431-2023")</f>
        <v/>
      </c>
      <c r="W2267">
        <f>HYPERLINK("https://klasma.github.io/Logging_2482/klagomålsmail/A 28431-2023 FSC-klagomål mail.docx", "A 28431-2023")</f>
        <v/>
      </c>
      <c r="X2267">
        <f>HYPERLINK("https://klasma.github.io/Logging_2482/tillsyn/A 28431-2023 tillsynsbegäran.docx", "A 28431-2023")</f>
        <v/>
      </c>
      <c r="Y2267">
        <f>HYPERLINK("https://klasma.github.io/Logging_2482/tillsynsmail/A 28431-2023 tillsynsbegäran mail.docx", "A 28431-2023")</f>
        <v/>
      </c>
    </row>
    <row r="2268" ht="15" customHeight="1">
      <c r="A2268" t="inlineStr">
        <is>
          <t>A 28433-2023</t>
        </is>
      </c>
      <c r="B2268" s="1" t="n">
        <v>45102</v>
      </c>
      <c r="C2268" s="1" t="n">
        <v>45292</v>
      </c>
      <c r="D2268" t="inlineStr">
        <is>
          <t>VÄSTERBOTTENS LÄN</t>
        </is>
      </c>
      <c r="E2268" t="inlineStr">
        <is>
          <t>SKELLEFTEÅ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28509-2023</t>
        </is>
      </c>
      <c r="B2269" s="1" t="n">
        <v>45103</v>
      </c>
      <c r="C2269" s="1" t="n">
        <v>45292</v>
      </c>
      <c r="D2269" t="inlineStr">
        <is>
          <t>VÄSTERBOTTENS LÄN</t>
        </is>
      </c>
      <c r="E2269" t="inlineStr">
        <is>
          <t>SKELLEFTEÅ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28641-2023</t>
        </is>
      </c>
      <c r="B2270" s="1" t="n">
        <v>45103</v>
      </c>
      <c r="C2270" s="1" t="n">
        <v>45292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28710-2023</t>
        </is>
      </c>
      <c r="B2271" s="1" t="n">
        <v>45103</v>
      </c>
      <c r="C2271" s="1" t="n">
        <v>45292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31006-2023</t>
        </is>
      </c>
      <c r="B2272" s="1" t="n">
        <v>45103</v>
      </c>
      <c r="C2272" s="1" t="n">
        <v>45292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31555-2023</t>
        </is>
      </c>
      <c r="B2273" s="1" t="n">
        <v>45104</v>
      </c>
      <c r="C2273" s="1" t="n">
        <v>45292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31558-2023</t>
        </is>
      </c>
      <c r="B2274" s="1" t="n">
        <v>45104</v>
      </c>
      <c r="C2274" s="1" t="n">
        <v>45292</v>
      </c>
      <c r="D2274" t="inlineStr">
        <is>
          <t>VÄSTERBOTTENS LÄN</t>
        </is>
      </c>
      <c r="E2274" t="inlineStr">
        <is>
          <t>SKELLEFTEÅ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29152-2023</t>
        </is>
      </c>
      <c r="B2275" s="1" t="n">
        <v>45105</v>
      </c>
      <c r="C2275" s="1" t="n">
        <v>45292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29313-2023</t>
        </is>
      </c>
      <c r="B2276" s="1" t="n">
        <v>45106</v>
      </c>
      <c r="C2276" s="1" t="n">
        <v>45292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29355-2023</t>
        </is>
      </c>
      <c r="B2277" s="1" t="n">
        <v>45106</v>
      </c>
      <c r="C2277" s="1" t="n">
        <v>45292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29520-2023</t>
        </is>
      </c>
      <c r="B2278" s="1" t="n">
        <v>45106</v>
      </c>
      <c r="C2278" s="1" t="n">
        <v>45292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29596-2023</t>
        </is>
      </c>
      <c r="B2279" s="1" t="n">
        <v>45107</v>
      </c>
      <c r="C2279" s="1" t="n">
        <v>45292</v>
      </c>
      <c r="D2279" t="inlineStr">
        <is>
          <t>VÄSTERBOTTENS LÄN</t>
        </is>
      </c>
      <c r="E2279" t="inlineStr">
        <is>
          <t>SKELLEFTEÅ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29595-2023</t>
        </is>
      </c>
      <c r="B2280" s="1" t="n">
        <v>45107</v>
      </c>
      <c r="C2280" s="1" t="n">
        <v>45292</v>
      </c>
      <c r="D2280" t="inlineStr">
        <is>
          <t>VÄSTERBOTTENS LÄN</t>
        </is>
      </c>
      <c r="E2280" t="inlineStr">
        <is>
          <t>SKELLEFTEÅ</t>
        </is>
      </c>
      <c r="G2280" t="n">
        <v>23.7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31760-2023</t>
        </is>
      </c>
      <c r="B2281" s="1" t="n">
        <v>45106</v>
      </c>
      <c r="C2281" s="1" t="n">
        <v>45292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29887-2023</t>
        </is>
      </c>
      <c r="B2282" s="1" t="n">
        <v>45107</v>
      </c>
      <c r="C2282" s="1" t="n">
        <v>45292</v>
      </c>
      <c r="D2282" t="inlineStr">
        <is>
          <t>VÄSTERBOTTENS LÄN</t>
        </is>
      </c>
      <c r="E2282" t="inlineStr">
        <is>
          <t>SKELLEFTEÅ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29891-2023</t>
        </is>
      </c>
      <c r="B2283" s="1" t="n">
        <v>45107</v>
      </c>
      <c r="C2283" s="1" t="n">
        <v>45292</v>
      </c>
      <c r="D2283" t="inlineStr">
        <is>
          <t>VÄSTERBOTTENS LÄN</t>
        </is>
      </c>
      <c r="E2283" t="inlineStr">
        <is>
          <t>SKELLEFTEÅ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29890-2023</t>
        </is>
      </c>
      <c r="B2284" s="1" t="n">
        <v>45107</v>
      </c>
      <c r="C2284" s="1" t="n">
        <v>45292</v>
      </c>
      <c r="D2284" t="inlineStr">
        <is>
          <t>VÄSTERBOTTENS LÄN</t>
        </is>
      </c>
      <c r="E2284" t="inlineStr">
        <is>
          <t>SKELLEFTEÅ</t>
        </is>
      </c>
      <c r="G2284" t="n">
        <v>9.300000000000001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29932-2023</t>
        </is>
      </c>
      <c r="B2285" s="1" t="n">
        <v>45107</v>
      </c>
      <c r="C2285" s="1" t="n">
        <v>45292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29967-2023</t>
        </is>
      </c>
      <c r="B2286" s="1" t="n">
        <v>45108</v>
      </c>
      <c r="C2286" s="1" t="n">
        <v>45292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29968-2023</t>
        </is>
      </c>
      <c r="B2287" s="1" t="n">
        <v>45108</v>
      </c>
      <c r="C2287" s="1" t="n">
        <v>45292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29976-2023</t>
        </is>
      </c>
      <c r="B2288" s="1" t="n">
        <v>45108</v>
      </c>
      <c r="C2288" s="1" t="n">
        <v>45292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29970-2023</t>
        </is>
      </c>
      <c r="B2289" s="1" t="n">
        <v>45108</v>
      </c>
      <c r="C2289" s="1" t="n">
        <v>45292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29974-2023</t>
        </is>
      </c>
      <c r="B2290" s="1" t="n">
        <v>45108</v>
      </c>
      <c r="C2290" s="1" t="n">
        <v>45292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30010-2023</t>
        </is>
      </c>
      <c r="B2291" s="1" t="n">
        <v>45109</v>
      </c>
      <c r="C2291" s="1" t="n">
        <v>45292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30212-2023</t>
        </is>
      </c>
      <c r="B2292" s="1" t="n">
        <v>45110</v>
      </c>
      <c r="C2292" s="1" t="n">
        <v>45292</v>
      </c>
      <c r="D2292" t="inlineStr">
        <is>
          <t>VÄSTERBOTTENS LÄN</t>
        </is>
      </c>
      <c r="E2292" t="inlineStr">
        <is>
          <t>SKELLEFTEÅ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30485-2023</t>
        </is>
      </c>
      <c r="B2293" s="1" t="n">
        <v>45111</v>
      </c>
      <c r="C2293" s="1" t="n">
        <v>45292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30329-2023</t>
        </is>
      </c>
      <c r="B2294" s="1" t="n">
        <v>45111</v>
      </c>
      <c r="C2294" s="1" t="n">
        <v>45292</v>
      </c>
      <c r="D2294" t="inlineStr">
        <is>
          <t>VÄSTERBOTTENS LÄN</t>
        </is>
      </c>
      <c r="E2294" t="inlineStr">
        <is>
          <t>SKELLEFTEÅ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30540-2023</t>
        </is>
      </c>
      <c r="B2295" s="1" t="n">
        <v>45111</v>
      </c>
      <c r="C2295" s="1" t="n">
        <v>45292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30369-2023</t>
        </is>
      </c>
      <c r="B2296" s="1" t="n">
        <v>45111</v>
      </c>
      <c r="C2296" s="1" t="n">
        <v>45292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30686-2023</t>
        </is>
      </c>
      <c r="B2297" s="1" t="n">
        <v>45112</v>
      </c>
      <c r="C2297" s="1" t="n">
        <v>45292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30698-2023</t>
        </is>
      </c>
      <c r="B2298" s="1" t="n">
        <v>45112</v>
      </c>
      <c r="C2298" s="1" t="n">
        <v>45292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30743-2023</t>
        </is>
      </c>
      <c r="B2299" s="1" t="n">
        <v>45112</v>
      </c>
      <c r="C2299" s="1" t="n">
        <v>45292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30786-2023</t>
        </is>
      </c>
      <c r="B2300" s="1" t="n">
        <v>45112</v>
      </c>
      <c r="C2300" s="1" t="n">
        <v>45292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32817-2023</t>
        </is>
      </c>
      <c r="B2301" s="1" t="n">
        <v>45112</v>
      </c>
      <c r="C2301" s="1" t="n">
        <v>45292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32820-2023</t>
        </is>
      </c>
      <c r="B2302" s="1" t="n">
        <v>45112</v>
      </c>
      <c r="C2302" s="1" t="n">
        <v>45292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30953-2023</t>
        </is>
      </c>
      <c r="B2303" s="1" t="n">
        <v>45113</v>
      </c>
      <c r="C2303" s="1" t="n">
        <v>45292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31027-2023</t>
        </is>
      </c>
      <c r="B2304" s="1" t="n">
        <v>45113</v>
      </c>
      <c r="C2304" s="1" t="n">
        <v>45292</v>
      </c>
      <c r="D2304" t="inlineStr">
        <is>
          <t>VÄSTERBOTTENS LÄN</t>
        </is>
      </c>
      <c r="E2304" t="inlineStr">
        <is>
          <t>SKELLEFTEÅ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31035-2023</t>
        </is>
      </c>
      <c r="B2305" s="1" t="n">
        <v>45113</v>
      </c>
      <c r="C2305" s="1" t="n">
        <v>45292</v>
      </c>
      <c r="D2305" t="inlineStr">
        <is>
          <t>VÄSTERBOTTENS LÄN</t>
        </is>
      </c>
      <c r="E2305" t="inlineStr">
        <is>
          <t>SKELLEFTEÅ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31033-2023</t>
        </is>
      </c>
      <c r="B2306" s="1" t="n">
        <v>45113</v>
      </c>
      <c r="C2306" s="1" t="n">
        <v>45292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31028-2023</t>
        </is>
      </c>
      <c r="B2307" s="1" t="n">
        <v>45113</v>
      </c>
      <c r="C2307" s="1" t="n">
        <v>45292</v>
      </c>
      <c r="D2307" t="inlineStr">
        <is>
          <t>VÄSTERBOTTENS LÄN</t>
        </is>
      </c>
      <c r="E2307" t="inlineStr">
        <is>
          <t>SKELLEFTEÅ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31155-2023</t>
        </is>
      </c>
      <c r="B2308" s="1" t="n">
        <v>45113</v>
      </c>
      <c r="C2308" s="1" t="n">
        <v>45292</v>
      </c>
      <c r="D2308" t="inlineStr">
        <is>
          <t>VÄSTERBOTTENS LÄN</t>
        </is>
      </c>
      <c r="E2308" t="inlineStr">
        <is>
          <t>SKELLEFTEÅ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32969-2023</t>
        </is>
      </c>
      <c r="B2309" s="1" t="n">
        <v>45113</v>
      </c>
      <c r="C2309" s="1" t="n">
        <v>45292</v>
      </c>
      <c r="D2309" t="inlineStr">
        <is>
          <t>VÄSTERBOTTENS LÄN</t>
        </is>
      </c>
      <c r="E2309" t="inlineStr">
        <is>
          <t>SKELLEFTEÅ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31257-2023</t>
        </is>
      </c>
      <c r="B2310" s="1" t="n">
        <v>45114</v>
      </c>
      <c r="C2310" s="1" t="n">
        <v>45292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33184-2023</t>
        </is>
      </c>
      <c r="B2311" s="1" t="n">
        <v>45114</v>
      </c>
      <c r="C2311" s="1" t="n">
        <v>45292</v>
      </c>
      <c r="D2311" t="inlineStr">
        <is>
          <t>VÄSTERBOTTENS LÄN</t>
        </is>
      </c>
      <c r="E2311" t="inlineStr">
        <is>
          <t>SKELLEFTEÅ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33289-2023</t>
        </is>
      </c>
      <c r="B2312" s="1" t="n">
        <v>45116</v>
      </c>
      <c r="C2312" s="1" t="n">
        <v>45292</v>
      </c>
      <c r="D2312" t="inlineStr">
        <is>
          <t>VÄSTERBOTTENS LÄN</t>
        </is>
      </c>
      <c r="E2312" t="inlineStr">
        <is>
          <t>SKELLEFTEÅ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31672-2023</t>
        </is>
      </c>
      <c r="B2313" s="1" t="n">
        <v>45117</v>
      </c>
      <c r="C2313" s="1" t="n">
        <v>45292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32206-2023</t>
        </is>
      </c>
      <c r="B2314" s="1" t="n">
        <v>45119</v>
      </c>
      <c r="C2314" s="1" t="n">
        <v>45292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32205-2023</t>
        </is>
      </c>
      <c r="B2315" s="1" t="n">
        <v>45119</v>
      </c>
      <c r="C2315" s="1" t="n">
        <v>45292</v>
      </c>
      <c r="D2315" t="inlineStr">
        <is>
          <t>VÄSTERBOTTENS LÄN</t>
        </is>
      </c>
      <c r="E2315" t="inlineStr">
        <is>
          <t>SKELLEFTEÅ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33778-2023</t>
        </is>
      </c>
      <c r="B2316" s="1" t="n">
        <v>45120</v>
      </c>
      <c r="C2316" s="1" t="n">
        <v>45292</v>
      </c>
      <c r="D2316" t="inlineStr">
        <is>
          <t>VÄSTERBOTTENS LÄN</t>
        </is>
      </c>
      <c r="E2316" t="inlineStr">
        <is>
          <t>SKELLEFTEÅ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32535-2023</t>
        </is>
      </c>
      <c r="B2317" s="1" t="n">
        <v>45121</v>
      </c>
      <c r="C2317" s="1" t="n">
        <v>45292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32556-2023</t>
        </is>
      </c>
      <c r="B2318" s="1" t="n">
        <v>45121</v>
      </c>
      <c r="C2318" s="1" t="n">
        <v>45292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32589-2023</t>
        </is>
      </c>
      <c r="B2319" s="1" t="n">
        <v>45121</v>
      </c>
      <c r="C2319" s="1" t="n">
        <v>45292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32575-2023</t>
        </is>
      </c>
      <c r="B2320" s="1" t="n">
        <v>45121</v>
      </c>
      <c r="C2320" s="1" t="n">
        <v>45292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32590-2023</t>
        </is>
      </c>
      <c r="B2321" s="1" t="n">
        <v>45121</v>
      </c>
      <c r="C2321" s="1" t="n">
        <v>45292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32746-2023</t>
        </is>
      </c>
      <c r="B2322" s="1" t="n">
        <v>45122</v>
      </c>
      <c r="C2322" s="1" t="n">
        <v>45292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32743-2023</t>
        </is>
      </c>
      <c r="B2323" s="1" t="n">
        <v>45122</v>
      </c>
      <c r="C2323" s="1" t="n">
        <v>45292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32747-2023</t>
        </is>
      </c>
      <c r="B2324" s="1" t="n">
        <v>45122</v>
      </c>
      <c r="C2324" s="1" t="n">
        <v>45292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32745-2023</t>
        </is>
      </c>
      <c r="B2325" s="1" t="n">
        <v>45122</v>
      </c>
      <c r="C2325" s="1" t="n">
        <v>45292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33911-2023</t>
        </is>
      </c>
      <c r="B2326" s="1" t="n">
        <v>45123</v>
      </c>
      <c r="C2326" s="1" t="n">
        <v>45292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33027-2023</t>
        </is>
      </c>
      <c r="B2327" s="1" t="n">
        <v>45126</v>
      </c>
      <c r="C2327" s="1" t="n">
        <v>45292</v>
      </c>
      <c r="D2327" t="inlineStr">
        <is>
          <t>VÄSTERBOTTENS LÄN</t>
        </is>
      </c>
      <c r="E2327" t="inlineStr">
        <is>
          <t>SKELLEFTEÅ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33078-2023</t>
        </is>
      </c>
      <c r="B2328" s="1" t="n">
        <v>45126</v>
      </c>
      <c r="C2328" s="1" t="n">
        <v>45292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33129-2023</t>
        </is>
      </c>
      <c r="B2329" s="1" t="n">
        <v>45126</v>
      </c>
      <c r="C2329" s="1" t="n">
        <v>45292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33274-2023</t>
        </is>
      </c>
      <c r="B2330" s="1" t="n">
        <v>45127</v>
      </c>
      <c r="C2330" s="1" t="n">
        <v>45292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33710-2023</t>
        </is>
      </c>
      <c r="B2331" s="1" t="n">
        <v>45133</v>
      </c>
      <c r="C2331" s="1" t="n">
        <v>45292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33708-2023</t>
        </is>
      </c>
      <c r="B2332" s="1" t="n">
        <v>45133</v>
      </c>
      <c r="C2332" s="1" t="n">
        <v>45292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33791-2023</t>
        </is>
      </c>
      <c r="B2333" s="1" t="n">
        <v>45133</v>
      </c>
      <c r="C2333" s="1" t="n">
        <v>45292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33739-2023</t>
        </is>
      </c>
      <c r="B2334" s="1" t="n">
        <v>45133</v>
      </c>
      <c r="C2334" s="1" t="n">
        <v>45292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33768-2023</t>
        </is>
      </c>
      <c r="B2335" s="1" t="n">
        <v>45133</v>
      </c>
      <c r="C2335" s="1" t="n">
        <v>45292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33838-2023</t>
        </is>
      </c>
      <c r="B2336" s="1" t="n">
        <v>45133</v>
      </c>
      <c r="C2336" s="1" t="n">
        <v>45292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33843-2023</t>
        </is>
      </c>
      <c r="B2337" s="1" t="n">
        <v>45133</v>
      </c>
      <c r="C2337" s="1" t="n">
        <v>45292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33728-2023</t>
        </is>
      </c>
      <c r="B2338" s="1" t="n">
        <v>45133</v>
      </c>
      <c r="C2338" s="1" t="n">
        <v>45292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34508-2023</t>
        </is>
      </c>
      <c r="B2339" s="1" t="n">
        <v>45133</v>
      </c>
      <c r="C2339" s="1" t="n">
        <v>45292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33771-2023</t>
        </is>
      </c>
      <c r="B2340" s="1" t="n">
        <v>45133</v>
      </c>
      <c r="C2340" s="1" t="n">
        <v>45292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33820-2023</t>
        </is>
      </c>
      <c r="B2341" s="1" t="n">
        <v>45133</v>
      </c>
      <c r="C2341" s="1" t="n">
        <v>45292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34507-2023</t>
        </is>
      </c>
      <c r="B2342" s="1" t="n">
        <v>45133</v>
      </c>
      <c r="C2342" s="1" t="n">
        <v>45292</v>
      </c>
      <c r="D2342" t="inlineStr">
        <is>
          <t>VÄSTERBOTTENS LÄN</t>
        </is>
      </c>
      <c r="E2342" t="inlineStr">
        <is>
          <t>SKELLEFTEÅ</t>
        </is>
      </c>
      <c r="G2342" t="n">
        <v>9.9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33956-2023</t>
        </is>
      </c>
      <c r="B2343" s="1" t="n">
        <v>45134</v>
      </c>
      <c r="C2343" s="1" t="n">
        <v>45292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34036-2023</t>
        </is>
      </c>
      <c r="B2344" s="1" t="n">
        <v>45135</v>
      </c>
      <c r="C2344" s="1" t="n">
        <v>45292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34051-2023</t>
        </is>
      </c>
      <c r="B2345" s="1" t="n">
        <v>45135</v>
      </c>
      <c r="C2345" s="1" t="n">
        <v>45292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34025-2023</t>
        </is>
      </c>
      <c r="B2346" s="1" t="n">
        <v>45135</v>
      </c>
      <c r="C2346" s="1" t="n">
        <v>45292</v>
      </c>
      <c r="D2346" t="inlineStr">
        <is>
          <t>VÄSTERBOTTENS LÄN</t>
        </is>
      </c>
      <c r="E2346" t="inlineStr">
        <is>
          <t>SKELLEFTEÅ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34063-2023</t>
        </is>
      </c>
      <c r="B2347" s="1" t="n">
        <v>45135</v>
      </c>
      <c r="C2347" s="1" t="n">
        <v>45292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34035-2023</t>
        </is>
      </c>
      <c r="B2348" s="1" t="n">
        <v>45135</v>
      </c>
      <c r="C2348" s="1" t="n">
        <v>45292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34572-2023</t>
        </is>
      </c>
      <c r="B2349" s="1" t="n">
        <v>45135</v>
      </c>
      <c r="C2349" s="1" t="n">
        <v>45292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34195-2023</t>
        </is>
      </c>
      <c r="B2350" s="1" t="n">
        <v>45135</v>
      </c>
      <c r="C2350" s="1" t="n">
        <v>45292</v>
      </c>
      <c r="D2350" t="inlineStr">
        <is>
          <t>VÄSTERBOTTENS LÄN</t>
        </is>
      </c>
      <c r="E2350" t="inlineStr">
        <is>
          <t>SKELLEFTEÅ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34455-2023</t>
        </is>
      </c>
      <c r="B2351" s="1" t="n">
        <v>45139</v>
      </c>
      <c r="C2351" s="1" t="n">
        <v>45292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34583-2023</t>
        </is>
      </c>
      <c r="B2352" s="1" t="n">
        <v>45140</v>
      </c>
      <c r="C2352" s="1" t="n">
        <v>45292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34597-2023</t>
        </is>
      </c>
      <c r="B2353" s="1" t="n">
        <v>45140</v>
      </c>
      <c r="C2353" s="1" t="n">
        <v>45292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34616-2023</t>
        </is>
      </c>
      <c r="B2354" s="1" t="n">
        <v>45140</v>
      </c>
      <c r="C2354" s="1" t="n">
        <v>45292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34669-2023</t>
        </is>
      </c>
      <c r="B2355" s="1" t="n">
        <v>45140</v>
      </c>
      <c r="C2355" s="1" t="n">
        <v>45292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34670-2023</t>
        </is>
      </c>
      <c r="B2356" s="1" t="n">
        <v>45140</v>
      </c>
      <c r="C2356" s="1" t="n">
        <v>45292</v>
      </c>
      <c r="D2356" t="inlineStr">
        <is>
          <t>VÄSTERBOTTENS LÄN</t>
        </is>
      </c>
      <c r="E2356" t="inlineStr">
        <is>
          <t>SKELLEFTEÅ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34638-2023</t>
        </is>
      </c>
      <c r="B2357" s="1" t="n">
        <v>45140</v>
      </c>
      <c r="C2357" s="1" t="n">
        <v>45292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34672-2023</t>
        </is>
      </c>
      <c r="B2358" s="1" t="n">
        <v>45140</v>
      </c>
      <c r="C2358" s="1" t="n">
        <v>45292</v>
      </c>
      <c r="D2358" t="inlineStr">
        <is>
          <t>VÄSTERBOTTENS LÄN</t>
        </is>
      </c>
      <c r="E2358" t="inlineStr">
        <is>
          <t>SKELLEFTEÅ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45292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35068-2023</t>
        </is>
      </c>
      <c r="B2360" s="1" t="n">
        <v>45142</v>
      </c>
      <c r="C2360" s="1" t="n">
        <v>45292</v>
      </c>
      <c r="D2360" t="inlineStr">
        <is>
          <t>VÄSTERBOTTENS LÄN</t>
        </is>
      </c>
      <c r="E2360" t="inlineStr">
        <is>
          <t>SKELLEFTEÅ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35070-2023</t>
        </is>
      </c>
      <c r="B2361" s="1" t="n">
        <v>45142</v>
      </c>
      <c r="C2361" s="1" t="n">
        <v>45292</v>
      </c>
      <c r="D2361" t="inlineStr">
        <is>
          <t>VÄSTERBOTTENS LÄN</t>
        </is>
      </c>
      <c r="E2361" t="inlineStr">
        <is>
          <t>SKELLEFTEÅ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35031-2023</t>
        </is>
      </c>
      <c r="B2362" s="1" t="n">
        <v>45145</v>
      </c>
      <c r="C2362" s="1" t="n">
        <v>45292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35102-2023</t>
        </is>
      </c>
      <c r="B2363" s="1" t="n">
        <v>45145</v>
      </c>
      <c r="C2363" s="1" t="n">
        <v>45292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35032-2023</t>
        </is>
      </c>
      <c r="B2364" s="1" t="n">
        <v>45145</v>
      </c>
      <c r="C2364" s="1" t="n">
        <v>45292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35331-2023</t>
        </is>
      </c>
      <c r="B2365" s="1" t="n">
        <v>45145</v>
      </c>
      <c r="C2365" s="1" t="n">
        <v>45292</v>
      </c>
      <c r="D2365" t="inlineStr">
        <is>
          <t>VÄSTERBOTTENS LÄN</t>
        </is>
      </c>
      <c r="E2365" t="inlineStr">
        <is>
          <t>SKELLEFTEÅ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35206-2023</t>
        </is>
      </c>
      <c r="B2366" s="1" t="n">
        <v>45145</v>
      </c>
      <c r="C2366" s="1" t="n">
        <v>45292</v>
      </c>
      <c r="D2366" t="inlineStr">
        <is>
          <t>VÄSTERBOTTENS LÄN</t>
        </is>
      </c>
      <c r="E2366" t="inlineStr">
        <is>
          <t>SKELLEFTEÅ</t>
        </is>
      </c>
      <c r="G2366" t="n">
        <v>9.699999999999999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35338-2023</t>
        </is>
      </c>
      <c r="B2367" s="1" t="n">
        <v>45145</v>
      </c>
      <c r="C2367" s="1" t="n">
        <v>45292</v>
      </c>
      <c r="D2367" t="inlineStr">
        <is>
          <t>VÄSTERBOTTENS LÄN</t>
        </is>
      </c>
      <c r="E2367" t="inlineStr">
        <is>
          <t>SKELLEFTEÅ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35439-2023</t>
        </is>
      </c>
      <c r="B2368" s="1" t="n">
        <v>45146</v>
      </c>
      <c r="C2368" s="1" t="n">
        <v>45292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35301-2023</t>
        </is>
      </c>
      <c r="B2369" s="1" t="n">
        <v>45146</v>
      </c>
      <c r="C2369" s="1" t="n">
        <v>45292</v>
      </c>
      <c r="D2369" t="inlineStr">
        <is>
          <t>VÄSTERBOTTENS LÄN</t>
        </is>
      </c>
      <c r="E2369" t="inlineStr">
        <is>
          <t>SKELLEFTEÅ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35401-2023</t>
        </is>
      </c>
      <c r="B2370" s="1" t="n">
        <v>45146</v>
      </c>
      <c r="C2370" s="1" t="n">
        <v>45292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35437-2023</t>
        </is>
      </c>
      <c r="B2371" s="1" t="n">
        <v>45146</v>
      </c>
      <c r="C2371" s="1" t="n">
        <v>45292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35430-2023</t>
        </is>
      </c>
      <c r="B2372" s="1" t="n">
        <v>45146</v>
      </c>
      <c r="C2372" s="1" t="n">
        <v>45292</v>
      </c>
      <c r="D2372" t="inlineStr">
        <is>
          <t>VÄSTERBOTTENS LÄN</t>
        </is>
      </c>
      <c r="E2372" t="inlineStr">
        <is>
          <t>SKELLEFTEÅ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35731-2023</t>
        </is>
      </c>
      <c r="B2373" s="1" t="n">
        <v>45147</v>
      </c>
      <c r="C2373" s="1" t="n">
        <v>45292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35732-2023</t>
        </is>
      </c>
      <c r="B2374" s="1" t="n">
        <v>45147</v>
      </c>
      <c r="C2374" s="1" t="n">
        <v>45292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35736-2023</t>
        </is>
      </c>
      <c r="B2375" s="1" t="n">
        <v>45147</v>
      </c>
      <c r="C2375" s="1" t="n">
        <v>45292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35733-2023</t>
        </is>
      </c>
      <c r="B2376" s="1" t="n">
        <v>45147</v>
      </c>
      <c r="C2376" s="1" t="n">
        <v>45292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45292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36078-2023</t>
        </is>
      </c>
      <c r="B2378" s="1" t="n">
        <v>45149</v>
      </c>
      <c r="C2378" s="1" t="n">
        <v>45292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36113-2023</t>
        </is>
      </c>
      <c r="B2379" s="1" t="n">
        <v>45149</v>
      </c>
      <c r="C2379" s="1" t="n">
        <v>45292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36091-2023</t>
        </is>
      </c>
      <c r="B2380" s="1" t="n">
        <v>45149</v>
      </c>
      <c r="C2380" s="1" t="n">
        <v>45292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36099-2023</t>
        </is>
      </c>
      <c r="B2381" s="1" t="n">
        <v>45149</v>
      </c>
      <c r="C2381" s="1" t="n">
        <v>45292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36286-2023</t>
        </is>
      </c>
      <c r="B2382" s="1" t="n">
        <v>45152</v>
      </c>
      <c r="C2382" s="1" t="n">
        <v>45292</v>
      </c>
      <c r="D2382" t="inlineStr">
        <is>
          <t>VÄSTERBOTTENS LÄN</t>
        </is>
      </c>
      <c r="E2382" t="inlineStr">
        <is>
          <t>SKELLEFTEÅ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36327-2023</t>
        </is>
      </c>
      <c r="B2383" s="1" t="n">
        <v>45152</v>
      </c>
      <c r="C2383" s="1" t="n">
        <v>45292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36275-2023</t>
        </is>
      </c>
      <c r="B2384" s="1" t="n">
        <v>45152</v>
      </c>
      <c r="C2384" s="1" t="n">
        <v>45292</v>
      </c>
      <c r="D2384" t="inlineStr">
        <is>
          <t>VÄSTERBOTTENS LÄN</t>
        </is>
      </c>
      <c r="E2384" t="inlineStr">
        <is>
          <t>SKELLEFTEÅ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36495-2023</t>
        </is>
      </c>
      <c r="B2385" s="1" t="n">
        <v>45153</v>
      </c>
      <c r="C2385" s="1" t="n">
        <v>45292</v>
      </c>
      <c r="D2385" t="inlineStr">
        <is>
          <t>VÄSTERBOTTENS LÄN</t>
        </is>
      </c>
      <c r="E2385" t="inlineStr">
        <is>
          <t>SKELLEFTEÅ</t>
        </is>
      </c>
      <c r="G2385" t="n">
        <v>11.6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36404-2023</t>
        </is>
      </c>
      <c r="B2386" s="1" t="n">
        <v>45152</v>
      </c>
      <c r="C2386" s="1" t="n">
        <v>45292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36493-2023</t>
        </is>
      </c>
      <c r="B2387" s="1" t="n">
        <v>45153</v>
      </c>
      <c r="C2387" s="1" t="n">
        <v>45292</v>
      </c>
      <c r="D2387" t="inlineStr">
        <is>
          <t>VÄSTERBOTTENS LÄN</t>
        </is>
      </c>
      <c r="E2387" t="inlineStr">
        <is>
          <t>SKELLEFTEÅ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36556-2023</t>
        </is>
      </c>
      <c r="B2388" s="1" t="n">
        <v>45153</v>
      </c>
      <c r="C2388" s="1" t="n">
        <v>45292</v>
      </c>
      <c r="D2388" t="inlineStr">
        <is>
          <t>VÄSTERBOTTENS LÄN</t>
        </is>
      </c>
      <c r="E2388" t="inlineStr">
        <is>
          <t>SKELLEFTEÅ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36804-2023</t>
        </is>
      </c>
      <c r="B2389" s="1" t="n">
        <v>45154</v>
      </c>
      <c r="C2389" s="1" t="n">
        <v>45292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37134-2023</t>
        </is>
      </c>
      <c r="B2390" s="1" t="n">
        <v>45155</v>
      </c>
      <c r="C2390" s="1" t="n">
        <v>45292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37229-2023</t>
        </is>
      </c>
      <c r="B2391" s="1" t="n">
        <v>45155</v>
      </c>
      <c r="C2391" s="1" t="n">
        <v>45292</v>
      </c>
      <c r="D2391" t="inlineStr">
        <is>
          <t>VÄSTERBOTTENS LÄN</t>
        </is>
      </c>
      <c r="E2391" t="inlineStr">
        <is>
          <t>SKELLEFTEÅ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37774-2023</t>
        </is>
      </c>
      <c r="B2392" s="1" t="n">
        <v>45156</v>
      </c>
      <c r="C2392" s="1" t="n">
        <v>45292</v>
      </c>
      <c r="D2392" t="inlineStr">
        <is>
          <t>VÄSTERBOTTENS LÄN</t>
        </is>
      </c>
      <c r="E2392" t="inlineStr">
        <is>
          <t>SKELLEFTEÅ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37474-2023</t>
        </is>
      </c>
      <c r="B2393" s="1" t="n">
        <v>45157</v>
      </c>
      <c r="C2393" s="1" t="n">
        <v>45292</v>
      </c>
      <c r="D2393" t="inlineStr">
        <is>
          <t>VÄSTERBOTTENS LÄN</t>
        </is>
      </c>
      <c r="E2393" t="inlineStr">
        <is>
          <t>SKELLEFTEÅ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37796-2023</t>
        </is>
      </c>
      <c r="B2394" s="1" t="n">
        <v>45160</v>
      </c>
      <c r="C2394" s="1" t="n">
        <v>45292</v>
      </c>
      <c r="D2394" t="inlineStr">
        <is>
          <t>VÄSTERBOTTENS LÄN</t>
        </is>
      </c>
      <c r="E2394" t="inlineStr">
        <is>
          <t>SKELLEFTEÅ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38140-2023</t>
        </is>
      </c>
      <c r="B2395" s="1" t="n">
        <v>45159</v>
      </c>
      <c r="C2395" s="1" t="n">
        <v>45292</v>
      </c>
      <c r="D2395" t="inlineStr">
        <is>
          <t>VÄSTERBOTTENS LÄN</t>
        </is>
      </c>
      <c r="E2395" t="inlineStr">
        <is>
          <t>SKELLEFTEÅ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38134-2023</t>
        </is>
      </c>
      <c r="B2396" s="1" t="n">
        <v>45159</v>
      </c>
      <c r="C2396" s="1" t="n">
        <v>45292</v>
      </c>
      <c r="D2396" t="inlineStr">
        <is>
          <t>VÄSTERBOTTENS LÄN</t>
        </is>
      </c>
      <c r="E2396" t="inlineStr">
        <is>
          <t>SKELLEFTEÅ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37883-2023</t>
        </is>
      </c>
      <c r="B2397" s="1" t="n">
        <v>45160</v>
      </c>
      <c r="C2397" s="1" t="n">
        <v>45292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37838-2023</t>
        </is>
      </c>
      <c r="B2398" s="1" t="n">
        <v>45160</v>
      </c>
      <c r="C2398" s="1" t="n">
        <v>45292</v>
      </c>
      <c r="D2398" t="inlineStr">
        <is>
          <t>VÄSTERBOTTENS LÄN</t>
        </is>
      </c>
      <c r="E2398" t="inlineStr">
        <is>
          <t>SKELLEFTEÅ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37914-2023</t>
        </is>
      </c>
      <c r="B2399" s="1" t="n">
        <v>45160</v>
      </c>
      <c r="C2399" s="1" t="n">
        <v>45292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37855-2023</t>
        </is>
      </c>
      <c r="B2400" s="1" t="n">
        <v>45160</v>
      </c>
      <c r="C2400" s="1" t="n">
        <v>45292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38009-2023</t>
        </is>
      </c>
      <c r="B2401" s="1" t="n">
        <v>45160</v>
      </c>
      <c r="C2401" s="1" t="n">
        <v>45292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38013-2023</t>
        </is>
      </c>
      <c r="B2402" s="1" t="n">
        <v>45160</v>
      </c>
      <c r="C2402" s="1" t="n">
        <v>45292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38301-2023</t>
        </is>
      </c>
      <c r="B2403" s="1" t="n">
        <v>45160</v>
      </c>
      <c r="C2403" s="1" t="n">
        <v>45292</v>
      </c>
      <c r="D2403" t="inlineStr">
        <is>
          <t>VÄSTERBOTTENS LÄN</t>
        </is>
      </c>
      <c r="E2403" t="inlineStr">
        <is>
          <t>SKELLEFTEÅ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38314-2023</t>
        </is>
      </c>
      <c r="B2404" s="1" t="n">
        <v>45160</v>
      </c>
      <c r="C2404" s="1" t="n">
        <v>45292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38309-2023</t>
        </is>
      </c>
      <c r="B2405" s="1" t="n">
        <v>45160</v>
      </c>
      <c r="C2405" s="1" t="n">
        <v>45292</v>
      </c>
      <c r="D2405" t="inlineStr">
        <is>
          <t>VÄSTERBOTTENS LÄN</t>
        </is>
      </c>
      <c r="E2405" t="inlineStr">
        <is>
          <t>SKELLEFTEÅ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38031-2023</t>
        </is>
      </c>
      <c r="B2406" s="1" t="n">
        <v>45160</v>
      </c>
      <c r="C2406" s="1" t="n">
        <v>45292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38258-2023</t>
        </is>
      </c>
      <c r="B2407" s="1" t="n">
        <v>45160</v>
      </c>
      <c r="C2407" s="1" t="n">
        <v>45292</v>
      </c>
      <c r="D2407" t="inlineStr">
        <is>
          <t>VÄSTERBOTTENS LÄN</t>
        </is>
      </c>
      <c r="E2407" t="inlineStr">
        <is>
          <t>SKELLEFTEÅ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38311-2023</t>
        </is>
      </c>
      <c r="B2408" s="1" t="n">
        <v>45160</v>
      </c>
      <c r="C2408" s="1" t="n">
        <v>45292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38253-2023</t>
        </is>
      </c>
      <c r="B2409" s="1" t="n">
        <v>45160</v>
      </c>
      <c r="C2409" s="1" t="n">
        <v>45292</v>
      </c>
      <c r="D2409" t="inlineStr">
        <is>
          <t>VÄSTERBOTTENS LÄN</t>
        </is>
      </c>
      <c r="E2409" t="inlineStr">
        <is>
          <t>SKELLEFTEÅ</t>
        </is>
      </c>
      <c r="G2409" t="n">
        <v>13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38305-2023</t>
        </is>
      </c>
      <c r="B2410" s="1" t="n">
        <v>45160</v>
      </c>
      <c r="C2410" s="1" t="n">
        <v>45292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38717-2023</t>
        </is>
      </c>
      <c r="B2411" s="1" t="n">
        <v>45160</v>
      </c>
      <c r="C2411" s="1" t="n">
        <v>45292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38826-2023</t>
        </is>
      </c>
      <c r="B2412" s="1" t="n">
        <v>45161</v>
      </c>
      <c r="C2412" s="1" t="n">
        <v>45292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38304-2023</t>
        </is>
      </c>
      <c r="B2413" s="1" t="n">
        <v>45161</v>
      </c>
      <c r="C2413" s="1" t="n">
        <v>45292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38356-2023</t>
        </is>
      </c>
      <c r="B2414" s="1" t="n">
        <v>45161</v>
      </c>
      <c r="C2414" s="1" t="n">
        <v>45292</v>
      </c>
      <c r="D2414" t="inlineStr">
        <is>
          <t>VÄSTERBOTTENS LÄN</t>
        </is>
      </c>
      <c r="E2414" t="inlineStr">
        <is>
          <t>SKELLEFTEÅ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38574-2023</t>
        </is>
      </c>
      <c r="B2415" s="1" t="n">
        <v>45161</v>
      </c>
      <c r="C2415" s="1" t="n">
        <v>45292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38811-2023</t>
        </is>
      </c>
      <c r="B2416" s="1" t="n">
        <v>45161</v>
      </c>
      <c r="C2416" s="1" t="n">
        <v>45292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38577-2023</t>
        </is>
      </c>
      <c r="B2417" s="1" t="n">
        <v>45161</v>
      </c>
      <c r="C2417" s="1" t="n">
        <v>45292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38809-2023</t>
        </is>
      </c>
      <c r="B2418" s="1" t="n">
        <v>45161</v>
      </c>
      <c r="C2418" s="1" t="n">
        <v>45292</v>
      </c>
      <c r="D2418" t="inlineStr">
        <is>
          <t>VÄSTERBOTTENS LÄN</t>
        </is>
      </c>
      <c r="E2418" t="inlineStr">
        <is>
          <t>SKELLEFTEÅ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38805-2023</t>
        </is>
      </c>
      <c r="B2419" s="1" t="n">
        <v>45161</v>
      </c>
      <c r="C2419" s="1" t="n">
        <v>45292</v>
      </c>
      <c r="D2419" t="inlineStr">
        <is>
          <t>VÄSTERBOTTENS LÄN</t>
        </is>
      </c>
      <c r="E2419" t="inlineStr">
        <is>
          <t>SKELLEFTEÅ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38818-2023</t>
        </is>
      </c>
      <c r="B2420" s="1" t="n">
        <v>45161</v>
      </c>
      <c r="C2420" s="1" t="n">
        <v>45292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38396-2023</t>
        </is>
      </c>
      <c r="B2421" s="1" t="n">
        <v>45162</v>
      </c>
      <c r="C2421" s="1" t="n">
        <v>45292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38421-2023</t>
        </is>
      </c>
      <c r="B2422" s="1" t="n">
        <v>45162</v>
      </c>
      <c r="C2422" s="1" t="n">
        <v>45292</v>
      </c>
      <c r="D2422" t="inlineStr">
        <is>
          <t>VÄSTERBOTTENS LÄN</t>
        </is>
      </c>
      <c r="E2422" t="inlineStr">
        <is>
          <t>SKELLEFTEÅ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38395-2023</t>
        </is>
      </c>
      <c r="B2423" s="1" t="n">
        <v>45162</v>
      </c>
      <c r="C2423" s="1" t="n">
        <v>45292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38450-2023</t>
        </is>
      </c>
      <c r="B2424" s="1" t="n">
        <v>45162</v>
      </c>
      <c r="C2424" s="1" t="n">
        <v>45292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38393-2023</t>
        </is>
      </c>
      <c r="B2425" s="1" t="n">
        <v>45162</v>
      </c>
      <c r="C2425" s="1" t="n">
        <v>45292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38397-2023</t>
        </is>
      </c>
      <c r="B2426" s="1" t="n">
        <v>45162</v>
      </c>
      <c r="C2426" s="1" t="n">
        <v>45292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38445-2023</t>
        </is>
      </c>
      <c r="B2427" s="1" t="n">
        <v>45162</v>
      </c>
      <c r="C2427" s="1" t="n">
        <v>45292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38473-2023</t>
        </is>
      </c>
      <c r="B2428" s="1" t="n">
        <v>45162</v>
      </c>
      <c r="C2428" s="1" t="n">
        <v>45292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38952-2023</t>
        </is>
      </c>
      <c r="B2429" s="1" t="n">
        <v>45163</v>
      </c>
      <c r="C2429" s="1" t="n">
        <v>45292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38830-2023</t>
        </is>
      </c>
      <c r="B2430" s="1" t="n">
        <v>45163</v>
      </c>
      <c r="C2430" s="1" t="n">
        <v>45292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38833-2023</t>
        </is>
      </c>
      <c r="B2431" s="1" t="n">
        <v>45163</v>
      </c>
      <c r="C2431" s="1" t="n">
        <v>45292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38837-2023</t>
        </is>
      </c>
      <c r="B2432" s="1" t="n">
        <v>45163</v>
      </c>
      <c r="C2432" s="1" t="n">
        <v>45292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38949-2023</t>
        </is>
      </c>
      <c r="B2433" s="1" t="n">
        <v>45163</v>
      </c>
      <c r="C2433" s="1" t="n">
        <v>45292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39018-2023</t>
        </is>
      </c>
      <c r="B2434" s="1" t="n">
        <v>45163</v>
      </c>
      <c r="C2434" s="1" t="n">
        <v>45292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39026-2023</t>
        </is>
      </c>
      <c r="B2435" s="1" t="n">
        <v>45163</v>
      </c>
      <c r="C2435" s="1" t="n">
        <v>45292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39034-2023</t>
        </is>
      </c>
      <c r="B2436" s="1" t="n">
        <v>45163</v>
      </c>
      <c r="C2436" s="1" t="n">
        <v>45292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39412-2023</t>
        </is>
      </c>
      <c r="B2437" s="1" t="n">
        <v>45163</v>
      </c>
      <c r="C2437" s="1" t="n">
        <v>45292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39420-2023</t>
        </is>
      </c>
      <c r="B2438" s="1" t="n">
        <v>45163</v>
      </c>
      <c r="C2438" s="1" t="n">
        <v>45292</v>
      </c>
      <c r="D2438" t="inlineStr">
        <is>
          <t>VÄSTERBOTTENS LÄN</t>
        </is>
      </c>
      <c r="E2438" t="inlineStr">
        <is>
          <t>SKELLEFTEÅ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38790-2023</t>
        </is>
      </c>
      <c r="B2439" s="1" t="n">
        <v>45163</v>
      </c>
      <c r="C2439" s="1" t="n">
        <v>45292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39132-2023</t>
        </is>
      </c>
      <c r="B2440" s="1" t="n">
        <v>45165</v>
      </c>
      <c r="C2440" s="1" t="n">
        <v>45292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39135-2023</t>
        </is>
      </c>
      <c r="B2441" s="1" t="n">
        <v>45165</v>
      </c>
      <c r="C2441" s="1" t="n">
        <v>45292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20.5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39147-2023</t>
        </is>
      </c>
      <c r="B2442" s="1" t="n">
        <v>45166</v>
      </c>
      <c r="C2442" s="1" t="n">
        <v>45292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39156-2023</t>
        </is>
      </c>
      <c r="B2443" s="1" t="n">
        <v>45166</v>
      </c>
      <c r="C2443" s="1" t="n">
        <v>45292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43.7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39695-2023</t>
        </is>
      </c>
      <c r="B2444" s="1" t="n">
        <v>45166</v>
      </c>
      <c r="C2444" s="1" t="n">
        <v>45292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39513-2023</t>
        </is>
      </c>
      <c r="B2445" s="1" t="n">
        <v>45167</v>
      </c>
      <c r="C2445" s="1" t="n">
        <v>45292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39553-2023</t>
        </is>
      </c>
      <c r="B2446" s="1" t="n">
        <v>45167</v>
      </c>
      <c r="C2446" s="1" t="n">
        <v>45292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39589-2023</t>
        </is>
      </c>
      <c r="B2447" s="1" t="n">
        <v>45167</v>
      </c>
      <c r="C2447" s="1" t="n">
        <v>45292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</v>
      </c>
      <c r="C2448" s="1" t="n">
        <v>45292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39846-2023</t>
        </is>
      </c>
      <c r="B2449" s="1" t="n">
        <v>45168</v>
      </c>
      <c r="C2449" s="1" t="n">
        <v>45292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40189-2023</t>
        </is>
      </c>
      <c r="B2450" s="1" t="n">
        <v>45169</v>
      </c>
      <c r="C2450" s="1" t="n">
        <v>45292</v>
      </c>
      <c r="D2450" t="inlineStr">
        <is>
          <t>VÄSTERBOTTENS LÄN</t>
        </is>
      </c>
      <c r="E2450" t="inlineStr">
        <is>
          <t>SKELLEFTEÅ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40373-2023</t>
        </is>
      </c>
      <c r="B2451" s="1" t="n">
        <v>45169</v>
      </c>
      <c r="C2451" s="1" t="n">
        <v>45292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40132-2023</t>
        </is>
      </c>
      <c r="B2452" s="1" t="n">
        <v>45169</v>
      </c>
      <c r="C2452" s="1" t="n">
        <v>45292</v>
      </c>
      <c r="D2452" t="inlineStr">
        <is>
          <t>VÄSTERBOTTENS LÄN</t>
        </is>
      </c>
      <c r="E2452" t="inlineStr">
        <is>
          <t>SKELLEFTEÅ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40274-2023</t>
        </is>
      </c>
      <c r="B2453" s="1" t="n">
        <v>45169</v>
      </c>
      <c r="C2453" s="1" t="n">
        <v>45292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40393-2023</t>
        </is>
      </c>
      <c r="B2454" s="1" t="n">
        <v>45169</v>
      </c>
      <c r="C2454" s="1" t="n">
        <v>45292</v>
      </c>
      <c r="D2454" t="inlineStr">
        <is>
          <t>VÄSTERBOTTENS LÄN</t>
        </is>
      </c>
      <c r="E2454" t="inlineStr">
        <is>
          <t>SKELLEFTEÅ</t>
        </is>
      </c>
      <c r="G2454" t="n">
        <v>10.7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40442-2023</t>
        </is>
      </c>
      <c r="B2455" s="1" t="n">
        <v>45170</v>
      </c>
      <c r="C2455" s="1" t="n">
        <v>45292</v>
      </c>
      <c r="D2455" t="inlineStr">
        <is>
          <t>VÄSTERBOTTENS LÄN</t>
        </is>
      </c>
      <c r="E2455" t="inlineStr">
        <is>
          <t>SKELLEFTEÅ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41109-2023</t>
        </is>
      </c>
      <c r="B2456" s="1" t="n">
        <v>45170</v>
      </c>
      <c r="C2456" s="1" t="n">
        <v>45292</v>
      </c>
      <c r="D2456" t="inlineStr">
        <is>
          <t>VÄSTERBOTTENS LÄN</t>
        </is>
      </c>
      <c r="E2456" t="inlineStr">
        <is>
          <t>SKELLEFTEÅ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41006-2023</t>
        </is>
      </c>
      <c r="B2457" s="1" t="n">
        <v>45173</v>
      </c>
      <c r="C2457" s="1" t="n">
        <v>45292</v>
      </c>
      <c r="D2457" t="inlineStr">
        <is>
          <t>VÄSTERBOTTENS LÄN</t>
        </is>
      </c>
      <c r="E2457" t="inlineStr">
        <is>
          <t>SKELLEFTEÅ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41092-2023</t>
        </is>
      </c>
      <c r="B2458" s="1" t="n">
        <v>45173</v>
      </c>
      <c r="C2458" s="1" t="n">
        <v>45292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41397-2023</t>
        </is>
      </c>
      <c r="B2459" s="1" t="n">
        <v>45174</v>
      </c>
      <c r="C2459" s="1" t="n">
        <v>45292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41645-2023</t>
        </is>
      </c>
      <c r="B2460" s="1" t="n">
        <v>45175</v>
      </c>
      <c r="C2460" s="1" t="n">
        <v>45292</v>
      </c>
      <c r="D2460" t="inlineStr">
        <is>
          <t>VÄSTERBOTTENS LÄN</t>
        </is>
      </c>
      <c r="E2460" t="inlineStr">
        <is>
          <t>SKELLEFTEÅ</t>
        </is>
      </c>
      <c r="G2460" t="n">
        <v>26.4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41617-2023</t>
        </is>
      </c>
      <c r="B2461" s="1" t="n">
        <v>45175</v>
      </c>
      <c r="C2461" s="1" t="n">
        <v>45292</v>
      </c>
      <c r="D2461" t="inlineStr">
        <is>
          <t>VÄSTERBOTTENS LÄN</t>
        </is>
      </c>
      <c r="E2461" t="inlineStr">
        <is>
          <t>SKELLEFTEÅ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42329-2023</t>
        </is>
      </c>
      <c r="B2462" s="1" t="n">
        <v>45175</v>
      </c>
      <c r="C2462" s="1" t="n">
        <v>45292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42433-2023</t>
        </is>
      </c>
      <c r="B2463" s="1" t="n">
        <v>45175</v>
      </c>
      <c r="C2463" s="1" t="n">
        <v>45292</v>
      </c>
      <c r="D2463" t="inlineStr">
        <is>
          <t>VÄSTERBOTTENS LÄN</t>
        </is>
      </c>
      <c r="E2463" t="inlineStr">
        <is>
          <t>SKELLEFTEÅ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41904-2023</t>
        </is>
      </c>
      <c r="B2464" s="1" t="n">
        <v>45177</v>
      </c>
      <c r="C2464" s="1" t="n">
        <v>45292</v>
      </c>
      <c r="D2464" t="inlineStr">
        <is>
          <t>VÄSTERBOTTENS LÄN</t>
        </is>
      </c>
      <c r="E2464" t="inlineStr">
        <is>
          <t>SKELLEFTEÅ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42587-2023</t>
        </is>
      </c>
      <c r="B2465" s="1" t="n">
        <v>45176</v>
      </c>
      <c r="C2465" s="1" t="n">
        <v>45292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42595-2023</t>
        </is>
      </c>
      <c r="B2466" s="1" t="n">
        <v>45176</v>
      </c>
      <c r="C2466" s="1" t="n">
        <v>45292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42138-2023</t>
        </is>
      </c>
      <c r="B2467" s="1" t="n">
        <v>45177</v>
      </c>
      <c r="C2467" s="1" t="n">
        <v>45292</v>
      </c>
      <c r="D2467" t="inlineStr">
        <is>
          <t>VÄSTERBOTTENS LÄN</t>
        </is>
      </c>
      <c r="E2467" t="inlineStr">
        <is>
          <t>SKELLEFTEÅ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42822-2023</t>
        </is>
      </c>
      <c r="B2468" s="1" t="n">
        <v>45177</v>
      </c>
      <c r="C2468" s="1" t="n">
        <v>45292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42136-2023</t>
        </is>
      </c>
      <c r="B2469" s="1" t="n">
        <v>45177</v>
      </c>
      <c r="C2469" s="1" t="n">
        <v>45292</v>
      </c>
      <c r="D2469" t="inlineStr">
        <is>
          <t>VÄSTERBOTTENS LÄN</t>
        </is>
      </c>
      <c r="E2469" t="inlineStr">
        <is>
          <t>SKELLEFTEÅ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42144-2023</t>
        </is>
      </c>
      <c r="B2470" s="1" t="n">
        <v>45177</v>
      </c>
      <c r="C2470" s="1" t="n">
        <v>45292</v>
      </c>
      <c r="D2470" t="inlineStr">
        <is>
          <t>VÄSTERBOTTENS LÄN</t>
        </is>
      </c>
      <c r="E2470" t="inlineStr">
        <is>
          <t>SKELLEFTEÅ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42137-2023</t>
        </is>
      </c>
      <c r="B2471" s="1" t="n">
        <v>45177</v>
      </c>
      <c r="C2471" s="1" t="n">
        <v>45292</v>
      </c>
      <c r="D2471" t="inlineStr">
        <is>
          <t>VÄSTERBOTTENS LÄN</t>
        </is>
      </c>
      <c r="E2471" t="inlineStr">
        <is>
          <t>SKELLEFTEÅ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42842-2023</t>
        </is>
      </c>
      <c r="B2472" s="1" t="n">
        <v>45177</v>
      </c>
      <c r="C2472" s="1" t="n">
        <v>45292</v>
      </c>
      <c r="D2472" t="inlineStr">
        <is>
          <t>VÄSTERBOTTENS LÄN</t>
        </is>
      </c>
      <c r="E2472" t="inlineStr">
        <is>
          <t>SKELLEFTEÅ</t>
        </is>
      </c>
      <c r="G2472" t="n">
        <v>9.4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42421-2023</t>
        </is>
      </c>
      <c r="B2473" s="1" t="n">
        <v>45180</v>
      </c>
      <c r="C2473" s="1" t="n">
        <v>45292</v>
      </c>
      <c r="D2473" t="inlineStr">
        <is>
          <t>VÄSTERBOTTENS LÄN</t>
        </is>
      </c>
      <c r="E2473" t="inlineStr">
        <is>
          <t>SKELLEFTEÅ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42982-2023</t>
        </is>
      </c>
      <c r="B2474" s="1" t="n">
        <v>45180</v>
      </c>
      <c r="C2474" s="1" t="n">
        <v>45292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43060-2023</t>
        </is>
      </c>
      <c r="B2475" s="1" t="n">
        <v>45180</v>
      </c>
      <c r="C2475" s="1" t="n">
        <v>45292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43568-2023</t>
        </is>
      </c>
      <c r="B2476" s="1" t="n">
        <v>45181</v>
      </c>
      <c r="C2476" s="1" t="n">
        <v>45292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43563-2023</t>
        </is>
      </c>
      <c r="B2477" s="1" t="n">
        <v>45181</v>
      </c>
      <c r="C2477" s="1" t="n">
        <v>45292</v>
      </c>
      <c r="D2477" t="inlineStr">
        <is>
          <t>VÄSTERBOTTENS LÄN</t>
        </is>
      </c>
      <c r="E2477" t="inlineStr">
        <is>
          <t>SKELLEFTEÅ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43598-2023</t>
        </is>
      </c>
      <c r="B2478" s="1" t="n">
        <v>45181</v>
      </c>
      <c r="C2478" s="1" t="n">
        <v>45292</v>
      </c>
      <c r="D2478" t="inlineStr">
        <is>
          <t>VÄSTERBOTTENS LÄN</t>
        </is>
      </c>
      <c r="E2478" t="inlineStr">
        <is>
          <t>SKELLEFTEÅ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43603-2023</t>
        </is>
      </c>
      <c r="B2479" s="1" t="n">
        <v>45181</v>
      </c>
      <c r="C2479" s="1" t="n">
        <v>45292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42640-2023</t>
        </is>
      </c>
      <c r="B2480" s="1" t="n">
        <v>45181</v>
      </c>
      <c r="C2480" s="1" t="n">
        <v>45292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42650-2023</t>
        </is>
      </c>
      <c r="B2481" s="1" t="n">
        <v>45181</v>
      </c>
      <c r="C2481" s="1" t="n">
        <v>45292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42787-2023</t>
        </is>
      </c>
      <c r="B2482" s="1" t="n">
        <v>45181</v>
      </c>
      <c r="C2482" s="1" t="n">
        <v>45292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42789-2023</t>
        </is>
      </c>
      <c r="B2483" s="1" t="n">
        <v>45181</v>
      </c>
      <c r="C2483" s="1" t="n">
        <v>45292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43057-2023</t>
        </is>
      </c>
      <c r="B2484" s="1" t="n">
        <v>45182</v>
      </c>
      <c r="C2484" s="1" t="n">
        <v>45292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43059-2023</t>
        </is>
      </c>
      <c r="B2485" s="1" t="n">
        <v>45182</v>
      </c>
      <c r="C2485" s="1" t="n">
        <v>45292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44025-2023</t>
        </is>
      </c>
      <c r="B2486" s="1" t="n">
        <v>45182</v>
      </c>
      <c r="C2486" s="1" t="n">
        <v>45292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43435-2023</t>
        </is>
      </c>
      <c r="B2487" s="1" t="n">
        <v>45184</v>
      </c>
      <c r="C2487" s="1" t="n">
        <v>45292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43439-2023</t>
        </is>
      </c>
      <c r="B2488" s="1" t="n">
        <v>45184</v>
      </c>
      <c r="C2488" s="1" t="n">
        <v>45292</v>
      </c>
      <c r="D2488" t="inlineStr">
        <is>
          <t>VÄSTERBOTTENS LÄN</t>
        </is>
      </c>
      <c r="E2488" t="inlineStr">
        <is>
          <t>SKELLEFTEÅ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43438-2023</t>
        </is>
      </c>
      <c r="B2489" s="1" t="n">
        <v>45184</v>
      </c>
      <c r="C2489" s="1" t="n">
        <v>45292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43474-2023</t>
        </is>
      </c>
      <c r="B2490" s="1" t="n">
        <v>45184</v>
      </c>
      <c r="C2490" s="1" t="n">
        <v>45292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43578-2023</t>
        </is>
      </c>
      <c r="B2491" s="1" t="n">
        <v>45184</v>
      </c>
      <c r="C2491" s="1" t="n">
        <v>45292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43631-2023</t>
        </is>
      </c>
      <c r="B2492" s="1" t="n">
        <v>45185</v>
      </c>
      <c r="C2492" s="1" t="n">
        <v>45292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43751-2023</t>
        </is>
      </c>
      <c r="B2493" s="1" t="n">
        <v>45187</v>
      </c>
      <c r="C2493" s="1" t="n">
        <v>45292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43686-2023</t>
        </is>
      </c>
      <c r="B2494" s="1" t="n">
        <v>45187</v>
      </c>
      <c r="C2494" s="1" t="n">
        <v>45292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45079-2023</t>
        </is>
      </c>
      <c r="B2495" s="1" t="n">
        <v>45187</v>
      </c>
      <c r="C2495" s="1" t="n">
        <v>45292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44145-2023</t>
        </is>
      </c>
      <c r="B2496" s="1" t="n">
        <v>45188</v>
      </c>
      <c r="C2496" s="1" t="n">
        <v>45292</v>
      </c>
      <c r="D2496" t="inlineStr">
        <is>
          <t>VÄSTERBOTTENS LÄN</t>
        </is>
      </c>
      <c r="E2496" t="inlineStr">
        <is>
          <t>SKELLEFTEÅ</t>
        </is>
      </c>
      <c r="G2496" t="n">
        <v>15.1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44225-2023</t>
        </is>
      </c>
      <c r="B2497" s="1" t="n">
        <v>45188</v>
      </c>
      <c r="C2497" s="1" t="n">
        <v>45292</v>
      </c>
      <c r="D2497" t="inlineStr">
        <is>
          <t>VÄSTERBOTTENS LÄN</t>
        </is>
      </c>
      <c r="E2497" t="inlineStr">
        <is>
          <t>SKELLEFTEÅ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44078-2023</t>
        </is>
      </c>
      <c r="B2498" s="1" t="n">
        <v>45188</v>
      </c>
      <c r="C2498" s="1" t="n">
        <v>45292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13.7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44250-2023</t>
        </is>
      </c>
      <c r="B2499" s="1" t="n">
        <v>45188</v>
      </c>
      <c r="C2499" s="1" t="n">
        <v>45292</v>
      </c>
      <c r="D2499" t="inlineStr">
        <is>
          <t>VÄSTERBOTTENS LÄN</t>
        </is>
      </c>
      <c r="E2499" t="inlineStr">
        <is>
          <t>SKELLEFTEÅ</t>
        </is>
      </c>
      <c r="G2499" t="n">
        <v>7.5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44263-2023</t>
        </is>
      </c>
      <c r="B2500" s="1" t="n">
        <v>45188</v>
      </c>
      <c r="C2500" s="1" t="n">
        <v>45292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44296-2023</t>
        </is>
      </c>
      <c r="B2501" s="1" t="n">
        <v>45188</v>
      </c>
      <c r="C2501" s="1" t="n">
        <v>45292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44301-2023</t>
        </is>
      </c>
      <c r="B2502" s="1" t="n">
        <v>45188</v>
      </c>
      <c r="C2502" s="1" t="n">
        <v>45292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44335-2023</t>
        </is>
      </c>
      <c r="B2503" s="1" t="n">
        <v>45188</v>
      </c>
      <c r="C2503" s="1" t="n">
        <v>45292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45581-2023</t>
        </is>
      </c>
      <c r="B2504" s="1" t="n">
        <v>45188</v>
      </c>
      <c r="C2504" s="1" t="n">
        <v>45292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45576-2023</t>
        </is>
      </c>
      <c r="B2505" s="1" t="n">
        <v>45188</v>
      </c>
      <c r="C2505" s="1" t="n">
        <v>45292</v>
      </c>
      <c r="D2505" t="inlineStr">
        <is>
          <t>VÄSTERBOTTENS LÄN</t>
        </is>
      </c>
      <c r="E2505" t="inlineStr">
        <is>
          <t>SKELLEFTEÅ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44483-2023</t>
        </is>
      </c>
      <c r="B2506" s="1" t="n">
        <v>45189</v>
      </c>
      <c r="C2506" s="1" t="n">
        <v>45292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44545-2023</t>
        </is>
      </c>
      <c r="B2507" s="1" t="n">
        <v>45189</v>
      </c>
      <c r="C2507" s="1" t="n">
        <v>45292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44561-2023</t>
        </is>
      </c>
      <c r="B2508" s="1" t="n">
        <v>45189</v>
      </c>
      <c r="C2508" s="1" t="n">
        <v>45292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45727-2023</t>
        </is>
      </c>
      <c r="B2509" s="1" t="n">
        <v>45189</v>
      </c>
      <c r="C2509" s="1" t="n">
        <v>45292</v>
      </c>
      <c r="D2509" t="inlineStr">
        <is>
          <t>VÄSTERBOTTENS LÄN</t>
        </is>
      </c>
      <c r="E2509" t="inlineStr">
        <is>
          <t>SKELLEFTEÅ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44567-2023</t>
        </is>
      </c>
      <c r="B2510" s="1" t="n">
        <v>45189</v>
      </c>
      <c r="C2510" s="1" t="n">
        <v>45292</v>
      </c>
      <c r="D2510" t="inlineStr">
        <is>
          <t>VÄSTERBOTTENS LÄN</t>
        </is>
      </c>
      <c r="E2510" t="inlineStr">
        <is>
          <t>SKELLEFTEÅ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44745-2023</t>
        </is>
      </c>
      <c r="B2511" s="1" t="n">
        <v>45190</v>
      </c>
      <c r="C2511" s="1" t="n">
        <v>45292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44912-2023</t>
        </is>
      </c>
      <c r="B2512" s="1" t="n">
        <v>45190</v>
      </c>
      <c r="C2512" s="1" t="n">
        <v>45292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44959-2023</t>
        </is>
      </c>
      <c r="B2513" s="1" t="n">
        <v>45190</v>
      </c>
      <c r="C2513" s="1" t="n">
        <v>45292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44856-2023</t>
        </is>
      </c>
      <c r="B2514" s="1" t="n">
        <v>45190</v>
      </c>
      <c r="C2514" s="1" t="n">
        <v>45292</v>
      </c>
      <c r="D2514" t="inlineStr">
        <is>
          <t>VÄSTERBOTTENS LÄN</t>
        </is>
      </c>
      <c r="E2514" t="inlineStr">
        <is>
          <t>SKELLEFTEÅ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44872-2023</t>
        </is>
      </c>
      <c r="B2515" s="1" t="n">
        <v>45190</v>
      </c>
      <c r="C2515" s="1" t="n">
        <v>45292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44877-2023</t>
        </is>
      </c>
      <c r="B2516" s="1" t="n">
        <v>45190</v>
      </c>
      <c r="C2516" s="1" t="n">
        <v>45292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11.8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44775-2023</t>
        </is>
      </c>
      <c r="B2517" s="1" t="n">
        <v>45190</v>
      </c>
      <c r="C2517" s="1" t="n">
        <v>45292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20.4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44825-2023</t>
        </is>
      </c>
      <c r="B2518" s="1" t="n">
        <v>45190</v>
      </c>
      <c r="C2518" s="1" t="n">
        <v>45292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46191-2023</t>
        </is>
      </c>
      <c r="B2519" s="1" t="n">
        <v>45190</v>
      </c>
      <c r="C2519" s="1" t="n">
        <v>45292</v>
      </c>
      <c r="D2519" t="inlineStr">
        <is>
          <t>VÄSTERBOTTENS LÄN</t>
        </is>
      </c>
      <c r="E2519" t="inlineStr">
        <is>
          <t>SKELLEFTEÅ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46084-2023</t>
        </is>
      </c>
      <c r="B2520" s="1" t="n">
        <v>45190</v>
      </c>
      <c r="C2520" s="1" t="n">
        <v>45292</v>
      </c>
      <c r="D2520" t="inlineStr">
        <is>
          <t>VÄSTERBOTTENS LÄN</t>
        </is>
      </c>
      <c r="E2520" t="inlineStr">
        <is>
          <t>SKELLEFTEÅ</t>
        </is>
      </c>
      <c r="G2520" t="n">
        <v>10.7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46107-2023</t>
        </is>
      </c>
      <c r="B2521" s="1" t="n">
        <v>45190</v>
      </c>
      <c r="C2521" s="1" t="n">
        <v>45292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45039-2023</t>
        </is>
      </c>
      <c r="B2522" s="1" t="n">
        <v>45191</v>
      </c>
      <c r="C2522" s="1" t="n">
        <v>45292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46302-2023</t>
        </is>
      </c>
      <c r="B2523" s="1" t="n">
        <v>45191</v>
      </c>
      <c r="C2523" s="1" t="n">
        <v>45292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45552-2023</t>
        </is>
      </c>
      <c r="B2524" s="1" t="n">
        <v>45194</v>
      </c>
      <c r="C2524" s="1" t="n">
        <v>45292</v>
      </c>
      <c r="D2524" t="inlineStr">
        <is>
          <t>VÄSTERBOTTENS LÄN</t>
        </is>
      </c>
      <c r="E2524" t="inlineStr">
        <is>
          <t>SKELLEFTEÅ</t>
        </is>
      </c>
      <c r="G2524" t="n">
        <v>18.3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46504-2023</t>
        </is>
      </c>
      <c r="B2525" s="1" t="n">
        <v>45194</v>
      </c>
      <c r="C2525" s="1" t="n">
        <v>45292</v>
      </c>
      <c r="D2525" t="inlineStr">
        <is>
          <t>VÄSTERBOTTENS LÄN</t>
        </is>
      </c>
      <c r="E2525" t="inlineStr">
        <is>
          <t>SKELLEFTEÅ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45498-2023</t>
        </is>
      </c>
      <c r="B2526" s="1" t="n">
        <v>45194</v>
      </c>
      <c r="C2526" s="1" t="n">
        <v>45292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46492-2023</t>
        </is>
      </c>
      <c r="B2527" s="1" t="n">
        <v>45194</v>
      </c>
      <c r="C2527" s="1" t="n">
        <v>45292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46440-2023</t>
        </is>
      </c>
      <c r="B2528" s="1" t="n">
        <v>45197</v>
      </c>
      <c r="C2528" s="1" t="n">
        <v>45292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46540-2023</t>
        </is>
      </c>
      <c r="B2529" s="1" t="n">
        <v>45198</v>
      </c>
      <c r="C2529" s="1" t="n">
        <v>45292</v>
      </c>
      <c r="D2529" t="inlineStr">
        <is>
          <t>VÄSTERBOTTENS LÄN</t>
        </is>
      </c>
      <c r="E2529" t="inlineStr">
        <is>
          <t>SKELLEFTEÅ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46539-2023</t>
        </is>
      </c>
      <c r="B2530" s="1" t="n">
        <v>45198</v>
      </c>
      <c r="C2530" s="1" t="n">
        <v>45292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46541-2023</t>
        </is>
      </c>
      <c r="B2531" s="1" t="n">
        <v>45198</v>
      </c>
      <c r="C2531" s="1" t="n">
        <v>45292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46448-2023</t>
        </is>
      </c>
      <c r="B2532" s="1" t="n">
        <v>45197</v>
      </c>
      <c r="C2532" s="1" t="n">
        <v>45292</v>
      </c>
      <c r="D2532" t="inlineStr">
        <is>
          <t>VÄSTERBOTTENS LÄN</t>
        </is>
      </c>
      <c r="E2532" t="inlineStr">
        <is>
          <t>SKELLEFTEÅ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46538-2023</t>
        </is>
      </c>
      <c r="B2533" s="1" t="n">
        <v>45198</v>
      </c>
      <c r="C2533" s="1" t="n">
        <v>45292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47447-2023</t>
        </is>
      </c>
      <c r="B2534" s="1" t="n">
        <v>45197</v>
      </c>
      <c r="C2534" s="1" t="n">
        <v>45292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46584-2023</t>
        </is>
      </c>
      <c r="B2535" s="1" t="n">
        <v>45198</v>
      </c>
      <c r="C2535" s="1" t="n">
        <v>45292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46590-2023</t>
        </is>
      </c>
      <c r="B2536" s="1" t="n">
        <v>45198</v>
      </c>
      <c r="C2536" s="1" t="n">
        <v>45292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47924-2023</t>
        </is>
      </c>
      <c r="B2537" s="1" t="n">
        <v>45198</v>
      </c>
      <c r="C2537" s="1" t="n">
        <v>45292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47923-2023</t>
        </is>
      </c>
      <c r="B2538" s="1" t="n">
        <v>45198</v>
      </c>
      <c r="C2538" s="1" t="n">
        <v>45292</v>
      </c>
      <c r="D2538" t="inlineStr">
        <is>
          <t>VÄSTERBOTTENS LÄN</t>
        </is>
      </c>
      <c r="E2538" t="inlineStr">
        <is>
          <t>SKELLEFTEÅ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47925-2023</t>
        </is>
      </c>
      <c r="B2539" s="1" t="n">
        <v>45198</v>
      </c>
      <c r="C2539" s="1" t="n">
        <v>45292</v>
      </c>
      <c r="D2539" t="inlineStr">
        <is>
          <t>VÄSTERBOTTENS LÄN</t>
        </is>
      </c>
      <c r="E2539" t="inlineStr">
        <is>
          <t>SKELLEFTEÅ</t>
        </is>
      </c>
      <c r="G2539" t="n">
        <v>6.5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47155-2023</t>
        </is>
      </c>
      <c r="B2540" s="1" t="n">
        <v>45202</v>
      </c>
      <c r="C2540" s="1" t="n">
        <v>45292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47154-2023</t>
        </is>
      </c>
      <c r="B2541" s="1" t="n">
        <v>45202</v>
      </c>
      <c r="C2541" s="1" t="n">
        <v>45292</v>
      </c>
      <c r="D2541" t="inlineStr">
        <is>
          <t>VÄSTERBOTTENS LÄN</t>
        </is>
      </c>
      <c r="E2541" t="inlineStr">
        <is>
          <t>SKELLEFTEÅ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47139-2023</t>
        </is>
      </c>
      <c r="B2542" s="1" t="n">
        <v>45201</v>
      </c>
      <c r="C2542" s="1" t="n">
        <v>45292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46965-2023</t>
        </is>
      </c>
      <c r="B2543" s="1" t="n">
        <v>45201</v>
      </c>
      <c r="C2543" s="1" t="n">
        <v>45292</v>
      </c>
      <c r="D2543" t="inlineStr">
        <is>
          <t>VÄSTERBOTTENS LÄN</t>
        </is>
      </c>
      <c r="E2543" t="inlineStr">
        <is>
          <t>SKELLEFTEÅ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45292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45292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45292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45292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45292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45292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45292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45292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45292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45292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45292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45292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45292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45292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45292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45292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45292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45292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45292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45292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45292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45292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45292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45292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45292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45292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45292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45292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45292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45292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45292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45292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45292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45292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45292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45292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45292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45292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45292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45292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45292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45292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45292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45292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45292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45292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45292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45292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45292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45292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45292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45292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45292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45292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45292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45292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45292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45292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45292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45292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45292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45292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45292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45292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45292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45292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45292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45292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45292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45292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45292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45292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45292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45292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45292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45292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45292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45292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45292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45292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45292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45292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45292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45292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45292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45292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45292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45292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45292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45292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45292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45292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45292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45292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45292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45292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45292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45292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45292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45292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45292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45292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45292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45292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45292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45292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45292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45292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45292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45292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45292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45292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45292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45292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45292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45292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45292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45292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45292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45292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45292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45292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45292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45292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45292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45292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45292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45292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45292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45292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45292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45292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45292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45292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45292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45292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45292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45292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45292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45292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45292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45292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45292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45292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45292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45292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45292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45292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45292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45292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45292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45292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45292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45292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45292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45292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45292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45292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45292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45292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45292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45292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45292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45292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45292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45292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45292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45292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45292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45292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45292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45292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45292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45292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45292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45292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45292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45292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45292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45292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45292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45292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45292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45292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45292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45292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45292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45292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45292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58058-2023</t>
        </is>
      </c>
      <c r="B2733" s="1" t="n">
        <v>45247</v>
      </c>
      <c r="C2733" s="1" t="n">
        <v>45292</v>
      </c>
      <c r="D2733" t="inlineStr">
        <is>
          <t>VÄSTERBOTTENS LÄN</t>
        </is>
      </c>
      <c r="E2733" t="inlineStr">
        <is>
          <t>SKELLEFTEÅ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45292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45292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58072-2023</t>
        </is>
      </c>
      <c r="B2736" s="1" t="n">
        <v>45247</v>
      </c>
      <c r="C2736" s="1" t="n">
        <v>45292</v>
      </c>
      <c r="D2736" t="inlineStr">
        <is>
          <t>VÄSTERBOTTENS LÄN</t>
        </is>
      </c>
      <c r="E2736" t="inlineStr">
        <is>
          <t>SKELLEFTEÅ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45292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45292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45292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58060-2023</t>
        </is>
      </c>
      <c r="B2740" s="1" t="n">
        <v>45247</v>
      </c>
      <c r="C2740" s="1" t="n">
        <v>45292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58008-2023</t>
        </is>
      </c>
      <c r="B2741" s="1" t="n">
        <v>45247</v>
      </c>
      <c r="C2741" s="1" t="n">
        <v>45292</v>
      </c>
      <c r="D2741" t="inlineStr">
        <is>
          <t>VÄSTERBOTTENS LÄN</t>
        </is>
      </c>
      <c r="E2741" t="inlineStr">
        <is>
          <t>SKELLEFTEÅ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57958-2023</t>
        </is>
      </c>
      <c r="B2742" s="1" t="n">
        <v>45247</v>
      </c>
      <c r="C2742" s="1" t="n">
        <v>45292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57926-2023</t>
        </is>
      </c>
      <c r="B2743" s="1" t="n">
        <v>45247</v>
      </c>
      <c r="C2743" s="1" t="n">
        <v>45292</v>
      </c>
      <c r="D2743" t="inlineStr">
        <is>
          <t>VÄSTERBOTTENS LÄN</t>
        </is>
      </c>
      <c r="E2743" t="inlineStr">
        <is>
          <t>SKELLEFTEÅ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58117-2023</t>
        </is>
      </c>
      <c r="B2744" s="1" t="n">
        <v>45249</v>
      </c>
      <c r="C2744" s="1" t="n">
        <v>45292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58194-2023</t>
        </is>
      </c>
      <c r="B2745" s="1" t="n">
        <v>45250</v>
      </c>
      <c r="C2745" s="1" t="n">
        <v>45292</v>
      </c>
      <c r="D2745" t="inlineStr">
        <is>
          <t>VÄSTERBOTTENS LÄN</t>
        </is>
      </c>
      <c r="E2745" t="inlineStr">
        <is>
          <t>SKELLEFTEÅ</t>
        </is>
      </c>
      <c r="G2745" t="n">
        <v>10.1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58940-2023</t>
        </is>
      </c>
      <c r="B2746" s="1" t="n">
        <v>45250</v>
      </c>
      <c r="C2746" s="1" t="n">
        <v>45292</v>
      </c>
      <c r="D2746" t="inlineStr">
        <is>
          <t>VÄSTERBOTTENS LÄN</t>
        </is>
      </c>
      <c r="E2746" t="inlineStr">
        <is>
          <t>SKELLEFTEÅ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58503-2023</t>
        </is>
      </c>
      <c r="B2747" s="1" t="n">
        <v>45251</v>
      </c>
      <c r="C2747" s="1" t="n">
        <v>45292</v>
      </c>
      <c r="D2747" t="inlineStr">
        <is>
          <t>VÄSTERBOTTENS LÄN</t>
        </is>
      </c>
      <c r="E2747" t="inlineStr">
        <is>
          <t>SKELLEFTEÅ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45292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45292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45292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45292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45292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45292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58575-2023</t>
        </is>
      </c>
      <c r="B2754" s="1" t="n">
        <v>45251</v>
      </c>
      <c r="C2754" s="1" t="n">
        <v>45292</v>
      </c>
      <c r="D2754" t="inlineStr">
        <is>
          <t>VÄSTERBOTTENS LÄN</t>
        </is>
      </c>
      <c r="E2754" t="inlineStr">
        <is>
          <t>SKELLEFTEÅ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45292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45292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58752-2023</t>
        </is>
      </c>
      <c r="B2757" s="1" t="n">
        <v>45251</v>
      </c>
      <c r="C2757" s="1" t="n">
        <v>45292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58672-2023</t>
        </is>
      </c>
      <c r="B2758" s="1" t="n">
        <v>45251</v>
      </c>
      <c r="C2758" s="1" t="n">
        <v>45292</v>
      </c>
      <c r="D2758" t="inlineStr">
        <is>
          <t>VÄSTERBOTTENS LÄN</t>
        </is>
      </c>
      <c r="E2758" t="inlineStr">
        <is>
          <t>SKELLEFTEÅ</t>
        </is>
      </c>
      <c r="F2758" t="inlineStr">
        <is>
          <t>Holmen skog AB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58751-2023</t>
        </is>
      </c>
      <c r="B2759" s="1" t="n">
        <v>45251</v>
      </c>
      <c r="C2759" s="1" t="n">
        <v>45292</v>
      </c>
      <c r="D2759" t="inlineStr">
        <is>
          <t>VÄSTERBOTTENS LÄN</t>
        </is>
      </c>
      <c r="E2759" t="inlineStr">
        <is>
          <t>SKELLEFTEÅ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58755-2023</t>
        </is>
      </c>
      <c r="B2760" s="1" t="n">
        <v>45251</v>
      </c>
      <c r="C2760" s="1" t="n">
        <v>45292</v>
      </c>
      <c r="D2760" t="inlineStr">
        <is>
          <t>VÄSTERBOTTENS LÄN</t>
        </is>
      </c>
      <c r="E2760" t="inlineStr">
        <is>
          <t>SKELLEFTEÅ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59127-2023</t>
        </is>
      </c>
      <c r="B2761" s="1" t="n">
        <v>45251</v>
      </c>
      <c r="C2761" s="1" t="n">
        <v>45292</v>
      </c>
      <c r="D2761" t="inlineStr">
        <is>
          <t>VÄSTERBOTTENS LÄN</t>
        </is>
      </c>
      <c r="E2761" t="inlineStr">
        <is>
          <t>SKELLEFTEÅ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59165-2023</t>
        </is>
      </c>
      <c r="B2762" s="1" t="n">
        <v>45251</v>
      </c>
      <c r="C2762" s="1" t="n">
        <v>45292</v>
      </c>
      <c r="D2762" t="inlineStr">
        <is>
          <t>VÄSTERBOTTENS LÄN</t>
        </is>
      </c>
      <c r="E2762" t="inlineStr">
        <is>
          <t>SKELLEFTEÅ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58838-2023</t>
        </is>
      </c>
      <c r="B2763" s="1" t="n">
        <v>45252</v>
      </c>
      <c r="C2763" s="1" t="n">
        <v>45292</v>
      </c>
      <c r="D2763" t="inlineStr">
        <is>
          <t>VÄSTERBOTTENS LÄN</t>
        </is>
      </c>
      <c r="E2763" t="inlineStr">
        <is>
          <t>SKELLEFTEÅ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45292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59245-2023</t>
        </is>
      </c>
      <c r="B2765" s="1" t="n">
        <v>45252</v>
      </c>
      <c r="C2765" s="1" t="n">
        <v>45292</v>
      </c>
      <c r="D2765" t="inlineStr">
        <is>
          <t>VÄSTERBOTTENS LÄN</t>
        </is>
      </c>
      <c r="E2765" t="inlineStr">
        <is>
          <t>SKELLEFTEÅ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59404-2023</t>
        </is>
      </c>
      <c r="B2766" s="1" t="n">
        <v>45253</v>
      </c>
      <c r="C2766" s="1" t="n">
        <v>45292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45292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59406-2023</t>
        </is>
      </c>
      <c r="B2768" s="1" t="n">
        <v>45253</v>
      </c>
      <c r="C2768" s="1" t="n">
        <v>45292</v>
      </c>
      <c r="D2768" t="inlineStr">
        <is>
          <t>VÄSTERBOTTENS LÄN</t>
        </is>
      </c>
      <c r="E2768" t="inlineStr">
        <is>
          <t>SKELLEFTEÅ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59405-2023</t>
        </is>
      </c>
      <c r="B2769" s="1" t="n">
        <v>45253</v>
      </c>
      <c r="C2769" s="1" t="n">
        <v>45292</v>
      </c>
      <c r="D2769" t="inlineStr">
        <is>
          <t>VÄSTERBOTTENS LÄN</t>
        </is>
      </c>
      <c r="E2769" t="inlineStr">
        <is>
          <t>SKELLEFTEÅ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59647-2023</t>
        </is>
      </c>
      <c r="B2770" s="1" t="n">
        <v>45253</v>
      </c>
      <c r="C2770" s="1" t="n">
        <v>45292</v>
      </c>
      <c r="D2770" t="inlineStr">
        <is>
          <t>VÄSTERBOTTENS LÄN</t>
        </is>
      </c>
      <c r="E2770" t="inlineStr">
        <is>
          <t>SKELLEFTEÅ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59653-2023</t>
        </is>
      </c>
      <c r="B2771" s="1" t="n">
        <v>45254</v>
      </c>
      <c r="C2771" s="1" t="n">
        <v>45292</v>
      </c>
      <c r="D2771" t="inlineStr">
        <is>
          <t>VÄSTERBOTTENS LÄN</t>
        </is>
      </c>
      <c r="E2771" t="inlineStr">
        <is>
          <t>SKELLEFTEÅ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59945-2023</t>
        </is>
      </c>
      <c r="B2772" s="1" t="n">
        <v>45254</v>
      </c>
      <c r="C2772" s="1" t="n">
        <v>45292</v>
      </c>
      <c r="D2772" t="inlineStr">
        <is>
          <t>VÄSTERBOTTENS LÄN</t>
        </is>
      </c>
      <c r="E2772" t="inlineStr">
        <is>
          <t>SKELLEFTEÅ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45292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45292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45292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45292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45292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45292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59793-2023</t>
        </is>
      </c>
      <c r="B2779" s="1" t="n">
        <v>45257</v>
      </c>
      <c r="C2779" s="1" t="n">
        <v>45292</v>
      </c>
      <c r="D2779" t="inlineStr">
        <is>
          <t>VÄSTERBOTTENS LÄN</t>
        </is>
      </c>
      <c r="E2779" t="inlineStr">
        <is>
          <t>SKELLEFTEÅ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60109-2023</t>
        </is>
      </c>
      <c r="B2780" s="1" t="n">
        <v>45257</v>
      </c>
      <c r="C2780" s="1" t="n">
        <v>45292</v>
      </c>
      <c r="D2780" t="inlineStr">
        <is>
          <t>VÄSTERBOTTENS LÄN</t>
        </is>
      </c>
      <c r="E2780" t="inlineStr">
        <is>
          <t>SKELLEFTEÅ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45292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45292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60451-2023</t>
        </is>
      </c>
      <c r="B2783" s="1" t="n">
        <v>45258</v>
      </c>
      <c r="C2783" s="1" t="n">
        <v>45292</v>
      </c>
      <c r="D2783" t="inlineStr">
        <is>
          <t>VÄSTERBOTTENS LÄN</t>
        </is>
      </c>
      <c r="E2783" t="inlineStr">
        <is>
          <t>SKELLEFTEÅ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45292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60339-2023</t>
        </is>
      </c>
      <c r="B2785" s="1" t="n">
        <v>45259</v>
      </c>
      <c r="C2785" s="1" t="n">
        <v>45292</v>
      </c>
      <c r="D2785" t="inlineStr">
        <is>
          <t>VÄSTERBOTTENS LÄN</t>
        </is>
      </c>
      <c r="E2785" t="inlineStr">
        <is>
          <t>SKELLEFTEÅ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45292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61064-2023</t>
        </is>
      </c>
      <c r="B2787" s="1" t="n">
        <v>45259</v>
      </c>
      <c r="C2787" s="1" t="n">
        <v>45292</v>
      </c>
      <c r="D2787" t="inlineStr">
        <is>
          <t>VÄSTERBOTTENS LÄN</t>
        </is>
      </c>
      <c r="E2787" t="inlineStr">
        <is>
          <t>SKELLEFTEÅ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61049-2023</t>
        </is>
      </c>
      <c r="B2788" s="1" t="n">
        <v>45259</v>
      </c>
      <c r="C2788" s="1" t="n">
        <v>45292</v>
      </c>
      <c r="D2788" t="inlineStr">
        <is>
          <t>VÄSTERBOTTENS LÄN</t>
        </is>
      </c>
      <c r="E2788" t="inlineStr">
        <is>
          <t>SKELLEFTEÅ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45292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45292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60614-2023</t>
        </is>
      </c>
      <c r="B2791" s="1" t="n">
        <v>45260</v>
      </c>
      <c r="C2791" s="1" t="n">
        <v>45292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60601-2023</t>
        </is>
      </c>
      <c r="B2792" s="1" t="n">
        <v>45260</v>
      </c>
      <c r="C2792" s="1" t="n">
        <v>45292</v>
      </c>
      <c r="D2792" t="inlineStr">
        <is>
          <t>VÄSTERBOTTENS LÄN</t>
        </is>
      </c>
      <c r="E2792" t="inlineStr">
        <is>
          <t>SKELLEFTEÅ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60785-2023</t>
        </is>
      </c>
      <c r="B2793" s="1" t="n">
        <v>45260</v>
      </c>
      <c r="C2793" s="1" t="n">
        <v>45292</v>
      </c>
      <c r="D2793" t="inlineStr">
        <is>
          <t>VÄSTERBOTTENS LÄN</t>
        </is>
      </c>
      <c r="E2793" t="inlineStr">
        <is>
          <t>SKELLEFTEÅ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61089-2023</t>
        </is>
      </c>
      <c r="B2794" s="1" t="n">
        <v>45260</v>
      </c>
      <c r="C2794" s="1" t="n">
        <v>45292</v>
      </c>
      <c r="D2794" t="inlineStr">
        <is>
          <t>VÄSTERBOTTENS LÄN</t>
        </is>
      </c>
      <c r="E2794" t="inlineStr">
        <is>
          <t>SKELLEFTEÅ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45292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45292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60896-2023</t>
        </is>
      </c>
      <c r="B2797" s="1" t="n">
        <v>45261</v>
      </c>
      <c r="C2797" s="1" t="n">
        <v>45292</v>
      </c>
      <c r="D2797" t="inlineStr">
        <is>
          <t>VÄSTERBOTTENS LÄN</t>
        </is>
      </c>
      <c r="E2797" t="inlineStr">
        <is>
          <t>SKELLEFTEÅ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61146-2023</t>
        </is>
      </c>
      <c r="B2798" s="1" t="n">
        <v>45262</v>
      </c>
      <c r="C2798" s="1" t="n">
        <v>45292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45292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60898-2023</t>
        </is>
      </c>
      <c r="B2800" s="1" t="n">
        <v>45261</v>
      </c>
      <c r="C2800" s="1" t="n">
        <v>45292</v>
      </c>
      <c r="D2800" t="inlineStr">
        <is>
          <t>VÄSTERBOTTENS LÄN</t>
        </is>
      </c>
      <c r="E2800" t="inlineStr">
        <is>
          <t>SKELLEFTEÅ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61130-2023</t>
        </is>
      </c>
      <c r="B2801" s="1" t="n">
        <v>45261</v>
      </c>
      <c r="C2801" s="1" t="n">
        <v>45292</v>
      </c>
      <c r="D2801" t="inlineStr">
        <is>
          <t>VÄSTERBOTTENS LÄN</t>
        </is>
      </c>
      <c r="E2801" t="inlineStr">
        <is>
          <t>SKELLEFTEÅ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61188-2023</t>
        </is>
      </c>
      <c r="B2802" s="1" t="n">
        <v>45264</v>
      </c>
      <c r="C2802" s="1" t="n">
        <v>45292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Sveaskog</t>
        </is>
      </c>
      <c r="G2802" t="n">
        <v>7.3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61457-2023</t>
        </is>
      </c>
      <c r="B2803" s="1" t="n">
        <v>45264</v>
      </c>
      <c r="C2803" s="1" t="n">
        <v>45292</v>
      </c>
      <c r="D2803" t="inlineStr">
        <is>
          <t>VÄSTERBOTTENS LÄN</t>
        </is>
      </c>
      <c r="E2803" t="inlineStr">
        <is>
          <t>SKELLEFTEÅ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61242-2023</t>
        </is>
      </c>
      <c r="B2804" s="1" t="n">
        <v>45264</v>
      </c>
      <c r="C2804" s="1" t="n">
        <v>45292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Holmen skog AB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61186-2023</t>
        </is>
      </c>
      <c r="B2805" s="1" t="n">
        <v>45264</v>
      </c>
      <c r="C2805" s="1" t="n">
        <v>45292</v>
      </c>
      <c r="D2805" t="inlineStr">
        <is>
          <t>VÄSTERBOTTENS LÄN</t>
        </is>
      </c>
      <c r="E2805" t="inlineStr">
        <is>
          <t>SKELLEFTEÅ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45292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61292-2023</t>
        </is>
      </c>
      <c r="B2807" s="1" t="n">
        <v>45264</v>
      </c>
      <c r="C2807" s="1" t="n">
        <v>45292</v>
      </c>
      <c r="D2807" t="inlineStr">
        <is>
          <t>VÄSTERBOTTENS LÄN</t>
        </is>
      </c>
      <c r="E2807" t="inlineStr">
        <is>
          <t>SKELLEFTEÅ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61733-2023</t>
        </is>
      </c>
      <c r="B2808" s="1" t="n">
        <v>45264</v>
      </c>
      <c r="C2808" s="1" t="n">
        <v>45292</v>
      </c>
      <c r="D2808" t="inlineStr">
        <is>
          <t>VÄSTERBOTTENS LÄN</t>
        </is>
      </c>
      <c r="E2808" t="inlineStr">
        <is>
          <t>SKELLEFTEÅ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61723-2023</t>
        </is>
      </c>
      <c r="B2809" s="1" t="n">
        <v>45264</v>
      </c>
      <c r="C2809" s="1" t="n">
        <v>45292</v>
      </c>
      <c r="D2809" t="inlineStr">
        <is>
          <t>VÄSTERBOTTENS LÄN</t>
        </is>
      </c>
      <c r="E2809" t="inlineStr">
        <is>
          <t>SKELLEFTEÅ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61808-2023</t>
        </is>
      </c>
      <c r="B2810" s="1" t="n">
        <v>45264</v>
      </c>
      <c r="C2810" s="1" t="n">
        <v>45292</v>
      </c>
      <c r="D2810" t="inlineStr">
        <is>
          <t>VÄSTERBOTTENS LÄN</t>
        </is>
      </c>
      <c r="E2810" t="inlineStr">
        <is>
          <t>SKELLEFTEÅ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45292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61928-2023</t>
        </is>
      </c>
      <c r="B2812" s="1" t="n">
        <v>45265</v>
      </c>
      <c r="C2812" s="1" t="n">
        <v>45292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62300-2023</t>
        </is>
      </c>
      <c r="B2813" s="1" t="n">
        <v>45266</v>
      </c>
      <c r="C2813" s="1" t="n">
        <v>45292</v>
      </c>
      <c r="D2813" t="inlineStr">
        <is>
          <t>VÄSTERBOTTENS LÄN</t>
        </is>
      </c>
      <c r="E2813" t="inlineStr">
        <is>
          <t>SKELLEFTEÅ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62141-2023</t>
        </is>
      </c>
      <c r="B2814" s="1" t="n">
        <v>45267</v>
      </c>
      <c r="C2814" s="1" t="n">
        <v>45292</v>
      </c>
      <c r="D2814" t="inlineStr">
        <is>
          <t>VÄSTERBOTTENS LÄN</t>
        </is>
      </c>
      <c r="E2814" t="inlineStr">
        <is>
          <t>SKELLEFTEÅ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62336-2023</t>
        </is>
      </c>
      <c r="B2815" s="1" t="n">
        <v>45267</v>
      </c>
      <c r="C2815" s="1" t="n">
        <v>45292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62344-2023</t>
        </is>
      </c>
      <c r="B2816" s="1" t="n">
        <v>45267</v>
      </c>
      <c r="C2816" s="1" t="n">
        <v>45292</v>
      </c>
      <c r="D2816" t="inlineStr">
        <is>
          <t>VÄSTERBOTTENS LÄN</t>
        </is>
      </c>
      <c r="E2816" t="inlineStr">
        <is>
          <t>SKELLEFTEÅ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62191-2023</t>
        </is>
      </c>
      <c r="B2817" s="1" t="n">
        <v>45267</v>
      </c>
      <c r="C2817" s="1" t="n">
        <v>45292</v>
      </c>
      <c r="D2817" t="inlineStr">
        <is>
          <t>VÄSTERBOTTENS LÄN</t>
        </is>
      </c>
      <c r="E2817" t="inlineStr">
        <is>
          <t>SKELLEFTEÅ</t>
        </is>
      </c>
      <c r="G2817" t="n">
        <v>14.5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62345-2023</t>
        </is>
      </c>
      <c r="B2818" s="1" t="n">
        <v>45267</v>
      </c>
      <c r="C2818" s="1" t="n">
        <v>45292</v>
      </c>
      <c r="D2818" t="inlineStr">
        <is>
          <t>VÄSTERBOTTENS LÄN</t>
        </is>
      </c>
      <c r="E2818" t="inlineStr">
        <is>
          <t>SKELLEFTEÅ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62347-2023</t>
        </is>
      </c>
      <c r="B2819" s="1" t="n">
        <v>45267</v>
      </c>
      <c r="C2819" s="1" t="n">
        <v>45292</v>
      </c>
      <c r="D2819" t="inlineStr">
        <is>
          <t>VÄSTERBOTTENS LÄN</t>
        </is>
      </c>
      <c r="E2819" t="inlineStr">
        <is>
          <t>SKELLEFTEÅ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62601-2023</t>
        </is>
      </c>
      <c r="B2820" s="1" t="n">
        <v>45267</v>
      </c>
      <c r="C2820" s="1" t="n">
        <v>45292</v>
      </c>
      <c r="D2820" t="inlineStr">
        <is>
          <t>VÄSTERBOTTENS LÄN</t>
        </is>
      </c>
      <c r="E2820" t="inlineStr">
        <is>
          <t>SKELLEFTEÅ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62599-2023</t>
        </is>
      </c>
      <c r="B2821" s="1" t="n">
        <v>45267</v>
      </c>
      <c r="C2821" s="1" t="n">
        <v>45292</v>
      </c>
      <c r="D2821" t="inlineStr">
        <is>
          <t>VÄSTERBOTTENS LÄN</t>
        </is>
      </c>
      <c r="E2821" t="inlineStr">
        <is>
          <t>SKELLEFTEÅ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45292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62504-2023</t>
        </is>
      </c>
      <c r="B2823" s="1" t="n">
        <v>45268</v>
      </c>
      <c r="C2823" s="1" t="n">
        <v>45292</v>
      </c>
      <c r="D2823" t="inlineStr">
        <is>
          <t>VÄSTERBOTTENS LÄN</t>
        </is>
      </c>
      <c r="E2823" t="inlineStr">
        <is>
          <t>SKELLEFTEÅ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45292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62885-2023</t>
        </is>
      </c>
      <c r="B2825" s="1" t="n">
        <v>45271</v>
      </c>
      <c r="C2825" s="1" t="n">
        <v>45292</v>
      </c>
      <c r="D2825" t="inlineStr">
        <is>
          <t>VÄSTERBOTTENS LÄN</t>
        </is>
      </c>
      <c r="E2825" t="inlineStr">
        <is>
          <t>SKELLEFTEÅ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62961-2023</t>
        </is>
      </c>
      <c r="B2826" s="1" t="n">
        <v>45272</v>
      </c>
      <c r="C2826" s="1" t="n">
        <v>45292</v>
      </c>
      <c r="D2826" t="inlineStr">
        <is>
          <t>VÄSTERBOTTENS LÄN</t>
        </is>
      </c>
      <c r="E2826" t="inlineStr">
        <is>
          <t>SKELLEFTEÅ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63289-2023</t>
        </is>
      </c>
      <c r="B2827" s="1" t="n">
        <v>45273</v>
      </c>
      <c r="C2827" s="1" t="n">
        <v>45292</v>
      </c>
      <c r="D2827" t="inlineStr">
        <is>
          <t>VÄSTERBOTTENS LÄN</t>
        </is>
      </c>
      <c r="E2827" t="inlineStr">
        <is>
          <t>SKELLEFTEÅ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63525-2023</t>
        </is>
      </c>
      <c r="B2828" s="1" t="n">
        <v>45274</v>
      </c>
      <c r="C2828" s="1" t="n">
        <v>45292</v>
      </c>
      <c r="D2828" t="inlineStr">
        <is>
          <t>VÄSTERBOTTENS LÄN</t>
        </is>
      </c>
      <c r="E2828" t="inlineStr">
        <is>
          <t>SKELLEFTEÅ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63704-2023</t>
        </is>
      </c>
      <c r="B2829" s="1" t="n">
        <v>45275</v>
      </c>
      <c r="C2829" s="1" t="n">
        <v>45292</v>
      </c>
      <c r="D2829" t="inlineStr">
        <is>
          <t>VÄSTERBOTTENS LÄN</t>
        </is>
      </c>
      <c r="E2829" t="inlineStr">
        <is>
          <t>SKELLEFTEÅ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63757-2023</t>
        </is>
      </c>
      <c r="B2830" s="1" t="n">
        <v>45278</v>
      </c>
      <c r="C2830" s="1" t="n">
        <v>45292</v>
      </c>
      <c r="D2830" t="inlineStr">
        <is>
          <t>VÄSTERBOTTENS LÄN</t>
        </is>
      </c>
      <c r="E2830" t="inlineStr">
        <is>
          <t>SKELLEFTEÅ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63759-2023</t>
        </is>
      </c>
      <c r="B2831" s="1" t="n">
        <v>45278</v>
      </c>
      <c r="C2831" s="1" t="n">
        <v>45292</v>
      </c>
      <c r="D2831" t="inlineStr">
        <is>
          <t>VÄSTERBOTTENS LÄN</t>
        </is>
      </c>
      <c r="E2831" t="inlineStr">
        <is>
          <t>SKELLEFTEÅ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63935-2023</t>
        </is>
      </c>
      <c r="B2832" s="1" t="n">
        <v>45278</v>
      </c>
      <c r="C2832" s="1" t="n">
        <v>45292</v>
      </c>
      <c r="D2832" t="inlineStr">
        <is>
          <t>VÄSTERBOTTENS LÄN</t>
        </is>
      </c>
      <c r="E2832" t="inlineStr">
        <is>
          <t>SKELLEFTEÅ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64009-2023</t>
        </is>
      </c>
      <c r="B2833" s="1" t="n">
        <v>45278</v>
      </c>
      <c r="C2833" s="1" t="n">
        <v>45292</v>
      </c>
      <c r="D2833" t="inlineStr">
        <is>
          <t>VÄSTERBOTTENS LÄN</t>
        </is>
      </c>
      <c r="E2833" t="inlineStr">
        <is>
          <t>SKELLEFTEÅ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64008-2023</t>
        </is>
      </c>
      <c r="B2834" s="1" t="n">
        <v>45278</v>
      </c>
      <c r="C2834" s="1" t="n">
        <v>45292</v>
      </c>
      <c r="D2834" t="inlineStr">
        <is>
          <t>VÄSTERBOTTENS LÄN</t>
        </is>
      </c>
      <c r="E2834" t="inlineStr">
        <is>
          <t>SKELLEFTEÅ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64006-2023</t>
        </is>
      </c>
      <c r="B2835" s="1" t="n">
        <v>45278</v>
      </c>
      <c r="C2835" s="1" t="n">
        <v>45292</v>
      </c>
      <c r="D2835" t="inlineStr">
        <is>
          <t>VÄSTERBOTTENS LÄN</t>
        </is>
      </c>
      <c r="E2835" t="inlineStr">
        <is>
          <t>SKELLEFTEÅ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64183-2023</t>
        </is>
      </c>
      <c r="B2836" s="1" t="n">
        <v>45279</v>
      </c>
      <c r="C2836" s="1" t="n">
        <v>45292</v>
      </c>
      <c r="D2836" t="inlineStr">
        <is>
          <t>VÄSTERBOTTENS LÄN</t>
        </is>
      </c>
      <c r="E2836" t="inlineStr">
        <is>
          <t>SKELLEFTEÅ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64257-2023</t>
        </is>
      </c>
      <c r="B2837" s="1" t="n">
        <v>45279</v>
      </c>
      <c r="C2837" s="1" t="n">
        <v>45292</v>
      </c>
      <c r="D2837" t="inlineStr">
        <is>
          <t>VÄSTERBOTTENS LÄN</t>
        </is>
      </c>
      <c r="E2837" t="inlineStr">
        <is>
          <t>SKELLEFTEÅ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64258-2023</t>
        </is>
      </c>
      <c r="B2838" s="1" t="n">
        <v>45279</v>
      </c>
      <c r="C2838" s="1" t="n">
        <v>45292</v>
      </c>
      <c r="D2838" t="inlineStr">
        <is>
          <t>VÄSTERBOTTENS LÄN</t>
        </is>
      </c>
      <c r="E2838" t="inlineStr">
        <is>
          <t>SKELLEFTEÅ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64323-2023</t>
        </is>
      </c>
      <c r="B2839" s="1" t="n">
        <v>45280</v>
      </c>
      <c r="C2839" s="1" t="n">
        <v>45292</v>
      </c>
      <c r="D2839" t="inlineStr">
        <is>
          <t>VÄSTERBOTTENS LÄN</t>
        </is>
      </c>
      <c r="E2839" t="inlineStr">
        <is>
          <t>SKELLEFTEÅ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64340-2023</t>
        </is>
      </c>
      <c r="B2840" s="1" t="n">
        <v>45280</v>
      </c>
      <c r="C2840" s="1" t="n">
        <v>45292</v>
      </c>
      <c r="D2840" t="inlineStr">
        <is>
          <t>VÄSTERBOTTENS LÄN</t>
        </is>
      </c>
      <c r="E2840" t="inlineStr">
        <is>
          <t>SKELLEFTEÅ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64370-2023</t>
        </is>
      </c>
      <c r="B2841" s="1" t="n">
        <v>45280</v>
      </c>
      <c r="C2841" s="1" t="n">
        <v>45292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64716-2023</t>
        </is>
      </c>
      <c r="B2842" s="1" t="n">
        <v>45281</v>
      </c>
      <c r="C2842" s="1" t="n">
        <v>45292</v>
      </c>
      <c r="D2842" t="inlineStr">
        <is>
          <t>VÄSTERBOTTENS LÄN</t>
        </is>
      </c>
      <c r="E2842" t="inlineStr">
        <is>
          <t>SKELLEFTEÅ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64726-2023</t>
        </is>
      </c>
      <c r="B2843" s="1" t="n">
        <v>45281</v>
      </c>
      <c r="C2843" s="1" t="n">
        <v>45292</v>
      </c>
      <c r="D2843" t="inlineStr">
        <is>
          <t>VÄSTERBOTTENS LÄN</t>
        </is>
      </c>
      <c r="E2843" t="inlineStr">
        <is>
          <t>SKELLEFTEÅ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64750-2023</t>
        </is>
      </c>
      <c r="B2844" s="1" t="n">
        <v>45281</v>
      </c>
      <c r="C2844" s="1" t="n">
        <v>45292</v>
      </c>
      <c r="D2844" t="inlineStr">
        <is>
          <t>VÄSTERBOTTENS LÄN</t>
        </is>
      </c>
      <c r="E2844" t="inlineStr">
        <is>
          <t>SKELLEFTEÅ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64723-2023</t>
        </is>
      </c>
      <c r="B2845" s="1" t="n">
        <v>45281</v>
      </c>
      <c r="C2845" s="1" t="n">
        <v>45292</v>
      </c>
      <c r="D2845" t="inlineStr">
        <is>
          <t>VÄSTERBOTTENS LÄN</t>
        </is>
      </c>
      <c r="E2845" t="inlineStr">
        <is>
          <t>SKELLEFTEÅ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64720-2023</t>
        </is>
      </c>
      <c r="B2846" s="1" t="n">
        <v>45281</v>
      </c>
      <c r="C2846" s="1" t="n">
        <v>45292</v>
      </c>
      <c r="D2846" t="inlineStr">
        <is>
          <t>VÄSTERBOTTENS LÄN</t>
        </is>
      </c>
      <c r="E2846" t="inlineStr">
        <is>
          <t>SKELLEFTEÅ</t>
        </is>
      </c>
      <c r="G2846" t="n">
        <v>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64920-2023</t>
        </is>
      </c>
      <c r="B2847" s="1" t="n">
        <v>45282</v>
      </c>
      <c r="C2847" s="1" t="n">
        <v>45292</v>
      </c>
      <c r="D2847" t="inlineStr">
        <is>
          <t>VÄSTERBOTTENS LÄN</t>
        </is>
      </c>
      <c r="E2847" t="inlineStr">
        <is>
          <t>SKELLEFTEÅ</t>
        </is>
      </c>
      <c r="F2847" t="inlineStr">
        <is>
          <t>Sveaskog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64941-2023</t>
        </is>
      </c>
      <c r="B2848" s="1" t="n">
        <v>45282</v>
      </c>
      <c r="C2848" s="1" t="n">
        <v>45292</v>
      </c>
      <c r="D2848" t="inlineStr">
        <is>
          <t>VÄSTERBOTTENS LÄN</t>
        </is>
      </c>
      <c r="E2848" t="inlineStr">
        <is>
          <t>SKELLEFTEÅ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64942-2023</t>
        </is>
      </c>
      <c r="B2849" s="1" t="n">
        <v>45282</v>
      </c>
      <c r="C2849" s="1" t="n">
        <v>45292</v>
      </c>
      <c r="D2849" t="inlineStr">
        <is>
          <t>VÄSTERBOTTENS LÄN</t>
        </is>
      </c>
      <c r="E2849" t="inlineStr">
        <is>
          <t>SKELLEFTEÅ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65010-2023</t>
        </is>
      </c>
      <c r="B2850" s="1" t="n">
        <v>45282</v>
      </c>
      <c r="C2850" s="1" t="n">
        <v>45292</v>
      </c>
      <c r="D2850" t="inlineStr">
        <is>
          <t>VÄSTERBOTTENS LÄN</t>
        </is>
      </c>
      <c r="E2850" t="inlineStr">
        <is>
          <t>SKELLEFTEÅ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65009-2023</t>
        </is>
      </c>
      <c r="B2851" s="1" t="n">
        <v>45287</v>
      </c>
      <c r="C2851" s="1" t="n">
        <v>45292</v>
      </c>
      <c r="D2851" t="inlineStr">
        <is>
          <t>VÄSTERBOTTENS LÄN</t>
        </is>
      </c>
      <c r="E2851" t="inlineStr">
        <is>
          <t>SKELLEFTEÅ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65011-2023</t>
        </is>
      </c>
      <c r="B2852" s="1" t="n">
        <v>45287</v>
      </c>
      <c r="C2852" s="1" t="n">
        <v>45292</v>
      </c>
      <c r="D2852" t="inlineStr">
        <is>
          <t>VÄSTERBOTTENS LÄN</t>
        </is>
      </c>
      <c r="E2852" t="inlineStr">
        <is>
          <t>SKELLEFTEÅ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65012-2023</t>
        </is>
      </c>
      <c r="B2853" s="1" t="n">
        <v>45287</v>
      </c>
      <c r="C2853" s="1" t="n">
        <v>45292</v>
      </c>
      <c r="D2853" t="inlineStr">
        <is>
          <t>VÄSTERBOTTENS LÄN</t>
        </is>
      </c>
      <c r="E2853" t="inlineStr">
        <is>
          <t>SKELLEFTEÅ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65128-2023</t>
        </is>
      </c>
      <c r="B2854" s="1" t="n">
        <v>45288</v>
      </c>
      <c r="C2854" s="1" t="n">
        <v>45292</v>
      </c>
      <c r="D2854" t="inlineStr">
        <is>
          <t>VÄSTERBOTTENS LÄN</t>
        </is>
      </c>
      <c r="E2854" t="inlineStr">
        <is>
          <t>SKELLEFTEÅ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65165-2023</t>
        </is>
      </c>
      <c r="B2855" s="1" t="n">
        <v>45288</v>
      </c>
      <c r="C2855" s="1" t="n">
        <v>45292</v>
      </c>
      <c r="D2855" t="inlineStr">
        <is>
          <t>VÄSTERBOTTENS LÄN</t>
        </is>
      </c>
      <c r="E2855" t="inlineStr">
        <is>
          <t>SKELLEFTEÅ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65191-2023</t>
        </is>
      </c>
      <c r="B2856" s="1" t="n">
        <v>45288</v>
      </c>
      <c r="C2856" s="1" t="n">
        <v>45292</v>
      </c>
      <c r="D2856" t="inlineStr">
        <is>
          <t>VÄSTERBOTTENS LÄN</t>
        </is>
      </c>
      <c r="E2856" t="inlineStr">
        <is>
          <t>SKELLEFTEÅ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65178-2023</t>
        </is>
      </c>
      <c r="B2857" s="1" t="n">
        <v>45288</v>
      </c>
      <c r="C2857" s="1" t="n">
        <v>45292</v>
      </c>
      <c r="D2857" t="inlineStr">
        <is>
          <t>VÄSTERBOTTENS LÄN</t>
        </is>
      </c>
      <c r="E2857" t="inlineStr">
        <is>
          <t>SKELLEFTEÅ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65206-2023</t>
        </is>
      </c>
      <c r="B2858" s="1" t="n">
        <v>45289</v>
      </c>
      <c r="C2858" s="1" t="n">
        <v>45292</v>
      </c>
      <c r="D2858" t="inlineStr">
        <is>
          <t>VÄSTERBOTTENS LÄN</t>
        </is>
      </c>
      <c r="E2858" t="inlineStr">
        <is>
          <t>SKELLEFTEÅ</t>
        </is>
      </c>
      <c r="G2858" t="n">
        <v>19.2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>
      <c r="A2859" t="inlineStr">
        <is>
          <t>A 65243-2023</t>
        </is>
      </c>
      <c r="B2859" s="1" t="n">
        <v>45289</v>
      </c>
      <c r="C2859" s="1" t="n">
        <v>45292</v>
      </c>
      <c r="D2859" t="inlineStr">
        <is>
          <t>VÄSTERBOTTENS LÄN</t>
        </is>
      </c>
      <c r="E2859" t="inlineStr">
        <is>
          <t>SKELLEFTEÅ</t>
        </is>
      </c>
      <c r="G2859" t="n">
        <v>22.2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2024-01-01T10:06:19Z</dcterms:created>
  <dcterms:modified xmlns:dcterms="http://purl.org/dc/terms/" xmlns:xsi="http://www.w3.org/2001/XMLSchema-instance" xsi:type="dcterms:W3CDTF">2024-01-01T10:06:20Z</dcterms:modified>
</cp:coreProperties>
</file>