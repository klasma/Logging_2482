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45824</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45824</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45824</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45824</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45824</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45824</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45824</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45824</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45824</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45824</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45824</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45824</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45824</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45824</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45824</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45824</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45824</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45824</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45824</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45824</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45824</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45824</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31079-2021</t>
        </is>
      </c>
      <c r="B24" s="1" t="n">
        <v>44368</v>
      </c>
      <c r="C24" s="1" t="n">
        <v>45824</v>
      </c>
      <c r="D24" t="inlineStr">
        <is>
          <t>VÄSTERBOTTENS LÄN</t>
        </is>
      </c>
      <c r="E24" t="inlineStr">
        <is>
          <t>SKELLEFTEÅ</t>
        </is>
      </c>
      <c r="F24" t="inlineStr">
        <is>
          <t>Holmen skog AB</t>
        </is>
      </c>
      <c r="G24" t="n">
        <v>6.9</v>
      </c>
      <c r="H24" t="n">
        <v>1</v>
      </c>
      <c r="I24" t="n">
        <v>5</v>
      </c>
      <c r="J24" t="n">
        <v>6</v>
      </c>
      <c r="K24" t="n">
        <v>0</v>
      </c>
      <c r="L24" t="n">
        <v>0</v>
      </c>
      <c r="M24" t="n">
        <v>0</v>
      </c>
      <c r="N24" t="n">
        <v>0</v>
      </c>
      <c r="O24" t="n">
        <v>6</v>
      </c>
      <c r="P24" t="n">
        <v>0</v>
      </c>
      <c r="Q24" t="n">
        <v>11</v>
      </c>
      <c r="R24" s="2" t="inlineStr">
        <is>
          <t>Gammelgransskål
Garnlav
Granticka
Lunglav
Ullticka
Violettgrå tagellav
Bårdlav
Luddlav
Skinnlav
Spindelblomster
Vedticka</t>
        </is>
      </c>
      <c r="S24">
        <f>HYPERLINK("https://klasma.github.io/Logging_2482/artfynd/A 31079-2021 artfynd.xlsx", "A 31079-2021")</f>
        <v/>
      </c>
      <c r="T24">
        <f>HYPERLINK("https://klasma.github.io/Logging_2482/kartor/A 31079-2021 karta.png", "A 31079-2021")</f>
        <v/>
      </c>
      <c r="V24">
        <f>HYPERLINK("https://klasma.github.io/Logging_2482/klagomål/A 31079-2021 FSC-klagomål.docx", "A 31079-2021")</f>
        <v/>
      </c>
      <c r="W24">
        <f>HYPERLINK("https://klasma.github.io/Logging_2482/klagomålsmail/A 31079-2021 FSC-klagomål mail.docx", "A 31079-2021")</f>
        <v/>
      </c>
      <c r="X24">
        <f>HYPERLINK("https://klasma.github.io/Logging_2482/tillsyn/A 31079-2021 tillsynsbegäran.docx", "A 31079-2021")</f>
        <v/>
      </c>
      <c r="Y24">
        <f>HYPERLINK("https://klasma.github.io/Logging_2482/tillsynsmail/A 31079-2021 tillsynsbegäran mail.docx", "A 31079-2021")</f>
        <v/>
      </c>
    </row>
    <row r="25" ht="15" customHeight="1">
      <c r="A25" t="inlineStr">
        <is>
          <t>A 9162-2024</t>
        </is>
      </c>
      <c r="B25" s="1" t="n">
        <v>45358</v>
      </c>
      <c r="C25" s="1" t="n">
        <v>45824</v>
      </c>
      <c r="D25" t="inlineStr">
        <is>
          <t>VÄSTERBOTTENS LÄN</t>
        </is>
      </c>
      <c r="E25" t="inlineStr">
        <is>
          <t>SKELLEFTEÅ</t>
        </is>
      </c>
      <c r="G25" t="n">
        <v>19.7</v>
      </c>
      <c r="H25" t="n">
        <v>3</v>
      </c>
      <c r="I25" t="n">
        <v>1</v>
      </c>
      <c r="J25" t="n">
        <v>8</v>
      </c>
      <c r="K25" t="n">
        <v>2</v>
      </c>
      <c r="L25" t="n">
        <v>0</v>
      </c>
      <c r="M25" t="n">
        <v>0</v>
      </c>
      <c r="N25" t="n">
        <v>0</v>
      </c>
      <c r="O25" t="n">
        <v>10</v>
      </c>
      <c r="P25" t="n">
        <v>2</v>
      </c>
      <c r="Q25" t="n">
        <v>11</v>
      </c>
      <c r="R25" s="2" t="inlineStr">
        <is>
          <t>Knärot
Ulltickeporing
Gammelgransskål
Garnlav
Granticka
Spillkråka
Tallriska
Tretåig hackspett
Ullticka
Violettgrå tagellav
Vedticka</t>
        </is>
      </c>
      <c r="S25">
        <f>HYPERLINK("https://klasma.github.io/Logging_2482/artfynd/A 9162-2024 artfynd.xlsx", "A 9162-2024")</f>
        <v/>
      </c>
      <c r="T25">
        <f>HYPERLINK("https://klasma.github.io/Logging_2482/kartor/A 9162-2024 karta.png", "A 9162-2024")</f>
        <v/>
      </c>
      <c r="U25">
        <f>HYPERLINK("https://klasma.github.io/Logging_2482/knärot/A 9162-2024 karta knärot.png", "A 9162-2024")</f>
        <v/>
      </c>
      <c r="V25">
        <f>HYPERLINK("https://klasma.github.io/Logging_2482/klagomål/A 9162-2024 FSC-klagomål.docx", "A 9162-2024")</f>
        <v/>
      </c>
      <c r="W25">
        <f>HYPERLINK("https://klasma.github.io/Logging_2482/klagomålsmail/A 9162-2024 FSC-klagomål mail.docx", "A 9162-2024")</f>
        <v/>
      </c>
      <c r="X25">
        <f>HYPERLINK("https://klasma.github.io/Logging_2482/tillsyn/A 9162-2024 tillsynsbegäran.docx", "A 9162-2024")</f>
        <v/>
      </c>
      <c r="Y25">
        <f>HYPERLINK("https://klasma.github.io/Logging_2482/tillsynsmail/A 9162-2024 tillsynsbegäran mail.docx", "A 9162-2024")</f>
        <v/>
      </c>
      <c r="Z25">
        <f>HYPERLINK("https://klasma.github.io/Logging_2482/fåglar/A 9162-2024 prioriterade fågelarter.docx", "A 9162-2024")</f>
        <v/>
      </c>
    </row>
    <row r="26" ht="15" customHeight="1">
      <c r="A26" t="inlineStr">
        <is>
          <t>A 63587-2019</t>
        </is>
      </c>
      <c r="B26" s="1" t="n">
        <v>43780</v>
      </c>
      <c r="C26" s="1" t="n">
        <v>45824</v>
      </c>
      <c r="D26" t="inlineStr">
        <is>
          <t>VÄSTERBOTTENS LÄN</t>
        </is>
      </c>
      <c r="E26" t="inlineStr">
        <is>
          <t>SKELLEFTEÅ</t>
        </is>
      </c>
      <c r="F26" t="inlineStr">
        <is>
          <t>Naturvårdsverket</t>
        </is>
      </c>
      <c r="G26" t="n">
        <v>6.1</v>
      </c>
      <c r="H26" t="n">
        <v>5</v>
      </c>
      <c r="I26" t="n">
        <v>4</v>
      </c>
      <c r="J26" t="n">
        <v>2</v>
      </c>
      <c r="K26" t="n">
        <v>0</v>
      </c>
      <c r="L26" t="n">
        <v>1</v>
      </c>
      <c r="M26" t="n">
        <v>0</v>
      </c>
      <c r="N26" t="n">
        <v>0</v>
      </c>
      <c r="O26" t="n">
        <v>3</v>
      </c>
      <c r="P26" t="n">
        <v>1</v>
      </c>
      <c r="Q26" t="n">
        <v>10</v>
      </c>
      <c r="R26" s="2" t="inlineStr">
        <is>
          <t>Grönfink
Granticka
Nordfladdermus
Barkticka
Robust tickgnagare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55811-2020</t>
        </is>
      </c>
      <c r="B27" s="1" t="n">
        <v>44132</v>
      </c>
      <c r="C27" s="1" t="n">
        <v>45824</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45824</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45824</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45824</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45824</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45824</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47887-2024</t>
        </is>
      </c>
      <c r="B33" s="1" t="n">
        <v>45588</v>
      </c>
      <c r="C33" s="1" t="n">
        <v>45824</v>
      </c>
      <c r="D33" t="inlineStr">
        <is>
          <t>VÄSTERBOTTENS LÄN</t>
        </is>
      </c>
      <c r="E33" t="inlineStr">
        <is>
          <t>SKELLEFTEÅ</t>
        </is>
      </c>
      <c r="F33" t="inlineStr">
        <is>
          <t>Sveaskog</t>
        </is>
      </c>
      <c r="G33" t="n">
        <v>24.7</v>
      </c>
      <c r="H33" t="n">
        <v>3</v>
      </c>
      <c r="I33" t="n">
        <v>2</v>
      </c>
      <c r="J33" t="n">
        <v>7</v>
      </c>
      <c r="K33" t="n">
        <v>0</v>
      </c>
      <c r="L33" t="n">
        <v>0</v>
      </c>
      <c r="M33" t="n">
        <v>0</v>
      </c>
      <c r="N33" t="n">
        <v>0</v>
      </c>
      <c r="O33" t="n">
        <v>7</v>
      </c>
      <c r="P33" t="n">
        <v>0</v>
      </c>
      <c r="Q33" t="n">
        <v>10</v>
      </c>
      <c r="R33" s="2" t="inlineStr">
        <is>
          <t>Blanksvart spiklav
Blågrå svartspik
Garnlav
Harticka
Nordtagging
Talltita
Vedflamlav
Dropptaggsvamp
Plattlummer
Tjäder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50032-2024</t>
        </is>
      </c>
      <c r="B34" s="1" t="n">
        <v>45599</v>
      </c>
      <c r="C34" s="1" t="n">
        <v>45824</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45824</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45824</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45824</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45824</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45824</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53424-2024</t>
        </is>
      </c>
      <c r="B40" s="1" t="n">
        <v>45614</v>
      </c>
      <c r="C40" s="1" t="n">
        <v>45824</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45824</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45824</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45824</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45824</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45824</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45824</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45824</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45824</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45824</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45824</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45824</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45824</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45824</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45824</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45824</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45824</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45824</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45824</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45824</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45824</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45824</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45824</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45824</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45824</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45824</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45824</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45824</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45824</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45824</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45824</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45824</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45824</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45824</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45824</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45824</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45824</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45824</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45824</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45824</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45824</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45824</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45824</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45824</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45824</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45824</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45824</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45824</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45824</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45824</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45824</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45824</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45824</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45824</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45824</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45824</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45824</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45824</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45824</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45824</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45824</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45824</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45824</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45824</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45824</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45824</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45824</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45824</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45824</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45824</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45824</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45824</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45824</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45824</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45824</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45824</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45824</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45824</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45824</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45824</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45824</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45824</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45824</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45824</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45824</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45824</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45824</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45824</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45824</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45824</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45824</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45824</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45824</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45824</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45824</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45824</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45824</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45824</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45824</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45824</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45824</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45824</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45824</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45824</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45824</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45824</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45824</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45824</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45824</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45824</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45824</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45824</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45824</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45824</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45824</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45824</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45824</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45824</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45824</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45824</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45824</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45824</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45824</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45824</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45824</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45824</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45824</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45824</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45824</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45824</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45824</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45824</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45824</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45824</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45824</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45824</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45824</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45824</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45824</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45824</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45824</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45824</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45824</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45824</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45824</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45824</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45824</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45824</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45824</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45824</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45824</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45824</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45824</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45824</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45824</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45824</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45824</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45824</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45824</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45824</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45824</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45824</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45824</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45824</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45824</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45824</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45824</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45824</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45824</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45824</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45824</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45824</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45824</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45824</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45824</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45824</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45824</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45824</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45824</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45824</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45824</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45824</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45824</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45824</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45824</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45824</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45824</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45824</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45824</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45824</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45824</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45824</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45824</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45824</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45824</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45824</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45824</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45824</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45824</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45824</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45824</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45824</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45824</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45824</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45824</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45824</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45824</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45824</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45824</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45824</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45824</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45824</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45824</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45824</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45824</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45824</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45824</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45824</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45824</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45824</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45824</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45824</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45824</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45824</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45824</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45824</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45824</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45824</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45824</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45824</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45824</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45824</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45824</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45824</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45824</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45824</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45824</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45824</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45824</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45824</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45824</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45824</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45824</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45824</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45824</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45824</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45824</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45824</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45824</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45824</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45824</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45824</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45824</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45824</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45824</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45824</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45824</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45824</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45824</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45824</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45824</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45824</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45824</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45824</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45824</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45824</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45824</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45824</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45824</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45824</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45824</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45824</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45824</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45824</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45824</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45824</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45824</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45824</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45824</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45824</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45824</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45824</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45824</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45824</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45824</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45824</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45824</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45824</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45824</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45824</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45824</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45824</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45824</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45824</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45824</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45824</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45824</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45824</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45824</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45824</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45824</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45824</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45824</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45824</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45824</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45824</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45824</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45824</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45824</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45824</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45824</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45824</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45824</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45824</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45824</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45824</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45824</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45824</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45824</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45824</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45824</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45824</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45824</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45824</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45824</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45824</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45824</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45824</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45824</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45824</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45824</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45824</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45824</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45824</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45824</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45824</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45824</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45824</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45824</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45824</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45824</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45824</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45824</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45824</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45824</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45824</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45824</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45824</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45824</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45824</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45824</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45824</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45824</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45824</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45824</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45824</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45824</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45824</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45824</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45824</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45824</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45824</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45824</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45824</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45824</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45824</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45824</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45824</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45824</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45824</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45824</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45824</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45824</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45824</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45824</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45824</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45824</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45824</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45824</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45824</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45824</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45824</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45824</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45824</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45824</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45824</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45824</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45824</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45824</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45824</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45824</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45824</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45824</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45824</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45824</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45824</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45824</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45824</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45824</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45824</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45824</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45824</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45824</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45824</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45824</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45824</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45824</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45824</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45824</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45824</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45824</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45824</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45824</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45824</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45824</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45824</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45824</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45824</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45824</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45824</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45824</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45824</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45824</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45824</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45824</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45824</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45824</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45824</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45824</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45824</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45824</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45824</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45824</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45824</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45824</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45824</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45824</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45824</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45824</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45824</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45824</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45824</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45824</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45824</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45824</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45824</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45824</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45824</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45824</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45824</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45824</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45824</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45824</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45824</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45824</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45824</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45824</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45824</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45824</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45824</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45824</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45824</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45824</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45824</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45824</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45824</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45824</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45824</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45824</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45824</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45824</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45824</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45824</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45824</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45824</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45824</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45824</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45824</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45824</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45824</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45824</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45824</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45824</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45824</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45824</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45824</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45824</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45824</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45824</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45824</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45824</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45824</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45824</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45824</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45824</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45824</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45824</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45824</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45824</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45824</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45824</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45824</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45824</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45824</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45824</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45824</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45824</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45824</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45824</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45824</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45824</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45824</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45824</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45824</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45824</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45824</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45824</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45824</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45824</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45824</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45824</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45824</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45824</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45824</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45824</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45824</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45824</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45824</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45824</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45824</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45824</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45824</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45824</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45824</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45824</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45824</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45824</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45824</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45824</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45824</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45824</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45824</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45824</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45824</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45824</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45824</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45824</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45824</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45824</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45824</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45824</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45824</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45824</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45824</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45824</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45824</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45824</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45824</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45824</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45824</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45824</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45824</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45824</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45824</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45824</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45824</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45824</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45824</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45824</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45824</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45824</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45824</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45824</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45824</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45824</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45824</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45824</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45824</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45824</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45824</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45824</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45824</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45824</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45824</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45824</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45824</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45824</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45824</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45824</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45824</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45824</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45824</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45824</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45824</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45824</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45824</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45824</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45824</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45824</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45824</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45824</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45824</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45824</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45824</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45824</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45824</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45824</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45824</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45824</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45824</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45824</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45824</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45824</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45824</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45824</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45824</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45824</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45824</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45824</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45824</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45824</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45824</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45824</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45824</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45824</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45824</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45824</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45824</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45824</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45824</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45824</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45824</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45824</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45824</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45824</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45824</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45824</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45824</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45824</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45824</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45824</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45824</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45824</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45824</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45824</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45824</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45824</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45824</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45824</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45824</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45824</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45824</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45824</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45824</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45824</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45824</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45824</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45824</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45824</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45824</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45824</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45824</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45824</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45824</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45824</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45824</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45824</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45824</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45824</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45824</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45824</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45824</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45824</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45824</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45824</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45824</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45824</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45824</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45824</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45824</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45824</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45824</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45824</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45824</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45824</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45824</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45824</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45824</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45824</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45824</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45824</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45824</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45824</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45824</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45824</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45824</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45824</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45824</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45824</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45824</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45824</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45824</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45824</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45824</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45824</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45824</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45824</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45824</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45824</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45824</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45824</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45824</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45824</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45824</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45824</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45824</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45824</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45824</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45824</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45824</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45824</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45824</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45824</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45824</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45824</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45824</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45824</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45824</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45824</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45824</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45824</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45824</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45824</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45824</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45824</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45824</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45824</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45824</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45824</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45824</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45824</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45824</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45824</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45824</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45824</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45824</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45824</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45824</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45824</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45824</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45824</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45824</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45824</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45824</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45824</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45824</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45824</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45824</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45824</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45824</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45824</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45824</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45824</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45824</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45824</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45824</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45824</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45824</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45824</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45824</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45824</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45824</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45824</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45824</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45824</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45824</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45824</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45824</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45824</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45824</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45824</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45824</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45824</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45824</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45824</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45824</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45824</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45824</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45824</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45824</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45824</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45824</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45824</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45824</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45824</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45824</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45824</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45824</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45824</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45824</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45824</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45824</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45824</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45824</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45824</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45824</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45824</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45824</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45824</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45824</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45824</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45824</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45824</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45824</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45824</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45824</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45824</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45824</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45824</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45824</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45824</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45824</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45824</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45824</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45824</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45824</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45824</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45824</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45824</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45824</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45824</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45824</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45824</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45824</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45824</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45824</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45824</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45824</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45824</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45824</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45824</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45824</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45824</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45824</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45824</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45824</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45824</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45824</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45824</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45824</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45824</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45824</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45824</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45824</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45824</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45824</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45824</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45824</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45824</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45824</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45824</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45824</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45824</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45824</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45824</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45824</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45824</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45824</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45824</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45824</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45824</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45824</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45824</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45824</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45824</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45824</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45824</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45824</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45824</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45824</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45824</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45824</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45824</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45824</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45824</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45824</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45824</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45824</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45824</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45824</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45824</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45824</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45824</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45824</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45824</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45824</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45824</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45824</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45824</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45824</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45824</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45824</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45824</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45824</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45824</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45824</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45824</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45824</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45824</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45824</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45824</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45824</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45824</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45824</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45824</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45824</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45824</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45824</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45824</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45824</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45824</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45824</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45824</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45824</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45824</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45824</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45824</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45824</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45824</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45824</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45824</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45824</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45824</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45824</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45824</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45824</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45824</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45824</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45824</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45824</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45824</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45824</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45824</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45824</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45824</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45824</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45824</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45824</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45824</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45824</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45824</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45824</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45824</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45824</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45824</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45824</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45824</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45824</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45824</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45824</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45824</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45824</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45824</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45824</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45824</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45824</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45824</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45824</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45824</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45824</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45824</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45824</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45824</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45824</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45824</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45824</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45824</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45824</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45824</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45824</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45824</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45824</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45824</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45824</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45824</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45824</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45824</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45824</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45824</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45824</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45824</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45824</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45824</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45824</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45824</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45824</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45824</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45824</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45824</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45824</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45824</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45824</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45824</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45824</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45824</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45824</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45824</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45824</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45824</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45824</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45824</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45824</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45824</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45824</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45824</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45824</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45824</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45824</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45824</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45824</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45824</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45824</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45824</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45824</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45824</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45824</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45824</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45824</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45824</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45824</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45824</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45824</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45824</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45824</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45824</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45824</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45824</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45824</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45824</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45824</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45824</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45824</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45824</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45824</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45824</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45824</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45824</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45824</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45824</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45824</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45824</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45824</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45824</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45824</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45824</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45824</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45824</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45824</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45824</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45824</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45824</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45824</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45824</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45824</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45824</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45824</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45824</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45824</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45824</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45824</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45824</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45824</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45824</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45824</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45824</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45824</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45824</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45824</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45824</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45824</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45824</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45824</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45824</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45824</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45824</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45824</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45824</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45824</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45824</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45824</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45824</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45824</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45824</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45824</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45824</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45824</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45824</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45824</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45824</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45824</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45824</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45824</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45824</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45824</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45824</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45824</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45824</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45824</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45824</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45824</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45824</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45824</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45824</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45824</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45824</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45824</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45824</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45824</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45824</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45824</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45824</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45824</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45824</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45824</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45824</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45824</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45824</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45824</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45824</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45824</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45824</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45824</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45824</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45824</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45824</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45824</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45824</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45824</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45824</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45824</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45824</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45824</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45824</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45824</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45824</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45824</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45824</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45824</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45824</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45824</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45824</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45824</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45824</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45824</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45824</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45824</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45824</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45824</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45824</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45824</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45824</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45824</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45824</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45824</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45824</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45824</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45824</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45824</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45824</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45824</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45824</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45824</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45824</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45824</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45824</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45824</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45824</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45824</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45824</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45824</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45824</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45824</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45824</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45824</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45824</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45824</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45824</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45824</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45824</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45824</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45824</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45824</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45824</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45824</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45824</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45824</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45824</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45824</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45824</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45824</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45824</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45824</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45824</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45824</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45824</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45824</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45824</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45824</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45824</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45824</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45824</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45824</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45824</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45824</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45824</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45824</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45824</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45824</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45824</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45824</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45824</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45824</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45824</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45824</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45824</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45824</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45824</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45824</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45824</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45824</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45824</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45824</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45824</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45824</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45824</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45824</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45824</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45824</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45824</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45824</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45824</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45824</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45824</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45824</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45824</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45824</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45824</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45824</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45824</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45824</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45824</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45824</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45824</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45824</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45824</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45824</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45824</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45824</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45824</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45824</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45824</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45824</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45824</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45824</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45824</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45824</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45824</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45824</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45824</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45824</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45824</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45824</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45824</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45824</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45824</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45824</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45824</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45824</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45824</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45824</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45824</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45824</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45824</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45824</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45824</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45824</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45824</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45824</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45824</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45824</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45824</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45824</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45824</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45824</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45824</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45824</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45824</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45824</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45824</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45824</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45824</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45824</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45824</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45824</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45824</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45824</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45824</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45824</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45824</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45824</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45824</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45824</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45824</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45824</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45824</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45824</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45824</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45824</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45824</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45824</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45824</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45824</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45824</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45824</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45824</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45824</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45824</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45824</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45824</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45824</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45824</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45824</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45824</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45824</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45824</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45824</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45824</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45824</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45824</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45824</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45824</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45824</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45824</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45824</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45824</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45824</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45824</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45824</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45824</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45824</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45824</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45824</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45824</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45824</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45824</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45824</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45824</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45824</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45824</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45824</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45824</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45824</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45824</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45824</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45824</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45824</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45824</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45824</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45824</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45824</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45824</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45824</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45824</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45824</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45824</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45824</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45824</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45824</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45824</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45824</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45824</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45824</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45824</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45824</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45824</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45824</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45824</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45824</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45824</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45824</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45824</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45824</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45824</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45824</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45824</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45824</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45824</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45824</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45824</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45824</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45824</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45824</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45824</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45824</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45824</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45824</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45824</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45824</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45824</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45824</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45824</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45824</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45824</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45824</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45824</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45824</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45824</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45824</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45824</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45824</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45824</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45824</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45824</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45824</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45824</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45824</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45824</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45824</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45824</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45824</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45824</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45824</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45824</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45824</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45824</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45824</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45824</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45824</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45824</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45824</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45824</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45824</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45824</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45824</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45824</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45824</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45824</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45824</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45824</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45824</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45824</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45824</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45824</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45824</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45824</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45824</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45824</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45824</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45824</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45824</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45824</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45824</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45824</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45824</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45824</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45824</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45824</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45824</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45824</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45824</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45824</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45824</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45824</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45824</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45824</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45824</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45824</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45824</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45824</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45824</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45824</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45824</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45824</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45824</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45824</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45824</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45824</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45824</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45824</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45824</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45824</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45824</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45824</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45824</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45824</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45824</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45824</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45824</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45824</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45824</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45824</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45824</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45824</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45824</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45824</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45824</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45824</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45824</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45824</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45824</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45824</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45824</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45824</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45824</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45824</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45824</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45824</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45824</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45824</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45824</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45824</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45824</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45824</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45824</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45824</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45824</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45824</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45824</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45824</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45824</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45824</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45824</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45824</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45824</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45824</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45824</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45824</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45824</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45824</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45824</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45824</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45824</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45824</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45824</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45824</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45824</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45824</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45824</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45824</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45824</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45824</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45824</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45824</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45824</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45824</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45824</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45824</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45824</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45824</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45824</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45824</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45824</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45824</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45824</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45824</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45824</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45824</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45824</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45824</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45824</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45824</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45824</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45824</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45824</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45824</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45824</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45824</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45824</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45824</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45824</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45824</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45824</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45824</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45824</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45824</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45824</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45824</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45824</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45824</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45824</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45824</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45824</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45824</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45824</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45824</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45824</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45824</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45824</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45824</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45824</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45824</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45824</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45824</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45824</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45824</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45824</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45824</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45824</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45824</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45824</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45824</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45824</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45824</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45824</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45824</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45824</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45824</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45824</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45824</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45824</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45824</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45824</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45824</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45824</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45824</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45824</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45824</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45824</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45824</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45824</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45824</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45824</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45824</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45824</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45824</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45824</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45824</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45824</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45824</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45824</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45824</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45824</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45824</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45824</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45824</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45824</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45824</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45824</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45824</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45824</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45824</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45824</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45824</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45824</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45824</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45824</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45824</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45824</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45824</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45824</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45824</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45824</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45824</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45824</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45824</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45824</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45824</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45824</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45824</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45824</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45824</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45824</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45824</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45824</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45824</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45824</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45824</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45824</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45824</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45824</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45824</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45824</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45824</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45824</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45824</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45824</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45824</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45824</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45824</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45824</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45824</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45824</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45824</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45824</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45824</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45824</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45824</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45824</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45824</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45824</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45824</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45824</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45824</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45824</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45824</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45824</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45824</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45824</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45824</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45824</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45824</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45824</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45824</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45824</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45824</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45824</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45824</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45824</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45824</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45824</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45824</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45824</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45824</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45824</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45824</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45824</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45824</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45824</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45824</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45824</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45824</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45824</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45824</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45824</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45824</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45824</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45824</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45824</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45824</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45824</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45824</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45824</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45824</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45824</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45824</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45824</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45824</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45824</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45824</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45824</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45824</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45824</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45824</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45824</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45824</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45824</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45824</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45824</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45824</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45824</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45824</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45824</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45824</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45824</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45824</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45824</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45824</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45824</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45824</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45824</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45824</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45824</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45824</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45824</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45824</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45824</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45824</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45824</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45824</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45824</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45824</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45824</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45824</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45824</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45824</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45824</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45824</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45824</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45824</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45824</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45824</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45824</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45824</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45824</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45824</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45824</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45824</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45824</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45824</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45824</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45824</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45824</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45824</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45824</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45824</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45824</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45824</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45824</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45824</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45824</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45824</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45824</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45824</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45824</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45824</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45824</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45824</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45824</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45824</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45824</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45824</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45824</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45824</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45824</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45824</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45824</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45824</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45824</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45824</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45824</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45824</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45824</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45824</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45824</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45824</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45824</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45824</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45824</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45824</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45824</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45824</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45824</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45824</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45824</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45824</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45824</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45824</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45824</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45824</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45824</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45824</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45824</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45824</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45824</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45824</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45824</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45824</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45824</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45824</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45824</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45824</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45824</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45824</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45824</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45824</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45824</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45824</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45824</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45824</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45824</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45824</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45824</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45824</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45824</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45824</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45824</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45824</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45824</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45824</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45824</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45824</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45824</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45824</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45824</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45824</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45824</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45824</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45824</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45824</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45824</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45824</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45824</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45824</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45824</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45824</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45824</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45824</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45824</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45824</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45824</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45824</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45824</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45824</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45824</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45824</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45824</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45824</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45824</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45824</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45824</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45824</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45824</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45824</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45824</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45824</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45824</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45824</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45824</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45824</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45824</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45824</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45824</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45824</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45824</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45824</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45824</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45824</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45824</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45824</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45824</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45824</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45824</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45824</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45824</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45824</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45824</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45824</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45824</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45824</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45824</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45824</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45824</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45824</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45824</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45824</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45824</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45824</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45824</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45824</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45824</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45824</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45824</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45824</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45824</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45824</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45824</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45824</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45824</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45824</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45824</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45824</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45824</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45824</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45824</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45824</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45824</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45824</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45824</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45824</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45824</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45824</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45824</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45824</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45824</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45824</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45824</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45824</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45824</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45824</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45824</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45824</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45824</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45824</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45824</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45824</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45824</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45824</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45824</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45824</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45824</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45824</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45824</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45824</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45824</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45824</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45824</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45824</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45824</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45824</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45824</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45824</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45824</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45824</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45824</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45824</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45824</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45824</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45824</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45824</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45824</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45824</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45824</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45824</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45824</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45824</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45824</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45824</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45824</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45824</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45824</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45824</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45824</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45824</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45824</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45824</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45824</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45824</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45824</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45824</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45824</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45824</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45824</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45824</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45824</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45824</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45824</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45824</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45824</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45824</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45824</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45824</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45824</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45824</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45824</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45824</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45824</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45824</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45824</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45824</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45824</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45824</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45824</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45824</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45824</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45824</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45824</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45824</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45824</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45824</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45824</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45824</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45824</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45824</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45824</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45824</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45824</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45824</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45824</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45824</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45824</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45824</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45824</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45824</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45824</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45824</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45824</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45824</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45824</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45824</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45824</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45824</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45824</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45824</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45824</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45824</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45824</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45824</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45824</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45824</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45824</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45824</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45824</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45824</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45824</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45824</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45824</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45824</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45824</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45824</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45824</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45824</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45824</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45824</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45824</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45824</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45824</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45824</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45824</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45824</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45824</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45824</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45824</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45824</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45824</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45824</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45824</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45824</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45824</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45824</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45824</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45824</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45824</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45824</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45824</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45824</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45824</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45824</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45824</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45824</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45824</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45824</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45824</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45824</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45824</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45824</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45824</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45824</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45824</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45824</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45824</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45824</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45824</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45824</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45824</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45824</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45824</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45824</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45824</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45824</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45824</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45824</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45824</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45824</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45824</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45824</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45824</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45824</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45824</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45824</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45824</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45824</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45824</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45824</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45824</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45824</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45824</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45824</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45824</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45824</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45824</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45824</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45824</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45824</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45824</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45824</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45824</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45824</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45824</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45824</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45824</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45824</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45824</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45824</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45824</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45824</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45824</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45824</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45824</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45824</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45824</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45824</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45824</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45824</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45824</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45824</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45824</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45824</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45824</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45824</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45824</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45824</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45824</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45824</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45824</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45824</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45824</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45824</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45824</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45824</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45824</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45824</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45824</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45824</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45824</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45824</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45824</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45824</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45824</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45824</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45824</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45824</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45824</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45824</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45824</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45824</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45824</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45824</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45824</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45824</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45824</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45824</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45824</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45824</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45824</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45824</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45824</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45824</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45824</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45824</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45824</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45824</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45824</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45824</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45824</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45824</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45824</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45824</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45824</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45824</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45824</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45824</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45824</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45824</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45824</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45824</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45824</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45824</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45824</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45824</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45824</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45824</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45824</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45824</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45824</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45824</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45824</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45824</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45824</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45824</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45824</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45824</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45824</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45824</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45824</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45824</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45824</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45824</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45824</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45824</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45824</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45824</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45824</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45824</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45824</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45824</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45824</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45824</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45824</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45824</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45824</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45824</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45824</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45824</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45824</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45824</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45824</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45824</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45824</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45824</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45824</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45824</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45824</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45824</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45824</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45824</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45824</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45824</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45824</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45824</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45824</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45824</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45824</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45824</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45824</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45824</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45824</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45824</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45824</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45824</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45824</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45824</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45824</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45824</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45824</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45824</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45824</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45824</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45824</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45824</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45824</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45824</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45824</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45824</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45824</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45824</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45824</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45824</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45824</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45824</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45824</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45824</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45824</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45824</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45824</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45824</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45824</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45824</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45824</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45824</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45824</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45824</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45824</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45824</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45824</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45824</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45824</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45824</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45824</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45824</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45824</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45824</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45824</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45824</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45824</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45824</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45824</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45824</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45824</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45824</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45824</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45824</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45824</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45824</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45824</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45824</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45824</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45824</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45824</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45824</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45824</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45824</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45824</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45824</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45824</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45824</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45824</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45824</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45824</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45824</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45824</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45824</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45824</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45824</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45824</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45824</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45824</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45824</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45824</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45824</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45824</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45824</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45824</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45824</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45824</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45824</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45824</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45824</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45824</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45824</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45824</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45824</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45824</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45824</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45824</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45824</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45824</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45824</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45824</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45824</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45824</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45824</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45824</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45824</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45824</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45824</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45824</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45824</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45824</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45824</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45824</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45824</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45824</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45824</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45824</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45824</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45824</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45824</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45824</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45824</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45824</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45824</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45824</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45824</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45824</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45824</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45824</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45824</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45824</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45824</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45824</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45824</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45824</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45824</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45824</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45824</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45824</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45824</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45824</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45824</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45824</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45824</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45824</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45824</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45824</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45824</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45824</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45824</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45824</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45824</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45824</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45824</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45824</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45824</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45824</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45824</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45824</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45824</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45824</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45824</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45824</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45824</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45824</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45824</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45824</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45824</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45824</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45824</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45824</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45824</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45824</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45824</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45824</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45824</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45824</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45824</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45824</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45824</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45824</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45824</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45824</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45824</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45824</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45824</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45824</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45824</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45824</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45824</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45824</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45824</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45824</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45824</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45824</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45824</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45824</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45824</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45824</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45824</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45824</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45824</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45824</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45824</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45824</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45824</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45824</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45824</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45824</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45824</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45824</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45824</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45824</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45824</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45824</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45824</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45824</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45824</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45824</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45824</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45824</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45824</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45824</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45824</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45824</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45824</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45824</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45824</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45824</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45824</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45824</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45824</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45824</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45824</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45824</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45824</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45824</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45824</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45824</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45824</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45824</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45824</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45824</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45824</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45824</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45824</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45824</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45824</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45824</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45824</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45824</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45824</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45824</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45824</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45824</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45824</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45824</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45824</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45824</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45824</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45824</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45824</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45824</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45824</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45824</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45824</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45824</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45824</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45824</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45824</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45824</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45824</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45824</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45824</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45824</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45824</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45824</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45824</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45824</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45824</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45824</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45824</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45824</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45824</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45824</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45824</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45824</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45824</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45824</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45824</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45824</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45824</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45824</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45824</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45824</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45824</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45824</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45824</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45824</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45824</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45824</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45824</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45824</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45824</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45824</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45824</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45824</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45824</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45824</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45824</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45824</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45824</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45824</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45824</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45824</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45824</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45824</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45824</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45824</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45824</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45824</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45824</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45824</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45824</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45824</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45824</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45824</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45824</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45824</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45824</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45824</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45824</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45824</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45824</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45824</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45824</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45824</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45824</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45824</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45824</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45824</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45824</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45824</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45824</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45824</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45824</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45824</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45824</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45824</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45824</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45824</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45824</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45824</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45824</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45824</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45824</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45824</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45824</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45824</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45824</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45824</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45824</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45824</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45824</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45824</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45824</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45824</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45824</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45824</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45824</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45824</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45824</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45824</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45824</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45824</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45824</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45824</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45824</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45824</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45824</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45824</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45824</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45824</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45824</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45824</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45824</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45824</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45824</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45824</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45824</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45824</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45824</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45824</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45824</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45824</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45824</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45824</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45824</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45824</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45824</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45824</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45824</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45824</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45824</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45824</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45824</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45824</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45824</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45824</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45824</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45824</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45824</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45824</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45824</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45824</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45824</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45824</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45824</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45824</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45824</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45824</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45824</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45824</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45824</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45824</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45824</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45824</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45824</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45824</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45824</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45824</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45824</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45824</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45824</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45824</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45824</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45824</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45824</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45824</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45824</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45824</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45824</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45824</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45824</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45824</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45824</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45824</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45824</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45824</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45824</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45824</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45824</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45824</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45824</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45824</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45824</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45824</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45824</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45824</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45824</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45824</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45824</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45824</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45824</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45824</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45824</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45824</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45824</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45824</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45824</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45824</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45824</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45824</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45824</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45824</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45824</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45824</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45824</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45824</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45824</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45824</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45824</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45824</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45824</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45824</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45824</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45824</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45824</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45824</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45824</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45824</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45824</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45824</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45824</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45824</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45824</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45824</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45824</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45824</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45824</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45824</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45824</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45824</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45824</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45824</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45824</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45824</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45824</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45824</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45824</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45824</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45824</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45824</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45824</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45824</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45824</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45824</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45824</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45824</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45824</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45824</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45824</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45824</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45824</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45824</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45824</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45824</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45824</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45824</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45824</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45824</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45824</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45824</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45824</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45824</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45824</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45824</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45824</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45824</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45824</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45824</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45824</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45824</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45824</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45824</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45824</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45824</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45824</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45824</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45824</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45824</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45824</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45824</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45824</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45824</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45824</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45824</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45824</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45824</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45824</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45824</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45824</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45824</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45824</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45824</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45824</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45824</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45824</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45824</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45824</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45824</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45824</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45824</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45824</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45824</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45824</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45824</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45824</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45824</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45824</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45824</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45824</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45824</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45824</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45824</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45824</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45824</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45824</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45824</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45824</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45824</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45824</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45824</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45824</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45824</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45824</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45824</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45824</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45824</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45824</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45824</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45824</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45824</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45824</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45824</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45824</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45824</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45824</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45824</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45824</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45824</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45824</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45824</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45824</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45824</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45824</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45824</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45824</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45824</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45824</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45824</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45824</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45824</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45824</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45824</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45824</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45824</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45824</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45824</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45824</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45824</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45824</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45824</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45824</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45824</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45824</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45824</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45824</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45824</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45824</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45824</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45824</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45824</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45824</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45824</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45824</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45824</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45824</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45824</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45824</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45824</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45824</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45824</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45824</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45824</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45824</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45824</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45824</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45824</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45824</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45824</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45824</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45824</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45824</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45824</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45824</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45824</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45824</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45824</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45824</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45824</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45824</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45824</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45824</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45824</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45824</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45824</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45824</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45824</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45824</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45824</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45824</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45824</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45824</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45824</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45824</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45824</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45824</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45824</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45824</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45824</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45824</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45824</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45824</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45824</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45824</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45824</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45824</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45824</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45824</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45824</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45824</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45824</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45824</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45824</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45824</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45824</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45824</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45824</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45824</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45824</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45824</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45824</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45824</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45824</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45824</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45824</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45824</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45824</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45824</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45824</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45824</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45824</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45824</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45824</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45824</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45824</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45824</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45824</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45824</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45824</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45824</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45824</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45824</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45824</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45824</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45824</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45824</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45824</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45824</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45824</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45824</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45824</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45824</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45824</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45824</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45824</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45824</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45824</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45824</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45824</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45824</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45824</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45824</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45824</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45824</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45824</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45824</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45824</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45824</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45824</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45824</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45824</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45824</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45824</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45824</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45824</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45824</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45824</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45824</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45824</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45824</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45824</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45824</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45824</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45824</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45824</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45824</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45824</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45824</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45824</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45824</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45824</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45824</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45824</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45824</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45824</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45824</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45824</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45824</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45824</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45824</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45824</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45824</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45824</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45824</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45824</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45824</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45824</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45824</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45824</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45824</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45824</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45824</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45824</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45824</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45824</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45824</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45824</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45824</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45824</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45824</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45824</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45824</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45824</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45824</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45824</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45824</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45824</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45824</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45824</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45824</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45824</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45824</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45824</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45824</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45824</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45824</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45824</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45824</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45824</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45824</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45824</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45824</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45824</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45824</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45824</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45824</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45824</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45824</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45824</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45824</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45824</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45824</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45824</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45824</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45824</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45824</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45824</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45824</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45824</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45824</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45824</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45824</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45824</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45824</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45824</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45824</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45824</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45824</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45824</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45824</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45824</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45824</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45824</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45824</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45824</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45824</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45824</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45824</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45824</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45824</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45824</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45824</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45824</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45824</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45824</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45824</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45824</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45824</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45824</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45824</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45824</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45824</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45824</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45824</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45824</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45824</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45824</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45824</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45824</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45824</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45824</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45824</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45824</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45824</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45824</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45824</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45824</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45824</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45824</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45824</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45824</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45824</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45824</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45824</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45824</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45824</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45824</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45824</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45824</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45824</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45824</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45824</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45824</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45824</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45824</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45824</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45824</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45824</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45824</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45824</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45824</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45824</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45824</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45824</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45824</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45824</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45824</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45824</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45824</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45824</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45824</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45824</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45824</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45824</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45824</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45824</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45824</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45824</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45824</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45824</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45824</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45824</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45824</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45824</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45824</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45824</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45824</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45824</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45824</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45824</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45824</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45824</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45824</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45824</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45824</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45824</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45824</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45824</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45824</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45824</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45824</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45824</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45824</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45824</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45824</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45824</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45824</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45824</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45824</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45824</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45824</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45824</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45824</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45824</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45824</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45824</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45824</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45824</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45824</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45824</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45824</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45824</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45824</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45824</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45824</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45824</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45824</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45824</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45824</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45824</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45824</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45824</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45824</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45824</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45824</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45824</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45824</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45824</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45824</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45824</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45824</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45824</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45824</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45824</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45824</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45824</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45824</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45824</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45824</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45824</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45824</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45824</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45824</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45824</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45824</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45824</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45824</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45824</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45824</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45824</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45824</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45824</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45824</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45824</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45824</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45824</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45824</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45824</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45824</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45824</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45824</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45824</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45824</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45824</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45824</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45824</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45824</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45824</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45824</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45824</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45824</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45824</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45824</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45824</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45824</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45824</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45824</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45824</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45824</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45824</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45824</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45824</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45824</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45824</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45824</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45824</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45824</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45824</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45824</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45824</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45824</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45824</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45824</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45824</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45824</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45824</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45824</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45824</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45824</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45824</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45824</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45824</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45824</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45824</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45824</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45824</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45824</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45824</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45824</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45824</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45824</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45824</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45824</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45824</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45824</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45824</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45824</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45824</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45824</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45824</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45824</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45824</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45824</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45824</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45824</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45824</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45824</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45824</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45824</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45824</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45824</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45824</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45824</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45824</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45824</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45824</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45824</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45824</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45824</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45824</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45824</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45824</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45824</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45824</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45824</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45824</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45824</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45824</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45824</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45824</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45824</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45824</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45824</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45824</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45824</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45824</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45824</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45824</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45824</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45824</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45824</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45824</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45824</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45824</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45824</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45824</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45824</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45824</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45824</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45824</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45824</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45824</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45824</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45824</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45824</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45824</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45824</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45824</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45824</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45824</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45824</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45824</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45824</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45824</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45824</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45824</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45824</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45824</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45824</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45824</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45824</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45824</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45824</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45824</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45824</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45824</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45824</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45824</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45824</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45824</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45824</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45824</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45824</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45824</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45824</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45824</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45824</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45824</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45824</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45824</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45824</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45824</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45824</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45824</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45824</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45824</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45824</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45824</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45824</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45824</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45824</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45824</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45824</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45824</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45824</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45824</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45824</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45824</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45824</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45824</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45824</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45824</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45824</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45824</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45824</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45824</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45824</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45824</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45824</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45824</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45824</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45824</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45824</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45824</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45824</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45824</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45824</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45824</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45824</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45824</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45824</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45824</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45824</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45824</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45824</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45824</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45824</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45824</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45824</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45824</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45824</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45824</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45824</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45824</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45824</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45824</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45824</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45824</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45824</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45824</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45824</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45824</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45824</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45824</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45824</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45824</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45824</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45824</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45824</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45824</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45824</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45824</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45824</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45824</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45824</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45824</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45824</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45824</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45824</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45824</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45824</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45824</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45824</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45824</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45824</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45824</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45824</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45824</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45824</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45824</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45824</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45824</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45824</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45824</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45824</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45824</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45824</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45824</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45824</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45824</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45824</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45824</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45824</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45824</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45824</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45824</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45824</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45824</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45824</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45824</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45824</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45824</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45824</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45824</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45824</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45824</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45824</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45824</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45824</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45824</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45824</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45824</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45824</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45824</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45824</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45824</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45824</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45824</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45824</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45824</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45824</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45824</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45824</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45824</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45824</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45824</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45824</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45824</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45824</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45824</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45824</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45824</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45824</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45824</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45824</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45824</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45824</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45824</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45824</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45824</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45824</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45824</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45824</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45824</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45824</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45824</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45824</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45824</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45824</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45824</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45824</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45824</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45824</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45824</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45824</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45824</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45824</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45824</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45824</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45824</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45824</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45824</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45824</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45824</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45824</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45824</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45824</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45824</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45824</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45824</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45824</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45824</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45824</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45824</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45824</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45824</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45824</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45824</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45824</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45824</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45824</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45824</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45824</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45824</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45824</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45824</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45824</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45824</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45824</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45824</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45824</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45824</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45824</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45824</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45824</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45824</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45824</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45824</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45824</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45824</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45824</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45824</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45824</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45824</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45824</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45824</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45824</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45824</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45824</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45824</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45824</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45824</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45824</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45824</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45824</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45824</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45824</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45824</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45824</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45824</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45824</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45824</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45824</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45824</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45824</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45824</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45824</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45824</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45824</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45824</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45824</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45824</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45824</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45824</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45824</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45824</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45824</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45824</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45824</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45824</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45824</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45824</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45824</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45824</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45824</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45824</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45824</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45824</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45824</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45824</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45824</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45824</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45824</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45824</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45824</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45824</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45824</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45824</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45824</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45824</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45824</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45824</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45824</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45824</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45824</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45824</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45824</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45824</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45824</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45824</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45824</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45824</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45824</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45824</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45824</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45824</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45824</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45824</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45824</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45824</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45824</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45824</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45824</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45824</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45824</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45824</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45824</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45824</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45824</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45824</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45824</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45824</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45824</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45824</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45824</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45824</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45824</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45824</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45824</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45824</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45824</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45824</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45824</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45824</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45824</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45824</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45824</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45824</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45824</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45824</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45824</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45824</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45824</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45824</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45824</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45824</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45824</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45824</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45824</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45824</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45824</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45824</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45824</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45824</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45824</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45824</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45824</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45824</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45824</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45824</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45824</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45824</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45824</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45824</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45824</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45824</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45824</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45824</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45824</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45824</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45824</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45824</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45824</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45824</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45824</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45824</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45824</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45824</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45824</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45824</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45824</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45824</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45824</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45824</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45824</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45824</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45824</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45824</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45824</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45824</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45824</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45824</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45824</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45824</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45824</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45824</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45824</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45824</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45824</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45824</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45824</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45824</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45824</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45824</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45824</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45824</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45824</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45824</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45824</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45824</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45824</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45824</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45824</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45824</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45824</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45824</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45824</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45824</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45824</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45824</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45824</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45824</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45824</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45824</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45824</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45824</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45824</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45824</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45824</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45824</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45824</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45824</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45824</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45824</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45824</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45824</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45824</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45824</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45824</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45824</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45824</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45824</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45824</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45824</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45824</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45824</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45824</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45824</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45824</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45824</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45824</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45824</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45824</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45824</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45824</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45824</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45824</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45824</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45824</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45824</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45824</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45824</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45824</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45824</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45824</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45824</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45824</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45824</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45824</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45824</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45824</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45824</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45824</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45824</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45824</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45824</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45824</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45824</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45824</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45824</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45824</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45824</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45824</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45824</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45824</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45824</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45824</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45824</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45824</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45824</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45824</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45824</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45824</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45824</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45824</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45824</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45824</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45824</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45824</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45824</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45824</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45824</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45824</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45824</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45824</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45824</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45824</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45824</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45824</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45824</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45824</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45824</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45824</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45824</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45824</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45824</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45824</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45824</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45824</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45824</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45824</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45824</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45824</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45824</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45824</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45824</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45824</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45824</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45824</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45824</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45824</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45824</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45824</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45824</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45824</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45824</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45824</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45824</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45824</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45824</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45824</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45824</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45824</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45824</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45824</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45824</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45824</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45824</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45824</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45824</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45824</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45824</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45824</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45824</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45824</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45824</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45824</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45824</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45824</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45824</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45824</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45824</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45824</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45824</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45824</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45824</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45824</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45824</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45824</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45824</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45824</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45824</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45824</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45824</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45824</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45824</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45824</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45824</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45824</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45824</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45824</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45824</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45824</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45824</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45824</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45824</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45824</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45824</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45824</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45824</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45824</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45824</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45824</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45824</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45824</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45824</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45824</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45824</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45824</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45824</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45824</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45824</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45824</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45824</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45824</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45824</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45824</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45824</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45824</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45824</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45824</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45824</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45824</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45824</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45824</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45824</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45824</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45824</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45824</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45824</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45824</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23847-2025</t>
        </is>
      </c>
      <c r="B4140" s="1" t="n">
        <v>45793</v>
      </c>
      <c r="C4140" s="1" t="n">
        <v>45824</v>
      </c>
      <c r="D4140" t="inlineStr">
        <is>
          <t>VÄSTERBOTTENS LÄN</t>
        </is>
      </c>
      <c r="E4140" t="inlineStr">
        <is>
          <t>SKELLEFTEÅ</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45824</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45824</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23881-2025</t>
        </is>
      </c>
      <c r="B4143" s="1" t="n">
        <v>45793</v>
      </c>
      <c r="C4143" s="1" t="n">
        <v>45824</v>
      </c>
      <c r="D4143" t="inlineStr">
        <is>
          <t>VÄSTERBOTTENS LÄN</t>
        </is>
      </c>
      <c r="E4143" t="inlineStr">
        <is>
          <t>SKELLEFTEÅ</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45824</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23696-2025</t>
        </is>
      </c>
      <c r="B4145" s="1" t="n">
        <v>45793</v>
      </c>
      <c r="C4145" s="1" t="n">
        <v>45824</v>
      </c>
      <c r="D4145" t="inlineStr">
        <is>
          <t>VÄSTERBOTTENS LÄN</t>
        </is>
      </c>
      <c r="E4145" t="inlineStr">
        <is>
          <t>SKELLEFTEÅ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45824</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45824</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45824</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45824</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45824</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24079-2025</t>
        </is>
      </c>
      <c r="B4151" s="1" t="n">
        <v>45796</v>
      </c>
      <c r="C4151" s="1" t="n">
        <v>45824</v>
      </c>
      <c r="D4151" t="inlineStr">
        <is>
          <t>VÄSTERBOTTENS LÄN</t>
        </is>
      </c>
      <c r="E4151" t="inlineStr">
        <is>
          <t>SKELLEFTEÅ</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45824</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24142-2025</t>
        </is>
      </c>
      <c r="B4153" s="1" t="n">
        <v>45796</v>
      </c>
      <c r="C4153" s="1" t="n">
        <v>45824</v>
      </c>
      <c r="D4153" t="inlineStr">
        <is>
          <t>VÄSTERBOTTENS LÄN</t>
        </is>
      </c>
      <c r="E4153" t="inlineStr">
        <is>
          <t>SKELLEFTEÅ</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24061-2025</t>
        </is>
      </c>
      <c r="B4154" s="1" t="n">
        <v>45796</v>
      </c>
      <c r="C4154" s="1" t="n">
        <v>45824</v>
      </c>
      <c r="D4154" t="inlineStr">
        <is>
          <t>VÄSTERBOTTENS LÄN</t>
        </is>
      </c>
      <c r="E4154" t="inlineStr">
        <is>
          <t>SKELLEFTEÅ</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24181-2025</t>
        </is>
      </c>
      <c r="B4155" s="1" t="n">
        <v>45796</v>
      </c>
      <c r="C4155" s="1" t="n">
        <v>45824</v>
      </c>
      <c r="D4155" t="inlineStr">
        <is>
          <t>VÄSTERBOTTENS LÄN</t>
        </is>
      </c>
      <c r="E4155" t="inlineStr">
        <is>
          <t>SKELLEFTEÅ</t>
        </is>
      </c>
      <c r="G4155" t="n">
        <v>12.5</v>
      </c>
      <c r="H4155" t="n">
        <v>0</v>
      </c>
      <c r="I4155" t="n">
        <v>0</v>
      </c>
      <c r="J4155" t="n">
        <v>0</v>
      </c>
      <c r="K4155" t="n">
        <v>0</v>
      </c>
      <c r="L4155" t="n">
        <v>0</v>
      </c>
      <c r="M4155" t="n">
        <v>0</v>
      </c>
      <c r="N4155" t="n">
        <v>0</v>
      </c>
      <c r="O4155" t="n">
        <v>0</v>
      </c>
      <c r="P4155" t="n">
        <v>0</v>
      </c>
      <c r="Q4155" t="n">
        <v>0</v>
      </c>
      <c r="R4155" s="2" t="inlineStr"/>
    </row>
    <row r="4156" ht="15" customHeight="1">
      <c r="A4156" t="inlineStr">
        <is>
          <t>A 24067-2025</t>
        </is>
      </c>
      <c r="B4156" s="1" t="n">
        <v>45796</v>
      </c>
      <c r="C4156" s="1" t="n">
        <v>45824</v>
      </c>
      <c r="D4156" t="inlineStr">
        <is>
          <t>VÄSTERBOTTENS LÄN</t>
        </is>
      </c>
      <c r="E4156" t="inlineStr">
        <is>
          <t>SKELLEFTEÅ</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24064-2025</t>
        </is>
      </c>
      <c r="B4157" s="1" t="n">
        <v>45796</v>
      </c>
      <c r="C4157" s="1" t="n">
        <v>45824</v>
      </c>
      <c r="D4157" t="inlineStr">
        <is>
          <t>VÄSTERBOTTENS LÄN</t>
        </is>
      </c>
      <c r="E4157" t="inlineStr">
        <is>
          <t>SKELLEFTEÅ</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24402-2025</t>
        </is>
      </c>
      <c r="B4158" s="1" t="n">
        <v>45797</v>
      </c>
      <c r="C4158" s="1" t="n">
        <v>45824</v>
      </c>
      <c r="D4158" t="inlineStr">
        <is>
          <t>VÄSTERBOTTENS LÄN</t>
        </is>
      </c>
      <c r="E4158" t="inlineStr">
        <is>
          <t>SKELLEFTEÅ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24261-2025</t>
        </is>
      </c>
      <c r="B4159" s="1" t="n">
        <v>45797</v>
      </c>
      <c r="C4159" s="1" t="n">
        <v>45824</v>
      </c>
      <c r="D4159" t="inlineStr">
        <is>
          <t>VÄSTERBOTTENS LÄN</t>
        </is>
      </c>
      <c r="E4159" t="inlineStr">
        <is>
          <t>SKELLEFTEÅ</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24205-2025</t>
        </is>
      </c>
      <c r="B4160" s="1" t="n">
        <v>45797</v>
      </c>
      <c r="C4160" s="1" t="n">
        <v>45824</v>
      </c>
      <c r="D4160" t="inlineStr">
        <is>
          <t>VÄSTERBOTTENS LÄN</t>
        </is>
      </c>
      <c r="E4160" t="inlineStr">
        <is>
          <t>SKELLEFTEÅ</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24264-2025</t>
        </is>
      </c>
      <c r="B4161" s="1" t="n">
        <v>45797</v>
      </c>
      <c r="C4161" s="1" t="n">
        <v>45824</v>
      </c>
      <c r="D4161" t="inlineStr">
        <is>
          <t>VÄSTERBOTTENS LÄN</t>
        </is>
      </c>
      <c r="E4161" t="inlineStr">
        <is>
          <t>SKELLEFTEÅ</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24323-2025</t>
        </is>
      </c>
      <c r="B4162" s="1" t="n">
        <v>45797</v>
      </c>
      <c r="C4162" s="1" t="n">
        <v>45824</v>
      </c>
      <c r="D4162" t="inlineStr">
        <is>
          <t>VÄSTERBOTTENS LÄN</t>
        </is>
      </c>
      <c r="E4162" t="inlineStr">
        <is>
          <t>SKELLEFTEÅ</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24569-2025</t>
        </is>
      </c>
      <c r="B4163" s="1" t="n">
        <v>45798</v>
      </c>
      <c r="C4163" s="1" t="n">
        <v>45824</v>
      </c>
      <c r="D4163" t="inlineStr">
        <is>
          <t>VÄSTERBOTTENS LÄN</t>
        </is>
      </c>
      <c r="E4163" t="inlineStr">
        <is>
          <t>SKELLEFTEÅ</t>
        </is>
      </c>
      <c r="G4163" t="n">
        <v>20.9</v>
      </c>
      <c r="H4163" t="n">
        <v>0</v>
      </c>
      <c r="I4163" t="n">
        <v>0</v>
      </c>
      <c r="J4163" t="n">
        <v>0</v>
      </c>
      <c r="K4163" t="n">
        <v>0</v>
      </c>
      <c r="L4163" t="n">
        <v>0</v>
      </c>
      <c r="M4163" t="n">
        <v>0</v>
      </c>
      <c r="N4163" t="n">
        <v>0</v>
      </c>
      <c r="O4163" t="n">
        <v>0</v>
      </c>
      <c r="P4163" t="n">
        <v>0</v>
      </c>
      <c r="Q4163" t="n">
        <v>0</v>
      </c>
      <c r="R4163" s="2" t="inlineStr"/>
    </row>
    <row r="4164" ht="15" customHeight="1">
      <c r="A4164" t="inlineStr">
        <is>
          <t>A 24579-2025</t>
        </is>
      </c>
      <c r="B4164" s="1" t="n">
        <v>45798</v>
      </c>
      <c r="C4164" s="1" t="n">
        <v>45824</v>
      </c>
      <c r="D4164" t="inlineStr">
        <is>
          <t>VÄSTERBOTTENS LÄN</t>
        </is>
      </c>
      <c r="E4164" t="inlineStr">
        <is>
          <t>SKELLEFTEÅ</t>
        </is>
      </c>
      <c r="G4164" t="n">
        <v>24.5</v>
      </c>
      <c r="H4164" t="n">
        <v>0</v>
      </c>
      <c r="I4164" t="n">
        <v>0</v>
      </c>
      <c r="J4164" t="n">
        <v>0</v>
      </c>
      <c r="K4164" t="n">
        <v>0</v>
      </c>
      <c r="L4164" t="n">
        <v>0</v>
      </c>
      <c r="M4164" t="n">
        <v>0</v>
      </c>
      <c r="N4164" t="n">
        <v>0</v>
      </c>
      <c r="O4164" t="n">
        <v>0</v>
      </c>
      <c r="P4164" t="n">
        <v>0</v>
      </c>
      <c r="Q4164" t="n">
        <v>0</v>
      </c>
      <c r="R4164" s="2" t="inlineStr"/>
    </row>
    <row r="4165" ht="15" customHeight="1">
      <c r="A4165" t="inlineStr">
        <is>
          <t>A 24501-2025</t>
        </is>
      </c>
      <c r="B4165" s="1" t="n">
        <v>45798</v>
      </c>
      <c r="C4165" s="1" t="n">
        <v>45824</v>
      </c>
      <c r="D4165" t="inlineStr">
        <is>
          <t>VÄSTERBOTTENS LÄN</t>
        </is>
      </c>
      <c r="E4165" t="inlineStr">
        <is>
          <t>SKELLEFTEÅ</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24496-2025</t>
        </is>
      </c>
      <c r="B4166" s="1" t="n">
        <v>45798</v>
      </c>
      <c r="C4166" s="1" t="n">
        <v>45824</v>
      </c>
      <c r="D4166" t="inlineStr">
        <is>
          <t>VÄSTERBOTTENS LÄN</t>
        </is>
      </c>
      <c r="E4166" t="inlineStr">
        <is>
          <t>SKELLEFTEÅ</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24829-2025</t>
        </is>
      </c>
      <c r="B4167" s="1" t="n">
        <v>45799</v>
      </c>
      <c r="C4167" s="1" t="n">
        <v>45824</v>
      </c>
      <c r="D4167" t="inlineStr">
        <is>
          <t>VÄSTERBOTTENS LÄN</t>
        </is>
      </c>
      <c r="E4167" t="inlineStr">
        <is>
          <t>SKELLEFTEÅ</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24986-2025</t>
        </is>
      </c>
      <c r="B4168" s="1" t="n">
        <v>45799</v>
      </c>
      <c r="C4168" s="1" t="n">
        <v>45824</v>
      </c>
      <c r="D4168" t="inlineStr">
        <is>
          <t>VÄSTERBOTTENS LÄN</t>
        </is>
      </c>
      <c r="E4168" t="inlineStr">
        <is>
          <t>SKELLEFTEÅ</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24727-2025</t>
        </is>
      </c>
      <c r="B4169" s="1" t="n">
        <v>45799</v>
      </c>
      <c r="C4169" s="1" t="n">
        <v>45824</v>
      </c>
      <c r="D4169" t="inlineStr">
        <is>
          <t>VÄSTERBOTTENS LÄN</t>
        </is>
      </c>
      <c r="E4169" t="inlineStr">
        <is>
          <t>SKELLEFTEÅ</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24858-2025</t>
        </is>
      </c>
      <c r="B4170" s="1" t="n">
        <v>45799</v>
      </c>
      <c r="C4170" s="1" t="n">
        <v>45824</v>
      </c>
      <c r="D4170" t="inlineStr">
        <is>
          <t>VÄSTERBOTTENS LÄN</t>
        </is>
      </c>
      <c r="E4170" t="inlineStr">
        <is>
          <t>SKELLEFTEÅ</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24825-2025</t>
        </is>
      </c>
      <c r="B4171" s="1" t="n">
        <v>45799</v>
      </c>
      <c r="C4171" s="1" t="n">
        <v>45824</v>
      </c>
      <c r="D4171" t="inlineStr">
        <is>
          <t>VÄSTERBOTTENS LÄN</t>
        </is>
      </c>
      <c r="E4171" t="inlineStr">
        <is>
          <t>SKELLEFTEÅ</t>
        </is>
      </c>
      <c r="G4171" t="n">
        <v>10.2</v>
      </c>
      <c r="H4171" t="n">
        <v>0</v>
      </c>
      <c r="I4171" t="n">
        <v>0</v>
      </c>
      <c r="J4171" t="n">
        <v>0</v>
      </c>
      <c r="K4171" t="n">
        <v>0</v>
      </c>
      <c r="L4171" t="n">
        <v>0</v>
      </c>
      <c r="M4171" t="n">
        <v>0</v>
      </c>
      <c r="N4171" t="n">
        <v>0</v>
      </c>
      <c r="O4171" t="n">
        <v>0</v>
      </c>
      <c r="P4171" t="n">
        <v>0</v>
      </c>
      <c r="Q4171" t="n">
        <v>0</v>
      </c>
      <c r="R4171" s="2" t="inlineStr"/>
    </row>
    <row r="4172" ht="15" customHeight="1">
      <c r="A4172" t="inlineStr">
        <is>
          <t>A 24728-2025</t>
        </is>
      </c>
      <c r="B4172" s="1" t="n">
        <v>45799</v>
      </c>
      <c r="C4172" s="1" t="n">
        <v>45824</v>
      </c>
      <c r="D4172" t="inlineStr">
        <is>
          <t>VÄSTERBOTTENS LÄN</t>
        </is>
      </c>
      <c r="E4172" t="inlineStr">
        <is>
          <t>SKELLEFTEÅ</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25046-2025</t>
        </is>
      </c>
      <c r="B4173" s="1" t="n">
        <v>45799</v>
      </c>
      <c r="C4173" s="1" t="n">
        <v>45824</v>
      </c>
      <c r="D4173" t="inlineStr">
        <is>
          <t>VÄSTERBOTTENS LÄN</t>
        </is>
      </c>
      <c r="E4173" t="inlineStr">
        <is>
          <t>SKELLEFTEÅ</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25688-2025</t>
        </is>
      </c>
      <c r="B4174" s="1" t="n">
        <v>45800</v>
      </c>
      <c r="C4174" s="1" t="n">
        <v>45824</v>
      </c>
      <c r="D4174" t="inlineStr">
        <is>
          <t>VÄSTERBOTTENS LÄN</t>
        </is>
      </c>
      <c r="E4174" t="inlineStr">
        <is>
          <t>SKELLEFTEÅ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25182-2025</t>
        </is>
      </c>
      <c r="B4175" s="1" t="n">
        <v>45800</v>
      </c>
      <c r="C4175" s="1" t="n">
        <v>45824</v>
      </c>
      <c r="D4175" t="inlineStr">
        <is>
          <t>VÄSTERBOTTENS LÄN</t>
        </is>
      </c>
      <c r="E4175" t="inlineStr">
        <is>
          <t>SKELLEFTEÅ</t>
        </is>
      </c>
      <c r="G4175" t="n">
        <v>19.3</v>
      </c>
      <c r="H4175" t="n">
        <v>0</v>
      </c>
      <c r="I4175" t="n">
        <v>0</v>
      </c>
      <c r="J4175" t="n">
        <v>0</v>
      </c>
      <c r="K4175" t="n">
        <v>0</v>
      </c>
      <c r="L4175" t="n">
        <v>0</v>
      </c>
      <c r="M4175" t="n">
        <v>0</v>
      </c>
      <c r="N4175" t="n">
        <v>0</v>
      </c>
      <c r="O4175" t="n">
        <v>0</v>
      </c>
      <c r="P4175" t="n">
        <v>0</v>
      </c>
      <c r="Q4175" t="n">
        <v>0</v>
      </c>
      <c r="R4175" s="2" t="inlineStr"/>
    </row>
    <row r="4176" ht="15" customHeight="1">
      <c r="A4176" t="inlineStr">
        <is>
          <t>A 25403-2025</t>
        </is>
      </c>
      <c r="B4176" s="1" t="n">
        <v>45800</v>
      </c>
      <c r="C4176" s="1" t="n">
        <v>45824</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25641-2025</t>
        </is>
      </c>
      <c r="B4177" s="1" t="n">
        <v>45803</v>
      </c>
      <c r="C4177" s="1" t="n">
        <v>45824</v>
      </c>
      <c r="D4177" t="inlineStr">
        <is>
          <t>VÄSTERBOTTENS LÄN</t>
        </is>
      </c>
      <c r="E4177" t="inlineStr">
        <is>
          <t>SKELLEFTEÅ</t>
        </is>
      </c>
      <c r="F4177" t="inlineStr">
        <is>
          <t>Holmen skog AB</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25801-2025</t>
        </is>
      </c>
      <c r="B4178" s="1" t="n">
        <v>45803</v>
      </c>
      <c r="C4178" s="1" t="n">
        <v>45824</v>
      </c>
      <c r="D4178" t="inlineStr">
        <is>
          <t>VÄSTERBOTTENS LÄN</t>
        </is>
      </c>
      <c r="E4178" t="inlineStr">
        <is>
          <t>SKELLEFTEÅ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25526-2025</t>
        </is>
      </c>
      <c r="B4179" s="1" t="n">
        <v>45803</v>
      </c>
      <c r="C4179" s="1" t="n">
        <v>45824</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25527-2025</t>
        </is>
      </c>
      <c r="B4180" s="1" t="n">
        <v>45803</v>
      </c>
      <c r="C4180" s="1" t="n">
        <v>45824</v>
      </c>
      <c r="D4180" t="inlineStr">
        <is>
          <t>VÄSTERBOTTENS LÄN</t>
        </is>
      </c>
      <c r="E4180" t="inlineStr">
        <is>
          <t>SKELLEFTEÅ</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25542-2025</t>
        </is>
      </c>
      <c r="B4181" s="1" t="n">
        <v>45803</v>
      </c>
      <c r="C4181" s="1" t="n">
        <v>45824</v>
      </c>
      <c r="D4181" t="inlineStr">
        <is>
          <t>VÄSTERBOTTENS LÄN</t>
        </is>
      </c>
      <c r="E4181" t="inlineStr">
        <is>
          <t>SKELLEFTEÅ</t>
        </is>
      </c>
      <c r="F4181" t="inlineStr">
        <is>
          <t>Holmen skog AB</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25525-2025</t>
        </is>
      </c>
      <c r="B4182" s="1" t="n">
        <v>45803</v>
      </c>
      <c r="C4182" s="1" t="n">
        <v>45824</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25679-2025</t>
        </is>
      </c>
      <c r="B4183" s="1" t="n">
        <v>45803</v>
      </c>
      <c r="C4183" s="1" t="n">
        <v>45824</v>
      </c>
      <c r="D4183" t="inlineStr">
        <is>
          <t>VÄSTERBOTTENS LÄN</t>
        </is>
      </c>
      <c r="E4183" t="inlineStr">
        <is>
          <t>SKELLEFTEÅ</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25804-2025</t>
        </is>
      </c>
      <c r="B4184" s="1" t="n">
        <v>45803</v>
      </c>
      <c r="C4184" s="1" t="n">
        <v>45824</v>
      </c>
      <c r="D4184" t="inlineStr">
        <is>
          <t>VÄSTERBOTTENS LÄN</t>
        </is>
      </c>
      <c r="E4184" t="inlineStr">
        <is>
          <t>SKELLEFTEÅ</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25514-2025</t>
        </is>
      </c>
      <c r="B4185" s="1" t="n">
        <v>45803</v>
      </c>
      <c r="C4185" s="1" t="n">
        <v>45824</v>
      </c>
      <c r="D4185" t="inlineStr">
        <is>
          <t>VÄSTERBOTTENS LÄN</t>
        </is>
      </c>
      <c r="E4185" t="inlineStr">
        <is>
          <t>SKELLEFTEÅ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25868-2025</t>
        </is>
      </c>
      <c r="B4186" s="1" t="n">
        <v>45804</v>
      </c>
      <c r="C4186" s="1" t="n">
        <v>45824</v>
      </c>
      <c r="D4186" t="inlineStr">
        <is>
          <t>VÄSTERBOTTENS LÄN</t>
        </is>
      </c>
      <c r="E4186" t="inlineStr">
        <is>
          <t>SKELLEFTEÅ</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26045-2025</t>
        </is>
      </c>
      <c r="B4187" s="1" t="n">
        <v>45804</v>
      </c>
      <c r="C4187" s="1" t="n">
        <v>45824</v>
      </c>
      <c r="D4187" t="inlineStr">
        <is>
          <t>VÄSTERBOTTENS LÄN</t>
        </is>
      </c>
      <c r="E4187" t="inlineStr">
        <is>
          <t>SKELLEFTEÅ</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25773-2025</t>
        </is>
      </c>
      <c r="B4188" s="1" t="n">
        <v>45804</v>
      </c>
      <c r="C4188" s="1" t="n">
        <v>45824</v>
      </c>
      <c r="D4188" t="inlineStr">
        <is>
          <t>VÄSTERBOTTENS LÄN</t>
        </is>
      </c>
      <c r="E4188" t="inlineStr">
        <is>
          <t>SKELLEFTEÅ</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25958-2025</t>
        </is>
      </c>
      <c r="B4189" s="1" t="n">
        <v>45804</v>
      </c>
      <c r="C4189" s="1" t="n">
        <v>45824</v>
      </c>
      <c r="D4189" t="inlineStr">
        <is>
          <t>VÄSTERBOTTENS LÄN</t>
        </is>
      </c>
      <c r="E4189" t="inlineStr">
        <is>
          <t>SKELLEFTEÅ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26049-2025</t>
        </is>
      </c>
      <c r="B4190" s="1" t="n">
        <v>45804</v>
      </c>
      <c r="C4190" s="1" t="n">
        <v>45824</v>
      </c>
      <c r="D4190" t="inlineStr">
        <is>
          <t>VÄSTERBOTTENS LÄN</t>
        </is>
      </c>
      <c r="E4190" t="inlineStr">
        <is>
          <t>SKELLEFTEÅ</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25876-2025</t>
        </is>
      </c>
      <c r="B4191" s="1" t="n">
        <v>45804</v>
      </c>
      <c r="C4191" s="1" t="n">
        <v>45824</v>
      </c>
      <c r="D4191" t="inlineStr">
        <is>
          <t>VÄSTERBOTTENS LÄN</t>
        </is>
      </c>
      <c r="E4191" t="inlineStr">
        <is>
          <t>SKELLEFTEÅ</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25774-2025</t>
        </is>
      </c>
      <c r="B4192" s="1" t="n">
        <v>45804</v>
      </c>
      <c r="C4192" s="1" t="n">
        <v>45824</v>
      </c>
      <c r="D4192" t="inlineStr">
        <is>
          <t>VÄSTERBOTTENS LÄN</t>
        </is>
      </c>
      <c r="E4192" t="inlineStr">
        <is>
          <t>SKELLEFTEÅ</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26286-2025</t>
        </is>
      </c>
      <c r="B4193" s="1" t="n">
        <v>45805</v>
      </c>
      <c r="C4193" s="1" t="n">
        <v>45824</v>
      </c>
      <c r="D4193" t="inlineStr">
        <is>
          <t>VÄSTERBOTTENS LÄN</t>
        </is>
      </c>
      <c r="E4193" t="inlineStr">
        <is>
          <t>SKELLEFTEÅ</t>
        </is>
      </c>
      <c r="F4193" t="inlineStr">
        <is>
          <t>Sveaskog</t>
        </is>
      </c>
      <c r="G4193" t="n">
        <v>10.9</v>
      </c>
      <c r="H4193" t="n">
        <v>0</v>
      </c>
      <c r="I4193" t="n">
        <v>0</v>
      </c>
      <c r="J4193" t="n">
        <v>0</v>
      </c>
      <c r="K4193" t="n">
        <v>0</v>
      </c>
      <c r="L4193" t="n">
        <v>0</v>
      </c>
      <c r="M4193" t="n">
        <v>0</v>
      </c>
      <c r="N4193" t="n">
        <v>0</v>
      </c>
      <c r="O4193" t="n">
        <v>0</v>
      </c>
      <c r="P4193" t="n">
        <v>0</v>
      </c>
      <c r="Q4193" t="n">
        <v>0</v>
      </c>
      <c r="R4193" s="2" t="inlineStr"/>
    </row>
    <row r="4194" ht="15" customHeight="1">
      <c r="A4194" t="inlineStr">
        <is>
          <t>A 26194-2025</t>
        </is>
      </c>
      <c r="B4194" s="1" t="n">
        <v>45805</v>
      </c>
      <c r="C4194" s="1" t="n">
        <v>45824</v>
      </c>
      <c r="D4194" t="inlineStr">
        <is>
          <t>VÄSTERBOTTENS LÄN</t>
        </is>
      </c>
      <c r="E4194" t="inlineStr">
        <is>
          <t>SKELLEFTEÅ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45824</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26318-2025</t>
        </is>
      </c>
      <c r="B4196" s="1" t="n">
        <v>45805</v>
      </c>
      <c r="C4196" s="1" t="n">
        <v>45824</v>
      </c>
      <c r="D4196" t="inlineStr">
        <is>
          <t>VÄSTERBOTTENS LÄN</t>
        </is>
      </c>
      <c r="E4196" t="inlineStr">
        <is>
          <t>SKELLEFTEÅ</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26542-2025</t>
        </is>
      </c>
      <c r="B4197" s="1" t="n">
        <v>45807</v>
      </c>
      <c r="C4197" s="1" t="n">
        <v>45824</v>
      </c>
      <c r="D4197" t="inlineStr">
        <is>
          <t>VÄSTERBOTTENS LÄN</t>
        </is>
      </c>
      <c r="E4197" t="inlineStr">
        <is>
          <t>SKELLEFTEÅ</t>
        </is>
      </c>
      <c r="F4197" t="inlineStr">
        <is>
          <t>Holmen skog AB</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26425-2025</t>
        </is>
      </c>
      <c r="B4198" s="1" t="n">
        <v>45807</v>
      </c>
      <c r="C4198" s="1" t="n">
        <v>45824</v>
      </c>
      <c r="D4198" t="inlineStr">
        <is>
          <t>VÄSTERBOTTENS LÄN</t>
        </is>
      </c>
      <c r="E4198" t="inlineStr">
        <is>
          <t>SKELLEFTEÅ</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45824</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45824</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45824</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26909-2025</t>
        </is>
      </c>
      <c r="B4202" s="1" t="n">
        <v>45811</v>
      </c>
      <c r="C4202" s="1" t="n">
        <v>45824</v>
      </c>
      <c r="D4202" t="inlineStr">
        <is>
          <t>VÄSTERBOTTENS LÄN</t>
        </is>
      </c>
      <c r="E4202" t="inlineStr">
        <is>
          <t>SKELLEFTEÅ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27010-2025</t>
        </is>
      </c>
      <c r="B4203" s="1" t="n">
        <v>45811</v>
      </c>
      <c r="C4203" s="1" t="n">
        <v>45824</v>
      </c>
      <c r="D4203" t="inlineStr">
        <is>
          <t>VÄSTERBOTTENS LÄN</t>
        </is>
      </c>
      <c r="E4203" t="inlineStr">
        <is>
          <t>SKELLEFTEÅ</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27082-2025</t>
        </is>
      </c>
      <c r="B4204" s="1" t="n">
        <v>45811</v>
      </c>
      <c r="C4204" s="1" t="n">
        <v>45824</v>
      </c>
      <c r="D4204" t="inlineStr">
        <is>
          <t>VÄSTERBOTTENS LÄN</t>
        </is>
      </c>
      <c r="E4204" t="inlineStr">
        <is>
          <t>SKELLEFTEÅ</t>
        </is>
      </c>
      <c r="F4204" t="inlineStr">
        <is>
          <t>Sveaskog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27091-2025</t>
        </is>
      </c>
      <c r="B4205" s="1" t="n">
        <v>45811</v>
      </c>
      <c r="C4205" s="1" t="n">
        <v>45824</v>
      </c>
      <c r="D4205" t="inlineStr">
        <is>
          <t>VÄSTERBOTTENS LÄN</t>
        </is>
      </c>
      <c r="E4205" t="inlineStr">
        <is>
          <t>SKELLEFTEÅ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26962-2025</t>
        </is>
      </c>
      <c r="B4206" s="1" t="n">
        <v>45811</v>
      </c>
      <c r="C4206" s="1" t="n">
        <v>45824</v>
      </c>
      <c r="D4206" t="inlineStr">
        <is>
          <t>VÄSTERBOTTENS LÄN</t>
        </is>
      </c>
      <c r="E4206" t="inlineStr">
        <is>
          <t>SKELLEFTEÅ</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27331-2025</t>
        </is>
      </c>
      <c r="B4207" s="1" t="n">
        <v>45812</v>
      </c>
      <c r="C4207" s="1" t="n">
        <v>45824</v>
      </c>
      <c r="D4207" t="inlineStr">
        <is>
          <t>VÄSTERBOTTENS LÄN</t>
        </is>
      </c>
      <c r="E4207" t="inlineStr">
        <is>
          <t>SKELLEFTEÅ</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27400-2025</t>
        </is>
      </c>
      <c r="B4208" s="1" t="n">
        <v>45812</v>
      </c>
      <c r="C4208" s="1" t="n">
        <v>45824</v>
      </c>
      <c r="D4208" t="inlineStr">
        <is>
          <t>VÄSTERBOTTENS LÄN</t>
        </is>
      </c>
      <c r="E4208" t="inlineStr">
        <is>
          <t>SKELLEFTEÅ</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27157-2025</t>
        </is>
      </c>
      <c r="B4209" s="1" t="n">
        <v>45812</v>
      </c>
      <c r="C4209" s="1" t="n">
        <v>45824</v>
      </c>
      <c r="D4209" t="inlineStr">
        <is>
          <t>VÄSTERBOTTENS LÄN</t>
        </is>
      </c>
      <c r="E4209" t="inlineStr">
        <is>
          <t>SKELLEFTEÅ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27144-2025</t>
        </is>
      </c>
      <c r="B4210" s="1" t="n">
        <v>45812</v>
      </c>
      <c r="C4210" s="1" t="n">
        <v>45824</v>
      </c>
      <c r="D4210" t="inlineStr">
        <is>
          <t>VÄSTERBOTTENS LÄN</t>
        </is>
      </c>
      <c r="E4210" t="inlineStr">
        <is>
          <t>SKELLEFTEÅ</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27219-2025</t>
        </is>
      </c>
      <c r="B4211" s="1" t="n">
        <v>45812</v>
      </c>
      <c r="C4211" s="1" t="n">
        <v>45824</v>
      </c>
      <c r="D4211" t="inlineStr">
        <is>
          <t>VÄSTERBOTTENS LÄN</t>
        </is>
      </c>
      <c r="E4211" t="inlineStr">
        <is>
          <t>SKELLEFTEÅ</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27578-2025</t>
        </is>
      </c>
      <c r="B4212" s="1" t="n">
        <v>45813</v>
      </c>
      <c r="C4212" s="1" t="n">
        <v>45824</v>
      </c>
      <c r="D4212" t="inlineStr">
        <is>
          <t>VÄSTERBOTTENS LÄN</t>
        </is>
      </c>
      <c r="E4212" t="inlineStr">
        <is>
          <t>SKELLEFTEÅ</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27641-2025</t>
        </is>
      </c>
      <c r="B4213" s="1" t="n">
        <v>45813</v>
      </c>
      <c r="C4213" s="1" t="n">
        <v>45824</v>
      </c>
      <c r="D4213" t="inlineStr">
        <is>
          <t>VÄSTERBOTTENS LÄN</t>
        </is>
      </c>
      <c r="E4213" t="inlineStr">
        <is>
          <t>SKELLEFTEÅ</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27437-2025</t>
        </is>
      </c>
      <c r="B4214" s="1" t="n">
        <v>45813</v>
      </c>
      <c r="C4214" s="1" t="n">
        <v>45824</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27579-2025</t>
        </is>
      </c>
      <c r="B4215" s="1" t="n">
        <v>45813</v>
      </c>
      <c r="C4215" s="1" t="n">
        <v>45824</v>
      </c>
      <c r="D4215" t="inlineStr">
        <is>
          <t>VÄSTERBOTTENS LÄN</t>
        </is>
      </c>
      <c r="E4215" t="inlineStr">
        <is>
          <t>SKELLEFTEÅ</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27442-2025</t>
        </is>
      </c>
      <c r="B4216" s="1" t="n">
        <v>45813</v>
      </c>
      <c r="C4216" s="1" t="n">
        <v>45824</v>
      </c>
      <c r="D4216" t="inlineStr">
        <is>
          <t>VÄSTERBOTTENS LÄN</t>
        </is>
      </c>
      <c r="E4216" t="inlineStr">
        <is>
          <t>SKELLEFTEÅ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27433-2025</t>
        </is>
      </c>
      <c r="B4217" s="1" t="n">
        <v>45813</v>
      </c>
      <c r="C4217" s="1" t="n">
        <v>45824</v>
      </c>
      <c r="D4217" t="inlineStr">
        <is>
          <t>VÄSTERBOTTENS LÄN</t>
        </is>
      </c>
      <c r="E4217" t="inlineStr">
        <is>
          <t>SKELLEFTEÅ</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27477-2025</t>
        </is>
      </c>
      <c r="B4218" s="1" t="n">
        <v>45813</v>
      </c>
      <c r="C4218" s="1" t="n">
        <v>45824</v>
      </c>
      <c r="D4218" t="inlineStr">
        <is>
          <t>VÄSTERBOTTENS LÄN</t>
        </is>
      </c>
      <c r="E4218" t="inlineStr">
        <is>
          <t>SKELLEFTEÅ</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27715-2025</t>
        </is>
      </c>
      <c r="B4219" s="1" t="n">
        <v>45814</v>
      </c>
      <c r="C4219" s="1" t="n">
        <v>45824</v>
      </c>
      <c r="D4219" t="inlineStr">
        <is>
          <t>VÄSTERBOTTENS LÄN</t>
        </is>
      </c>
      <c r="E4219" t="inlineStr">
        <is>
          <t>SKELLEFTEÅ</t>
        </is>
      </c>
      <c r="F4219" t="inlineStr">
        <is>
          <t>Sveaskog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45824</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27864-2025</t>
        </is>
      </c>
      <c r="B4221" s="1" t="n">
        <v>45817</v>
      </c>
      <c r="C4221" s="1" t="n">
        <v>45824</v>
      </c>
      <c r="D4221" t="inlineStr">
        <is>
          <t>VÄSTERBOTTENS LÄN</t>
        </is>
      </c>
      <c r="E4221" t="inlineStr">
        <is>
          <t>SKELLEFTEÅ</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27869-2025</t>
        </is>
      </c>
      <c r="B4222" s="1" t="n">
        <v>45817</v>
      </c>
      <c r="C4222" s="1" t="n">
        <v>45824</v>
      </c>
      <c r="D4222" t="inlineStr">
        <is>
          <t>VÄSTERBOTTENS LÄN</t>
        </is>
      </c>
      <c r="E4222" t="inlineStr">
        <is>
          <t>SKELLEFTEÅ</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27876-2025</t>
        </is>
      </c>
      <c r="B4223" s="1" t="n">
        <v>45817</v>
      </c>
      <c r="C4223" s="1" t="n">
        <v>45824</v>
      </c>
      <c r="D4223" t="inlineStr">
        <is>
          <t>VÄSTERBOTTENS LÄN</t>
        </is>
      </c>
      <c r="E4223" t="inlineStr">
        <is>
          <t>SKELLEFTEÅ</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27877-2025</t>
        </is>
      </c>
      <c r="B4224" s="1" t="n">
        <v>45817</v>
      </c>
      <c r="C4224" s="1" t="n">
        <v>45824</v>
      </c>
      <c r="D4224" t="inlineStr">
        <is>
          <t>VÄSTERBOTTENS LÄN</t>
        </is>
      </c>
      <c r="E4224" t="inlineStr">
        <is>
          <t>SKELLEFTEÅ</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28114-2025</t>
        </is>
      </c>
      <c r="B4225" s="1" t="n">
        <v>45818</v>
      </c>
      <c r="C4225" s="1" t="n">
        <v>45824</v>
      </c>
      <c r="D4225" t="inlineStr">
        <is>
          <t>VÄSTERBOTTENS LÄN</t>
        </is>
      </c>
      <c r="E4225" t="inlineStr">
        <is>
          <t>SKELLEFTEÅ</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45824</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28337-2025</t>
        </is>
      </c>
      <c r="B4227" s="1" t="n">
        <v>45817</v>
      </c>
      <c r="C4227" s="1" t="n">
        <v>45824</v>
      </c>
      <c r="D4227" t="inlineStr">
        <is>
          <t>VÄSTERBOTTENS LÄN</t>
        </is>
      </c>
      <c r="E4227" t="inlineStr">
        <is>
          <t>SKELLEFTEÅ</t>
        </is>
      </c>
      <c r="G4227" t="n">
        <v>16.4</v>
      </c>
      <c r="H4227" t="n">
        <v>0</v>
      </c>
      <c r="I4227" t="n">
        <v>0</v>
      </c>
      <c r="J4227" t="n">
        <v>0</v>
      </c>
      <c r="K4227" t="n">
        <v>0</v>
      </c>
      <c r="L4227" t="n">
        <v>0</v>
      </c>
      <c r="M4227" t="n">
        <v>0</v>
      </c>
      <c r="N4227" t="n">
        <v>0</v>
      </c>
      <c r="O4227" t="n">
        <v>0</v>
      </c>
      <c r="P4227" t="n">
        <v>0</v>
      </c>
      <c r="Q4227" t="n">
        <v>0</v>
      </c>
      <c r="R4227" s="2" t="inlineStr"/>
    </row>
    <row r="4228" ht="15" customHeight="1">
      <c r="A4228" t="inlineStr">
        <is>
          <t>A 28327-2025</t>
        </is>
      </c>
      <c r="B4228" s="1" t="n">
        <v>45817</v>
      </c>
      <c r="C4228" s="1" t="n">
        <v>45824</v>
      </c>
      <c r="D4228" t="inlineStr">
        <is>
          <t>VÄSTERBOTTENS LÄN</t>
        </is>
      </c>
      <c r="E4228" t="inlineStr">
        <is>
          <t>SKELLEFTEÅ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28311-2025</t>
        </is>
      </c>
      <c r="B4229" s="1" t="n">
        <v>45818</v>
      </c>
      <c r="C4229" s="1" t="n">
        <v>45824</v>
      </c>
      <c r="D4229" t="inlineStr">
        <is>
          <t>VÄSTERBOTTENS LÄN</t>
        </is>
      </c>
      <c r="E4229" t="inlineStr">
        <is>
          <t>SKELLEFTEÅ</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28358-2025</t>
        </is>
      </c>
      <c r="B4230" s="1" t="n">
        <v>45818</v>
      </c>
      <c r="C4230" s="1" t="n">
        <v>45824</v>
      </c>
      <c r="D4230" t="inlineStr">
        <is>
          <t>VÄSTERBOTTENS LÄN</t>
        </is>
      </c>
      <c r="E4230" t="inlineStr">
        <is>
          <t>SKELLEFTEÅ</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28364-2025</t>
        </is>
      </c>
      <c r="B4231" s="1" t="n">
        <v>45818</v>
      </c>
      <c r="C4231" s="1" t="n">
        <v>45824</v>
      </c>
      <c r="D4231" t="inlineStr">
        <is>
          <t>VÄSTERBOTTENS LÄN</t>
        </is>
      </c>
      <c r="E4231" t="inlineStr">
        <is>
          <t>SKELLEFTEÅ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28365-2025</t>
        </is>
      </c>
      <c r="B4232" s="1" t="n">
        <v>45818</v>
      </c>
      <c r="C4232" s="1" t="n">
        <v>45824</v>
      </c>
      <c r="D4232" t="inlineStr">
        <is>
          <t>VÄSTERBOTTENS LÄN</t>
        </is>
      </c>
      <c r="E4232" t="inlineStr">
        <is>
          <t>SKELLEFTEÅ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28329-2025</t>
        </is>
      </c>
      <c r="B4233" s="1" t="n">
        <v>45818</v>
      </c>
      <c r="C4233" s="1" t="n">
        <v>45824</v>
      </c>
      <c r="D4233" t="inlineStr">
        <is>
          <t>VÄSTERBOTTENS LÄN</t>
        </is>
      </c>
      <c r="E4233" t="inlineStr">
        <is>
          <t>SKELLEFTEÅ</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28220-2025</t>
        </is>
      </c>
      <c r="B4234" s="1" t="n">
        <v>45818</v>
      </c>
      <c r="C4234" s="1" t="n">
        <v>45824</v>
      </c>
      <c r="D4234" t="inlineStr">
        <is>
          <t>VÄSTERBOTTENS LÄN</t>
        </is>
      </c>
      <c r="E4234" t="inlineStr">
        <is>
          <t>SKELLEFTEÅ</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28359-2025</t>
        </is>
      </c>
      <c r="B4235" s="1" t="n">
        <v>45818</v>
      </c>
      <c r="C4235" s="1" t="n">
        <v>45824</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28360-2025</t>
        </is>
      </c>
      <c r="B4236" s="1" t="n">
        <v>45818</v>
      </c>
      <c r="C4236" s="1" t="n">
        <v>45824</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28354-2025</t>
        </is>
      </c>
      <c r="B4237" s="1" t="n">
        <v>45818</v>
      </c>
      <c r="C4237" s="1" t="n">
        <v>45824</v>
      </c>
      <c r="D4237" t="inlineStr">
        <is>
          <t>VÄSTERBOTTENS LÄN</t>
        </is>
      </c>
      <c r="E4237" t="inlineStr">
        <is>
          <t>SKELLEFTEÅ</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28355-2025</t>
        </is>
      </c>
      <c r="B4238" s="1" t="n">
        <v>45818</v>
      </c>
      <c r="C4238" s="1" t="n">
        <v>45824</v>
      </c>
      <c r="D4238" t="inlineStr">
        <is>
          <t>VÄSTERBOTTENS LÄN</t>
        </is>
      </c>
      <c r="E4238" t="inlineStr">
        <is>
          <t>SKELLEFTEÅ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28169-2025</t>
        </is>
      </c>
      <c r="B4239" s="1" t="n">
        <v>45818</v>
      </c>
      <c r="C4239" s="1" t="n">
        <v>45824</v>
      </c>
      <c r="D4239" t="inlineStr">
        <is>
          <t>VÄSTERBOTTENS LÄN</t>
        </is>
      </c>
      <c r="E4239" t="inlineStr">
        <is>
          <t>SKELLEFTEÅ</t>
        </is>
      </c>
      <c r="F4239" t="inlineStr">
        <is>
          <t>Holmen skog AB</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28316-2025</t>
        </is>
      </c>
      <c r="B4240" s="1" t="n">
        <v>45818</v>
      </c>
      <c r="C4240" s="1" t="n">
        <v>45824</v>
      </c>
      <c r="D4240" t="inlineStr">
        <is>
          <t>VÄSTERBOTTENS LÄN</t>
        </is>
      </c>
      <c r="E4240" t="inlineStr">
        <is>
          <t>SKELLEFTEÅ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28221-2025</t>
        </is>
      </c>
      <c r="B4241" s="1" t="n">
        <v>45818</v>
      </c>
      <c r="C4241" s="1" t="n">
        <v>45824</v>
      </c>
      <c r="D4241" t="inlineStr">
        <is>
          <t>VÄSTERBOTTENS LÄN</t>
        </is>
      </c>
      <c r="E4241" t="inlineStr">
        <is>
          <t>SKELLEFTEÅ</t>
        </is>
      </c>
      <c r="F4241" t="inlineStr">
        <is>
          <t>Holmen skog AB</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28602-2025</t>
        </is>
      </c>
      <c r="B4242" s="1" t="n">
        <v>45819</v>
      </c>
      <c r="C4242" s="1" t="n">
        <v>45824</v>
      </c>
      <c r="D4242" t="inlineStr">
        <is>
          <t>VÄSTERBOTTENS LÄN</t>
        </is>
      </c>
      <c r="E4242" t="inlineStr">
        <is>
          <t>SKELLEFTEÅ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28573-2025</t>
        </is>
      </c>
      <c r="B4243" s="1" t="n">
        <v>45819</v>
      </c>
      <c r="C4243" s="1" t="n">
        <v>45824</v>
      </c>
      <c r="D4243" t="inlineStr">
        <is>
          <t>VÄSTERBOTTENS LÄN</t>
        </is>
      </c>
      <c r="E4243" t="inlineStr">
        <is>
          <t>SKELLEFTEÅ</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28577-2025</t>
        </is>
      </c>
      <c r="B4244" s="1" t="n">
        <v>45819</v>
      </c>
      <c r="C4244" s="1" t="n">
        <v>45824</v>
      </c>
      <c r="D4244" t="inlineStr">
        <is>
          <t>VÄSTERBOTTENS LÄN</t>
        </is>
      </c>
      <c r="E4244" t="inlineStr">
        <is>
          <t>SKELLEFTEÅ</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28378-2025</t>
        </is>
      </c>
      <c r="B4245" s="1" t="n">
        <v>45819</v>
      </c>
      <c r="C4245" s="1" t="n">
        <v>45824</v>
      </c>
      <c r="D4245" t="inlineStr">
        <is>
          <t>VÄSTERBOTTENS LÄN</t>
        </is>
      </c>
      <c r="E4245" t="inlineStr">
        <is>
          <t>SKELLEFTEÅ</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28408-2025</t>
        </is>
      </c>
      <c r="B4246" s="1" t="n">
        <v>45819</v>
      </c>
      <c r="C4246" s="1" t="n">
        <v>45824</v>
      </c>
      <c r="D4246" t="inlineStr">
        <is>
          <t>VÄSTERBOTTENS LÄN</t>
        </is>
      </c>
      <c r="E4246" t="inlineStr">
        <is>
          <t>SKELLEFTEÅ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28778-2025</t>
        </is>
      </c>
      <c r="B4247" s="1" t="n">
        <v>45820</v>
      </c>
      <c r="C4247" s="1" t="n">
        <v>45824</v>
      </c>
      <c r="D4247" t="inlineStr">
        <is>
          <t>VÄSTERBOTTENS LÄN</t>
        </is>
      </c>
      <c r="E4247" t="inlineStr">
        <is>
          <t>SKELLEFTEÅ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28804-2025</t>
        </is>
      </c>
      <c r="B4248" s="1" t="n">
        <v>45820</v>
      </c>
      <c r="C4248" s="1" t="n">
        <v>45824</v>
      </c>
      <c r="D4248" t="inlineStr">
        <is>
          <t>VÄSTERBOTTENS LÄN</t>
        </is>
      </c>
      <c r="E4248" t="inlineStr">
        <is>
          <t>SKELLEFTEÅ</t>
        </is>
      </c>
      <c r="F4248" t="inlineStr">
        <is>
          <t>Holmen skog AB</t>
        </is>
      </c>
      <c r="G4248" t="n">
        <v>10.5</v>
      </c>
      <c r="H4248" t="n">
        <v>0</v>
      </c>
      <c r="I4248" t="n">
        <v>0</v>
      </c>
      <c r="J4248" t="n">
        <v>0</v>
      </c>
      <c r="K4248" t="n">
        <v>0</v>
      </c>
      <c r="L4248" t="n">
        <v>0</v>
      </c>
      <c r="M4248" t="n">
        <v>0</v>
      </c>
      <c r="N4248" t="n">
        <v>0</v>
      </c>
      <c r="O4248" t="n">
        <v>0</v>
      </c>
      <c r="P4248" t="n">
        <v>0</v>
      </c>
      <c r="Q4248" t="n">
        <v>0</v>
      </c>
      <c r="R4248" s="2" t="inlineStr"/>
    </row>
    <row r="4249" ht="15" customHeight="1">
      <c r="A4249" t="inlineStr">
        <is>
          <t>A 28787-2025</t>
        </is>
      </c>
      <c r="B4249" s="1" t="n">
        <v>45820</v>
      </c>
      <c r="C4249" s="1" t="n">
        <v>45824</v>
      </c>
      <c r="D4249" t="inlineStr">
        <is>
          <t>VÄSTERBOTTENS LÄN</t>
        </is>
      </c>
      <c r="E4249" t="inlineStr">
        <is>
          <t>SKELLEFTEÅ</t>
        </is>
      </c>
      <c r="F4249" t="inlineStr">
        <is>
          <t>Holmen skog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28777-2025</t>
        </is>
      </c>
      <c r="B4250" s="1" t="n">
        <v>45820</v>
      </c>
      <c r="C4250" s="1" t="n">
        <v>45824</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29134-2025</t>
        </is>
      </c>
      <c r="B4251" s="1" t="n">
        <v>45821</v>
      </c>
      <c r="C4251" s="1" t="n">
        <v>45824</v>
      </c>
      <c r="D4251" t="inlineStr">
        <is>
          <t>VÄSTERBOTTENS LÄN</t>
        </is>
      </c>
      <c r="E4251" t="inlineStr">
        <is>
          <t>SKELLEFTEÅ</t>
        </is>
      </c>
      <c r="F4251" t="inlineStr">
        <is>
          <t>Holmen skog AB</t>
        </is>
      </c>
      <c r="G4251" t="n">
        <v>10.5</v>
      </c>
      <c r="H4251" t="n">
        <v>0</v>
      </c>
      <c r="I4251" t="n">
        <v>0</v>
      </c>
      <c r="J4251" t="n">
        <v>0</v>
      </c>
      <c r="K4251" t="n">
        <v>0</v>
      </c>
      <c r="L4251" t="n">
        <v>0</v>
      </c>
      <c r="M4251" t="n">
        <v>0</v>
      </c>
      <c r="N4251" t="n">
        <v>0</v>
      </c>
      <c r="O4251" t="n">
        <v>0</v>
      </c>
      <c r="P4251" t="n">
        <v>0</v>
      </c>
      <c r="Q4251" t="n">
        <v>0</v>
      </c>
      <c r="R4251" s="2" t="inlineStr"/>
    </row>
    <row r="4252" ht="15" customHeight="1">
      <c r="A4252" t="inlineStr">
        <is>
          <t>A 28984-2025</t>
        </is>
      </c>
      <c r="B4252" s="1" t="n">
        <v>45821</v>
      </c>
      <c r="C4252" s="1" t="n">
        <v>45824</v>
      </c>
      <c r="D4252" t="inlineStr">
        <is>
          <t>VÄSTERBOTTENS LÄN</t>
        </is>
      </c>
      <c r="E4252" t="inlineStr">
        <is>
          <t>SKELLEFTEÅ</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28986-2025</t>
        </is>
      </c>
      <c r="B4253" s="1" t="n">
        <v>45821</v>
      </c>
      <c r="C4253" s="1" t="n">
        <v>45824</v>
      </c>
      <c r="D4253" t="inlineStr">
        <is>
          <t>VÄSTERBOTTENS LÄN</t>
        </is>
      </c>
      <c r="E4253" t="inlineStr">
        <is>
          <t>SKELLEFTEÅ</t>
        </is>
      </c>
      <c r="F4253" t="inlineStr">
        <is>
          <t>Holmen skog AB</t>
        </is>
      </c>
      <c r="G4253" t="n">
        <v>12.5</v>
      </c>
      <c r="H4253" t="n">
        <v>0</v>
      </c>
      <c r="I4253" t="n">
        <v>0</v>
      </c>
      <c r="J4253" t="n">
        <v>0</v>
      </c>
      <c r="K4253" t="n">
        <v>0</v>
      </c>
      <c r="L4253" t="n">
        <v>0</v>
      </c>
      <c r="M4253" t="n">
        <v>0</v>
      </c>
      <c r="N4253" t="n">
        <v>0</v>
      </c>
      <c r="O4253" t="n">
        <v>0</v>
      </c>
      <c r="P4253" t="n">
        <v>0</v>
      </c>
      <c r="Q4253" t="n">
        <v>0</v>
      </c>
      <c r="R4253" s="2" t="inlineStr"/>
    </row>
    <row r="4254" ht="15" customHeight="1">
      <c r="A4254" t="inlineStr">
        <is>
          <t>A 29101-2025</t>
        </is>
      </c>
      <c r="B4254" s="1" t="n">
        <v>45821</v>
      </c>
      <c r="C4254" s="1" t="n">
        <v>45824</v>
      </c>
      <c r="D4254" t="inlineStr">
        <is>
          <t>VÄSTERBOTTENS LÄN</t>
        </is>
      </c>
      <c r="E4254" t="inlineStr">
        <is>
          <t>SKELLEFTEÅ</t>
        </is>
      </c>
      <c r="F4254" t="inlineStr">
        <is>
          <t>Holmen skog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28961-2025</t>
        </is>
      </c>
      <c r="B4255" s="1" t="n">
        <v>45821</v>
      </c>
      <c r="C4255" s="1" t="n">
        <v>45824</v>
      </c>
      <c r="D4255" t="inlineStr">
        <is>
          <t>VÄSTERBOTTENS LÄN</t>
        </is>
      </c>
      <c r="E4255" t="inlineStr">
        <is>
          <t>SKELLEFTEÅ</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28989-2025</t>
        </is>
      </c>
      <c r="B4256" s="1" t="n">
        <v>45821</v>
      </c>
      <c r="C4256" s="1" t="n">
        <v>45824</v>
      </c>
      <c r="D4256" t="inlineStr">
        <is>
          <t>VÄSTERBOTTENS LÄN</t>
        </is>
      </c>
      <c r="E4256" t="inlineStr">
        <is>
          <t>SKELLEFTEÅ</t>
        </is>
      </c>
      <c r="G4256" t="n">
        <v>1.3</v>
      </c>
      <c r="H4256" t="n">
        <v>0</v>
      </c>
      <c r="I4256" t="n">
        <v>0</v>
      </c>
      <c r="J4256" t="n">
        <v>0</v>
      </c>
      <c r="K4256" t="n">
        <v>0</v>
      </c>
      <c r="L4256" t="n">
        <v>0</v>
      </c>
      <c r="M4256" t="n">
        <v>0</v>
      </c>
      <c r="N4256" t="n">
        <v>0</v>
      </c>
      <c r="O4256" t="n">
        <v>0</v>
      </c>
      <c r="P4256" t="n">
        <v>0</v>
      </c>
      <c r="Q4256" t="n">
        <v>0</v>
      </c>
      <c r="R4256" s="2" t="inlineStr"/>
    </row>
    <row r="4257">
      <c r="A4257" t="inlineStr">
        <is>
          <t>A 29194-2025</t>
        </is>
      </c>
      <c r="B4257" s="1" t="n">
        <v>45823</v>
      </c>
      <c r="C4257" s="1" t="n">
        <v>45824</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2025-06-16T18:59:40Z</dcterms:created>
  <dcterms:modified xmlns:dcterms="http://purl.org/dc/terms/" xmlns:xsi="http://www.w3.org/2001/XMLSchema-instance" xsi:type="dcterms:W3CDTF">2025-06-16T18:59:44Z</dcterms:modified>
</cp:coreProperties>
</file>