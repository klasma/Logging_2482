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45742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45742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45742</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45742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45742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45742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45742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45742</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45742</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45742</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45742</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45742</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45742</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45742</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45742</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45742</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45742</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45742</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45742</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45742</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45742</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45742</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45742</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45742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45742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45742</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45742</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45742</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45742</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45742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45742</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45742</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45742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45742</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45742</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45742</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45742</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45742</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45742</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45742</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45742</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45742</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45742</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45742</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45742</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45742</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45742</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45742</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45742</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45742</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45742</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45742</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45742</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45742</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45742</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45742</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45742</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45742</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45742</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45742</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45742</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45742</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45742</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45742</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45742</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45742</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45742</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45742</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45742</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45742</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45742</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45742</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45742</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45742</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45742</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45742</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45742</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45742</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45742</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45742</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45742</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45742</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45742</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45742</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45742</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45742</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45742</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45742</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45742</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45742</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45742</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45742</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45742</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45742</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45742</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45742</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45742</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45742</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45742</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45742</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35777-2019</t>
        </is>
      </c>
      <c r="B102" s="1" t="n">
        <v>43665</v>
      </c>
      <c r="C102" s="1" t="n">
        <v>45742</v>
      </c>
      <c r="D102" t="inlineStr">
        <is>
          <t>VÄSTERBOTTENS LÄN</t>
        </is>
      </c>
      <c r="E102" t="inlineStr">
        <is>
          <t>SKELLEFTEÅ</t>
        </is>
      </c>
      <c r="F102" t="inlineStr">
        <is>
          <t>Holmen skog AB</t>
        </is>
      </c>
      <c r="G102" t="n">
        <v>26.8</v>
      </c>
      <c r="H102" t="n">
        <v>0</v>
      </c>
      <c r="I102" t="n">
        <v>1</v>
      </c>
      <c r="J102" t="n">
        <v>2</v>
      </c>
      <c r="K102" t="n">
        <v>0</v>
      </c>
      <c r="L102" t="n">
        <v>0</v>
      </c>
      <c r="M102" t="n">
        <v>0</v>
      </c>
      <c r="N102" t="n">
        <v>0</v>
      </c>
      <c r="O102" t="n">
        <v>2</v>
      </c>
      <c r="P102" t="n">
        <v>0</v>
      </c>
      <c r="Q102" t="n">
        <v>3</v>
      </c>
      <c r="R102" s="2" t="inlineStr">
        <is>
          <t>Garnlav
Ullticka
Vedticka</t>
        </is>
      </c>
      <c r="S102">
        <f>HYPERLINK("https://klasma.github.io/Logging_2482/artfynd/A 35777-2019 artfynd.xlsx", "A 35777-2019")</f>
        <v/>
      </c>
      <c r="T102">
        <f>HYPERLINK("https://klasma.github.io/Logging_2482/kartor/A 35777-2019 karta.png", "A 35777-2019")</f>
        <v/>
      </c>
      <c r="V102">
        <f>HYPERLINK("https://klasma.github.io/Logging_2482/klagomål/A 35777-2019 FSC-klagomål.docx", "A 35777-2019")</f>
        <v/>
      </c>
      <c r="W102">
        <f>HYPERLINK("https://klasma.github.io/Logging_2482/klagomålsmail/A 35777-2019 FSC-klagomål mail.docx", "A 35777-2019")</f>
        <v/>
      </c>
      <c r="X102">
        <f>HYPERLINK("https://klasma.github.io/Logging_2482/tillsyn/A 35777-2019 tillsynsbegäran.docx", "A 35777-2019")</f>
        <v/>
      </c>
      <c r="Y102">
        <f>HYPERLINK("https://klasma.github.io/Logging_2482/tillsynsmail/A 35777-2019 tillsynsbegäran mail.docx", "A 35777-2019")</f>
        <v/>
      </c>
    </row>
    <row r="103" ht="15" customHeight="1">
      <c r="A103" t="inlineStr">
        <is>
          <t>A 54111-2019</t>
        </is>
      </c>
      <c r="B103" s="1" t="n">
        <v>43752</v>
      </c>
      <c r="C103" s="1" t="n">
        <v>45742</v>
      </c>
      <c r="D103" t="inlineStr">
        <is>
          <t>VÄSTERBOTTENS LÄN</t>
        </is>
      </c>
      <c r="E103" t="inlineStr">
        <is>
          <t>SKELLEFTEÅ</t>
        </is>
      </c>
      <c r="F103" t="inlineStr">
        <is>
          <t>Sveaskog</t>
        </is>
      </c>
      <c r="G103" t="n">
        <v>30.6</v>
      </c>
      <c r="H103" t="n">
        <v>0</v>
      </c>
      <c r="I103" t="n">
        <v>1</v>
      </c>
      <c r="J103" t="n">
        <v>2</v>
      </c>
      <c r="K103" t="n">
        <v>0</v>
      </c>
      <c r="L103" t="n">
        <v>0</v>
      </c>
      <c r="M103" t="n">
        <v>0</v>
      </c>
      <c r="N103" t="n">
        <v>0</v>
      </c>
      <c r="O103" t="n">
        <v>2</v>
      </c>
      <c r="P103" t="n">
        <v>0</v>
      </c>
      <c r="Q103" t="n">
        <v>3</v>
      </c>
      <c r="R103" s="2" t="inlineStr">
        <is>
          <t>Kolflarnlav
Vedskivlav
Skarp dropptaggsvamp</t>
        </is>
      </c>
      <c r="S103">
        <f>HYPERLINK("https://klasma.github.io/Logging_2482/artfynd/A 54111-2019 artfynd.xlsx", "A 54111-2019")</f>
        <v/>
      </c>
      <c r="T103">
        <f>HYPERLINK("https://klasma.github.io/Logging_2482/kartor/A 54111-2019 karta.png", "A 54111-2019")</f>
        <v/>
      </c>
      <c r="V103">
        <f>HYPERLINK("https://klasma.github.io/Logging_2482/klagomål/A 54111-2019 FSC-klagomål.docx", "A 54111-2019")</f>
        <v/>
      </c>
      <c r="W103">
        <f>HYPERLINK("https://klasma.github.io/Logging_2482/klagomålsmail/A 54111-2019 FSC-klagomål mail.docx", "A 54111-2019")</f>
        <v/>
      </c>
      <c r="X103">
        <f>HYPERLINK("https://klasma.github.io/Logging_2482/tillsyn/A 54111-2019 tillsynsbegäran.docx", "A 54111-2019")</f>
        <v/>
      </c>
      <c r="Y103">
        <f>HYPERLINK("https://klasma.github.io/Logging_2482/tillsynsmail/A 54111-2019 tillsynsbegäran mail.docx", "A 54111-2019")</f>
        <v/>
      </c>
    </row>
    <row r="104" ht="15" customHeight="1">
      <c r="A104" t="inlineStr">
        <is>
          <t>A 64056-2019</t>
        </is>
      </c>
      <c r="B104" s="1" t="n">
        <v>43796</v>
      </c>
      <c r="C104" s="1" t="n">
        <v>45742</v>
      </c>
      <c r="D104" t="inlineStr">
        <is>
          <t>VÄSTERBOTTENS LÄN</t>
        </is>
      </c>
      <c r="E104" t="inlineStr">
        <is>
          <t>SKELLEFTEÅ</t>
        </is>
      </c>
      <c r="F104" t="inlineStr">
        <is>
          <t>Sveaskog</t>
        </is>
      </c>
      <c r="G104" t="n">
        <v>4.1</v>
      </c>
      <c r="H104" t="n">
        <v>0</v>
      </c>
      <c r="I104" t="n">
        <v>0</v>
      </c>
      <c r="J104" t="n">
        <v>3</v>
      </c>
      <c r="K104" t="n">
        <v>0</v>
      </c>
      <c r="L104" t="n">
        <v>0</v>
      </c>
      <c r="M104" t="n">
        <v>0</v>
      </c>
      <c r="N104" t="n">
        <v>0</v>
      </c>
      <c r="O104" t="n">
        <v>3</v>
      </c>
      <c r="P104" t="n">
        <v>0</v>
      </c>
      <c r="Q104" t="n">
        <v>3</v>
      </c>
      <c r="R104" s="2" t="inlineStr">
        <is>
          <t>Gammelgransskål
Garnlav
Lunglav</t>
        </is>
      </c>
      <c r="S104">
        <f>HYPERLINK("https://klasma.github.io/Logging_2482/artfynd/A 64056-2019 artfynd.xlsx", "A 64056-2019")</f>
        <v/>
      </c>
      <c r="T104">
        <f>HYPERLINK("https://klasma.github.io/Logging_2482/kartor/A 64056-2019 karta.png", "A 64056-2019")</f>
        <v/>
      </c>
      <c r="V104">
        <f>HYPERLINK("https://klasma.github.io/Logging_2482/klagomål/A 64056-2019 FSC-klagomål.docx", "A 64056-2019")</f>
        <v/>
      </c>
      <c r="W104">
        <f>HYPERLINK("https://klasma.github.io/Logging_2482/klagomålsmail/A 64056-2019 FSC-klagomål mail.docx", "A 64056-2019")</f>
        <v/>
      </c>
      <c r="X104">
        <f>HYPERLINK("https://klasma.github.io/Logging_2482/tillsyn/A 64056-2019 tillsynsbegäran.docx", "A 64056-2019")</f>
        <v/>
      </c>
      <c r="Y104">
        <f>HYPERLINK("https://klasma.github.io/Logging_2482/tillsynsmail/A 64056-2019 tillsynsbegäran mail.docx", "A 64056-2019")</f>
        <v/>
      </c>
    </row>
    <row r="105" ht="15" customHeight="1">
      <c r="A105" t="inlineStr">
        <is>
          <t>A 32940-2020</t>
        </is>
      </c>
      <c r="B105" s="1" t="n">
        <v>44018</v>
      </c>
      <c r="C105" s="1" t="n">
        <v>45742</v>
      </c>
      <c r="D105" t="inlineStr">
        <is>
          <t>VÄSTERBOTTENS LÄN</t>
        </is>
      </c>
      <c r="E105" t="inlineStr">
        <is>
          <t>SKELLEFTEÅ</t>
        </is>
      </c>
      <c r="G105" t="n">
        <v>15.6</v>
      </c>
      <c r="H105" t="n">
        <v>0</v>
      </c>
      <c r="I105" t="n">
        <v>1</v>
      </c>
      <c r="J105" t="n">
        <v>1</v>
      </c>
      <c r="K105" t="n">
        <v>1</v>
      </c>
      <c r="L105" t="n">
        <v>0</v>
      </c>
      <c r="M105" t="n">
        <v>0</v>
      </c>
      <c r="N105" t="n">
        <v>0</v>
      </c>
      <c r="O105" t="n">
        <v>2</v>
      </c>
      <c r="P105" t="n">
        <v>1</v>
      </c>
      <c r="Q105" t="n">
        <v>3</v>
      </c>
      <c r="R105" s="2" t="inlineStr">
        <is>
          <t>Goliatmusseron
Skrovlig taggsvamp
Dropptaggsvamp</t>
        </is>
      </c>
      <c r="S105">
        <f>HYPERLINK("https://klasma.github.io/Logging_2482/artfynd/A 32940-2020 artfynd.xlsx", "A 32940-2020")</f>
        <v/>
      </c>
      <c r="T105">
        <f>HYPERLINK("https://klasma.github.io/Logging_2482/kartor/A 32940-2020 karta.png", "A 32940-2020")</f>
        <v/>
      </c>
      <c r="V105">
        <f>HYPERLINK("https://klasma.github.io/Logging_2482/klagomål/A 32940-2020 FSC-klagomål.docx", "A 32940-2020")</f>
        <v/>
      </c>
      <c r="W105">
        <f>HYPERLINK("https://klasma.github.io/Logging_2482/klagomålsmail/A 32940-2020 FSC-klagomål mail.docx", "A 32940-2020")</f>
        <v/>
      </c>
      <c r="X105">
        <f>HYPERLINK("https://klasma.github.io/Logging_2482/tillsyn/A 32940-2020 tillsynsbegäran.docx", "A 32940-2020")</f>
        <v/>
      </c>
      <c r="Y105">
        <f>HYPERLINK("https://klasma.github.io/Logging_2482/tillsynsmail/A 32940-2020 tillsynsbegäran mail.docx", "A 32940-2020")</f>
        <v/>
      </c>
    </row>
    <row r="106" ht="15" customHeight="1">
      <c r="A106" t="inlineStr">
        <is>
          <t>A 46682-2020</t>
        </is>
      </c>
      <c r="B106" s="1" t="n">
        <v>44089</v>
      </c>
      <c r="C106" s="1" t="n">
        <v>45742</v>
      </c>
      <c r="D106" t="inlineStr">
        <is>
          <t>VÄSTERBOTTENS LÄN</t>
        </is>
      </c>
      <c r="E106" t="inlineStr">
        <is>
          <t>SKELLEFTEÅ</t>
        </is>
      </c>
      <c r="G106" t="n">
        <v>2.5</v>
      </c>
      <c r="H106" t="n">
        <v>0</v>
      </c>
      <c r="I106" t="n">
        <v>0</v>
      </c>
      <c r="J106" t="n">
        <v>3</v>
      </c>
      <c r="K106" t="n">
        <v>0</v>
      </c>
      <c r="L106" t="n">
        <v>0</v>
      </c>
      <c r="M106" t="n">
        <v>0</v>
      </c>
      <c r="N106" t="n">
        <v>0</v>
      </c>
      <c r="O106" t="n">
        <v>3</v>
      </c>
      <c r="P106" t="n">
        <v>0</v>
      </c>
      <c r="Q106" t="n">
        <v>3</v>
      </c>
      <c r="R106" s="2" t="inlineStr">
        <is>
          <t>Gammelgransskål
Garnlav
Granticka</t>
        </is>
      </c>
      <c r="S106">
        <f>HYPERLINK("https://klasma.github.io/Logging_2482/artfynd/A 46682-2020 artfynd.xlsx", "A 46682-2020")</f>
        <v/>
      </c>
      <c r="T106">
        <f>HYPERLINK("https://klasma.github.io/Logging_2482/kartor/A 46682-2020 karta.png", "A 46682-2020")</f>
        <v/>
      </c>
      <c r="V106">
        <f>HYPERLINK("https://klasma.github.io/Logging_2482/klagomål/A 46682-2020 FSC-klagomål.docx", "A 46682-2020")</f>
        <v/>
      </c>
      <c r="W106">
        <f>HYPERLINK("https://klasma.github.io/Logging_2482/klagomålsmail/A 46682-2020 FSC-klagomål mail.docx", "A 46682-2020")</f>
        <v/>
      </c>
      <c r="X106">
        <f>HYPERLINK("https://klasma.github.io/Logging_2482/tillsyn/A 46682-2020 tillsynsbegäran.docx", "A 46682-2020")</f>
        <v/>
      </c>
      <c r="Y106">
        <f>HYPERLINK("https://klasma.github.io/Logging_2482/tillsynsmail/A 46682-2020 tillsynsbegäran mail.docx", "A 46682-2020")</f>
        <v/>
      </c>
    </row>
    <row r="107" ht="15" customHeight="1">
      <c r="A107" t="inlineStr">
        <is>
          <t>A 68690-2020</t>
        </is>
      </c>
      <c r="B107" s="1" t="n">
        <v>44186</v>
      </c>
      <c r="C107" s="1" t="n">
        <v>45742</v>
      </c>
      <c r="D107" t="inlineStr">
        <is>
          <t>VÄSTERBOTTENS LÄN</t>
        </is>
      </c>
      <c r="E107" t="inlineStr">
        <is>
          <t>SKELLEFTEÅ</t>
        </is>
      </c>
      <c r="G107" t="n">
        <v>6.1</v>
      </c>
      <c r="H107" t="n">
        <v>0</v>
      </c>
      <c r="I107" t="n">
        <v>1</v>
      </c>
      <c r="J107" t="n">
        <v>2</v>
      </c>
      <c r="K107" t="n">
        <v>0</v>
      </c>
      <c r="L107" t="n">
        <v>0</v>
      </c>
      <c r="M107" t="n">
        <v>0</v>
      </c>
      <c r="N107" t="n">
        <v>0</v>
      </c>
      <c r="O107" t="n">
        <v>2</v>
      </c>
      <c r="P107" t="n">
        <v>0</v>
      </c>
      <c r="Q107" t="n">
        <v>3</v>
      </c>
      <c r="R107" s="2" t="inlineStr">
        <is>
          <t>Garnlav
Ullticka
Vedticka</t>
        </is>
      </c>
      <c r="S107">
        <f>HYPERLINK("https://klasma.github.io/Logging_2482/artfynd/A 68690-2020 artfynd.xlsx", "A 68690-2020")</f>
        <v/>
      </c>
      <c r="T107">
        <f>HYPERLINK("https://klasma.github.io/Logging_2482/kartor/A 68690-2020 karta.png", "A 68690-2020")</f>
        <v/>
      </c>
      <c r="V107">
        <f>HYPERLINK("https://klasma.github.io/Logging_2482/klagomål/A 68690-2020 FSC-klagomål.docx", "A 68690-2020")</f>
        <v/>
      </c>
      <c r="W107">
        <f>HYPERLINK("https://klasma.github.io/Logging_2482/klagomålsmail/A 68690-2020 FSC-klagomål mail.docx", "A 68690-2020")</f>
        <v/>
      </c>
      <c r="X107">
        <f>HYPERLINK("https://klasma.github.io/Logging_2482/tillsyn/A 68690-2020 tillsynsbegäran.docx", "A 68690-2020")</f>
        <v/>
      </c>
      <c r="Y107">
        <f>HYPERLINK("https://klasma.github.io/Logging_2482/tillsynsmail/A 68690-2020 tillsynsbegäran mail.docx", "A 68690-2020")</f>
        <v/>
      </c>
    </row>
    <row r="108" ht="15" customHeight="1">
      <c r="A108" t="inlineStr">
        <is>
          <t>A 29725-2021</t>
        </is>
      </c>
      <c r="B108" s="1" t="n">
        <v>44362</v>
      </c>
      <c r="C108" s="1" t="n">
        <v>45742</v>
      </c>
      <c r="D108" t="inlineStr">
        <is>
          <t>VÄSTERBOTTENS LÄN</t>
        </is>
      </c>
      <c r="E108" t="inlineStr">
        <is>
          <t>SKELLEFTEÅ</t>
        </is>
      </c>
      <c r="F108" t="inlineStr">
        <is>
          <t>Holmen skog AB</t>
        </is>
      </c>
      <c r="G108" t="n">
        <v>10.7</v>
      </c>
      <c r="H108" t="n">
        <v>1</v>
      </c>
      <c r="I108" t="n">
        <v>0</v>
      </c>
      <c r="J108" t="n">
        <v>2</v>
      </c>
      <c r="K108" t="n">
        <v>0</v>
      </c>
      <c r="L108" t="n">
        <v>0</v>
      </c>
      <c r="M108" t="n">
        <v>0</v>
      </c>
      <c r="N108" t="n">
        <v>0</v>
      </c>
      <c r="O108" t="n">
        <v>2</v>
      </c>
      <c r="P108" t="n">
        <v>0</v>
      </c>
      <c r="Q108" t="n">
        <v>3</v>
      </c>
      <c r="R108" s="2" t="inlineStr">
        <is>
          <t>Gammelgransskål
Garnlav
Orre</t>
        </is>
      </c>
      <c r="S108">
        <f>HYPERLINK("https://klasma.github.io/Logging_2482/artfynd/A 29725-2021 artfynd.xlsx", "A 29725-2021")</f>
        <v/>
      </c>
      <c r="T108">
        <f>HYPERLINK("https://klasma.github.io/Logging_2482/kartor/A 29725-2021 karta.png", "A 29725-2021")</f>
        <v/>
      </c>
      <c r="V108">
        <f>HYPERLINK("https://klasma.github.io/Logging_2482/klagomål/A 29725-2021 FSC-klagomål.docx", "A 29725-2021")</f>
        <v/>
      </c>
      <c r="W108">
        <f>HYPERLINK("https://klasma.github.io/Logging_2482/klagomålsmail/A 29725-2021 FSC-klagomål mail.docx", "A 29725-2021")</f>
        <v/>
      </c>
      <c r="X108">
        <f>HYPERLINK("https://klasma.github.io/Logging_2482/tillsyn/A 29725-2021 tillsynsbegäran.docx", "A 29725-2021")</f>
        <v/>
      </c>
      <c r="Y108">
        <f>HYPERLINK("https://klasma.github.io/Logging_2482/tillsynsmail/A 29725-2021 tillsynsbegäran mail.docx", "A 29725-2021")</f>
        <v/>
      </c>
      <c r="Z108">
        <f>HYPERLINK("https://klasma.github.io/Logging_2482/fåglar/A 29725-2021 prioriterade fågelarter.docx", "A 29725-2021")</f>
        <v/>
      </c>
    </row>
    <row r="109" ht="15" customHeight="1">
      <c r="A109" t="inlineStr">
        <is>
          <t>A 32918-2021</t>
        </is>
      </c>
      <c r="B109" s="1" t="n">
        <v>44375</v>
      </c>
      <c r="C109" s="1" t="n">
        <v>45742</v>
      </c>
      <c r="D109" t="inlineStr">
        <is>
          <t>VÄSTERBOTTENS LÄN</t>
        </is>
      </c>
      <c r="E109" t="inlineStr">
        <is>
          <t>SKELLEFTEÅ</t>
        </is>
      </c>
      <c r="F109" t="inlineStr">
        <is>
          <t>SCA</t>
        </is>
      </c>
      <c r="G109" t="n">
        <v>16.7</v>
      </c>
      <c r="H109" t="n">
        <v>0</v>
      </c>
      <c r="I109" t="n">
        <v>1</v>
      </c>
      <c r="J109" t="n">
        <v>2</v>
      </c>
      <c r="K109" t="n">
        <v>0</v>
      </c>
      <c r="L109" t="n">
        <v>0</v>
      </c>
      <c r="M109" t="n">
        <v>0</v>
      </c>
      <c r="N109" t="n">
        <v>0</v>
      </c>
      <c r="O109" t="n">
        <v>2</v>
      </c>
      <c r="P109" t="n">
        <v>0</v>
      </c>
      <c r="Q109" t="n">
        <v>3</v>
      </c>
      <c r="R109" s="2" t="inlineStr">
        <is>
          <t>Blå taggsvamp
Tallticka
Dropptaggsvamp</t>
        </is>
      </c>
      <c r="S109">
        <f>HYPERLINK("https://klasma.github.io/Logging_2482/artfynd/A 32918-2021 artfynd.xlsx", "A 32918-2021")</f>
        <v/>
      </c>
      <c r="T109">
        <f>HYPERLINK("https://klasma.github.io/Logging_2482/kartor/A 32918-2021 karta.png", "A 32918-2021")</f>
        <v/>
      </c>
      <c r="V109">
        <f>HYPERLINK("https://klasma.github.io/Logging_2482/klagomål/A 32918-2021 FSC-klagomål.docx", "A 32918-2021")</f>
        <v/>
      </c>
      <c r="W109">
        <f>HYPERLINK("https://klasma.github.io/Logging_2482/klagomålsmail/A 32918-2021 FSC-klagomål mail.docx", "A 32918-2021")</f>
        <v/>
      </c>
      <c r="X109">
        <f>HYPERLINK("https://klasma.github.io/Logging_2482/tillsyn/A 32918-2021 tillsynsbegäran.docx", "A 32918-2021")</f>
        <v/>
      </c>
      <c r="Y109">
        <f>HYPERLINK("https://klasma.github.io/Logging_2482/tillsynsmail/A 32918-2021 tillsynsbegäran mail.docx", "A 32918-2021")</f>
        <v/>
      </c>
    </row>
    <row r="110" ht="15" customHeight="1">
      <c r="A110" t="inlineStr">
        <is>
          <t>A 41508-2021</t>
        </is>
      </c>
      <c r="B110" s="1" t="n">
        <v>44424</v>
      </c>
      <c r="C110" s="1" t="n">
        <v>45742</v>
      </c>
      <c r="D110" t="inlineStr">
        <is>
          <t>VÄSTERBOTTENS LÄN</t>
        </is>
      </c>
      <c r="E110" t="inlineStr">
        <is>
          <t>SKELLEFTEÅ</t>
        </is>
      </c>
      <c r="F110" t="inlineStr">
        <is>
          <t>SCA</t>
        </is>
      </c>
      <c r="G110" t="n">
        <v>9.800000000000001</v>
      </c>
      <c r="H110" t="n">
        <v>0</v>
      </c>
      <c r="I110" t="n">
        <v>1</v>
      </c>
      <c r="J110" t="n">
        <v>2</v>
      </c>
      <c r="K110" t="n">
        <v>0</v>
      </c>
      <c r="L110" t="n">
        <v>0</v>
      </c>
      <c r="M110" t="n">
        <v>0</v>
      </c>
      <c r="N110" t="n">
        <v>0</v>
      </c>
      <c r="O110" t="n">
        <v>2</v>
      </c>
      <c r="P110" t="n">
        <v>0</v>
      </c>
      <c r="Q110" t="n">
        <v>3</v>
      </c>
      <c r="R110" s="2" t="inlineStr">
        <is>
          <t>Motaggsvamp
Orange taggsvamp
Dropptaggsvamp</t>
        </is>
      </c>
      <c r="S110">
        <f>HYPERLINK("https://klasma.github.io/Logging_2482/artfynd/A 41508-2021 artfynd.xlsx", "A 41508-2021")</f>
        <v/>
      </c>
      <c r="T110">
        <f>HYPERLINK("https://klasma.github.io/Logging_2482/kartor/A 41508-2021 karta.png", "A 41508-2021")</f>
        <v/>
      </c>
      <c r="V110">
        <f>HYPERLINK("https://klasma.github.io/Logging_2482/klagomål/A 41508-2021 FSC-klagomål.docx", "A 41508-2021")</f>
        <v/>
      </c>
      <c r="W110">
        <f>HYPERLINK("https://klasma.github.io/Logging_2482/klagomålsmail/A 41508-2021 FSC-klagomål mail.docx", "A 41508-2021")</f>
        <v/>
      </c>
      <c r="X110">
        <f>HYPERLINK("https://klasma.github.io/Logging_2482/tillsyn/A 41508-2021 tillsynsbegäran.docx", "A 41508-2021")</f>
        <v/>
      </c>
      <c r="Y110">
        <f>HYPERLINK("https://klasma.github.io/Logging_2482/tillsynsmail/A 41508-2021 tillsynsbegäran mail.docx", "A 41508-2021")</f>
        <v/>
      </c>
    </row>
    <row r="111" ht="15" customHeight="1">
      <c r="A111" t="inlineStr">
        <is>
          <t>A 41506-2021</t>
        </is>
      </c>
      <c r="B111" s="1" t="n">
        <v>44425</v>
      </c>
      <c r="C111" s="1" t="n">
        <v>45742</v>
      </c>
      <c r="D111" t="inlineStr">
        <is>
          <t>VÄSTERBOTTENS LÄN</t>
        </is>
      </c>
      <c r="E111" t="inlineStr">
        <is>
          <t>SKELLEFTEÅ</t>
        </is>
      </c>
      <c r="F111" t="inlineStr">
        <is>
          <t>SCA</t>
        </is>
      </c>
      <c r="G111" t="n">
        <v>4.2</v>
      </c>
      <c r="H111" t="n">
        <v>0</v>
      </c>
      <c r="I111" t="n">
        <v>1</v>
      </c>
      <c r="J111" t="n">
        <v>2</v>
      </c>
      <c r="K111" t="n">
        <v>0</v>
      </c>
      <c r="L111" t="n">
        <v>0</v>
      </c>
      <c r="M111" t="n">
        <v>0</v>
      </c>
      <c r="N111" t="n">
        <v>0</v>
      </c>
      <c r="O111" t="n">
        <v>2</v>
      </c>
      <c r="P111" t="n">
        <v>0</v>
      </c>
      <c r="Q111" t="n">
        <v>3</v>
      </c>
      <c r="R111" s="2" t="inlineStr">
        <is>
          <t>Rosenticka
Ullticka
Vedticka</t>
        </is>
      </c>
      <c r="S111">
        <f>HYPERLINK("https://klasma.github.io/Logging_2482/artfynd/A 41506-2021 artfynd.xlsx", "A 41506-2021")</f>
        <v/>
      </c>
      <c r="T111">
        <f>HYPERLINK("https://klasma.github.io/Logging_2482/kartor/A 41506-2021 karta.png", "A 41506-2021")</f>
        <v/>
      </c>
      <c r="V111">
        <f>HYPERLINK("https://klasma.github.io/Logging_2482/klagomål/A 41506-2021 FSC-klagomål.docx", "A 41506-2021")</f>
        <v/>
      </c>
      <c r="W111">
        <f>HYPERLINK("https://klasma.github.io/Logging_2482/klagomålsmail/A 41506-2021 FSC-klagomål mail.docx", "A 41506-2021")</f>
        <v/>
      </c>
      <c r="X111">
        <f>HYPERLINK("https://klasma.github.io/Logging_2482/tillsyn/A 41506-2021 tillsynsbegäran.docx", "A 41506-2021")</f>
        <v/>
      </c>
      <c r="Y111">
        <f>HYPERLINK("https://klasma.github.io/Logging_2482/tillsynsmail/A 41506-2021 tillsynsbegäran mail.docx", "A 41506-2021")</f>
        <v/>
      </c>
    </row>
    <row r="112" ht="15" customHeight="1">
      <c r="A112" t="inlineStr">
        <is>
          <t>A 4245-2022</t>
        </is>
      </c>
      <c r="B112" s="1" t="n">
        <v>44588</v>
      </c>
      <c r="C112" s="1" t="n">
        <v>45742</v>
      </c>
      <c r="D112" t="inlineStr">
        <is>
          <t>VÄSTERBOTTENS LÄN</t>
        </is>
      </c>
      <c r="E112" t="inlineStr">
        <is>
          <t>SKELLEFTEÅ</t>
        </is>
      </c>
      <c r="G112" t="n">
        <v>0.2</v>
      </c>
      <c r="H112" t="n">
        <v>0</v>
      </c>
      <c r="I112" t="n">
        <v>0</v>
      </c>
      <c r="J112" t="n">
        <v>3</v>
      </c>
      <c r="K112" t="n">
        <v>0</v>
      </c>
      <c r="L112" t="n">
        <v>0</v>
      </c>
      <c r="M112" t="n">
        <v>0</v>
      </c>
      <c r="N112" t="n">
        <v>0</v>
      </c>
      <c r="O112" t="n">
        <v>3</v>
      </c>
      <c r="P112" t="n">
        <v>0</v>
      </c>
      <c r="Q112" t="n">
        <v>3</v>
      </c>
      <c r="R112" s="2" t="inlineStr">
        <is>
          <t>Garnlav
Granticka
Harticka</t>
        </is>
      </c>
      <c r="S112">
        <f>HYPERLINK("https://klasma.github.io/Logging_2482/artfynd/A 4245-2022 artfynd.xlsx", "A 4245-2022")</f>
        <v/>
      </c>
      <c r="T112">
        <f>HYPERLINK("https://klasma.github.io/Logging_2482/kartor/A 4245-2022 karta.png", "A 4245-2022")</f>
        <v/>
      </c>
      <c r="V112">
        <f>HYPERLINK("https://klasma.github.io/Logging_2482/klagomål/A 4245-2022 FSC-klagomål.docx", "A 4245-2022")</f>
        <v/>
      </c>
      <c r="W112">
        <f>HYPERLINK("https://klasma.github.io/Logging_2482/klagomålsmail/A 4245-2022 FSC-klagomål mail.docx", "A 4245-2022")</f>
        <v/>
      </c>
      <c r="X112">
        <f>HYPERLINK("https://klasma.github.io/Logging_2482/tillsyn/A 4245-2022 tillsynsbegäran.docx", "A 4245-2022")</f>
        <v/>
      </c>
      <c r="Y112">
        <f>HYPERLINK("https://klasma.github.io/Logging_2482/tillsynsmail/A 4245-2022 tillsynsbegäran mail.docx", "A 4245-2022")</f>
        <v/>
      </c>
    </row>
    <row r="113" ht="15" customHeight="1">
      <c r="A113" t="inlineStr">
        <is>
          <t>A 14498-2022</t>
        </is>
      </c>
      <c r="B113" s="1" t="n">
        <v>44655</v>
      </c>
      <c r="C113" s="1" t="n">
        <v>45742</v>
      </c>
      <c r="D113" t="inlineStr">
        <is>
          <t>VÄSTERBOTTENS LÄN</t>
        </is>
      </c>
      <c r="E113" t="inlineStr">
        <is>
          <t>SKELLEFTEÅ</t>
        </is>
      </c>
      <c r="G113" t="n">
        <v>8.6</v>
      </c>
      <c r="H113" t="n">
        <v>0</v>
      </c>
      <c r="I113" t="n">
        <v>0</v>
      </c>
      <c r="J113" t="n">
        <v>3</v>
      </c>
      <c r="K113" t="n">
        <v>0</v>
      </c>
      <c r="L113" t="n">
        <v>0</v>
      </c>
      <c r="M113" t="n">
        <v>0</v>
      </c>
      <c r="N113" t="n">
        <v>0</v>
      </c>
      <c r="O113" t="n">
        <v>3</v>
      </c>
      <c r="P113" t="n">
        <v>0</v>
      </c>
      <c r="Q113" t="n">
        <v>3</v>
      </c>
      <c r="R113" s="2" t="inlineStr">
        <is>
          <t>Garnlav
Granticka
Ullticka</t>
        </is>
      </c>
      <c r="S113">
        <f>HYPERLINK("https://klasma.github.io/Logging_2482/artfynd/A 14498-2022 artfynd.xlsx", "A 14498-2022")</f>
        <v/>
      </c>
      <c r="T113">
        <f>HYPERLINK("https://klasma.github.io/Logging_2482/kartor/A 14498-2022 karta.png", "A 14498-2022")</f>
        <v/>
      </c>
      <c r="V113">
        <f>HYPERLINK("https://klasma.github.io/Logging_2482/klagomål/A 14498-2022 FSC-klagomål.docx", "A 14498-2022")</f>
        <v/>
      </c>
      <c r="W113">
        <f>HYPERLINK("https://klasma.github.io/Logging_2482/klagomålsmail/A 14498-2022 FSC-klagomål mail.docx", "A 14498-2022")</f>
        <v/>
      </c>
      <c r="X113">
        <f>HYPERLINK("https://klasma.github.io/Logging_2482/tillsyn/A 14498-2022 tillsynsbegäran.docx", "A 14498-2022")</f>
        <v/>
      </c>
      <c r="Y113">
        <f>HYPERLINK("https://klasma.github.io/Logging_2482/tillsynsmail/A 14498-2022 tillsynsbegäran mail.docx", "A 14498-2022")</f>
        <v/>
      </c>
    </row>
    <row r="114" ht="15" customHeight="1">
      <c r="A114" t="inlineStr">
        <is>
          <t>A 19803-2022</t>
        </is>
      </c>
      <c r="B114" s="1" t="n">
        <v>44694</v>
      </c>
      <c r="C114" s="1" t="n">
        <v>45742</v>
      </c>
      <c r="D114" t="inlineStr">
        <is>
          <t>VÄSTERBOTTENS LÄN</t>
        </is>
      </c>
      <c r="E114" t="inlineStr">
        <is>
          <t>SKELLEFTEÅ</t>
        </is>
      </c>
      <c r="F114" t="inlineStr">
        <is>
          <t>SCA</t>
        </is>
      </c>
      <c r="G114" t="n">
        <v>5.6</v>
      </c>
      <c r="H114" t="n">
        <v>1</v>
      </c>
      <c r="I114" t="n">
        <v>0</v>
      </c>
      <c r="J114" t="n">
        <v>3</v>
      </c>
      <c r="K114" t="n">
        <v>0</v>
      </c>
      <c r="L114" t="n">
        <v>0</v>
      </c>
      <c r="M114" t="n">
        <v>0</v>
      </c>
      <c r="N114" t="n">
        <v>0</v>
      </c>
      <c r="O114" t="n">
        <v>3</v>
      </c>
      <c r="P114" t="n">
        <v>0</v>
      </c>
      <c r="Q114" t="n">
        <v>3</v>
      </c>
      <c r="R114" s="2" t="inlineStr">
        <is>
          <t>Rosenticka
Spillkråka
Vitgrynig nållav</t>
        </is>
      </c>
      <c r="S114">
        <f>HYPERLINK("https://klasma.github.io/Logging_2482/artfynd/A 19803-2022 artfynd.xlsx", "A 19803-2022")</f>
        <v/>
      </c>
      <c r="T114">
        <f>HYPERLINK("https://klasma.github.io/Logging_2482/kartor/A 19803-2022 karta.png", "A 19803-2022")</f>
        <v/>
      </c>
      <c r="V114">
        <f>HYPERLINK("https://klasma.github.io/Logging_2482/klagomål/A 19803-2022 FSC-klagomål.docx", "A 19803-2022")</f>
        <v/>
      </c>
      <c r="W114">
        <f>HYPERLINK("https://klasma.github.io/Logging_2482/klagomålsmail/A 19803-2022 FSC-klagomål mail.docx", "A 19803-2022")</f>
        <v/>
      </c>
      <c r="X114">
        <f>HYPERLINK("https://klasma.github.io/Logging_2482/tillsyn/A 19803-2022 tillsynsbegäran.docx", "A 19803-2022")</f>
        <v/>
      </c>
      <c r="Y114">
        <f>HYPERLINK("https://klasma.github.io/Logging_2482/tillsynsmail/A 19803-2022 tillsynsbegäran mail.docx", "A 19803-2022")</f>
        <v/>
      </c>
      <c r="Z114">
        <f>HYPERLINK("https://klasma.github.io/Logging_2482/fåglar/A 19803-2022 prioriterade fågelarter.docx", "A 19803-2022")</f>
        <v/>
      </c>
    </row>
    <row r="115" ht="15" customHeight="1">
      <c r="A115" t="inlineStr">
        <is>
          <t>A 40987-2022</t>
        </is>
      </c>
      <c r="B115" s="1" t="n">
        <v>44823</v>
      </c>
      <c r="C115" s="1" t="n">
        <v>45742</v>
      </c>
      <c r="D115" t="inlineStr">
        <is>
          <t>VÄSTERBOTTENS LÄN</t>
        </is>
      </c>
      <c r="E115" t="inlineStr">
        <is>
          <t>SKELLEFTEÅ</t>
        </is>
      </c>
      <c r="G115" t="n">
        <v>7.1</v>
      </c>
      <c r="H115" t="n">
        <v>0</v>
      </c>
      <c r="I115" t="n">
        <v>2</v>
      </c>
      <c r="J115" t="n">
        <v>1</v>
      </c>
      <c r="K115" t="n">
        <v>0</v>
      </c>
      <c r="L115" t="n">
        <v>0</v>
      </c>
      <c r="M115" t="n">
        <v>0</v>
      </c>
      <c r="N115" t="n">
        <v>0</v>
      </c>
      <c r="O115" t="n">
        <v>1</v>
      </c>
      <c r="P115" t="n">
        <v>0</v>
      </c>
      <c r="Q115" t="n">
        <v>3</v>
      </c>
      <c r="R115" s="2" t="inlineStr">
        <is>
          <t>Blå taggsvamp
Bårdlav
Norrlandslav</t>
        </is>
      </c>
      <c r="S115">
        <f>HYPERLINK("https://klasma.github.io/Logging_2482/artfynd/A 40987-2022 artfynd.xlsx", "A 40987-2022")</f>
        <v/>
      </c>
      <c r="T115">
        <f>HYPERLINK("https://klasma.github.io/Logging_2482/kartor/A 40987-2022 karta.png", "A 40987-2022")</f>
        <v/>
      </c>
      <c r="V115">
        <f>HYPERLINK("https://klasma.github.io/Logging_2482/klagomål/A 40987-2022 FSC-klagomål.docx", "A 40987-2022")</f>
        <v/>
      </c>
      <c r="W115">
        <f>HYPERLINK("https://klasma.github.io/Logging_2482/klagomålsmail/A 40987-2022 FSC-klagomål mail.docx", "A 40987-2022")</f>
        <v/>
      </c>
      <c r="X115">
        <f>HYPERLINK("https://klasma.github.io/Logging_2482/tillsyn/A 40987-2022 tillsynsbegäran.docx", "A 40987-2022")</f>
        <v/>
      </c>
      <c r="Y115">
        <f>HYPERLINK("https://klasma.github.io/Logging_2482/tillsynsmail/A 40987-2022 tillsynsbegäran mail.docx", "A 40987-2022")</f>
        <v/>
      </c>
    </row>
    <row r="116" ht="15" customHeight="1">
      <c r="A116" t="inlineStr">
        <is>
          <t>A 41412-2022</t>
        </is>
      </c>
      <c r="B116" s="1" t="n">
        <v>44826</v>
      </c>
      <c r="C116" s="1" t="n">
        <v>45742</v>
      </c>
      <c r="D116" t="inlineStr">
        <is>
          <t>VÄSTERBOTTENS LÄN</t>
        </is>
      </c>
      <c r="E116" t="inlineStr">
        <is>
          <t>SKELLEFTEÅ</t>
        </is>
      </c>
      <c r="G116" t="n">
        <v>2.6</v>
      </c>
      <c r="H116" t="n">
        <v>0</v>
      </c>
      <c r="I116" t="n">
        <v>1</v>
      </c>
      <c r="J116" t="n">
        <v>2</v>
      </c>
      <c r="K116" t="n">
        <v>0</v>
      </c>
      <c r="L116" t="n">
        <v>0</v>
      </c>
      <c r="M116" t="n">
        <v>0</v>
      </c>
      <c r="N116" t="n">
        <v>0</v>
      </c>
      <c r="O116" t="n">
        <v>2</v>
      </c>
      <c r="P116" t="n">
        <v>0</v>
      </c>
      <c r="Q116" t="n">
        <v>3</v>
      </c>
      <c r="R116" s="2" t="inlineStr">
        <is>
          <t>Gränsticka
Ullticka
Vedticka</t>
        </is>
      </c>
      <c r="S116">
        <f>HYPERLINK("https://klasma.github.io/Logging_2482/artfynd/A 41412-2022 artfynd.xlsx", "A 41412-2022")</f>
        <v/>
      </c>
      <c r="T116">
        <f>HYPERLINK("https://klasma.github.io/Logging_2482/kartor/A 41412-2022 karta.png", "A 41412-2022")</f>
        <v/>
      </c>
      <c r="V116">
        <f>HYPERLINK("https://klasma.github.io/Logging_2482/klagomål/A 41412-2022 FSC-klagomål.docx", "A 41412-2022")</f>
        <v/>
      </c>
      <c r="W116">
        <f>HYPERLINK("https://klasma.github.io/Logging_2482/klagomålsmail/A 41412-2022 FSC-klagomål mail.docx", "A 41412-2022")</f>
        <v/>
      </c>
      <c r="X116">
        <f>HYPERLINK("https://klasma.github.io/Logging_2482/tillsyn/A 41412-2022 tillsynsbegäran.docx", "A 41412-2022")</f>
        <v/>
      </c>
      <c r="Y116">
        <f>HYPERLINK("https://klasma.github.io/Logging_2482/tillsynsmail/A 41412-2022 tillsynsbegäran mail.docx", "A 41412-2022")</f>
        <v/>
      </c>
    </row>
    <row r="117" ht="15" customHeight="1">
      <c r="A117" t="inlineStr">
        <is>
          <t>A 42687-2022</t>
        </is>
      </c>
      <c r="B117" s="1" t="n">
        <v>44831</v>
      </c>
      <c r="C117" s="1" t="n">
        <v>45742</v>
      </c>
      <c r="D117" t="inlineStr">
        <is>
          <t>VÄSTERBOTTENS LÄN</t>
        </is>
      </c>
      <c r="E117" t="inlineStr">
        <is>
          <t>SKELLEFTEÅ</t>
        </is>
      </c>
      <c r="G117" t="n">
        <v>2.7</v>
      </c>
      <c r="H117" t="n">
        <v>0</v>
      </c>
      <c r="I117" t="n">
        <v>0</v>
      </c>
      <c r="J117" t="n">
        <v>3</v>
      </c>
      <c r="K117" t="n">
        <v>0</v>
      </c>
      <c r="L117" t="n">
        <v>0</v>
      </c>
      <c r="M117" t="n">
        <v>0</v>
      </c>
      <c r="N117" t="n">
        <v>0</v>
      </c>
      <c r="O117" t="n">
        <v>3</v>
      </c>
      <c r="P117" t="n">
        <v>0</v>
      </c>
      <c r="Q117" t="n">
        <v>3</v>
      </c>
      <c r="R117" s="2" t="inlineStr">
        <is>
          <t>Granticka
Stjärntagging
Ullticka</t>
        </is>
      </c>
      <c r="S117">
        <f>HYPERLINK("https://klasma.github.io/Logging_2482/artfynd/A 42687-2022 artfynd.xlsx", "A 42687-2022")</f>
        <v/>
      </c>
      <c r="T117">
        <f>HYPERLINK("https://klasma.github.io/Logging_2482/kartor/A 42687-2022 karta.png", "A 42687-2022")</f>
        <v/>
      </c>
      <c r="V117">
        <f>HYPERLINK("https://klasma.github.io/Logging_2482/klagomål/A 42687-2022 FSC-klagomål.docx", "A 42687-2022")</f>
        <v/>
      </c>
      <c r="W117">
        <f>HYPERLINK("https://klasma.github.io/Logging_2482/klagomålsmail/A 42687-2022 FSC-klagomål mail.docx", "A 42687-2022")</f>
        <v/>
      </c>
      <c r="X117">
        <f>HYPERLINK("https://klasma.github.io/Logging_2482/tillsyn/A 42687-2022 tillsynsbegäran.docx", "A 42687-2022")</f>
        <v/>
      </c>
      <c r="Y117">
        <f>HYPERLINK("https://klasma.github.io/Logging_2482/tillsynsmail/A 42687-2022 tillsynsbegäran mail.docx", "A 42687-2022")</f>
        <v/>
      </c>
    </row>
    <row r="118" ht="15" customHeight="1">
      <c r="A118" t="inlineStr">
        <is>
          <t>A 35733-2023</t>
        </is>
      </c>
      <c r="B118" s="1" t="n">
        <v>45147</v>
      </c>
      <c r="C118" s="1" t="n">
        <v>45742</v>
      </c>
      <c r="D118" t="inlineStr">
        <is>
          <t>VÄSTERBOTTENS LÄN</t>
        </is>
      </c>
      <c r="E118" t="inlineStr">
        <is>
          <t>SKELLEFTEÅ</t>
        </is>
      </c>
      <c r="G118" t="n">
        <v>1.2</v>
      </c>
      <c r="H118" t="n">
        <v>0</v>
      </c>
      <c r="I118" t="n">
        <v>2</v>
      </c>
      <c r="J118" t="n">
        <v>1</v>
      </c>
      <c r="K118" t="n">
        <v>0</v>
      </c>
      <c r="L118" t="n">
        <v>0</v>
      </c>
      <c r="M118" t="n">
        <v>0</v>
      </c>
      <c r="N118" t="n">
        <v>0</v>
      </c>
      <c r="O118" t="n">
        <v>1</v>
      </c>
      <c r="P118" t="n">
        <v>0</v>
      </c>
      <c r="Q118" t="n">
        <v>3</v>
      </c>
      <c r="R118" s="2" t="inlineStr">
        <is>
          <t>Garnlav
Dropptaggsvamp
Skarp dropptaggsvamp</t>
        </is>
      </c>
      <c r="S118">
        <f>HYPERLINK("https://klasma.github.io/Logging_2482/artfynd/A 35733-2023 artfynd.xlsx", "A 35733-2023")</f>
        <v/>
      </c>
      <c r="T118">
        <f>HYPERLINK("https://klasma.github.io/Logging_2482/kartor/A 35733-2023 karta.png", "A 35733-2023")</f>
        <v/>
      </c>
      <c r="V118">
        <f>HYPERLINK("https://klasma.github.io/Logging_2482/klagomål/A 35733-2023 FSC-klagomål.docx", "A 35733-2023")</f>
        <v/>
      </c>
      <c r="W118">
        <f>HYPERLINK("https://klasma.github.io/Logging_2482/klagomålsmail/A 35733-2023 FSC-klagomål mail.docx", "A 35733-2023")</f>
        <v/>
      </c>
      <c r="X118">
        <f>HYPERLINK("https://klasma.github.io/Logging_2482/tillsyn/A 35733-2023 tillsynsbegäran.docx", "A 35733-2023")</f>
        <v/>
      </c>
      <c r="Y118">
        <f>HYPERLINK("https://klasma.github.io/Logging_2482/tillsynsmail/A 35733-2023 tillsynsbegäran mail.docx", "A 35733-2023")</f>
        <v/>
      </c>
    </row>
    <row r="119" ht="15" customHeight="1">
      <c r="A119" t="inlineStr">
        <is>
          <t>A 41099-2023</t>
        </is>
      </c>
      <c r="B119" s="1" t="n">
        <v>45173</v>
      </c>
      <c r="C119" s="1" t="n">
        <v>45742</v>
      </c>
      <c r="D119" t="inlineStr">
        <is>
          <t>VÄSTERBOTTENS LÄN</t>
        </is>
      </c>
      <c r="E119" t="inlineStr">
        <is>
          <t>SKELLEFTEÅ</t>
        </is>
      </c>
      <c r="F119" t="inlineStr">
        <is>
          <t>Holmen skog AB</t>
        </is>
      </c>
      <c r="G119" t="n">
        <v>7.3</v>
      </c>
      <c r="H119" t="n">
        <v>0</v>
      </c>
      <c r="I119" t="n">
        <v>0</v>
      </c>
      <c r="J119" t="n">
        <v>3</v>
      </c>
      <c r="K119" t="n">
        <v>0</v>
      </c>
      <c r="L119" t="n">
        <v>0</v>
      </c>
      <c r="M119" t="n">
        <v>0</v>
      </c>
      <c r="N119" t="n">
        <v>0</v>
      </c>
      <c r="O119" t="n">
        <v>3</v>
      </c>
      <c r="P119" t="n">
        <v>0</v>
      </c>
      <c r="Q119" t="n">
        <v>3</v>
      </c>
      <c r="R119" s="2" t="inlineStr">
        <is>
          <t>Gammelgransskål
Garnlav
Lunglav</t>
        </is>
      </c>
      <c r="S119">
        <f>HYPERLINK("https://klasma.github.io/Logging_2482/artfynd/A 41099-2023 artfynd.xlsx", "A 41099-2023")</f>
        <v/>
      </c>
      <c r="T119">
        <f>HYPERLINK("https://klasma.github.io/Logging_2482/kartor/A 41099-2023 karta.png", "A 41099-2023")</f>
        <v/>
      </c>
      <c r="V119">
        <f>HYPERLINK("https://klasma.github.io/Logging_2482/klagomål/A 41099-2023 FSC-klagomål.docx", "A 41099-2023")</f>
        <v/>
      </c>
      <c r="W119">
        <f>HYPERLINK("https://klasma.github.io/Logging_2482/klagomålsmail/A 41099-2023 FSC-klagomål mail.docx", "A 41099-2023")</f>
        <v/>
      </c>
      <c r="X119">
        <f>HYPERLINK("https://klasma.github.io/Logging_2482/tillsyn/A 41099-2023 tillsynsbegäran.docx", "A 41099-2023")</f>
        <v/>
      </c>
      <c r="Y119">
        <f>HYPERLINK("https://klasma.github.io/Logging_2482/tillsynsmail/A 41099-2023 tillsynsbegäran mail.docx", "A 41099-2023")</f>
        <v/>
      </c>
    </row>
    <row r="120" ht="15" customHeight="1">
      <c r="A120" t="inlineStr">
        <is>
          <t>A 44152-2023</t>
        </is>
      </c>
      <c r="B120" s="1" t="n">
        <v>45188</v>
      </c>
      <c r="C120" s="1" t="n">
        <v>45742</v>
      </c>
      <c r="D120" t="inlineStr">
        <is>
          <t>VÄSTERBOTTENS LÄN</t>
        </is>
      </c>
      <c r="E120" t="inlineStr">
        <is>
          <t>SKELLEFTEÅ</t>
        </is>
      </c>
      <c r="F120" t="inlineStr">
        <is>
          <t>Holmen skog AB</t>
        </is>
      </c>
      <c r="G120" t="n">
        <v>9.199999999999999</v>
      </c>
      <c r="H120" t="n">
        <v>1</v>
      </c>
      <c r="I120" t="n">
        <v>0</v>
      </c>
      <c r="J120" t="n">
        <v>3</v>
      </c>
      <c r="K120" t="n">
        <v>0</v>
      </c>
      <c r="L120" t="n">
        <v>0</v>
      </c>
      <c r="M120" t="n">
        <v>0</v>
      </c>
      <c r="N120" t="n">
        <v>0</v>
      </c>
      <c r="O120" t="n">
        <v>3</v>
      </c>
      <c r="P120" t="n">
        <v>0</v>
      </c>
      <c r="Q120" t="n">
        <v>3</v>
      </c>
      <c r="R120" s="2" t="inlineStr">
        <is>
          <t>Gammelgransskål
Garnlav
Videsparv</t>
        </is>
      </c>
      <c r="S120">
        <f>HYPERLINK("https://klasma.github.io/Logging_2482/artfynd/A 44152-2023 artfynd.xlsx", "A 44152-2023")</f>
        <v/>
      </c>
      <c r="T120">
        <f>HYPERLINK("https://klasma.github.io/Logging_2482/kartor/A 44152-2023 karta.png", "A 44152-2023")</f>
        <v/>
      </c>
      <c r="V120">
        <f>HYPERLINK("https://klasma.github.io/Logging_2482/klagomål/A 44152-2023 FSC-klagomål.docx", "A 44152-2023")</f>
        <v/>
      </c>
      <c r="W120">
        <f>HYPERLINK("https://klasma.github.io/Logging_2482/klagomålsmail/A 44152-2023 FSC-klagomål mail.docx", "A 44152-2023")</f>
        <v/>
      </c>
      <c r="X120">
        <f>HYPERLINK("https://klasma.github.io/Logging_2482/tillsyn/A 44152-2023 tillsynsbegäran.docx", "A 44152-2023")</f>
        <v/>
      </c>
      <c r="Y120">
        <f>HYPERLINK("https://klasma.github.io/Logging_2482/tillsynsmail/A 44152-2023 tillsynsbegäran mail.docx", "A 44152-2023")</f>
        <v/>
      </c>
      <c r="Z120">
        <f>HYPERLINK("https://klasma.github.io/Logging_2482/fåglar/A 44152-2023 prioriterade fågelarter.docx", "A 44152-2023")</f>
        <v/>
      </c>
    </row>
    <row r="121" ht="15" customHeight="1">
      <c r="A121" t="inlineStr">
        <is>
          <t>A 56435-2023</t>
        </is>
      </c>
      <c r="B121" s="1" t="n">
        <v>45243</v>
      </c>
      <c r="C121" s="1" t="n">
        <v>45742</v>
      </c>
      <c r="D121" t="inlineStr">
        <is>
          <t>VÄSTERBOTTENS LÄN</t>
        </is>
      </c>
      <c r="E121" t="inlineStr">
        <is>
          <t>SKELLEFTEÅ</t>
        </is>
      </c>
      <c r="G121" t="n">
        <v>4.1</v>
      </c>
      <c r="H121" t="n">
        <v>0</v>
      </c>
      <c r="I121" t="n">
        <v>0</v>
      </c>
      <c r="J121" t="n">
        <v>3</v>
      </c>
      <c r="K121" t="n">
        <v>0</v>
      </c>
      <c r="L121" t="n">
        <v>0</v>
      </c>
      <c r="M121" t="n">
        <v>0</v>
      </c>
      <c r="N121" t="n">
        <v>0</v>
      </c>
      <c r="O121" t="n">
        <v>3</v>
      </c>
      <c r="P121" t="n">
        <v>0</v>
      </c>
      <c r="Q121" t="n">
        <v>3</v>
      </c>
      <c r="R121" s="2" t="inlineStr">
        <is>
          <t>Lunglav
Ullticka
Violettgrå tagellav</t>
        </is>
      </c>
      <c r="S121">
        <f>HYPERLINK("https://klasma.github.io/Logging_2482/artfynd/A 56435-2023 artfynd.xlsx", "A 56435-2023")</f>
        <v/>
      </c>
      <c r="T121">
        <f>HYPERLINK("https://klasma.github.io/Logging_2482/kartor/A 56435-2023 karta.png", "A 56435-2023")</f>
        <v/>
      </c>
      <c r="V121">
        <f>HYPERLINK("https://klasma.github.io/Logging_2482/klagomål/A 56435-2023 FSC-klagomål.docx", "A 56435-2023")</f>
        <v/>
      </c>
      <c r="W121">
        <f>HYPERLINK("https://klasma.github.io/Logging_2482/klagomålsmail/A 56435-2023 FSC-klagomål mail.docx", "A 56435-2023")</f>
        <v/>
      </c>
      <c r="X121">
        <f>HYPERLINK("https://klasma.github.io/Logging_2482/tillsyn/A 56435-2023 tillsynsbegäran.docx", "A 56435-2023")</f>
        <v/>
      </c>
      <c r="Y121">
        <f>HYPERLINK("https://klasma.github.io/Logging_2482/tillsynsmail/A 56435-2023 tillsynsbegäran mail.docx", "A 56435-2023")</f>
        <v/>
      </c>
    </row>
    <row r="122" ht="15" customHeight="1">
      <c r="A122" t="inlineStr">
        <is>
          <t>A 58157-2023</t>
        </is>
      </c>
      <c r="B122" s="1" t="n">
        <v>45250</v>
      </c>
      <c r="C122" s="1" t="n">
        <v>45742</v>
      </c>
      <c r="D122" t="inlineStr">
        <is>
          <t>VÄSTERBOTTENS LÄN</t>
        </is>
      </c>
      <c r="E122" t="inlineStr">
        <is>
          <t>SKELLEFTEÅ</t>
        </is>
      </c>
      <c r="F122" t="inlineStr">
        <is>
          <t>Holmen skog AB</t>
        </is>
      </c>
      <c r="G122" t="n">
        <v>14.4</v>
      </c>
      <c r="H122" t="n">
        <v>0</v>
      </c>
      <c r="I122" t="n">
        <v>0</v>
      </c>
      <c r="J122" t="n">
        <v>3</v>
      </c>
      <c r="K122" t="n">
        <v>0</v>
      </c>
      <c r="L122" t="n">
        <v>0</v>
      </c>
      <c r="M122" t="n">
        <v>0</v>
      </c>
      <c r="N122" t="n">
        <v>0</v>
      </c>
      <c r="O122" t="n">
        <v>3</v>
      </c>
      <c r="P122" t="n">
        <v>0</v>
      </c>
      <c r="Q122" t="n">
        <v>3</v>
      </c>
      <c r="R122" s="2" t="inlineStr">
        <is>
          <t>Granticka
Motaggsvamp
Orange taggsvamp</t>
        </is>
      </c>
      <c r="S122">
        <f>HYPERLINK("https://klasma.github.io/Logging_2482/artfynd/A 58157-2023 artfynd.xlsx", "A 58157-2023")</f>
        <v/>
      </c>
      <c r="T122">
        <f>HYPERLINK("https://klasma.github.io/Logging_2482/kartor/A 58157-2023 karta.png", "A 58157-2023")</f>
        <v/>
      </c>
      <c r="V122">
        <f>HYPERLINK("https://klasma.github.io/Logging_2482/klagomål/A 58157-2023 FSC-klagomål.docx", "A 58157-2023")</f>
        <v/>
      </c>
      <c r="W122">
        <f>HYPERLINK("https://klasma.github.io/Logging_2482/klagomålsmail/A 58157-2023 FSC-klagomål mail.docx", "A 58157-2023")</f>
        <v/>
      </c>
      <c r="X122">
        <f>HYPERLINK("https://klasma.github.io/Logging_2482/tillsyn/A 58157-2023 tillsynsbegäran.docx", "A 58157-2023")</f>
        <v/>
      </c>
      <c r="Y122">
        <f>HYPERLINK("https://klasma.github.io/Logging_2482/tillsynsmail/A 58157-2023 tillsynsbegäran mail.docx", "A 58157-2023")</f>
        <v/>
      </c>
    </row>
    <row r="123" ht="15" customHeight="1">
      <c r="A123" t="inlineStr">
        <is>
          <t>A 62346-2023</t>
        </is>
      </c>
      <c r="B123" s="1" t="n">
        <v>45267</v>
      </c>
      <c r="C123" s="1" t="n">
        <v>45742</v>
      </c>
      <c r="D123" t="inlineStr">
        <is>
          <t>VÄSTERBOTTENS LÄN</t>
        </is>
      </c>
      <c r="E123" t="inlineStr">
        <is>
          <t>SKELLEFTEÅ</t>
        </is>
      </c>
      <c r="G123" t="n">
        <v>5.1</v>
      </c>
      <c r="H123" t="n">
        <v>0</v>
      </c>
      <c r="I123" t="n">
        <v>0</v>
      </c>
      <c r="J123" t="n">
        <v>3</v>
      </c>
      <c r="K123" t="n">
        <v>0</v>
      </c>
      <c r="L123" t="n">
        <v>0</v>
      </c>
      <c r="M123" t="n">
        <v>0</v>
      </c>
      <c r="N123" t="n">
        <v>0</v>
      </c>
      <c r="O123" t="n">
        <v>3</v>
      </c>
      <c r="P123" t="n">
        <v>0</v>
      </c>
      <c r="Q123" t="n">
        <v>3</v>
      </c>
      <c r="R123" s="2" t="inlineStr">
        <is>
          <t>Garnlav
Ullticka
Violettgrå tagellav</t>
        </is>
      </c>
      <c r="S123">
        <f>HYPERLINK("https://klasma.github.io/Logging_2482/artfynd/A 62346-2023 artfynd.xlsx", "A 62346-2023")</f>
        <v/>
      </c>
      <c r="T123">
        <f>HYPERLINK("https://klasma.github.io/Logging_2482/kartor/A 62346-2023 karta.png", "A 62346-2023")</f>
        <v/>
      </c>
      <c r="V123">
        <f>HYPERLINK("https://klasma.github.io/Logging_2482/klagomål/A 62346-2023 FSC-klagomål.docx", "A 62346-2023")</f>
        <v/>
      </c>
      <c r="W123">
        <f>HYPERLINK("https://klasma.github.io/Logging_2482/klagomålsmail/A 62346-2023 FSC-klagomål mail.docx", "A 62346-2023")</f>
        <v/>
      </c>
      <c r="X123">
        <f>HYPERLINK("https://klasma.github.io/Logging_2482/tillsyn/A 62346-2023 tillsynsbegäran.docx", "A 62346-2023")</f>
        <v/>
      </c>
      <c r="Y123">
        <f>HYPERLINK("https://klasma.github.io/Logging_2482/tillsynsmail/A 62346-2023 tillsynsbegäran mail.docx", "A 62346-2023")</f>
        <v/>
      </c>
    </row>
    <row r="124" ht="15" customHeight="1">
      <c r="A124" t="inlineStr">
        <is>
          <t>A 62595-2023</t>
        </is>
      </c>
      <c r="B124" s="1" t="n">
        <v>45267</v>
      </c>
      <c r="C124" s="1" t="n">
        <v>45742</v>
      </c>
      <c r="D124" t="inlineStr">
        <is>
          <t>VÄSTERBOTTENS LÄN</t>
        </is>
      </c>
      <c r="E124" t="inlineStr">
        <is>
          <t>SKELLEFTEÅ</t>
        </is>
      </c>
      <c r="G124" t="n">
        <v>4.6</v>
      </c>
      <c r="H124" t="n">
        <v>2</v>
      </c>
      <c r="I124" t="n">
        <v>1</v>
      </c>
      <c r="J124" t="n">
        <v>1</v>
      </c>
      <c r="K124" t="n">
        <v>0</v>
      </c>
      <c r="L124" t="n">
        <v>0</v>
      </c>
      <c r="M124" t="n">
        <v>0</v>
      </c>
      <c r="N124" t="n">
        <v>0</v>
      </c>
      <c r="O124" t="n">
        <v>1</v>
      </c>
      <c r="P124" t="n">
        <v>0</v>
      </c>
      <c r="Q124" t="n">
        <v>3</v>
      </c>
      <c r="R124" s="2" t="inlineStr">
        <is>
          <t>Spillkråka
Vedticka
Fläcknycklar</t>
        </is>
      </c>
      <c r="S124">
        <f>HYPERLINK("https://klasma.github.io/Logging_2482/artfynd/A 62595-2023 artfynd.xlsx", "A 62595-2023")</f>
        <v/>
      </c>
      <c r="T124">
        <f>HYPERLINK("https://klasma.github.io/Logging_2482/kartor/A 62595-2023 karta.png", "A 62595-2023")</f>
        <v/>
      </c>
      <c r="V124">
        <f>HYPERLINK("https://klasma.github.io/Logging_2482/klagomål/A 62595-2023 FSC-klagomål.docx", "A 62595-2023")</f>
        <v/>
      </c>
      <c r="W124">
        <f>HYPERLINK("https://klasma.github.io/Logging_2482/klagomålsmail/A 62595-2023 FSC-klagomål mail.docx", "A 62595-2023")</f>
        <v/>
      </c>
      <c r="X124">
        <f>HYPERLINK("https://klasma.github.io/Logging_2482/tillsyn/A 62595-2023 tillsynsbegäran.docx", "A 62595-2023")</f>
        <v/>
      </c>
      <c r="Y124">
        <f>HYPERLINK("https://klasma.github.io/Logging_2482/tillsynsmail/A 62595-2023 tillsynsbegäran mail.docx", "A 62595-2023")</f>
        <v/>
      </c>
      <c r="Z124">
        <f>HYPERLINK("https://klasma.github.io/Logging_2482/fåglar/A 62595-2023 prioriterade fågelarter.docx", "A 62595-2023")</f>
        <v/>
      </c>
    </row>
    <row r="125" ht="15" customHeight="1">
      <c r="A125" t="inlineStr">
        <is>
          <t>A 63289-2023</t>
        </is>
      </c>
      <c r="B125" s="1" t="n">
        <v>45273</v>
      </c>
      <c r="C125" s="1" t="n">
        <v>45742</v>
      </c>
      <c r="D125" t="inlineStr">
        <is>
          <t>VÄSTERBOTTENS LÄN</t>
        </is>
      </c>
      <c r="E125" t="inlineStr">
        <is>
          <t>SKELLEFTEÅ</t>
        </is>
      </c>
      <c r="G125" t="n">
        <v>2.7</v>
      </c>
      <c r="H125" t="n">
        <v>2</v>
      </c>
      <c r="I125" t="n">
        <v>1</v>
      </c>
      <c r="J125" t="n">
        <v>2</v>
      </c>
      <c r="K125" t="n">
        <v>0</v>
      </c>
      <c r="L125" t="n">
        <v>0</v>
      </c>
      <c r="M125" t="n">
        <v>0</v>
      </c>
      <c r="N125" t="n">
        <v>0</v>
      </c>
      <c r="O125" t="n">
        <v>2</v>
      </c>
      <c r="P125" t="n">
        <v>0</v>
      </c>
      <c r="Q125" t="n">
        <v>3</v>
      </c>
      <c r="R125" s="2" t="inlineStr">
        <is>
          <t>Talltita
Tretåig hackspett
Vedticka</t>
        </is>
      </c>
      <c r="S125">
        <f>HYPERLINK("https://klasma.github.io/Logging_2482/artfynd/A 63289-2023 artfynd.xlsx", "A 63289-2023")</f>
        <v/>
      </c>
      <c r="T125">
        <f>HYPERLINK("https://klasma.github.io/Logging_2482/kartor/A 63289-2023 karta.png", "A 63289-2023")</f>
        <v/>
      </c>
      <c r="V125">
        <f>HYPERLINK("https://klasma.github.io/Logging_2482/klagomål/A 63289-2023 FSC-klagomål.docx", "A 63289-2023")</f>
        <v/>
      </c>
      <c r="W125">
        <f>HYPERLINK("https://klasma.github.io/Logging_2482/klagomålsmail/A 63289-2023 FSC-klagomål mail.docx", "A 63289-2023")</f>
        <v/>
      </c>
      <c r="X125">
        <f>HYPERLINK("https://klasma.github.io/Logging_2482/tillsyn/A 63289-2023 tillsynsbegäran.docx", "A 63289-2023")</f>
        <v/>
      </c>
      <c r="Y125">
        <f>HYPERLINK("https://klasma.github.io/Logging_2482/tillsynsmail/A 63289-2023 tillsynsbegäran mail.docx", "A 63289-2023")</f>
        <v/>
      </c>
      <c r="Z125">
        <f>HYPERLINK("https://klasma.github.io/Logging_2482/fåglar/A 63289-2023 prioriterade fågelarter.docx", "A 63289-2023")</f>
        <v/>
      </c>
    </row>
    <row r="126" ht="15" customHeight="1">
      <c r="A126" t="inlineStr">
        <is>
          <t>A 64850-2023</t>
        </is>
      </c>
      <c r="B126" s="1" t="n">
        <v>45282</v>
      </c>
      <c r="C126" s="1" t="n">
        <v>45742</v>
      </c>
      <c r="D126" t="inlineStr">
        <is>
          <t>VÄSTERBOTTENS LÄN</t>
        </is>
      </c>
      <c r="E126" t="inlineStr">
        <is>
          <t>SKELLEFTEÅ</t>
        </is>
      </c>
      <c r="G126" t="n">
        <v>9.9</v>
      </c>
      <c r="H126" t="n">
        <v>0</v>
      </c>
      <c r="I126" t="n">
        <v>0</v>
      </c>
      <c r="J126" t="n">
        <v>3</v>
      </c>
      <c r="K126" t="n">
        <v>0</v>
      </c>
      <c r="L126" t="n">
        <v>0</v>
      </c>
      <c r="M126" t="n">
        <v>0</v>
      </c>
      <c r="N126" t="n">
        <v>0</v>
      </c>
      <c r="O126" t="n">
        <v>3</v>
      </c>
      <c r="P126" t="n">
        <v>0</v>
      </c>
      <c r="Q126" t="n">
        <v>3</v>
      </c>
      <c r="R126" s="2" t="inlineStr">
        <is>
          <t>Gammelgransskål
Garnlav
Ullticka</t>
        </is>
      </c>
      <c r="S126">
        <f>HYPERLINK("https://klasma.github.io/Logging_2482/artfynd/A 64850-2023 artfynd.xlsx", "A 64850-2023")</f>
        <v/>
      </c>
      <c r="T126">
        <f>HYPERLINK("https://klasma.github.io/Logging_2482/kartor/A 64850-2023 karta.png", "A 64850-2023")</f>
        <v/>
      </c>
      <c r="V126">
        <f>HYPERLINK("https://klasma.github.io/Logging_2482/klagomål/A 64850-2023 FSC-klagomål.docx", "A 64850-2023")</f>
        <v/>
      </c>
      <c r="W126">
        <f>HYPERLINK("https://klasma.github.io/Logging_2482/klagomålsmail/A 64850-2023 FSC-klagomål mail.docx", "A 64850-2023")</f>
        <v/>
      </c>
      <c r="X126">
        <f>HYPERLINK("https://klasma.github.io/Logging_2482/tillsyn/A 64850-2023 tillsynsbegäran.docx", "A 64850-2023")</f>
        <v/>
      </c>
      <c r="Y126">
        <f>HYPERLINK("https://klasma.github.io/Logging_2482/tillsynsmail/A 64850-2023 tillsynsbegäran mail.docx", "A 64850-2023")</f>
        <v/>
      </c>
    </row>
    <row r="127" ht="15" customHeight="1">
      <c r="A127" t="inlineStr">
        <is>
          <t>A 14641-2024</t>
        </is>
      </c>
      <c r="B127" s="1" t="n">
        <v>45397</v>
      </c>
      <c r="C127" s="1" t="n">
        <v>45742</v>
      </c>
      <c r="D127" t="inlineStr">
        <is>
          <t>VÄSTERBOTTENS LÄN</t>
        </is>
      </c>
      <c r="E127" t="inlineStr">
        <is>
          <t>SKELLEFTEÅ</t>
        </is>
      </c>
      <c r="G127" t="n">
        <v>0.5</v>
      </c>
      <c r="H127" t="n">
        <v>1</v>
      </c>
      <c r="I127" t="n">
        <v>0</v>
      </c>
      <c r="J127" t="n">
        <v>2</v>
      </c>
      <c r="K127" t="n">
        <v>1</v>
      </c>
      <c r="L127" t="n">
        <v>0</v>
      </c>
      <c r="M127" t="n">
        <v>0</v>
      </c>
      <c r="N127" t="n">
        <v>0</v>
      </c>
      <c r="O127" t="n">
        <v>3</v>
      </c>
      <c r="P127" t="n">
        <v>1</v>
      </c>
      <c r="Q127" t="n">
        <v>3</v>
      </c>
      <c r="R127" s="2" t="inlineStr">
        <is>
          <t>Knärot
Violettgrå tagellav
Vitgrynig nållav</t>
        </is>
      </c>
      <c r="S127">
        <f>HYPERLINK("https://klasma.github.io/Logging_2482/artfynd/A 14641-2024 artfynd.xlsx", "A 14641-2024")</f>
        <v/>
      </c>
      <c r="T127">
        <f>HYPERLINK("https://klasma.github.io/Logging_2482/kartor/A 14641-2024 karta.png", "A 14641-2024")</f>
        <v/>
      </c>
      <c r="U127">
        <f>HYPERLINK("https://klasma.github.io/Logging_2482/knärot/A 14641-2024 karta knärot.png", "A 14641-2024")</f>
        <v/>
      </c>
      <c r="V127">
        <f>HYPERLINK("https://klasma.github.io/Logging_2482/klagomål/A 14641-2024 FSC-klagomål.docx", "A 14641-2024")</f>
        <v/>
      </c>
      <c r="W127">
        <f>HYPERLINK("https://klasma.github.io/Logging_2482/klagomålsmail/A 14641-2024 FSC-klagomål mail.docx", "A 14641-2024")</f>
        <v/>
      </c>
      <c r="X127">
        <f>HYPERLINK("https://klasma.github.io/Logging_2482/tillsyn/A 14641-2024 tillsynsbegäran.docx", "A 14641-2024")</f>
        <v/>
      </c>
      <c r="Y127">
        <f>HYPERLINK("https://klasma.github.io/Logging_2482/tillsynsmail/A 14641-2024 tillsynsbegäran mail.docx", "A 14641-2024")</f>
        <v/>
      </c>
    </row>
    <row r="128" ht="15" customHeight="1">
      <c r="A128" t="inlineStr">
        <is>
          <t>A 23750-2024</t>
        </is>
      </c>
      <c r="B128" s="1" t="n">
        <v>45455</v>
      </c>
      <c r="C128" s="1" t="n">
        <v>45742</v>
      </c>
      <c r="D128" t="inlineStr">
        <is>
          <t>VÄSTERBOTTENS LÄN</t>
        </is>
      </c>
      <c r="E128" t="inlineStr">
        <is>
          <t>SKELLEFTEÅ</t>
        </is>
      </c>
      <c r="G128" t="n">
        <v>2.8</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23750-2024 artfynd.xlsx", "A 23750-2024")</f>
        <v/>
      </c>
      <c r="T128">
        <f>HYPERLINK("https://klasma.github.io/Logging_2482/kartor/A 23750-2024 karta.png", "A 23750-2024")</f>
        <v/>
      </c>
      <c r="V128">
        <f>HYPERLINK("https://klasma.github.io/Logging_2482/klagomål/A 23750-2024 FSC-klagomål.docx", "A 23750-2024")</f>
        <v/>
      </c>
      <c r="W128">
        <f>HYPERLINK("https://klasma.github.io/Logging_2482/klagomålsmail/A 23750-2024 FSC-klagomål mail.docx", "A 23750-2024")</f>
        <v/>
      </c>
      <c r="X128">
        <f>HYPERLINK("https://klasma.github.io/Logging_2482/tillsyn/A 23750-2024 tillsynsbegäran.docx", "A 23750-2024")</f>
        <v/>
      </c>
      <c r="Y128">
        <f>HYPERLINK("https://klasma.github.io/Logging_2482/tillsynsmail/A 23750-2024 tillsynsbegäran mail.docx", "A 23750-2024")</f>
        <v/>
      </c>
    </row>
    <row r="129" ht="15" customHeight="1">
      <c r="A129" t="inlineStr">
        <is>
          <t>A 27290-2024</t>
        </is>
      </c>
      <c r="B129" s="1" t="n">
        <v>45472</v>
      </c>
      <c r="C129" s="1" t="n">
        <v>45742</v>
      </c>
      <c r="D129" t="inlineStr">
        <is>
          <t>VÄSTERBOTTENS LÄN</t>
        </is>
      </c>
      <c r="E129" t="inlineStr">
        <is>
          <t>SKELLEFTEÅ</t>
        </is>
      </c>
      <c r="G129" t="n">
        <v>2.6</v>
      </c>
      <c r="H129" t="n">
        <v>0</v>
      </c>
      <c r="I129" t="n">
        <v>0</v>
      </c>
      <c r="J129" t="n">
        <v>3</v>
      </c>
      <c r="K129" t="n">
        <v>0</v>
      </c>
      <c r="L129" t="n">
        <v>0</v>
      </c>
      <c r="M129" t="n">
        <v>0</v>
      </c>
      <c r="N129" t="n">
        <v>0</v>
      </c>
      <c r="O129" t="n">
        <v>3</v>
      </c>
      <c r="P129" t="n">
        <v>0</v>
      </c>
      <c r="Q129" t="n">
        <v>3</v>
      </c>
      <c r="R129" s="2" t="inlineStr">
        <is>
          <t>Granticka
Rosenticka
Ullticka</t>
        </is>
      </c>
      <c r="S129">
        <f>HYPERLINK("https://klasma.github.io/Logging_2482/artfynd/A 27290-2024 artfynd.xlsx", "A 27290-2024")</f>
        <v/>
      </c>
      <c r="T129">
        <f>HYPERLINK("https://klasma.github.io/Logging_2482/kartor/A 27290-2024 karta.png", "A 27290-2024")</f>
        <v/>
      </c>
      <c r="V129">
        <f>HYPERLINK("https://klasma.github.io/Logging_2482/klagomål/A 27290-2024 FSC-klagomål.docx", "A 27290-2024")</f>
        <v/>
      </c>
      <c r="W129">
        <f>HYPERLINK("https://klasma.github.io/Logging_2482/klagomålsmail/A 27290-2024 FSC-klagomål mail.docx", "A 27290-2024")</f>
        <v/>
      </c>
      <c r="X129">
        <f>HYPERLINK("https://klasma.github.io/Logging_2482/tillsyn/A 27290-2024 tillsynsbegäran.docx", "A 27290-2024")</f>
        <v/>
      </c>
      <c r="Y129">
        <f>HYPERLINK("https://klasma.github.io/Logging_2482/tillsynsmail/A 27290-2024 tillsynsbegäran mail.docx", "A 27290-2024")</f>
        <v/>
      </c>
    </row>
    <row r="130" ht="15" customHeight="1">
      <c r="A130" t="inlineStr">
        <is>
          <t>A 30534-2024</t>
        </is>
      </c>
      <c r="B130" s="1" t="n">
        <v>45492</v>
      </c>
      <c r="C130" s="1" t="n">
        <v>45742</v>
      </c>
      <c r="D130" t="inlineStr">
        <is>
          <t>VÄSTERBOTTENS LÄN</t>
        </is>
      </c>
      <c r="E130" t="inlineStr">
        <is>
          <t>SKELLEFTEÅ</t>
        </is>
      </c>
      <c r="F130" t="inlineStr">
        <is>
          <t>Holmen skog AB</t>
        </is>
      </c>
      <c r="G130" t="n">
        <v>6.5</v>
      </c>
      <c r="H130" t="n">
        <v>0</v>
      </c>
      <c r="I130" t="n">
        <v>2</v>
      </c>
      <c r="J130" t="n">
        <v>1</v>
      </c>
      <c r="K130" t="n">
        <v>0</v>
      </c>
      <c r="L130" t="n">
        <v>0</v>
      </c>
      <c r="M130" t="n">
        <v>0</v>
      </c>
      <c r="N130" t="n">
        <v>0</v>
      </c>
      <c r="O130" t="n">
        <v>1</v>
      </c>
      <c r="P130" t="n">
        <v>0</v>
      </c>
      <c r="Q130" t="n">
        <v>3</v>
      </c>
      <c r="R130" s="2" t="inlineStr">
        <is>
          <t>Garnlav
Dropptaggsvamp
Skinnlav</t>
        </is>
      </c>
      <c r="S130">
        <f>HYPERLINK("https://klasma.github.io/Logging_2482/artfynd/A 30534-2024 artfynd.xlsx", "A 30534-2024")</f>
        <v/>
      </c>
      <c r="T130">
        <f>HYPERLINK("https://klasma.github.io/Logging_2482/kartor/A 30534-2024 karta.png", "A 30534-2024")</f>
        <v/>
      </c>
      <c r="V130">
        <f>HYPERLINK("https://klasma.github.io/Logging_2482/klagomål/A 30534-2024 FSC-klagomål.docx", "A 30534-2024")</f>
        <v/>
      </c>
      <c r="W130">
        <f>HYPERLINK("https://klasma.github.io/Logging_2482/klagomålsmail/A 30534-2024 FSC-klagomål mail.docx", "A 30534-2024")</f>
        <v/>
      </c>
      <c r="X130">
        <f>HYPERLINK("https://klasma.github.io/Logging_2482/tillsyn/A 30534-2024 tillsynsbegäran.docx", "A 30534-2024")</f>
        <v/>
      </c>
      <c r="Y130">
        <f>HYPERLINK("https://klasma.github.io/Logging_2482/tillsynsmail/A 30534-2024 tillsynsbegäran mail.docx", "A 30534-2024")</f>
        <v/>
      </c>
    </row>
    <row r="131" ht="15" customHeight="1">
      <c r="A131" t="inlineStr">
        <is>
          <t>A 33858-2024</t>
        </is>
      </c>
      <c r="B131" s="1" t="n">
        <v>45520</v>
      </c>
      <c r="C131" s="1" t="n">
        <v>45742</v>
      </c>
      <c r="D131" t="inlineStr">
        <is>
          <t>VÄSTERBOTTENS LÄN</t>
        </is>
      </c>
      <c r="E131" t="inlineStr">
        <is>
          <t>SKELLEFTEÅ</t>
        </is>
      </c>
      <c r="F131" t="inlineStr">
        <is>
          <t>Holmen skog AB</t>
        </is>
      </c>
      <c r="G131" t="n">
        <v>1.5</v>
      </c>
      <c r="H131" t="n">
        <v>0</v>
      </c>
      <c r="I131" t="n">
        <v>1</v>
      </c>
      <c r="J131" t="n">
        <v>2</v>
      </c>
      <c r="K131" t="n">
        <v>0</v>
      </c>
      <c r="L131" t="n">
        <v>0</v>
      </c>
      <c r="M131" t="n">
        <v>0</v>
      </c>
      <c r="N131" t="n">
        <v>0</v>
      </c>
      <c r="O131" t="n">
        <v>2</v>
      </c>
      <c r="P131" t="n">
        <v>0</v>
      </c>
      <c r="Q131" t="n">
        <v>3</v>
      </c>
      <c r="R131" s="2" t="inlineStr">
        <is>
          <t>Gammelgransskål
Garnlav
Dropptaggsvamp</t>
        </is>
      </c>
      <c r="S131">
        <f>HYPERLINK("https://klasma.github.io/Logging_2482/artfynd/A 33858-2024 artfynd.xlsx", "A 33858-2024")</f>
        <v/>
      </c>
      <c r="T131">
        <f>HYPERLINK("https://klasma.github.io/Logging_2482/kartor/A 33858-2024 karta.png", "A 33858-2024")</f>
        <v/>
      </c>
      <c r="V131">
        <f>HYPERLINK("https://klasma.github.io/Logging_2482/klagomål/A 33858-2024 FSC-klagomål.docx", "A 33858-2024")</f>
        <v/>
      </c>
      <c r="W131">
        <f>HYPERLINK("https://klasma.github.io/Logging_2482/klagomålsmail/A 33858-2024 FSC-klagomål mail.docx", "A 33858-2024")</f>
        <v/>
      </c>
      <c r="X131">
        <f>HYPERLINK("https://klasma.github.io/Logging_2482/tillsyn/A 33858-2024 tillsynsbegäran.docx", "A 33858-2024")</f>
        <v/>
      </c>
      <c r="Y131">
        <f>HYPERLINK("https://klasma.github.io/Logging_2482/tillsynsmail/A 33858-2024 tillsynsbegäran mail.docx", "A 33858-2024")</f>
        <v/>
      </c>
    </row>
    <row r="132" ht="15" customHeight="1">
      <c r="A132" t="inlineStr">
        <is>
          <t>A 34667-2024</t>
        </is>
      </c>
      <c r="B132" s="1" t="n">
        <v>45526</v>
      </c>
      <c r="C132" s="1" t="n">
        <v>45742</v>
      </c>
      <c r="D132" t="inlineStr">
        <is>
          <t>VÄSTERBOTTENS LÄN</t>
        </is>
      </c>
      <c r="E132" t="inlineStr">
        <is>
          <t>SKELLEFTEÅ</t>
        </is>
      </c>
      <c r="F132" t="inlineStr">
        <is>
          <t>Holmen skog AB</t>
        </is>
      </c>
      <c r="G132" t="n">
        <v>28.9</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HYPERLINK("https://klasma.github.io/Logging_2482/artfynd/A 34667-2024 artfynd.xlsx", "A 34667-2024")</f>
        <v/>
      </c>
      <c r="T132">
        <f>HYPERLINK("https://klasma.github.io/Logging_2482/kartor/A 34667-2024 karta.png", "A 34667-2024")</f>
        <v/>
      </c>
      <c r="V132">
        <f>HYPERLINK("https://klasma.github.io/Logging_2482/klagomål/A 34667-2024 FSC-klagomål.docx", "A 34667-2024")</f>
        <v/>
      </c>
      <c r="W132">
        <f>HYPERLINK("https://klasma.github.io/Logging_2482/klagomålsmail/A 34667-2024 FSC-klagomål mail.docx", "A 34667-2024")</f>
        <v/>
      </c>
      <c r="X132">
        <f>HYPERLINK("https://klasma.github.io/Logging_2482/tillsyn/A 34667-2024 tillsynsbegäran.docx", "A 34667-2024")</f>
        <v/>
      </c>
      <c r="Y132">
        <f>HYPERLINK("https://klasma.github.io/Logging_2482/tillsynsmail/A 34667-2024 tillsynsbegäran mail.docx", "A 34667-2024")</f>
        <v/>
      </c>
    </row>
    <row r="133" ht="15" customHeight="1">
      <c r="A133" t="inlineStr">
        <is>
          <t>A 39857-2024</t>
        </is>
      </c>
      <c r="B133" s="1" t="n">
        <v>45553</v>
      </c>
      <c r="C133" s="1" t="n">
        <v>45742</v>
      </c>
      <c r="D133" t="inlineStr">
        <is>
          <t>VÄSTERBOTTENS LÄN</t>
        </is>
      </c>
      <c r="E133" t="inlineStr">
        <is>
          <t>SKELLEFTEÅ</t>
        </is>
      </c>
      <c r="G133" t="n">
        <v>4.8</v>
      </c>
      <c r="H133" t="n">
        <v>1</v>
      </c>
      <c r="I133" t="n">
        <v>0</v>
      </c>
      <c r="J133" t="n">
        <v>2</v>
      </c>
      <c r="K133" t="n">
        <v>1</v>
      </c>
      <c r="L133" t="n">
        <v>0</v>
      </c>
      <c r="M133" t="n">
        <v>0</v>
      </c>
      <c r="N133" t="n">
        <v>0</v>
      </c>
      <c r="O133" t="n">
        <v>3</v>
      </c>
      <c r="P133" t="n">
        <v>1</v>
      </c>
      <c r="Q133" t="n">
        <v>3</v>
      </c>
      <c r="R133" s="2" t="inlineStr">
        <is>
          <t>Knärot
Garnlav
Ullticka</t>
        </is>
      </c>
      <c r="S133">
        <f>HYPERLINK("https://klasma.github.io/Logging_2482/artfynd/A 39857-2024 artfynd.xlsx", "A 39857-2024")</f>
        <v/>
      </c>
      <c r="T133">
        <f>HYPERLINK("https://klasma.github.io/Logging_2482/kartor/A 39857-2024 karta.png", "A 39857-2024")</f>
        <v/>
      </c>
      <c r="U133">
        <f>HYPERLINK("https://klasma.github.io/Logging_2482/knärot/A 39857-2024 karta knärot.png", "A 39857-2024")</f>
        <v/>
      </c>
      <c r="V133">
        <f>HYPERLINK("https://klasma.github.io/Logging_2482/klagomål/A 39857-2024 FSC-klagomål.docx", "A 39857-2024")</f>
        <v/>
      </c>
      <c r="W133">
        <f>HYPERLINK("https://klasma.github.io/Logging_2482/klagomålsmail/A 39857-2024 FSC-klagomål mail.docx", "A 39857-2024")</f>
        <v/>
      </c>
      <c r="X133">
        <f>HYPERLINK("https://klasma.github.io/Logging_2482/tillsyn/A 39857-2024 tillsynsbegäran.docx", "A 39857-2024")</f>
        <v/>
      </c>
      <c r="Y133">
        <f>HYPERLINK("https://klasma.github.io/Logging_2482/tillsynsmail/A 39857-2024 tillsynsbegäran mail.docx", "A 39857-2024")</f>
        <v/>
      </c>
    </row>
    <row r="134" ht="15" customHeight="1">
      <c r="A134" t="inlineStr">
        <is>
          <t>A 8248-2025</t>
        </is>
      </c>
      <c r="B134" s="1" t="n">
        <v>45708</v>
      </c>
      <c r="C134" s="1" t="n">
        <v>45742</v>
      </c>
      <c r="D134" t="inlineStr">
        <is>
          <t>VÄSTERBOTTENS LÄN</t>
        </is>
      </c>
      <c r="E134" t="inlineStr">
        <is>
          <t>SKELLEFTEÅ</t>
        </is>
      </c>
      <c r="G134" t="n">
        <v>8.699999999999999</v>
      </c>
      <c r="H134" t="n">
        <v>0</v>
      </c>
      <c r="I134" t="n">
        <v>1</v>
      </c>
      <c r="J134" t="n">
        <v>2</v>
      </c>
      <c r="K134" t="n">
        <v>0</v>
      </c>
      <c r="L134" t="n">
        <v>0</v>
      </c>
      <c r="M134" t="n">
        <v>0</v>
      </c>
      <c r="N134" t="n">
        <v>0</v>
      </c>
      <c r="O134" t="n">
        <v>2</v>
      </c>
      <c r="P134" t="n">
        <v>0</v>
      </c>
      <c r="Q134" t="n">
        <v>3</v>
      </c>
      <c r="R134" s="2" t="inlineStr">
        <is>
          <t>Granticka
Tallticka
Trådticka</t>
        </is>
      </c>
      <c r="S134">
        <f>HYPERLINK("https://klasma.github.io/Logging_2482/artfynd/A 8248-2025 artfynd.xlsx", "A 8248-2025")</f>
        <v/>
      </c>
      <c r="T134">
        <f>HYPERLINK("https://klasma.github.io/Logging_2482/kartor/A 8248-2025 karta.png", "A 8248-2025")</f>
        <v/>
      </c>
      <c r="V134">
        <f>HYPERLINK("https://klasma.github.io/Logging_2482/klagomål/A 8248-2025 FSC-klagomål.docx", "A 8248-2025")</f>
        <v/>
      </c>
      <c r="W134">
        <f>HYPERLINK("https://klasma.github.io/Logging_2482/klagomålsmail/A 8248-2025 FSC-klagomål mail.docx", "A 8248-2025")</f>
        <v/>
      </c>
      <c r="X134">
        <f>HYPERLINK("https://klasma.github.io/Logging_2482/tillsyn/A 8248-2025 tillsynsbegäran.docx", "A 8248-2025")</f>
        <v/>
      </c>
      <c r="Y134">
        <f>HYPERLINK("https://klasma.github.io/Logging_2482/tillsynsmail/A 8248-2025 tillsynsbegäran mail.docx", "A 8248-2025")</f>
        <v/>
      </c>
    </row>
    <row r="135" ht="15" customHeight="1">
      <c r="A135" t="inlineStr">
        <is>
          <t>A 18882-2019</t>
        </is>
      </c>
      <c r="B135" s="1" t="n">
        <v>43563</v>
      </c>
      <c r="C135" s="1" t="n">
        <v>45742</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45742</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45742</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45742</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45742</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45742</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45742</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45742</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45742</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45742</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45742</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45742</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45742</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45742</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45742</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45742</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45742</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45742</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45742</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45742</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45742</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45742</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45742</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45742</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45742</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45742</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45742</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45742</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45742</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45742</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45742</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45742</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45742</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45742</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45742</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45742</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45742</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45742</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45742</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45742</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45742</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45742</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45742</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45742</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14391-2025</t>
        </is>
      </c>
      <c r="B179" s="1" t="n">
        <v>45741</v>
      </c>
      <c r="C179" s="1" t="n">
        <v>45742</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HYPERLINK("https://klasma.github.io/Logging_2482/artfynd/A 14391-2025 artfynd.xlsx", "A 14391-2025")</f>
        <v/>
      </c>
      <c r="T179">
        <f>HYPERLINK("https://klasma.github.io/Logging_2482/kartor/A 14391-2025 karta.png", "A 14391-2025")</f>
        <v/>
      </c>
      <c r="V179">
        <f>HYPERLINK("https://klasma.github.io/Logging_2482/klagomål/A 14391-2025 FSC-klagomål.docx", "A 14391-2025")</f>
        <v/>
      </c>
      <c r="W179">
        <f>HYPERLINK("https://klasma.github.io/Logging_2482/klagomålsmail/A 14391-2025 FSC-klagomål mail.docx", "A 14391-2025")</f>
        <v/>
      </c>
      <c r="X179">
        <f>HYPERLINK("https://klasma.github.io/Logging_2482/tillsyn/A 14391-2025 tillsynsbegäran.docx", "A 14391-2025")</f>
        <v/>
      </c>
      <c r="Y179">
        <f>HYPERLINK("https://klasma.github.io/Logging_2482/tillsynsmail/A 14391-2025 tillsynsbegäran mail.docx", "A 14391-2025")</f>
        <v/>
      </c>
      <c r="Z179">
        <f>HYPERLINK("https://klasma.github.io/Logging_2482/fåglar/A 14391-2025 prioriterade fågelarter.docx", "A 14391-2025")</f>
        <v/>
      </c>
    </row>
    <row r="180" ht="15" customHeight="1">
      <c r="A180" t="inlineStr">
        <is>
          <t>A 20465-2019</t>
        </is>
      </c>
      <c r="B180" s="1" t="n">
        <v>43572</v>
      </c>
      <c r="C180" s="1" t="n">
        <v>45742</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45742</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45742</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45742</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45742</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45742</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45742</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45742</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45742</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45742</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45742</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45742</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45742</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45742</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45742</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45742</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45742</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45742</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45742</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45742</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45742</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45742</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45742</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45742</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45742</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45742</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45742</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45742</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45742</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45742</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45742</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45742</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45742</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45742</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45742</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45742</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45742</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45742</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45742</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45742</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45742</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45742</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45742</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45742</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45742</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45742</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45742</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45742</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45742</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45742</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45742</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45742</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45742</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45742</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45742</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45742</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45742</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45742</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45742</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45742</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45742</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45742</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45742</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45742</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45742</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45742</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45742</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45742</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45742</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45742</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45742</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45742</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45742</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45742</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45742</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45742</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45742</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45742</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45742</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45742</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45742</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45742</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45742</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45742</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45742</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HYPERLINK("https://klasma.github.io/Logging_2482/artfynd/A 9446-2025 artfynd.xlsx", "A 9446-2025")</f>
        <v/>
      </c>
      <c r="T264">
        <f>HYPERLINK("https://klasma.github.io/Logging_2482/kartor/A 9446-2025 karta.png", "A 9446-2025")</f>
        <v/>
      </c>
      <c r="V264">
        <f>HYPERLINK("https://klasma.github.io/Logging_2482/klagomål/A 9446-2025 FSC-klagomål.docx", "A 9446-2025")</f>
        <v/>
      </c>
      <c r="W264">
        <f>HYPERLINK("https://klasma.github.io/Logging_2482/klagomålsmail/A 9446-2025 FSC-klagomål mail.docx", "A 9446-2025")</f>
        <v/>
      </c>
      <c r="X264">
        <f>HYPERLINK("https://klasma.github.io/Logging_2482/tillsyn/A 9446-2025 tillsynsbegäran.docx", "A 9446-2025")</f>
        <v/>
      </c>
      <c r="Y264">
        <f>HYPERLINK("https://klasma.github.io/Logging_2482/tillsynsmail/A 9446-2025 tillsynsbegäran mail.docx", "A 9446-2025")</f>
        <v/>
      </c>
    </row>
    <row r="265" ht="15" customHeight="1">
      <c r="A265" t="inlineStr">
        <is>
          <t>A 18072-2019</t>
        </is>
      </c>
      <c r="B265" s="1" t="n">
        <v>43557</v>
      </c>
      <c r="C265" s="1" t="n">
        <v>45742</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45742</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45742</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45742</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45742</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45742</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45742</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45742</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45742</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45742</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45742</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45742</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45742</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45742</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45742</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45742</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45742</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45742</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45742</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45742</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45742</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45742</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45742</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45742</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45742</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45742</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45742</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45742</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45742</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45742</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45742</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45742</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45742</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45742</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45742</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45742</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45742</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45742</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45742</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45742</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45742</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45742</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45742</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45742</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45742</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45742</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45742</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45742</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45742</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45742</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45742</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45742</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45742</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45742</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45742</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45742</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45742</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45742</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45742</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45742</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45742</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45742</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45742</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45742</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45742</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45742</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45742</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45742</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45742</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45742</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45742</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45742</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45742</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45742</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45742</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45742</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45742</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45742</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45742</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45742</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45742</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45742</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45742</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45742</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45742</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45742</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45742</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45742</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45742</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45742</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45742</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45742</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45742</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45742</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45742</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45742</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45742</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45742</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45742</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45742</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45742</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45742</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45742</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45742</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45742</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45742</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45742</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45742</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45742</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45742</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45742</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45742</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45742</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45742</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45742</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45742</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45742</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45742</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45742</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45742</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45742</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45742</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45742</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45742</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45742</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45742</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45742</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45742</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45742</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45742</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45742</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45742</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45742</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45742</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45742</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45742</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45742</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45742</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45742</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45742</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45742</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45742</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45742</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45742</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45742</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45742</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45742</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45742</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45742</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45742</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45742</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45742</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45742</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45742</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45742</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45742</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45742</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45742</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45742</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45742</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45742</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45742</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45742</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45742</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45742</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45742</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45742</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45742</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45742</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45742</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45742</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45742</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45742</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45742</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45742</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45742</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45742</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45742</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45742</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45742</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45742</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45742</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45742</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45742</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45742</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45742</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45742</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45742</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45742</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45742</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45742</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45742</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45742</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45742</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45742</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45742</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45742</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45742</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45742</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45742</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45742</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45742</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45742</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45742</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45742</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45742</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45742</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45742</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45742</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45742</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45742</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45742</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45742</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45742</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45742</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45742</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45742</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45742</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45742</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45742</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45742</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45742</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45742</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45742</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45742</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45742</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45742</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45742</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45742</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45742</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45742</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45742</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45742</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45742</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45742</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45742</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45742</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45742</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45742</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45742</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45742</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45742</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45742</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45742</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45742</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45742</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45742</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45742</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45742</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45742</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45742</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45742</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45742</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45742</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45742</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45742</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45742</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45742</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45742</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45742</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45742</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45742</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45742</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45742</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45742</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45742</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45742</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45742</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45742</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45742</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45742</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45742</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45742</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45742</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45742</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45742</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45742</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45742</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45742</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45742</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45742</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45742</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45742</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45742</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45742</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45742</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45742</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45742</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45742</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45742</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45742</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45742</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45742</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45742</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45742</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45742</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45742</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45742</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45742</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45742</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45742</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45742</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45742</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45742</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45742</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45742</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45742</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45742</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45742</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45742</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45742</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45742</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45742</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45742</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45742</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45742</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45742</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45742</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45742</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45742</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45742</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45742</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45742</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45742</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45742</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45742</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45742</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45742</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45742</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45742</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45742</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45742</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45742</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45742</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45742</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45742</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45742</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45742</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45742</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45742</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45742</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45742</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45742</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45742</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45742</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45742</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45742</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45742</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45742</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45742</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45742</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45742</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45742</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45742</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45742</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45742</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45742</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45742</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45742</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45742</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45742</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45742</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45742</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45742</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45742</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45742</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45742</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45742</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45742</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45742</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45742</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45742</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45742</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45742</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45742</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45742</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45742</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45742</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45742</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45742</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45742</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45742</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45742</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45742</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45742</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45742</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45742</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45742</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45742</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45742</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45742</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45742</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45742</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45742</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45742</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45742</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45742</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45742</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45742</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45742</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45742</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45742</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45742</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45742</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45742</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45742</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45742</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45742</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45742</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45742</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45742</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45742</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45742</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45742</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45742</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45742</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45742</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45742</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45742</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45742</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45742</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45742</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45742</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45742</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45742</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45742</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45742</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45742</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45742</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45742</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45742</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45742</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45742</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45742</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45742</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45742</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45742</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45742</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45742</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45742</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45742</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45742</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45742</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45742</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45742</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45742</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45742</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45742</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45742</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45742</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45742</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45742</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45742</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45742</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45742</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45742</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45742</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45742</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45742</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45742</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45742</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45742</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45742</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45742</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45742</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45742</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45742</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45742</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45742</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45742</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45742</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45742</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45742</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45742</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45742</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45742</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45742</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45742</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45742</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45742</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45742</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45742</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45742</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45742</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45742</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45742</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45742</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45742</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45742</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45742</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45742</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45742</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45742</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45742</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45742</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45742</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45742</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45742</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45742</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45742</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45742</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45742</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45742</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45742</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45742</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45742</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45742</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45742</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45742</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45742</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45742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45742</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45742</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45742</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45742</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45742</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45742</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45742</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45742</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45742</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45742</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45742</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45742</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45742</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45742</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45742</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45742</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45742</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45742</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45742</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45742</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45742</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45742</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45742</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45742</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45742</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45742</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45742</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45742</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45742</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45742</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45742</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45742</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45742</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45742</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45742</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45742</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45742</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45742</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45742</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45742</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45742</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45742</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45742</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45742</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45742</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45742</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45742</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45742</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45742</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45742</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45742</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45742</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45742</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45742</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45742</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45742</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45742</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45742</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45742</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45742</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45742</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45742</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45742</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45742</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45742</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45742</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45742</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45742</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45742</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45742</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45742</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45742</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45742</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45742</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45742</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45742</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45742</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45742</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45742</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45742</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45742</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45742</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45742</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45742</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45742</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45742</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45742</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45742</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45742</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45742</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45742</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45742</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45742</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45742</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45742</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45742</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45742</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45742</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45742</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45742</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45742</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45742</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45742</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45742</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45742</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45742</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45742</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45742</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45742</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45742</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45742</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45742</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45742</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45742</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45742</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45742</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45742</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45742</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45742</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45742</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45742</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45742</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45742</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45742</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45742</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45742</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45742</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45742</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45742</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45742</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45742</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45742</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45742</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45742</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45742</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45742</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45742</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45742</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45742</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45742</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45742</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45742</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45742</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45742</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45742</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45742</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45742</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45742</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45742</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45742</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45742</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45742</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45742</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45742</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45742</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45742</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45742</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45742</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45742</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45742</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45742</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45742</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45742</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45742</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45742</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45742</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45742</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45742</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45742</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45742</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45742</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45742</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45742</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45742</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45742</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45742</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45742</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45742</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45742</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45742</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45742</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45742</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45742</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45742</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45742</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45742</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45742</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45742</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45742</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45742</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45742</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45742</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45742</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45742</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45742</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45742</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45742</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45742</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45742</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45742</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45742</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45742</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45742</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45742</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45742</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45742</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45742</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45742</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45742</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45742</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45742</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45742</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45742</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45742</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45742</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45742</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45742</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45742</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45742</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45742</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45742</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45742</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45742</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45742</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45742</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45742</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45742</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45742</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45742</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45742</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45742</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45742</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45742</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45742</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45742</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45742</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45742</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45742</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45742</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45742</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45742</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45742</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45742</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45742</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45742</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45742</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45742</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45742</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45742</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45742</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45742</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45742</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45742</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45742</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45742</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45742</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45742</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45742</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45742</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45742</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45742</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45742</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45742</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45742</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45742</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45742</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45742</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45742</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45742</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45742</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45742</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45742</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45742</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45742</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45742</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45742</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45742</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45742</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45742</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45742</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45742</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45742</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45742</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45742</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45742</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45742</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45742</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45742</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45742</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45742</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45742</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45742</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45742</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45742</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45742</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45742</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45742</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45742</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45742</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45742</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45742</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45742</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45742</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45742</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45742</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45742</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45742</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45742</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45742</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45742</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45742</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45742</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45742</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45742</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45742</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45742</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45742</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45742</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45742</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45742</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45742</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45742</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45742</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45742</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45742</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45742</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45742</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45742</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45742</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45742</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45742</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45742</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45742</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45742</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45742</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45742</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45742</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45742</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45742</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45742</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45742</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45742</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45742</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45742</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45742</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45742</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45742</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45742</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45742</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45742</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45742</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45742</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45742</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45742</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45742</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45742</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45742</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45742</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45742</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45742</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45742</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45742</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45742</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45742</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45742</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45742</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45742</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45742</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45742</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45742</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45742</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45742</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45742</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45742</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45742</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45742</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45742</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45742</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45742</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45742</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45742</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45742</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45742</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45742</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45742</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45742</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45742</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45742</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45742</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45742</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45742</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45742</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45742</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45742</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45742</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45742</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45742</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45742</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45742</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45742</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45742</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45742</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45742</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45742</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45742</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45742</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45742</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45742</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45742</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45742</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45742</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45742</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45742</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45742</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45742</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45742</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45742</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45742</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45742</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45742</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45742</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45742</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45742</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45742</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45742</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45742</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45742</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45742</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45742</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45742</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45742</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45742</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45742</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45742</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45742</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45742</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45742</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45742</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45742</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45742</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45742</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45742</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45742</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45742</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45742</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45742</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45742</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45742</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45742</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45742</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45742</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45742</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45742</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45742</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45742</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45742</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45742</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45742</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45742</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45742</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45742</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45742</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45742</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45742</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45742</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45742</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45742</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45742</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45742</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45742</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45742</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45742</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45742</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45742</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45742</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45742</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45742</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45742</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45742</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45742</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45742</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45742</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45742</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45742</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45742</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45742</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45742</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45742</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45742</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45742</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45742</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45742</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45742</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45742</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45742</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45742</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45742</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45742</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45742</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45742</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45742</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45742</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45742</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45742</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45742</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45742</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45742</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45742</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45742</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45742</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45742</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45742</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45742</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45742</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45742</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45742</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45742</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45742</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45742</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45742</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45742</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45742</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45742</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45742</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45742</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45742</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45742</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45742</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45742</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45742</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45742</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45742</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45742</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45742</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45742</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45742</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45742</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45742</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45742</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45742</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45742</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45742</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45742</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45742</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45742</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45742</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45742</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45742</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45742</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45742</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45742</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45742</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45742</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45742</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45742</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45742</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45742</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45742</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45742</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45742</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45742</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45742</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45742</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45742</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45742</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45742</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45742</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45742</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45742</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45742</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45742</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45742</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45742</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45742</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45742</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45742</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45742</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45742</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45742</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45742</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45742</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45742</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45742</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45742</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45742</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45742</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45742</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45742</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45742</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45742</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45742</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45742</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45742</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45742</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45742</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45742</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45742</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45742</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45742</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45742</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45742</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45742</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45742</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45742</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45742</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45742</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45742</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45742</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45742</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45742</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45742</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45742</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45742</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45742</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45742</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45742</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45742</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45742</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45742</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45742</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45742</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45742</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45742</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45742</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45742</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45742</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45742</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45742</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45742</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45742</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45742</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45742</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45742</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45742</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45742</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45742</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45742</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45742</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45742</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45742</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45742</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45742</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45742</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45742</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45742</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45742</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45742</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45742</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45742</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45742</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45742</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45742</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45742</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45742</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45742</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45742</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45742</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45742</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45742</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45742</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45742</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45742</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45742</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45742</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45742</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45742</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45742</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45742</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45742</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45742</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45742</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45742</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45742</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45742</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45742</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45742</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45742</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45742</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45742</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45742</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45742</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45742</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45742</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45742</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45742</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45742</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45742</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45742</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45742</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45742</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45742</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45742</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45742</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45742</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45742</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45742</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45742</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45742</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45742</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45742</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45742</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45742</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45742</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45742</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45742</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45742</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45742</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45742</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45742</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45742</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45742</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45742</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45742</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45742</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45742</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45742</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45742</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45742</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45742</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45742</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45742</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45742</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45742</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45742</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45742</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45742</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45742</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45742</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45742</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45742</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45742</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45742</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45742</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45742</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45742</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45742</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45742</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45742</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45742</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45742</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45742</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45742</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45742</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45742</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45742</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45742</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45742</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45742</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45742</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45742</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45742</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45742</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45742</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45742</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45742</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45742</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45742</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45742</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45742</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45742</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45742</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45742</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45742</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45742</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45742</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45742</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45742</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45742</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45742</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45742</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45742</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45742</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45742</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45742</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45742</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45742</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45742</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45742</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45742</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45742</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45742</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45742</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45742</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45742</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45742</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45742</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45742</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45742</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45742</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45742</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45742</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45742</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45742</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45742</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45742</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45742</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45742</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45742</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45742</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45742</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45742</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45742</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45742</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45742</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45742</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45742</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45742</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45742</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45742</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45742</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45742</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45742</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45742</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45742</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45742</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45742</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45742</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45742</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45742</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45742</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45742</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45742</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45742</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45742</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45742</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45742</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45742</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45742</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45742</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45742</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45742</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45742</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45742</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45742</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45742</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45742</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45742</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45742</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45742</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45742</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45742</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45742</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45742</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45742</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45742</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45742</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45742</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45742</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45742</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45742</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45742</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45742</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45742</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45742</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45742</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45742</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45742</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45742</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45742</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45742</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45742</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45742</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45742</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45742</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45742</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45742</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45742</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45742</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45742</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45742</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45742</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45742</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45742</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45742</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45742</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45742</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45742</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45742</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45742</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45742</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45742</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45742</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45742</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45742</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45742</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45742</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45742</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45742</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45742</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45742</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45742</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45742</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45742</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45742</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45742</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45742</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45742</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45742</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45742</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45742</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45742</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45742</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45742</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45742</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45742</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45742</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45742</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45742</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45742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45742</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45742</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45742</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45742</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45742</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45742</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45742</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45742</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45742</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45742</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45742</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45742</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45742</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45742</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45742</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45742</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45742</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45742</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45742</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45742</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45742</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45742</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45742</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45742</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45742</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45742</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45742</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45742</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45742</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45742</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45742</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45742</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45742</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45742</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45742</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45742</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45742</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45742</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45742</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45742</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45742</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45742</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45742</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45742</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45742</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45742</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45742</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45742</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45742</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45742</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45742</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45742</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45742</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45742</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45742</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45742</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45742</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45742</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45742</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45742</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45742</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45742</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45742</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45742</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45742</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45742</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45742</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45742</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45742</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45742</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45742</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45742</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45742</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45742</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45742</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45742</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45742</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45742</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45742</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45742</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45742</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45742</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45742</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45742</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45742</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45742</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45742</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45742</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45742</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45742</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45742</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45742</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45742</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45742</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45742</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45742</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45742</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45742</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45742</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45742</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45742</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45742</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45742</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45742</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45742</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45742</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45742</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45742</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45742</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45742</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45742</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45742</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45742</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45742</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45742</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45742</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45742</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45742</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45742</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45742</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45742</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45742</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45742</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45742</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45742</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45742</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45742</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45742</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45742</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45742</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45742</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45742</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45742</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45742</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45742</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45742</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45742</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45742</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45742</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45742</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45742</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45742</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45742</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45742</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45742</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45742</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45742</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45742</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45742</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45742</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45742</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45742</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45742</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45742</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45742</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45742</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45742</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45742</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45742</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45742</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45742</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45742</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45742</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45742</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45742</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45742</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45742</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45742</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45742</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45742</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45742</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45742</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45742</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45742</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45742</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45742</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45742</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45742</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45742</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45742</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45742</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45742</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45742</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45742</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45742</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45742</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45742</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45742</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45742</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45742</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45742</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45742</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45742</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45742</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45742</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45742</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45742</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45742</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45742</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45742</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45742</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45742</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45742</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45742</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45742</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45742</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45742</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45742</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45742</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45742</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45742</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45742</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45742</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45742</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45742</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45742</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45742</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45742</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45742</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45742</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45742</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45742</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45742</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45742</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45742</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45742</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45742</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45742</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45742</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45742</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45742</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45742</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45742</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45742</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45742</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45742</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45742</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45742</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45742</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45742</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45742</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45742</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45742</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45742</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45742</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45742</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45742</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45742</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45742</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45742</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45742</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45742</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45742</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45742</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45742</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45742</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45742</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45742</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45742</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45742</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45742</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45742</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45742</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45742</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45742</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45742</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45742</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45742</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45742</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45742</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45742</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45742</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45742</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45742</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45742</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45742</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45742</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45742</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45742</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45742</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45742</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45742</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45742</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45742</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45742</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45742</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45742</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45742</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45742</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45742</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45742</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45742</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45742</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45742</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45742</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45742</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45742</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45742</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45742</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45742</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45742</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45742</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45742</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45742</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45742</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45742</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45742</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45742</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45742</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45742</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45742</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45742</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45742</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45742</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45742</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45742</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45742</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45742</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45742</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45742</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45742</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45742</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45742</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45742</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45742</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45742</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45742</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45742</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45742</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45742</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45742</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45742</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45742</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45742</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45742</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45742</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45742</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45742</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45742</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45742</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45742</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45742</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45742</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45742</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45742</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45742</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45742</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45742</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45742</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45742</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45742</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45742</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45742</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45742</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45742</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45742</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45742</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45742</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45742</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45742</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45742</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45742</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45742</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45742</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45742</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45742</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45742</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45742</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45742</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45742</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45742</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45742</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45742</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45742</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45742</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45742</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45742</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45742</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45742</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45742</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45742</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45742</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45742</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45742</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45742</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45742</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45742</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45742</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45742</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45742</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45742</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45742</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45742</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45742</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45742</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45742</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45742</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45742</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45742</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45742</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45742</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45742</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45742</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45742</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45742</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45742</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45742</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45742</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45742</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45742</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45742</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45742</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45742</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45742</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45742</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45742</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45742</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45742</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45742</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45742</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45742</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45742</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45742</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45742</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45742</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45742</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45742</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45742</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45742</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45742</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45742</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45742</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45742</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45742</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45742</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45742</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45742</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45742</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45742</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45742</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45742</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45742</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45742</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45742</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45742</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45742</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45742</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45742</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45742</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45742</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45742</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45742</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45742</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45742</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45742</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45742</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45742</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45742</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45742</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45742</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45742</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45742</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45742</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45742</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45742</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45742</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45742</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45742</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45742</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45742</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45742</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45742</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45742</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45742</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45742</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45742</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45742</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45742</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45742</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45742</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45742</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45742</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45742</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45742</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45742</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45742</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45742</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45742</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45742</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45742</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45742</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45742</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45742</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45742</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45742</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45742</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45742</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45742</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45742</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45742</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45742</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45742</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45742</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45742</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45742</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45742</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45742</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45742</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45742</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45742</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45742</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45742</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45742</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45742</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45742</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45742</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45742</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45742</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45742</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45742</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45742</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45742</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45742</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45742</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45742</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45742</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45742</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45742</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45742</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45742</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45742</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45742</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45742</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45742</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45742</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45742</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45742</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45742</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45742</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45742</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45742</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45742</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45742</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45742</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45742</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45742</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45742</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45742</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45742</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45742</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45742</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45742</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45742</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45742</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45742</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45742</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45742</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45742</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45742</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45742</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45742</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45742</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45742</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45742</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45742</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45742</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45742</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45742</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45742</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45742</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45742</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45742</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45742</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45742</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45742</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45742</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45742</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45742</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45742</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45742</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45742</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45742</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45742</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45742</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45742</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45742</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45742</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45742</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45742</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45742</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45742</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45742</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45742</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45742</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45742</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45742</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45742</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45742</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45742</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45742</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45742</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45742</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45742</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45742</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45742</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45742</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45742</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45742</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45742</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45742</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45742</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45742</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45742</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45742</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45742</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45742</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45742</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45742</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45742</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45742</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45742</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45742</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45742</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45742</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45742</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45742</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45742</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45742</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45742</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45742</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45742</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45742</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45742</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45742</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45742</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45742</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45742</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45742</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45742</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45742</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45742</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45742</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45742</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45742</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45742</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45742</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45742</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45742</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45742</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45742</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45742</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45742</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45742</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45742</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45742</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45742</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45742</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45742</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45742</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45742</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45742</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45742</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45742</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45742</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45742</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45742</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45742</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45742</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45742</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45742</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45742</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45742</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45742</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45742</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45742</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45742</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45742</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45742</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45742</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45742</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45742</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45742</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45742</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45742</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45742</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45742</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45742</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45742</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45742</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45742</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45742</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45742</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45742</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45742</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45742</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45742</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45742</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45742</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45742</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45742</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45742</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45742</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45742</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45742</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45742</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45742</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45742</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45742</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45742</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45742</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45742</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45742</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45742</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45742</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45742</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45742</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45742</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45742</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45742</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45742</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45742</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45742</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45742</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45742</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45742</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45742</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45742</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45742</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45742</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45742</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45742</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45742</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45742</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45742</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45742</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45742</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45742</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45742</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45742</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45742</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45742</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45742</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45742</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45742</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45742</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45742</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45742</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45742</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45742</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45742</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45742</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45742</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45742</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45742</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45742</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45742</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45742</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45742</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45742</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45742</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45742</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45742</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45742</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45742</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45742</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45742</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45742</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45742</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45742</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45742</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45742</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45742</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45742</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45742</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45742</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45742</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45742</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45742</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45742</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45742</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45742</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45742</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45742</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45742</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45742</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45742</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45742</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45742</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45742</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45742</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45742</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45742</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45742</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45742</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45742</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45742</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45742</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45742</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45742</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45742</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45742</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45742</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45742</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45742</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45742</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45742</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45742</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45742</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45742</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45742</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45742</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45742</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45742</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45742</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45742</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45742</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45742</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45742</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45742</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45742</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45742</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45742</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45742</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45742</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45742</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45742</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45742</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45742</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45742</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45742</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45742</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45742</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45742</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45742</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45742</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45742</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45742</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45742</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45742</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45742</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45742</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45742</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45742</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45742</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45742</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45742</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45742</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45742</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45742</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45742</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45742</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45742</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45742</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45742</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45742</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45742</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45742</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45742</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45742</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45742</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45742</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45742</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45742</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45742</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45742</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45742</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45742</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45742</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45742</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45742</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45742</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45742</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45742</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45742</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45742</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45742</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45742</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45742</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45742</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45742</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45742</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45742</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45742</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45742</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45742</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45742</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45742</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45742</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45742</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45742</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45742</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45742</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45742</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45742</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45742</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45742</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45742</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45742</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45742</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45742</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45742</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45742</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45742</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45742</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45742</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45742</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45742</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45742</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45742</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45742</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45742</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45742</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45742</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45742</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45742</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45742</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45742</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45742</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45742</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45742</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45742</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45742</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45742</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45742</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45742</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45742</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45742</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45742</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45742</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45742</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45742</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45742</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45742</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45742</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45742</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45742</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45742</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45742</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45742</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45742</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45742</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45742</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45742</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45742</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45742</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45742</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45742</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45742</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45742</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45742</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45742</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45742</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45742</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45742</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45742</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45742</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45742</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45742</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45742</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45742</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45742</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45742</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45742</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45742</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45742</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45742</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45742</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45742</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45742</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45742</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45742</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45742</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45742</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45742</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45742</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45742</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45742</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45742</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45742</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45742</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45742</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45742</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45742</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45742</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45742</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45742</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45742</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45742</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45742</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45742</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45742</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45742</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45742</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45742</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45742</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45742</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45742</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45742</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45742</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45742</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45742</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45742</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45742</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45742</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45742</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45742</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45742</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45742</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45742</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45742</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45742</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45742</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45742</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45742</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45742</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45742</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45742</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45742</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45742</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45742</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45742</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45742</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45742</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45742</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45742</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45742</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45742</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45742</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45742</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45742</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45742</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45742</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45742</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45742</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45742</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45742</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45742</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45742</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45742</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45742</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45742</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45742</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45742</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45742</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45742</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45742</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45742</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45742</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45742</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45742</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45742</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45742</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45742</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45742</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45742</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45742</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45742</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45742</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45742</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45742</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45742</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45742</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45742</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45742</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45742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45742</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45742</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45742</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45742</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45742</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45742</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45742</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45742</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45742</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45742</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45742</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45742</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45742</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45742</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45742</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45742</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45742</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45742</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45742</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45742</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45742</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45742</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45742</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45742</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45742</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45742</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45742</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45742</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45742</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45742</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45742</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45742</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45742</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45742</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45742</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45742</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45742</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45742</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45742</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45742</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45742</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45742</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45742</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45742</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45742</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45742</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45742</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45742</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45742</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45742</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45742</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45742</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45742</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45742</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45742</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45742</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45742</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45742</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45742</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45742</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45742</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45742</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45742</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45742</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45742</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45742</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45742</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45742</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45742</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45742</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45742</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45742</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45742</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45742</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45742</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45742</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45742</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45742</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45742</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45742</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45742</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45742</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45742</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45742</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45742</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45742</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45742</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45742</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45742</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45742</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45742</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45742</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45742</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45742</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45742</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45742</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45742</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45742</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45742</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45742</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45742</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45742</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45742</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45742</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45742</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45742</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45742</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45742</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45742</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45742</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45742</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45742</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45742</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45742</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45742</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45742</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45742</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45742</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45742</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45742</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45742</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45742</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45742</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45742</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45742</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45742</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45742</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45742</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45742</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45742</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45742</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45742</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45742</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45742</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45742</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45742</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45742</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45742</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45742</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45742</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45742</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45742</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45742</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45742</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45742</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45742</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45742</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45742</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45742</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45742</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45742</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45742</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45742</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45742</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45742</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45742</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45742</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45742</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45742</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45742</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45742</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45742</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45742</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45742</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45742</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45742</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45742</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45742</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45742</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45742</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45742</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45742</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45742</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45742</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45742</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45742</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45742</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45742</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45742</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45742</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45742</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45742</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45742</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45742</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45742</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45742</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45742</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45742</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45742</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45742</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45742</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45742</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45742</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45742</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45742</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45742</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45742</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45742</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45742</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45742</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45742</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45742</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45742</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45742</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45742</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45742</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45742</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45742</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45742</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45742</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45742</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45742</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45742</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45742</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45742</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45742</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45742</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45742</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45742</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45742</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45742</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45742</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45742</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45742</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45742</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45742</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45742</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45742</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45742</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45742</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45742</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45742</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45742</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45742</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45742</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45742</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45742</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45742</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45742</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45742</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45742</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45742</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45742</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45742</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45742</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45742</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45742</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45742</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45742</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45742</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45742</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45742</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45742</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45742</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45742</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45742</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45742</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45742</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45742</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45742</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45742</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45742</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45742</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45742</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45742</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45742</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45742</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45742</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45742</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45742</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45742</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45742</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45742</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45742</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45742</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45742</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45742</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45742</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45742</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45742</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45742</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45742</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45742</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45742</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45742</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45742</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45742</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45742</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45742</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45742</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45742</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45742</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45742</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45742</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45742</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45742</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45742</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45742</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45742</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45742</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45742</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45742</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45742</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45742</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45742</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45742</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45742</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45742</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45742</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45742</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45742</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45742</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45742</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45742</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45742</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45742</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45742</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45742</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45742</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45742</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45742</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45742</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45742</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45742</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45742</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45742</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45742</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45742</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45742</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45742</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45742</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45742</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45742</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45742</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45742</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45742</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45742</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45742</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45742</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45742</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45742</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45742</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45742</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45742</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45742</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45742</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45742</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45742</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45742</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45742</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45742</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45742</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45742</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45742</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45742</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45742</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45742</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45742</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45742</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45742</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45742</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45742</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45742</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45742</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45742</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45742</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45742</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45742</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45742</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45742</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45742</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45742</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45742</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45742</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45742</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45742</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45742</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45742</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45742</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45742</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45742</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45742</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45742</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45742</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45742</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45742</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45742</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45742</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45742</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45742</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45742</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45742</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45742</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45742</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45742</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45742</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45742</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45742</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45742</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45742</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45742</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45742</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45742</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45742</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45742</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45742</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45742</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45742</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45742</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45742</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45742</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45742</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45742</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45742</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45742</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45742</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45742</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45742</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45742</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45742</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45742</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45742</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45742</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45742</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45742</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45742</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45742</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45742</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45742</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45742</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45742</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45742</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45742</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45742</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45742</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45742</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45742</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45742</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45742</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45742</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45742</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45742</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45742</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45742</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45742</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45742</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45742</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45742</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45742</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45742</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45742</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45742</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45742</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45742</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45742</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45742</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45742</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45742</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45742</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45742</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45742</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45742</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45742</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45742</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45742</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45742</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45742</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45742</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45742</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45742</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45742</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45742</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45742</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45742</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45742</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45742</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45742</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45742</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45742</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45742</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45742</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45742</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45742</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45742</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45742</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45742</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45742</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45742</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45742</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45742</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45742</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45742</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45742</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45742</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45742</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45742</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45742</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45742</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45742</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45742</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45742</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45742</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45742</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45742</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45742</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45742</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45742</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45742</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45742</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45742</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45742</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45742</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45742</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45742</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45742</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45742</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45742</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45742</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45742</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45742</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45742</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45742</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45742</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45742</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45742</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45742</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45742</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45742</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45742</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45742</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45742</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45742</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45742</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45742</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45742</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45742</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45742</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45742</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45742</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45742</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45742</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45742</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45742</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45742</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45742</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45742</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45742</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45742</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45742</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45742</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45742</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45742</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45742</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45742</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45742</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45742</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45742</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45742</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45742</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45742</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45742</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45742</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45742</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45742</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45742</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45742</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45742</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45742</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45742</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45742</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45742</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45742</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45742</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45742</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45742</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45742</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45742</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45742</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45742</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45742</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45742</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45742</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45742</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45742</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45742</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45742</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45742</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45742</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45742</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45742</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45742</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45742</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45742</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45742</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45742</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45742</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45742</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45742</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45742</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45742</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45742</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45742</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45742</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45742</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45742</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45742</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45742</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45742</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45742</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45742</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45742</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45742</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45742</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45742</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45742</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45742</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45742</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45742</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45742</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45742</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45742</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45742</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45742</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45742</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45742</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45742</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45742</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45742</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45742</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45742</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45742</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45742</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45742</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45742</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45742</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45742</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45742</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45742</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45742</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45742</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45742</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45742</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45742</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45742</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45742</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45742</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45742</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45742</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45742</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45742</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45742</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45742</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45742</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45742</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45742</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45742</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45742</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45742</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45742</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45742</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45742</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45742</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45742</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45742</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45742</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45742</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45742</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45742</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45742</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45742</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45742</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45742</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45742</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45742</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45742</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45742</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45742</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45742</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45742</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45742</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45742</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45742</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45742</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45742</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45742</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45742</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45742</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45742</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45742</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45742</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45742</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45742</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45742</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45742</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45742</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45742</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45742</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45742</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45742</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45742</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45742</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45742</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45742</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45742</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45742</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45742</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45742</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45742</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45742</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45742</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45742</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45742</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45742</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45742</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45742</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45742</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45742</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45742</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45742</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45742</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45742</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45742</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45742</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45742</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45742</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45742</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45742</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45742</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45742</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45742</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45742</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45742</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45742</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45742</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45742</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45742</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45742</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45742</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45742</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45742</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45742</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45742</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45742</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45742</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45742</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45742</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45742</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45742</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45742</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45742</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45742</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45742</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45742</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45742</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45742</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45742</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45742</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45742</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45742</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45742</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45742</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45742</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45742</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45742</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45742</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45742</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45742</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45742</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45742</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45742</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45742</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45742</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45742</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45742</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45742</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45742</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45742</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45742</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45742</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45742</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45742</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45742</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45742</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45742</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45742</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45742</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45742</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45742</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45742</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45742</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45742</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45742</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45742</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45742</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45742</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45742</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45742</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45742</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45742</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45742</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45742</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45742</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45742</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45742</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45742</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45742</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45742</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45742</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45742</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45742</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45742</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45742</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45742</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45742</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45742</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45742</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45742</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45742</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45742</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45742</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45742</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45742</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45742</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45742</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45742</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45742</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45742</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45742</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45742</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45742</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45742</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45742</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45742</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45742</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45742</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45742</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45742</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45742</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45742</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45742</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45742</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45742</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45742</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45742</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45742</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45742</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45742</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45742</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45742</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45742</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45742</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45742</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45742</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45742</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45742</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45742</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45742</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45742</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45742</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45742</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45742</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45742</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45742</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45742</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45742</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45742</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45742</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45742</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45742</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45742</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45742</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45742</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45742</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45742</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45742</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45742</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45742</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45742</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45742</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45742</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45742</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45742</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45742</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45742</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45742</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45742</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45742</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45742</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45742</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45742</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45742</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45742</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45742</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45742</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45742</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45742</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45742</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45742</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45742</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45742</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45742</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45742</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45742</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45742</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45742</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45742</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45742</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45742</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45742</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45742</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45742</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45742</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45742</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45742</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45742</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45742</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45742</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45742</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45742</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45742</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45742</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45742</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45742</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45742</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45742</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45742</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45742</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45742</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45742</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45742</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45742</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45742</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45742</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45742</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45742</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45742</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45742</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45742</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45742</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45742</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45742</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45742</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45742</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45742</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45742</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45742</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45742</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45742</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45742</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45742</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45742</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45742</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45742</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45742</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45742</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45742</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45742</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45742</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45742</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45742</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45742</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45742</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45742</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45742</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45742</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45742</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45742</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45742</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45742</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45742</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45742</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45742</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45742</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45742</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45742</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45742</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45742</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45742</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45742</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45742</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45742</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45742</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45742</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45742</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45742</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45742</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45742</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45742</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45742</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45742</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45742</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45742</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45742</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45742</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45742</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45742</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45742</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45742</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45742</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45742</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45742</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45742</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45742</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45742</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45742</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45742</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45742</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45742</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45742</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45742</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45742</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45742</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45742</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45742</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45742</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45742</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45742</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45742</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45742</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45742</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45742</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45742</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45742</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45742</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45742</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45742</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45742</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45742</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45742</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45742</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45742</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45742</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45742</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45742</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45742</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45742</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45742</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45742</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45742</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45742</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45742</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45742</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45742</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45742</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45742</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45742</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45742</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45742</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45742</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45742</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45742</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45742</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45742</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45742</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45742</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45742</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45742</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45742</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45742</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45742</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45742</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45742</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45742</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45742</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45742</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45742</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45742</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45742</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45742</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45742</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45742</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45742</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45742</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45742</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45742</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45742</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45742</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45742</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45742</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45742</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45742</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45742</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45742</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45742</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45742</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45742</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45742</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45742</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45742</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45742</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45742</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45742</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45742</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45742</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45742</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45742</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45742</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45742</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45742</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45742</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45742</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45742</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45742</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45742</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45742</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45742</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45742</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45742</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45742</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45742</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45742</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45742</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45742</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45742</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45742</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45742</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45742</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45742</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45742</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45742</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45742</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8927-2025</t>
        </is>
      </c>
      <c r="B3871" s="1" t="n">
        <v>45713</v>
      </c>
      <c r="C3871" s="1" t="n">
        <v>45742</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45742</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8839-2025</t>
        </is>
      </c>
      <c r="B3873" s="1" t="n">
        <v>45713</v>
      </c>
      <c r="C3873" s="1" t="n">
        <v>45742</v>
      </c>
      <c r="D3873" t="inlineStr">
        <is>
          <t>VÄSTERBOTTENS LÄN</t>
        </is>
      </c>
      <c r="E3873" t="inlineStr">
        <is>
          <t>SKELLEFTEÅ</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45742</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45742</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9441-2025</t>
        </is>
      </c>
      <c r="B3876" s="1" t="n">
        <v>45715</v>
      </c>
      <c r="C3876" s="1" t="n">
        <v>45742</v>
      </c>
      <c r="D3876" t="inlineStr">
        <is>
          <t>VÄSTERBOTTENS LÄN</t>
        </is>
      </c>
      <c r="E3876" t="inlineStr">
        <is>
          <t>SKELLEFTEÅ</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45742</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9383-2025</t>
        </is>
      </c>
      <c r="B3878" s="1" t="n">
        <v>45715</v>
      </c>
      <c r="C3878" s="1" t="n">
        <v>45742</v>
      </c>
      <c r="D3878" t="inlineStr">
        <is>
          <t>VÄSTERBOTTENS LÄN</t>
        </is>
      </c>
      <c r="E3878" t="inlineStr">
        <is>
          <t>SKELLEFTEÅ</t>
        </is>
      </c>
      <c r="G3878" t="n">
        <v>17.5</v>
      </c>
      <c r="H3878" t="n">
        <v>0</v>
      </c>
      <c r="I3878" t="n">
        <v>0</v>
      </c>
      <c r="J3878" t="n">
        <v>0</v>
      </c>
      <c r="K3878" t="n">
        <v>0</v>
      </c>
      <c r="L3878" t="n">
        <v>0</v>
      </c>
      <c r="M3878" t="n">
        <v>0</v>
      </c>
      <c r="N3878" t="n">
        <v>0</v>
      </c>
      <c r="O3878" t="n">
        <v>0</v>
      </c>
      <c r="P3878" t="n">
        <v>0</v>
      </c>
      <c r="Q3878" t="n">
        <v>0</v>
      </c>
      <c r="R3878" s="2" t="inlineStr"/>
    </row>
    <row r="3879" ht="15" customHeight="1">
      <c r="A3879" t="inlineStr">
        <is>
          <t>A 9432-2025</t>
        </is>
      </c>
      <c r="B3879" s="1" t="n">
        <v>45715</v>
      </c>
      <c r="C3879" s="1" t="n">
        <v>45742</v>
      </c>
      <c r="D3879" t="inlineStr">
        <is>
          <t>VÄSTERBOTTENS LÄN</t>
        </is>
      </c>
      <c r="E3879" t="inlineStr">
        <is>
          <t>SKELLEFTEÅ</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9448-2025</t>
        </is>
      </c>
      <c r="B3880" s="1" t="n">
        <v>45715</v>
      </c>
      <c r="C3880" s="1" t="n">
        <v>45742</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9694-2025</t>
        </is>
      </c>
      <c r="B3881" s="1" t="n">
        <v>45716</v>
      </c>
      <c r="C3881" s="1" t="n">
        <v>45742</v>
      </c>
      <c r="D3881" t="inlineStr">
        <is>
          <t>VÄSTERBOTTENS LÄN</t>
        </is>
      </c>
      <c r="E3881" t="inlineStr">
        <is>
          <t>SKELLEFTEÅ</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9702-2025</t>
        </is>
      </c>
      <c r="B3882" s="1" t="n">
        <v>45716</v>
      </c>
      <c r="C3882" s="1" t="n">
        <v>45742</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45742</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9705-2025</t>
        </is>
      </c>
      <c r="B3884" s="1" t="n">
        <v>45716</v>
      </c>
      <c r="C3884" s="1" t="n">
        <v>45742</v>
      </c>
      <c r="D3884" t="inlineStr">
        <is>
          <t>VÄSTERBOTTENS LÄN</t>
        </is>
      </c>
      <c r="E3884" t="inlineStr">
        <is>
          <t>SKELLEFTEÅ</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9838-2025</t>
        </is>
      </c>
      <c r="B3885" s="1" t="n">
        <v>45716</v>
      </c>
      <c r="C3885" s="1" t="n">
        <v>45742</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9840-2025</t>
        </is>
      </c>
      <c r="B3886" s="1" t="n">
        <v>45716</v>
      </c>
      <c r="C3886" s="1" t="n">
        <v>45742</v>
      </c>
      <c r="D3886" t="inlineStr">
        <is>
          <t>VÄSTERBOTTENS LÄN</t>
        </is>
      </c>
      <c r="E3886" t="inlineStr">
        <is>
          <t>SKELLEFTEÅ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45742</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45742</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45742</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45742</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45742</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10278-2025</t>
        </is>
      </c>
      <c r="B3892" s="1" t="n">
        <v>45720</v>
      </c>
      <c r="C3892" s="1" t="n">
        <v>45742</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45742</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45742</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10841-2025</t>
        </is>
      </c>
      <c r="B3895" s="1" t="n">
        <v>45722</v>
      </c>
      <c r="C3895" s="1" t="n">
        <v>45742</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45742</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10977-2025</t>
        </is>
      </c>
      <c r="B3897" s="1" t="n">
        <v>45723</v>
      </c>
      <c r="C3897" s="1" t="n">
        <v>45742</v>
      </c>
      <c r="D3897" t="inlineStr">
        <is>
          <t>VÄSTERBOTTENS LÄN</t>
        </is>
      </c>
      <c r="E3897" t="inlineStr">
        <is>
          <t>SKELLEFTEÅ</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45742</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10986-2025</t>
        </is>
      </c>
      <c r="B3899" s="1" t="n">
        <v>45723</v>
      </c>
      <c r="C3899" s="1" t="n">
        <v>45742</v>
      </c>
      <c r="D3899" t="inlineStr">
        <is>
          <t>VÄSTERBOTTENS LÄN</t>
        </is>
      </c>
      <c r="E3899" t="inlineStr">
        <is>
          <t>SKELLEFTEÅ</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10975-2025</t>
        </is>
      </c>
      <c r="B3900" s="1" t="n">
        <v>45723</v>
      </c>
      <c r="C3900" s="1" t="n">
        <v>45742</v>
      </c>
      <c r="D3900" t="inlineStr">
        <is>
          <t>VÄSTERBOTTENS LÄN</t>
        </is>
      </c>
      <c r="E3900" t="inlineStr">
        <is>
          <t>SKELLEFTEÅ</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11254-2025</t>
        </is>
      </c>
      <c r="B3901" s="1" t="n">
        <v>45726</v>
      </c>
      <c r="C3901" s="1" t="n">
        <v>45742</v>
      </c>
      <c r="D3901" t="inlineStr">
        <is>
          <t>VÄSTERBOTTENS LÄN</t>
        </is>
      </c>
      <c r="E3901" t="inlineStr">
        <is>
          <t>SKELLEFTEÅ</t>
        </is>
      </c>
      <c r="G3901" t="n">
        <v>12.6</v>
      </c>
      <c r="H3901" t="n">
        <v>0</v>
      </c>
      <c r="I3901" t="n">
        <v>0</v>
      </c>
      <c r="J3901" t="n">
        <v>0</v>
      </c>
      <c r="K3901" t="n">
        <v>0</v>
      </c>
      <c r="L3901" t="n">
        <v>0</v>
      </c>
      <c r="M3901" t="n">
        <v>0</v>
      </c>
      <c r="N3901" t="n">
        <v>0</v>
      </c>
      <c r="O3901" t="n">
        <v>0</v>
      </c>
      <c r="P3901" t="n">
        <v>0</v>
      </c>
      <c r="Q3901" t="n">
        <v>0</v>
      </c>
      <c r="R3901" s="2" t="inlineStr"/>
    </row>
    <row r="3902" ht="15" customHeight="1">
      <c r="A3902" t="inlineStr">
        <is>
          <t>A 11391-2025</t>
        </is>
      </c>
      <c r="B3902" s="1" t="n">
        <v>45726</v>
      </c>
      <c r="C3902" s="1" t="n">
        <v>45742</v>
      </c>
      <c r="D3902" t="inlineStr">
        <is>
          <t>VÄSTERBOTTENS LÄN</t>
        </is>
      </c>
      <c r="E3902" t="inlineStr">
        <is>
          <t>SKELLEFTEÅ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11278-2025</t>
        </is>
      </c>
      <c r="B3903" s="1" t="n">
        <v>45726</v>
      </c>
      <c r="C3903" s="1" t="n">
        <v>45742</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11314-2025</t>
        </is>
      </c>
      <c r="B3904" s="1" t="n">
        <v>45726</v>
      </c>
      <c r="C3904" s="1" t="n">
        <v>45742</v>
      </c>
      <c r="D3904" t="inlineStr">
        <is>
          <t>VÄSTERBOTTENS LÄN</t>
        </is>
      </c>
      <c r="E3904" t="inlineStr">
        <is>
          <t>SKELLEFTEÅ</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11318-2025</t>
        </is>
      </c>
      <c r="B3905" s="1" t="n">
        <v>45726</v>
      </c>
      <c r="C3905" s="1" t="n">
        <v>45742</v>
      </c>
      <c r="D3905" t="inlineStr">
        <is>
          <t>VÄSTERBOTTENS LÄN</t>
        </is>
      </c>
      <c r="E3905" t="inlineStr">
        <is>
          <t>SKELLEFTEÅ</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45742</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11884-2025</t>
        </is>
      </c>
      <c r="B3907" s="1" t="n">
        <v>45728</v>
      </c>
      <c r="C3907" s="1" t="n">
        <v>45742</v>
      </c>
      <c r="D3907" t="inlineStr">
        <is>
          <t>VÄSTERBOTTENS LÄN</t>
        </is>
      </c>
      <c r="E3907" t="inlineStr">
        <is>
          <t>SKELLEFTEÅ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11956-2025</t>
        </is>
      </c>
      <c r="B3908" s="1" t="n">
        <v>45728</v>
      </c>
      <c r="C3908" s="1" t="n">
        <v>45742</v>
      </c>
      <c r="D3908" t="inlineStr">
        <is>
          <t>VÄSTERBOTTENS LÄN</t>
        </is>
      </c>
      <c r="E3908" t="inlineStr">
        <is>
          <t>SKELLEFTEÅ</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11843-2025</t>
        </is>
      </c>
      <c r="B3909" s="1" t="n">
        <v>45728</v>
      </c>
      <c r="C3909" s="1" t="n">
        <v>45742</v>
      </c>
      <c r="D3909" t="inlineStr">
        <is>
          <t>VÄSTERBOTTENS LÄN</t>
        </is>
      </c>
      <c r="E3909" t="inlineStr">
        <is>
          <t>SKELLEFTEÅ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11907-2025</t>
        </is>
      </c>
      <c r="B3910" s="1" t="n">
        <v>45728</v>
      </c>
      <c r="C3910" s="1" t="n">
        <v>45742</v>
      </c>
      <c r="D3910" t="inlineStr">
        <is>
          <t>VÄSTERBOTTENS LÄN</t>
        </is>
      </c>
      <c r="E3910" t="inlineStr">
        <is>
          <t>SKELLEFTEÅ</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45742</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11851-2025</t>
        </is>
      </c>
      <c r="B3912" s="1" t="n">
        <v>45728</v>
      </c>
      <c r="C3912" s="1" t="n">
        <v>45742</v>
      </c>
      <c r="D3912" t="inlineStr">
        <is>
          <t>VÄSTERBOTTENS LÄN</t>
        </is>
      </c>
      <c r="E3912" t="inlineStr">
        <is>
          <t>SKELLEFTEÅ</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45742</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45742</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12090-2025</t>
        </is>
      </c>
      <c r="B3915" s="1" t="n">
        <v>45729</v>
      </c>
      <c r="C3915" s="1" t="n">
        <v>45742</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12256-2025</t>
        </is>
      </c>
      <c r="B3916" s="1" t="n">
        <v>45729</v>
      </c>
      <c r="C3916" s="1" t="n">
        <v>45742</v>
      </c>
      <c r="D3916" t="inlineStr">
        <is>
          <t>VÄSTERBOTTENS LÄN</t>
        </is>
      </c>
      <c r="E3916" t="inlineStr">
        <is>
          <t>SKELLEFTEÅ</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12300-2025</t>
        </is>
      </c>
      <c r="B3917" s="1" t="n">
        <v>45729</v>
      </c>
      <c r="C3917" s="1" t="n">
        <v>45742</v>
      </c>
      <c r="D3917" t="inlineStr">
        <is>
          <t>VÄSTERBOTTENS LÄN</t>
        </is>
      </c>
      <c r="E3917" t="inlineStr">
        <is>
          <t>SKELLEFTEÅ</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12320-2025</t>
        </is>
      </c>
      <c r="B3918" s="1" t="n">
        <v>45730</v>
      </c>
      <c r="C3918" s="1" t="n">
        <v>45742</v>
      </c>
      <c r="D3918" t="inlineStr">
        <is>
          <t>VÄSTERBOTTENS LÄN</t>
        </is>
      </c>
      <c r="E3918" t="inlineStr">
        <is>
          <t>SKELLEFTEÅ</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45742</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12547-2025</t>
        </is>
      </c>
      <c r="B3920" s="1" t="n">
        <v>45730</v>
      </c>
      <c r="C3920" s="1" t="n">
        <v>45742</v>
      </c>
      <c r="D3920" t="inlineStr">
        <is>
          <t>VÄSTERBOTTENS LÄN</t>
        </is>
      </c>
      <c r="E3920" t="inlineStr">
        <is>
          <t>SKELLEFTEÅ</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12353-2025</t>
        </is>
      </c>
      <c r="B3921" s="1" t="n">
        <v>45730</v>
      </c>
      <c r="C3921" s="1" t="n">
        <v>45742</v>
      </c>
      <c r="D3921" t="inlineStr">
        <is>
          <t>VÄSTERBOTTENS LÄN</t>
        </is>
      </c>
      <c r="E3921" t="inlineStr">
        <is>
          <t>SKELLEFTEÅ</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12713-2025</t>
        </is>
      </c>
      <c r="B3922" s="1" t="n">
        <v>45733</v>
      </c>
      <c r="C3922" s="1" t="n">
        <v>45742</v>
      </c>
      <c r="D3922" t="inlineStr">
        <is>
          <t>VÄSTERBOTTENS LÄN</t>
        </is>
      </c>
      <c r="E3922" t="inlineStr">
        <is>
          <t>SKELLEFTEÅ</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12712-2025</t>
        </is>
      </c>
      <c r="B3923" s="1" t="n">
        <v>45733</v>
      </c>
      <c r="C3923" s="1" t="n">
        <v>45742</v>
      </c>
      <c r="D3923" t="inlineStr">
        <is>
          <t>VÄSTERBOTTENS LÄN</t>
        </is>
      </c>
      <c r="E3923" t="inlineStr">
        <is>
          <t>SKELLEFTEÅ</t>
        </is>
      </c>
      <c r="G3923" t="n">
        <v>13.6</v>
      </c>
      <c r="H3923" t="n">
        <v>0</v>
      </c>
      <c r="I3923" t="n">
        <v>0</v>
      </c>
      <c r="J3923" t="n">
        <v>0</v>
      </c>
      <c r="K3923" t="n">
        <v>0</v>
      </c>
      <c r="L3923" t="n">
        <v>0</v>
      </c>
      <c r="M3923" t="n">
        <v>0</v>
      </c>
      <c r="N3923" t="n">
        <v>0</v>
      </c>
      <c r="O3923" t="n">
        <v>0</v>
      </c>
      <c r="P3923" t="n">
        <v>0</v>
      </c>
      <c r="Q3923" t="n">
        <v>0</v>
      </c>
      <c r="R3923" s="2" t="inlineStr"/>
    </row>
    <row r="3924" ht="15" customHeight="1">
      <c r="A3924" t="inlineStr">
        <is>
          <t>A 12873-2025</t>
        </is>
      </c>
      <c r="B3924" s="1" t="n">
        <v>45733</v>
      </c>
      <c r="C3924" s="1" t="n">
        <v>45742</v>
      </c>
      <c r="D3924" t="inlineStr">
        <is>
          <t>VÄSTERBOTTENS LÄN</t>
        </is>
      </c>
      <c r="E3924" t="inlineStr">
        <is>
          <t>SKELLEFTEÅ</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12701-2025</t>
        </is>
      </c>
      <c r="B3925" s="1" t="n">
        <v>45733</v>
      </c>
      <c r="C3925" s="1" t="n">
        <v>45742</v>
      </c>
      <c r="D3925" t="inlineStr">
        <is>
          <t>VÄSTERBOTTENS LÄN</t>
        </is>
      </c>
      <c r="E3925" t="inlineStr">
        <is>
          <t>SKELLEFTEÅ</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12862-2025</t>
        </is>
      </c>
      <c r="B3926" s="1" t="n">
        <v>45733</v>
      </c>
      <c r="C3926" s="1" t="n">
        <v>45742</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12645-2025</t>
        </is>
      </c>
      <c r="B3927" s="1" t="n">
        <v>45733</v>
      </c>
      <c r="C3927" s="1" t="n">
        <v>45742</v>
      </c>
      <c r="D3927" t="inlineStr">
        <is>
          <t>VÄSTERBOTTENS LÄN</t>
        </is>
      </c>
      <c r="E3927" t="inlineStr">
        <is>
          <t>SKELLEFTEÅ</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12694-2025</t>
        </is>
      </c>
      <c r="B3928" s="1" t="n">
        <v>45733</v>
      </c>
      <c r="C3928" s="1" t="n">
        <v>45742</v>
      </c>
      <c r="D3928" t="inlineStr">
        <is>
          <t>VÄSTERBOTTENS LÄN</t>
        </is>
      </c>
      <c r="E3928" t="inlineStr">
        <is>
          <t>SKELLEFTEÅ</t>
        </is>
      </c>
      <c r="F3928" t="inlineStr">
        <is>
          <t>Kommuner</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12698-2025</t>
        </is>
      </c>
      <c r="B3929" s="1" t="n">
        <v>45733</v>
      </c>
      <c r="C3929" s="1" t="n">
        <v>45742</v>
      </c>
      <c r="D3929" t="inlineStr">
        <is>
          <t>VÄSTERBOTTENS LÄN</t>
        </is>
      </c>
      <c r="E3929" t="inlineStr">
        <is>
          <t>SKELLEFTEÅ</t>
        </is>
      </c>
      <c r="F3929" t="inlineStr">
        <is>
          <t>Kommuner</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12842-2025</t>
        </is>
      </c>
      <c r="B3930" s="1" t="n">
        <v>45733</v>
      </c>
      <c r="C3930" s="1" t="n">
        <v>45742</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12855-2025</t>
        </is>
      </c>
      <c r="B3931" s="1" t="n">
        <v>45733</v>
      </c>
      <c r="C3931" s="1" t="n">
        <v>45742</v>
      </c>
      <c r="D3931" t="inlineStr">
        <is>
          <t>VÄSTERBOTTENS LÄN</t>
        </is>
      </c>
      <c r="E3931" t="inlineStr">
        <is>
          <t>SKELLEFTEÅ</t>
        </is>
      </c>
      <c r="G3931" t="n">
        <v>7.8</v>
      </c>
      <c r="H3931" t="n">
        <v>0</v>
      </c>
      <c r="I3931" t="n">
        <v>0</v>
      </c>
      <c r="J3931" t="n">
        <v>0</v>
      </c>
      <c r="K3931" t="n">
        <v>0</v>
      </c>
      <c r="L3931" t="n">
        <v>0</v>
      </c>
      <c r="M3931" t="n">
        <v>0</v>
      </c>
      <c r="N3931" t="n">
        <v>0</v>
      </c>
      <c r="O3931" t="n">
        <v>0</v>
      </c>
      <c r="P3931" t="n">
        <v>0</v>
      </c>
      <c r="Q3931" t="n">
        <v>0</v>
      </c>
      <c r="R3931" s="2" t="inlineStr"/>
    </row>
    <row r="3932" ht="15" customHeight="1">
      <c r="A3932" t="inlineStr">
        <is>
          <t>A 12939-2025</t>
        </is>
      </c>
      <c r="B3932" s="1" t="n">
        <v>45734</v>
      </c>
      <c r="C3932" s="1" t="n">
        <v>45742</v>
      </c>
      <c r="D3932" t="inlineStr">
        <is>
          <t>VÄSTERBOTTENS LÄN</t>
        </is>
      </c>
      <c r="E3932" t="inlineStr">
        <is>
          <t>SKELLEFTEÅ</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45742</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13203-2025</t>
        </is>
      </c>
      <c r="B3934" s="1" t="n">
        <v>45735</v>
      </c>
      <c r="C3934" s="1" t="n">
        <v>45742</v>
      </c>
      <c r="D3934" t="inlineStr">
        <is>
          <t>VÄSTERBOTTENS LÄN</t>
        </is>
      </c>
      <c r="E3934" t="inlineStr">
        <is>
          <t>SKELLEFTEÅ</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13207-2025</t>
        </is>
      </c>
      <c r="B3935" s="1" t="n">
        <v>45735</v>
      </c>
      <c r="C3935" s="1" t="n">
        <v>45742</v>
      </c>
      <c r="D3935" t="inlineStr">
        <is>
          <t>VÄSTERBOTTENS LÄN</t>
        </is>
      </c>
      <c r="E3935" t="inlineStr">
        <is>
          <t>SKELLEFTEÅ</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13186-2025</t>
        </is>
      </c>
      <c r="B3936" s="1" t="n">
        <v>45735</v>
      </c>
      <c r="C3936" s="1" t="n">
        <v>45742</v>
      </c>
      <c r="D3936" t="inlineStr">
        <is>
          <t>VÄSTERBOTTENS LÄN</t>
        </is>
      </c>
      <c r="E3936" t="inlineStr">
        <is>
          <t>SKELLEFTEÅ</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45742</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13478-2025</t>
        </is>
      </c>
      <c r="B3938" s="1" t="n">
        <v>45736</v>
      </c>
      <c r="C3938" s="1" t="n">
        <v>45742</v>
      </c>
      <c r="D3938" t="inlineStr">
        <is>
          <t>VÄSTERBOTTENS LÄN</t>
        </is>
      </c>
      <c r="E3938" t="inlineStr">
        <is>
          <t>SKELLEFTEÅ</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45742</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13493-2025</t>
        </is>
      </c>
      <c r="B3940" s="1" t="n">
        <v>45736</v>
      </c>
      <c r="C3940" s="1" t="n">
        <v>45742</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45742</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13569-2025</t>
        </is>
      </c>
      <c r="B3942" s="1" t="n">
        <v>45736</v>
      </c>
      <c r="C3942" s="1" t="n">
        <v>45742</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45742</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14238-2025</t>
        </is>
      </c>
      <c r="B3944" s="1" t="n">
        <v>45740</v>
      </c>
      <c r="C3944" s="1" t="n">
        <v>45742</v>
      </c>
      <c r="D3944" t="inlineStr">
        <is>
          <t>VÄSTERBOTTENS LÄN</t>
        </is>
      </c>
      <c r="E3944" t="inlineStr">
        <is>
          <t>SKELLEFTEÅ</t>
        </is>
      </c>
      <c r="G3944" t="n">
        <v>10.1</v>
      </c>
      <c r="H3944" t="n">
        <v>0</v>
      </c>
      <c r="I3944" t="n">
        <v>0</v>
      </c>
      <c r="J3944" t="n">
        <v>0</v>
      </c>
      <c r="K3944" t="n">
        <v>0</v>
      </c>
      <c r="L3944" t="n">
        <v>0</v>
      </c>
      <c r="M3944" t="n">
        <v>0</v>
      </c>
      <c r="N3944" t="n">
        <v>0</v>
      </c>
      <c r="O3944" t="n">
        <v>0</v>
      </c>
      <c r="P3944" t="n">
        <v>0</v>
      </c>
      <c r="Q3944" t="n">
        <v>0</v>
      </c>
      <c r="R3944" s="2" t="inlineStr"/>
    </row>
    <row r="3945" ht="15" customHeight="1">
      <c r="A3945" t="inlineStr">
        <is>
          <t>A 14013-2025</t>
        </is>
      </c>
      <c r="B3945" s="1" t="n">
        <v>45740</v>
      </c>
      <c r="C3945" s="1" t="n">
        <v>45742</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14016-2025</t>
        </is>
      </c>
      <c r="B3946" s="1" t="n">
        <v>45740</v>
      </c>
      <c r="C3946" s="1" t="n">
        <v>45742</v>
      </c>
      <c r="D3946" t="inlineStr">
        <is>
          <t>VÄSTERBOTTENS LÄN</t>
        </is>
      </c>
      <c r="E3946" t="inlineStr">
        <is>
          <t>SKELLEFTEÅ</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14347-2025</t>
        </is>
      </c>
      <c r="B3947" s="1" t="n">
        <v>45741</v>
      </c>
      <c r="C3947" s="1" t="n">
        <v>45742</v>
      </c>
      <c r="D3947" t="inlineStr">
        <is>
          <t>VÄSTERBOTTENS LÄN</t>
        </is>
      </c>
      <c r="E3947" t="inlineStr">
        <is>
          <t>SKELLEFTEÅ</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14386-2025</t>
        </is>
      </c>
      <c r="B3948" s="1" t="n">
        <v>45741</v>
      </c>
      <c r="C3948" s="1" t="n">
        <v>45742</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14394-2025</t>
        </is>
      </c>
      <c r="B3949" s="1" t="n">
        <v>45741</v>
      </c>
      <c r="C3949" s="1" t="n">
        <v>45742</v>
      </c>
      <c r="D3949" t="inlineStr">
        <is>
          <t>VÄSTERBOTTENS LÄN</t>
        </is>
      </c>
      <c r="E3949" t="inlineStr">
        <is>
          <t>SKELLEFTEÅ</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45742</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14346-2025</t>
        </is>
      </c>
      <c r="B3951" s="1" t="n">
        <v>45741</v>
      </c>
      <c r="C3951" s="1" t="n">
        <v>45742</v>
      </c>
      <c r="D3951" t="inlineStr">
        <is>
          <t>VÄSTERBOTTENS LÄN</t>
        </is>
      </c>
      <c r="E3951" t="inlineStr">
        <is>
          <t>SKELLEFTEÅ</t>
        </is>
      </c>
      <c r="G3951" t="n">
        <v>3.3</v>
      </c>
      <c r="H3951" t="n">
        <v>0</v>
      </c>
      <c r="I3951" t="n">
        <v>0</v>
      </c>
      <c r="J3951" t="n">
        <v>0</v>
      </c>
      <c r="K3951" t="n">
        <v>0</v>
      </c>
      <c r="L3951" t="n">
        <v>0</v>
      </c>
      <c r="M3951" t="n">
        <v>0</v>
      </c>
      <c r="N3951" t="n">
        <v>0</v>
      </c>
      <c r="O3951" t="n">
        <v>0</v>
      </c>
      <c r="P3951" t="n">
        <v>0</v>
      </c>
      <c r="Q3951" t="n">
        <v>0</v>
      </c>
      <c r="R3951" s="2" t="inlineStr"/>
    </row>
    <row r="3952">
      <c r="A3952" t="inlineStr">
        <is>
          <t>A 14384-2025</t>
        </is>
      </c>
      <c r="B3952" s="1" t="n">
        <v>45741</v>
      </c>
      <c r="C3952" s="1" t="n">
        <v>45742</v>
      </c>
      <c r="D3952" t="inlineStr">
        <is>
          <t>VÄSTERBOTTENS LÄN</t>
        </is>
      </c>
      <c r="E3952" t="inlineStr">
        <is>
          <t>SKELLEFTEÅ</t>
        </is>
      </c>
      <c r="G3952" t="n">
        <v>1.7</v>
      </c>
      <c r="H3952" t="n">
        <v>0</v>
      </c>
      <c r="I3952" t="n">
        <v>0</v>
      </c>
      <c r="J3952" t="n">
        <v>0</v>
      </c>
      <c r="K3952" t="n">
        <v>0</v>
      </c>
      <c r="L3952" t="n">
        <v>0</v>
      </c>
      <c r="M3952" t="n">
        <v>0</v>
      </c>
      <c r="N3952" t="n">
        <v>0</v>
      </c>
      <c r="O3952" t="n">
        <v>0</v>
      </c>
      <c r="P3952" t="n">
        <v>0</v>
      </c>
      <c r="Q3952" t="n">
        <v>0</v>
      </c>
      <c r="R3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2025-03-26T17:31:02Z</dcterms:created>
  <dcterms:modified xmlns:dcterms="http://purl.org/dc/terms/" xmlns:xsi="http://www.w3.org/2001/XMLSchema-instance" xsi:type="dcterms:W3CDTF">2025-03-26T17:31:05Z</dcterms:modified>
</cp:coreProperties>
</file>