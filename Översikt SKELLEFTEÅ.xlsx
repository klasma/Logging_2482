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45717</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45717</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45717</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45717</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45717</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45717</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45717</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45717</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45717</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45717</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45717</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45717</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45717</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45717</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45717</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45717</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45717</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45717</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45717</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45717</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45717</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45717</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45717</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45717</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45717</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45717</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45717</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45717</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45717</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45717</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45717</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45717</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45717</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45717</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45717</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45717</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45717</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45717</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45717</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45717</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45717</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45717</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45717</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45717</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45717</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45717</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45717</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45717</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45717</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45717</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45717</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45717</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45717</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45717</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45717</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45717</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45717</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45717</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45717</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45717</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45717</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45717</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45717</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45717</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45717</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45717</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45717</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45717</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45717</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45717</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45717</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45717</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45717</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45717</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45717</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45717</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45717</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45717</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45717</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45717</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45717</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45717</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45717</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45717</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45717</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45717</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45717</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45717</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45717</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45717</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45717</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45717</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45717</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45717</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45717</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45717</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45717</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45717</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45717</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45717</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45717</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45717</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45717</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45717</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45717</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45717</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45717</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45717</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45717</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45717</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45717</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45717</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45717</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45717</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45717</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45717</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45717</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45717</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45717</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45717</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45717</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45717</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45717</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45717</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45717</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45717</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45717</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45717</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45717</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45717</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45717</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45717</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45717</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45717</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45717</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45717</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45717</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45717</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45717</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45717</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45717</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45717</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45717</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45717</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45717</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45717</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45717</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45717</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45717</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45717</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45717</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45717</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45717</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45717</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45717</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45717</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45717</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45717</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45717</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45717</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4996-2025</t>
        </is>
      </c>
      <c r="B175" s="1" t="n">
        <v>45691</v>
      </c>
      <c r="C175" s="1" t="n">
        <v>45717</v>
      </c>
      <c r="D175" t="inlineStr">
        <is>
          <t>VÄSTERBOTTENS LÄN</t>
        </is>
      </c>
      <c r="E175" t="inlineStr">
        <is>
          <t>SKELLEFTEÅ</t>
        </is>
      </c>
      <c r="G175" t="n">
        <v>25.4</v>
      </c>
      <c r="H175" t="n">
        <v>0</v>
      </c>
      <c r="I175" t="n">
        <v>0</v>
      </c>
      <c r="J175" t="n">
        <v>2</v>
      </c>
      <c r="K175" t="n">
        <v>0</v>
      </c>
      <c r="L175" t="n">
        <v>0</v>
      </c>
      <c r="M175" t="n">
        <v>0</v>
      </c>
      <c r="N175" t="n">
        <v>0</v>
      </c>
      <c r="O175" t="n">
        <v>2</v>
      </c>
      <c r="P175" t="n">
        <v>0</v>
      </c>
      <c r="Q175" t="n">
        <v>2</v>
      </c>
      <c r="R175" s="2" t="inlineStr">
        <is>
          <t>Garnlav
Ullticka</t>
        </is>
      </c>
      <c r="S175">
        <f>HYPERLINK("https://klasma.github.io/Logging_2482/artfynd/A 4996-2025 artfynd.xlsx", "A 4996-2025")</f>
        <v/>
      </c>
      <c r="T175">
        <f>HYPERLINK("https://klasma.github.io/Logging_2482/kartor/A 4996-2025 karta.png", "A 4996-2025")</f>
        <v/>
      </c>
      <c r="U175">
        <f>HYPERLINK("https://klasma.github.io/Logging_2482/knärot/A 4996-2025 karta knärot.png", "A 4996-2025")</f>
        <v/>
      </c>
      <c r="V175">
        <f>HYPERLINK("https://klasma.github.io/Logging_2482/klagomål/A 4996-2025 FSC-klagomål.docx", "A 4996-2025")</f>
        <v/>
      </c>
      <c r="W175">
        <f>HYPERLINK("https://klasma.github.io/Logging_2482/klagomålsmail/A 4996-2025 FSC-klagomål mail.docx", "A 4996-2025")</f>
        <v/>
      </c>
      <c r="X175">
        <f>HYPERLINK("https://klasma.github.io/Logging_2482/tillsyn/A 4996-2025 tillsynsbegäran.docx", "A 4996-2025")</f>
        <v/>
      </c>
      <c r="Y175">
        <f>HYPERLINK("https://klasma.github.io/Logging_2482/tillsynsmail/A 4996-2025 tillsynsbegäran mail.docx", "A 4996-2025")</f>
        <v/>
      </c>
    </row>
    <row r="176" ht="15" customHeight="1">
      <c r="A176" t="inlineStr">
        <is>
          <t>A 5110-2025</t>
        </is>
      </c>
      <c r="B176" s="1" t="n">
        <v>45691</v>
      </c>
      <c r="C176" s="1" t="n">
        <v>45717</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9093-2025</t>
        </is>
      </c>
      <c r="B177" s="1" t="n">
        <v>45713</v>
      </c>
      <c r="C177" s="1" t="n">
        <v>45717</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45717</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45717</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45717</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45717</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45717</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45717</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45717</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45717</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45717</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45717</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45717</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45717</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45717</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45717</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45717</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45717</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45717</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45717</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45717</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45717</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45717</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45717</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45717</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45717</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45717</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45717</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45717</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45717</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45717</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45717</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45717</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45717</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45717</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45717</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45717</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45717</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45717</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45717</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45717</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45717</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45717</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45717</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45717</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45717</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45717</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45717</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45717</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45717</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45717</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45717</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45717</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45717</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45717</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45717</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45717</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45717</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45717</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45717</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45717</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45717</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45717</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45717</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45717</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45717</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45717</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45717</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45717</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45717</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45717</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45717</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45717</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45717</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45717</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45717</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45717</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45717</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45717</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45717</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45717</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45717</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45717</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45717</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45717</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45717</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45717</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45717</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45717</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45717</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45717</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45717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45717</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45717</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45717</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45717</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45717</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45717</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45717</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45717</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45717</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45717</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45717</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45717</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45717</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45717</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45717</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45717</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45717</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45717</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45717</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45717</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45717</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45717</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45717</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45717</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45717</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45717</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45717</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45717</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45717</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45717</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45717</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45717</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45717</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45717</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45717</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45717</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45717</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45717</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45717</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45717</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45717</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45717</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45717</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45717</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45717</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45717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45717</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45717</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45717</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45717</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45717</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45717</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45717</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45717</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45717</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45717</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45717</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45717</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45717</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45717</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45717</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45717</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45717</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45717</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45717</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45717</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45717</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45717</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45717</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45717</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45717</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45717</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45717</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45717</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45717</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45717</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45717</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45717</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45717</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45717</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45717</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45717</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45717</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45717</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45717</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45717</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45717</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45717</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45717</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45717</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45717</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45717</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45717</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45717</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45717</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45717</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45717</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45717</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45717</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45717</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45717</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45717</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45717</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45717</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45717</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45717</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45717</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45717</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45717</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45717</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45717</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45717</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45717</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45717</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45717</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45717</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45717</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45717</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45717</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45717</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45717</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45717</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45717</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45717</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45717</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45717</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45717</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45717</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45717</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45717</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45717</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45717</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45717</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45717</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45717</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45717</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45717</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45717</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45717</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45717</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45717</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45717</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45717</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45717</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45717</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45717</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45717</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45717</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45717</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45717</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45717</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45717</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45717</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45717</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45717</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45717</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45717</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45717</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45717</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45717</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45717</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45717</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45717</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45717</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45717</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45717</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45717</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45717</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45717</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45717</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45717</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45717</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45717</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45717</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45717</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45717</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45717</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45717</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45717</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45717</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45717</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45717</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45717</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45717</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45717</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45717</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45717</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45717</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45717</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45717</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45717</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45717</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45717</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45717</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45717</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45717</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45717</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45717</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45717</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45717</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45717</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45717</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45717</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45717</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45717</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45717</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45717</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45717</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45717</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45717</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45717</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45717</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45717</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45717</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45717</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45717</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45717</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45717</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45717</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45717</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45717</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45717</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45717</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45717</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45717</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45717</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45717</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45717</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45717</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45717</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45717</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45717</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45717</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45717</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45717</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45717</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45717</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45717</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45717</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45717</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45717</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45717</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45717</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45717</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45717</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45717</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45717</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45717</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45717</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45717</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45717</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45717</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45717</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45717</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45717</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45717</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45717</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45717</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45717</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45717</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45717</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45717</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45717</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45717</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45717</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45717</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45717</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45717</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45717</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45717</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45717</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45717</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45717</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45717</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45717</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45717</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45717</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45717</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45717</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45717</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45717</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45717</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45717</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45717</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45717</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45717</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45717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45717</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45717</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45717</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45717</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45717</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45717</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45717</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45717</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45717</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45717</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45717</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45717</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45717</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45717</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45717</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45717</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45717</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45717</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45717</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45717</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45717</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45717</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45717</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45717</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45717</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45717</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45717</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45717</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45717</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45717</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45717</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45717</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45717</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45717</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45717</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45717</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45717</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45717</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45717</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45717</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45717</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45717</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45717</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45717</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45717</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45717</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45717</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45717</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45717</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45717</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45717</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45717</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45717</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45717</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45717</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45717</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45717</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45717</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45717</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45717</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45717</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45717</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45717</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45717</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45717</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45717</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45717</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45717</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45717</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45717</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45717</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45717</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45717</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45717</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45717</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45717</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45717</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45717</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45717</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45717</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45717</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45717</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45717</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45717</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45717</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45717</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45717</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45717</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45717</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45717</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45717</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45717</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45717</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45717</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45717</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45717</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45717</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45717</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45717</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45717</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45717</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45717</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45717</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45717</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45717</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45717</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45717</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45717</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45717</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45717</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45717</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45717</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45717</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45717</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45717</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45717</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45717</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45717</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45717</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45717</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45717</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45717</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45717</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45717</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45717</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45717</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45717</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45717</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45717</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45717</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45717</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45717</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45717</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45717</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45717</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45717</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45717</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45717</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45717</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45717</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45717</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45717</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45717</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45717</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45717</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45717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45717</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45717</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45717</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45717</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45717</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45717</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45717</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45717</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45717</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45717</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45717</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45717</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45717</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45717</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45717</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45717</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45717</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45717</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45717</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45717</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45717</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45717</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45717</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45717</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45717</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45717</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45717</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45717</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45717</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45717</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45717</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45717</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45717</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45717</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45717</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45717</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45717</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45717</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45717</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45717</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45717</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45717</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45717</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45717</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45717</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45717</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45717</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45717</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45717</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45717</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45717</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45717</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45717</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45717</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45717</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45717</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45717</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45717</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45717</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45717</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45717</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45717</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45717</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45717</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45717</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45717</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45717</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45717</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45717</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45717</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45717</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45717</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45717</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45717</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45717</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45717</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45717</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45717</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45717</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45717</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45717</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45717</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45717</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45717</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45717</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45717</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45717</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45717</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45717</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45717</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45717</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45717</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45717</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45717</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45717</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45717</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45717</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45717</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45717</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45717</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45717</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45717</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45717</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45717</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45717</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45717</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45717</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45717</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45717</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45717</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45717</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45717</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45717</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45717</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45717</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45717</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45717</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45717</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45717</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45717</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45717</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45717</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45717</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45717</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45717</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45717</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45717</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45717</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45717</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45717</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45717</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45717</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45717</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45717</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45717</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45717</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45717</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45717</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45717</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45717</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45717</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45717</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45717</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45717</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45717</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45717</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45717</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45717</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45717</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45717</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45717</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45717</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45717</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45717</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45717</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45717</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45717</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45717</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45717</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45717</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45717</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45717</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45717</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45717</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45717</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45717</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45717</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45717</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45717</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45717</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45717</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45717</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45717</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45717</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45717</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45717</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45717</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45717</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45717</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45717</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45717</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45717</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45717</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45717</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45717</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45717</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45717</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45717</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45717</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45717</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45717</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45717</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45717</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45717</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45717</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45717</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45717</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45717</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45717</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45717</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45717</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45717</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45717</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45717</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45717</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45717</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45717</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45717</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45717</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45717</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45717</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45717</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45717</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45717</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45717</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45717</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45717</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45717</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45717</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45717</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45717</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45717</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45717</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45717</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45717</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45717</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45717</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45717</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45717</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45717</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45717</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45717</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45717</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45717</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45717</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45717</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45717</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45717</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45717</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45717</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45717</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45717</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45717</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45717</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45717</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45717</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45717</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45717</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45717</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45717</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45717</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45717</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45717</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45717</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45717</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45717</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45717</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45717</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45717</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45717</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45717</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45717</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45717</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45717</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45717</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45717</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45717</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45717</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45717</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45717</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45717</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45717</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45717</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45717</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45717</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45717</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45717</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45717</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45717</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45717</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45717</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45717</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45717</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45717</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45717</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45717</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45717</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45717</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45717</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45717</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45717</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45717</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45717</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45717</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45717</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45717</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45717</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45717</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45717</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45717</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45717</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45717</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45717</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45717</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45717</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45717</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45717</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45717</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45717</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45717</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45717</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45717</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45717</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45717</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45717</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45717</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45717</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45717</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45717</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45717</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45717</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45717</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45717</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45717</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45717</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45717</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45717</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45717</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45717</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45717</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45717</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45717</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45717</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45717</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45717</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45717</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45717</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45717</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45717</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45717</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45717</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45717</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45717</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45717</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45717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45717</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45717</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45717</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45717</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45717</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45717</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45717</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45717</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45717</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45717</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45717</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45717</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45717</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45717</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45717</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45717</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45717</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45717</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45717</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45717</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45717</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45717</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45717</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45717</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45717</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45717</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45717</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45717</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45717</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45717</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45717</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45717</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45717</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45717</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45717</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45717</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45717</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45717</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45717</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45717</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45717</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45717</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45717</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45717</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45717</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45717</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45717</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45717</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45717</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45717</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45717</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45717</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45717</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45717</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45717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45717</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45717</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45717</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45717</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45717</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45717</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45717</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45717</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45717</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45717</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45717</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45717</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45717</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45717</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45717</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45717</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45717</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45717</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45717</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45717</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45717</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45717</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45717</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45717</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45717</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45717</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45717</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45717</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45717</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45717</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45717</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45717</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45717</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45717</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45717</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45717</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45717</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45717</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45717</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45717</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45717</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45717</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45717</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45717</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45717</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45717</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45717</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45717</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45717</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45717</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45717</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45717</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45717</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45717</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45717</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45717</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45717</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45717</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45717</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45717</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45717</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45717</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45717</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45717</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45717</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45717</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45717</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45717</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45717</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45717</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45717</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45717</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45717</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45717</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45717</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45717</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45717</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45717</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45717</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45717</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45717</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45717</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45717</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45717</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45717</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45717</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45717</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45717</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45717</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45717</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45717</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45717</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45717</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45717</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45717</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45717</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45717</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45717</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45717</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45717</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45717</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45717</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45717</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45717</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45717</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45717</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45717</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45717</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45717</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45717</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45717</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45717</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45717</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45717</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45717</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45717</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45717</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45717</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45717</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45717</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45717</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45717</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45717</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45717</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45717</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45717</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45717</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45717</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45717</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45717</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45717</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45717</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45717</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45717</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45717</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45717</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45717</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45717</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45717</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45717</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45717</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45717</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45717</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45717</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45717</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45717</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45717</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45717</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45717</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45717</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45717</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45717</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45717</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45717</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45717</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45717</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45717</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45717</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45717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45717</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45717</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45717</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45717</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45717</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45717</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45717</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45717</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45717</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45717</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45717</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45717</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45717</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45717</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45717</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45717</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45717</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45717</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45717</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45717</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45717</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45717</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45717</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45717</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45717</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45717</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45717</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45717</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45717</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45717</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45717</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45717</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45717</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45717</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45717</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45717</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45717</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45717</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45717</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45717</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45717</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45717</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45717</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45717</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45717</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45717</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45717</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45717</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45717</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45717</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45717</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45717</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45717</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45717</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45717</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45717</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45717</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45717</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45717</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45717</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45717</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45717</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45717</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45717</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45717</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45717</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45717</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45717</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45717</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45717</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45717</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45717</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45717</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45717</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45717</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45717</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45717</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45717</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45717</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45717</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45717</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45717</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45717</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45717</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45717</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45717</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45717</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45717</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45717</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45717</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45717</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45717</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45717</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45717</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45717</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45717</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45717</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45717</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45717</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45717</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45717</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45717</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45717</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45717</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45717</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45717</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45717</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45717</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45717</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45717</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45717</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45717</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45717</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45717</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45717</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45717</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45717</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45717</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45717</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45717</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45717</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45717</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45717</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45717</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45717</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45717</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45717</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45717</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45717</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45717</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45717</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45717</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45717</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45717</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45717</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45717</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45717</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45717</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45717</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45717</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45717</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45717</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45717</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45717</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45717</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45717</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45717</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45717</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45717</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45717</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45717</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45717</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45717</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45717</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45717</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45717</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45717</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45717</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45717</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45717</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45717</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45717</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45717</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45717</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45717</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45717</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45717</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45717</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45717</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45717</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45717</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45717</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45717</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45717</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45717</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45717</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45717</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45717</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45717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45717</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45717</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45717</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45717</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45717</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45717</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45717</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45717</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45717</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45717</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45717</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45717</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45717</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45717</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45717</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45717</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45717</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45717</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45717</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45717</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45717</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45717</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45717</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45717</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45717</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45717</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45717</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45717</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45717</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45717</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45717</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45717</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45717</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45717</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45717</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45717</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45717</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45717</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45717</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45717</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45717</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45717</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45717</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45717</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45717</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45717</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45717</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45717</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45717</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45717</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45717</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45717</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45717</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45717</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45717</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45717</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45717</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45717</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45717</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45717</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45717</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45717</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45717</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45717</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45717</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45717</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45717</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45717</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45717</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45717</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45717</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45717</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45717</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45717</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45717</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45717</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45717</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45717</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45717</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45717</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45717</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45717</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45717</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45717</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45717</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45717</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45717</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45717</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45717</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45717</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45717</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45717</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45717</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45717</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45717</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45717</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45717</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45717</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45717</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45717</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45717</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45717</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45717</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45717</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45717</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45717</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45717</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45717</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45717</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45717</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45717</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45717</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45717</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45717</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45717</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45717</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45717</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45717</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45717</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45717</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45717</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45717</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45717</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45717</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45717</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45717</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45717</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45717</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45717</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45717</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45717</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45717</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45717</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45717</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45717</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45717</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45717</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45717</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45717</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45717</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45717</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45717</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45717</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45717</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45717</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45717</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45717</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45717</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45717</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45717</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45717</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45717</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45717</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45717</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45717</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45717</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45717</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45717</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45717</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45717</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45717</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45717</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45717</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45717</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45717</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45717</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45717</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45717</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45717</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45717</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45717</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45717</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45717</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45717</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45717</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45717</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45717</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45717</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45717</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45717</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45717</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45717</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45717</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45717</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45717</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45717</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45717</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45717</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45717</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45717</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45717</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45717</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45717</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45717</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45717</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45717</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45717</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45717</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45717</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45717</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45717</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45717</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45717</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45717</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45717</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45717</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45717</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45717</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45717</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45717</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45717</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45717</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45717</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45717</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45717</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45717</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45717</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45717</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45717</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45717</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45717</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45717</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45717</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45717</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45717</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45717</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45717</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45717</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45717</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45717</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45717</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45717</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45717</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45717</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45717</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45717</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45717</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45717</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45717</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45717</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45717</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45717</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45717</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45717</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45717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45717</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45717</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45717</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45717</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45717</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45717</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45717</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45717</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45717</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45717</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45717</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45717</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45717</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45717</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45717</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45717</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45717</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45717</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45717</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45717</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45717</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45717</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45717</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45717</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45717</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45717</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45717</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45717</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45717</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45717</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45717</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45717</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45717</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45717</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45717</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45717</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45717</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45717</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45717</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45717</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45717</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45717</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45717</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45717</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45717</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45717</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45717</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45717</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45717</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45717</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45717</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45717</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45717</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45717</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45717</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45717</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45717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45717</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45717</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45717</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45717</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45717</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45717</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45717</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45717</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45717</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45717</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45717</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45717</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45717</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45717</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45717</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45717</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45717</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45717</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45717</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45717</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45717</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45717</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45717</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45717</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45717</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45717</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45717</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45717</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45717</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45717</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45717</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45717</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45717</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45717</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45717</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45717</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45717</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45717</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45717</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45717</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45717</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45717</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45717</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45717</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45717</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45717</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45717</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45717</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45717</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45717</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45717</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45717</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45717</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45717</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45717</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45717</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45717</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45717</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45717</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45717</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45717</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45717</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45717</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45717</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45717</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45717</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45717</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45717</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45717</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45717</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45717</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45717</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45717</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45717</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45717</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45717</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45717</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45717</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45717</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45717</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45717</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45717</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45717</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45717</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45717</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45717</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45717</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45717</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45717</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45717</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45717</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45717</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45717</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45717</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45717</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45717</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45717</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45717</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45717</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45717</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45717</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45717</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45717</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45717</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45717</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45717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45717</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45717</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45717</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45717</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45717</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45717</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45717</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45717</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45717</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45717</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45717</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45717</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45717</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45717</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45717</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45717</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45717</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45717</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45717</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45717</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45717</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45717</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45717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45717</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45717</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45717</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45717</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45717</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45717</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45717</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45717</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45717</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45717</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45717</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45717</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45717</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45717</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45717</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45717</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45717</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45717</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45717</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45717</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45717</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45717</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45717</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45717</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45717</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45717</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45717</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45717</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45717</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45717</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45717</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45717</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45717</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45717</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45717</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45717</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45717</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45717</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45717</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45717</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45717</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45717</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45717</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45717</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45717</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45717</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45717</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45717</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45717</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45717</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45717</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45717</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45717</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45717</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45717</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45717</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45717</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45717</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45717</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45717</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45717</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45717</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45717</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45717</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45717</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45717</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45717</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45717</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45717</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45717</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45717</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45717</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45717</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45717</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45717</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45717</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45717</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45717</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45717</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45717</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45717</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45717</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45717</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45717</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45717</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45717</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45717</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45717</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45717</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45717</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45717</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45717</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45717</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45717</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45717</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45717</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45717</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45717</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45717</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45717</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45717</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45717</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45717</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45717</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45717</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45717</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45717</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45717</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45717</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45717</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45717</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45717</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45717</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45717</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45717</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45717</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45717</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45717</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45717</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45717</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45717</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45717</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45717</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45717</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45717</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45717</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45717</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45717</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45717</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45717</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45717</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45717</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45717</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45717</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45717</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45717</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45717</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45717</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45717</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45717</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45717</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45717</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45717</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45717</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45717</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45717</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45717</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45717</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45717</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45717</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45717</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45717</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45717</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45717</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45717</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45717</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45717</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45717</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45717</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45717</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45717</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45717</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45717</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45717</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45717</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45717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45717</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45717</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45717</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45717</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45717</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45717</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45717</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45717</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45717</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45717</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45717</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45717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45717</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45717</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45717</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45717</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45717</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45717</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45717</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45717</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45717</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45717</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45717</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45717</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45717</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45717</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45717</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45717</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45717</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45717</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45717</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45717</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45717</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45717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45717</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45717</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45717</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45717</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45717</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45717</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45717</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45717</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45717</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45717</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45717</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45717</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45717</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45717</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45717</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45717</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45717</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45717</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45717</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45717</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45717</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45717</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45717</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45717</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45717</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45717</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45717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45717</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45717</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45717</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45717</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45717</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45717</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45717</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45717</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45717</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45717</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45717</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45717</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45717</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45717</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45717</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45717</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45717</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45717</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45717</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45717</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45717</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45717</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45717</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45717</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45717</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45717</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45717</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45717</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45717</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45717</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45717</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45717</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45717</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45717</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45717</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45717</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45717</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45717</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45717</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45717</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45717</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45717</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45717</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45717</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45717</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45717</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45717</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45717</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45717</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45717</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45717</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45717</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45717</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45717</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45717</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45717</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45717</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45717</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45717</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45717</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45717</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45717</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45717</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45717</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45717</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45717</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45717</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45717</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45717</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45717</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45717</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45717</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45717</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45717</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45717</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45717</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45717</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45717</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45717</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45717</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45717</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45717</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45717</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45717</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45717</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45717</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45717</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45717</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45717</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45717</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45717</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45717</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45717</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45717</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45717</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45717</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45717</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45717</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45717</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45717</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45717</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45717</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45717</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45717</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45717</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45717</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45717</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45717</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45717</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45717</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45717</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45717</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45717</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45717</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45717</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45717</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45717</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45717</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45717</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45717</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45717</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45717</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45717</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45717</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45717</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45717</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45717</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45717</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45717</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45717</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45717</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45717</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45717</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45717</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45717</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45717</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45717</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45717</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45717</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45717</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45717</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45717</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45717</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45717</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45717</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45717</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45717</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45717</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45717</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45717</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45717</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45717</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45717</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45717</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45717</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45717</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45717</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45717</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45717</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45717</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45717</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45717</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45717</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45717</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45717</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45717</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45717</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45717</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45717</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45717</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45717</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45717</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45717</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45717</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45717</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45717</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45717</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45717</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45717</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45717</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45717</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45717</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45717</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45717</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45717</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45717</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45717</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45717</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45717</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45717</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45717</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45717</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45717</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45717</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45717</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45717</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45717</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45717</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45717</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45717</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45717</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45717</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45717</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45717</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45717</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45717</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45717</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45717</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45717</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45717</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45717</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45717</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45717</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45717</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45717</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45717</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45717</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45717</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45717</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45717</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45717</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45717</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45717</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45717</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45717</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45717</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45717</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45717</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45717</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45717</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45717</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45717</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45717</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45717</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45717</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45717</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45717</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45717</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45717</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45717</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45717</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45717</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45717</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45717</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45717</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45717</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45717</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45717</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45717</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45717</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45717</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45717</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45717</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45717</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45717</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45717</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45717</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45717</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45717</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45717</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45717</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45717</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45717</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45717</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45717</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45717</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45717</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45717</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45717</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45717</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45717</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45717</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45717</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45717</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45717</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45717</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45717</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45717</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45717</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45717</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45717</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45717</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45717</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45717</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45717</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45717</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45717</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45717</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45717</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45717</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45717</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45717</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45717</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45717</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45717</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45717</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45717</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45717</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45717</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45717</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45717</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45717</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45717</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45717</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45717</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45717</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45717</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45717</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45717</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45717</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45717</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45717</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45717</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45717</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45717</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45717</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45717</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45717</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45717</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45717</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45717</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45717</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45717</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45717</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45717</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45717</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45717</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45717</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45717</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45717</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45717</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45717</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45717</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45717</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45717</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45717</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45717</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45717</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45717</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45717</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45717</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45717</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45717</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45717</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45717</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45717</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45717</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45717</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45717</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45717</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45717</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45717</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45717</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45717</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45717</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45717</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45717</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45717</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45717</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45717</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45717</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45717</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45717</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45717</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45717</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45717</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45717</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45717</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45717</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45717</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45717</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45717</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45717</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45717</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45717</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45717</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45717</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45717</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45717</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45717</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45717</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45717</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45717</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45717</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45717</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45717</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45717</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45717</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45717</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45717</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45717</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45717</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45717</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45717</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45717</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45717</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45717</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45717</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45717</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45717</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45717</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45717</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45717</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45717</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45717</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45717</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45717</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45717</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45717</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45717</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45717</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45717</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45717</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45717</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45717</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45717</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45717</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45717</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45717</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45717</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45717</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45717</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45717</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45717</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45717</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45717</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45717</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45717</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45717</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45717</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45717</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45717</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45717</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45717</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45717</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45717</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45717</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45717</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45717</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45717</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45717</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45717</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45717</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45717</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45717</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45717</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45717</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45717</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45717</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45717</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45717</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45717</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45717</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45717</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45717</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45717</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45717</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45717</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45717</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45717</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45717</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45717</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45717</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45717</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45717</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45717</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45717</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45717</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45717</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45717</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45717</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45717</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45717</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45717</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45717</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45717</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45717</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45717</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45717</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45717</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45717</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45717</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45717</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45717</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45717</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45717</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45717</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45717</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45717</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45717</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45717</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45717</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45717</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45717</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45717</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45717</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45717</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45717</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45717</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45717</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45717</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45717</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45717</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45717</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45717</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45717</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45717</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45717</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45717</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45717</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45717</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45717</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45717</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45717</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45717</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45717</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45717</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45717</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45717</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45717</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45717</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45717</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45717</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45717</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45717</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45717</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45717</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45717</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45717</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45717</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45717</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45717</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45717</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45717</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45717</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45717</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45717</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45717</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45717</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45717</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45717</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45717</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45717</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45717</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45717</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45717</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45717</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45717</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45717</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45717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45717</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45717</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45717</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45717</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45717</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45717</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45717</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45717</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45717</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45717</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45717</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45717</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45717</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45717</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45717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45717</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45717</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45717</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45717</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45717</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45717</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45717</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45717</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45717</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45717</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45717</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45717</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45717</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45717</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45717</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45717</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45717</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45717</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45717</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45717</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45717</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45717</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45717</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45717</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45717</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45717</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45717</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45717</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45717</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45717</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45717</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45717</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45717</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45717</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45717</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45717</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45717</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45717</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45717</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45717</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45717</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45717</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45717</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45717</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45717</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45717</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45717</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45717</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45717</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45717</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45717</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45717</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45717</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45717</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45717</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45717</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45717</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45717</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45717</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45717</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45717</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45717</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45717</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45717</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45717</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45717</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45717</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45717</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45717</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45717</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45717</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45717</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45717</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45717</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45717</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45717</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45717</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45717</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45717</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45717</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45717</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45717</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45717</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45717</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45717</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45717</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45717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45717</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45717</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45717</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45717</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45717</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45717</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45717</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45717</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45717</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45717</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45717</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45717</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45717</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45717</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45717</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45717</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45717</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45717</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45717</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45717</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45717</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45717</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45717</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45717</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45717</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45717</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45717</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45717</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45717</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45717</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45717</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45717</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45717</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45717</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45717</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45717</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45717</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45717</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45717</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45717</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45717</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45717</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45717</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45717</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45717</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45717</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45717</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45717</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45717</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45717</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45717</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45717</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45717</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45717</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45717</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45717</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45717</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45717</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45717</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45717</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45717</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45717</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45717</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45717</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45717</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45717</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45717</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45717</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45717</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45717</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45717</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45717</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45717</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45717</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45717</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45717</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45717</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45717</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45717</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45717</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45717</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45717</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45717</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45717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45717</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45717</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45717</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45717</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45717</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45717</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45717</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45717</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45717</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45717</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45717</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45717</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45717</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45717</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45717</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45717</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45717</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45717</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45717</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45717</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45717</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45717</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45717</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45717</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45717</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45717</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45717</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45717</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45717</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45717</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45717</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45717</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45717</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45717</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45717</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45717</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45717</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45717</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45717</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45717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45717</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45717</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45717</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45717</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45717</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45717</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45717</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45717</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45717</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45717</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45717</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45717</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45717</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45717</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45717</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45717</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45717</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45717</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45717</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45717</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45717</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45717</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45717</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45717</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45717</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45717</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45717</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45717</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45717</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45717</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45717</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45717</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45717</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45717</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45717</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45717</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45717</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45717</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45717</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45717</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45717</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45717</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45717</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45717</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45717</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45717</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45717</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45717</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45717</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45717</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45717</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45717</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45717</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45717</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45717</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45717</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45717</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45717</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45717</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45717</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45717</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45717</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45717</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45717</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45717</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45717</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45717</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45717</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45717</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45717</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45717</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45717</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45717</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45717</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45717</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45717</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45717</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45717</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45717</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45717</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45717</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45717</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45717</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45717</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45717</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45717</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45717</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45717</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45717</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45717</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45717</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45717</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45717</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45717</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45717</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45717</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45717</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45717</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45717</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45717</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45717</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45717</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45717</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45717</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45717</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45717</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45717</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45717</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45717</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45717</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45717</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45717</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45717</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45717</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45717</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45717</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45717</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45717</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45717</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45717</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45717</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45717</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45717</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45717</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45717</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45717</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45717</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45717</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45717</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45717</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45717</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45717</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45717</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45717</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45717</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45717</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45717</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45717</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45717</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45717</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45717</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45717</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45717</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45717</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45717</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45717</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45717</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45717</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45717</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45717</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45717</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45717</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45717</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45717</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45717</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45717</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45717</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45717</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45717</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45717</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45717</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45717</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45717</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45717</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45717</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45717</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45717</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45717</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45717</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45717</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45717</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45717</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45717</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45717</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45717</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45717</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45717</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45717</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45717</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45717</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45717</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45717</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45717</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45717</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45717</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45717</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45717</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45717</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45717</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45717</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45717</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45717</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45717</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45717</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45717</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45717</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45717</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45717</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45717</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45717</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45717</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45717</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45717</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45717</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45717</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45717</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45717</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45717</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45717</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45717</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45717</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45717</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45717</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45717</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45717</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45717</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45717</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45717</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45717</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45717</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45717</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45717</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45717</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45717</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45717</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45717</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45717</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45717</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45717</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45717</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45717</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45717</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45717</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45717</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45717</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45717</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45717</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45717</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45717</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45717</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45717</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45717</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45717</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45717</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45717</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45717</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45717</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45717</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45717</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45717</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45717</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45717</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45717</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45717</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45717</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45717</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45717</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45717</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45717</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45717</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45717</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45717</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45717</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45717</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45717</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45717</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45717</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45717</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45717</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45717</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45717</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45717</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45717</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45717</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45717</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45717</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45717</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45717</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45717</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45717</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45717</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45717</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45717</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45717</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45717</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45717</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45717</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45717</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45717</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45717</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45717</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45717</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45717</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45717</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45717</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45717</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45717</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45717</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45717</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45717</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45717</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45717</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45717</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45717</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45717</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45717</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45717</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45717</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45717</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45717</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45717</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45717</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45717</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45717</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45717</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45717</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45717</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45717</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45717</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45717</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45717</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45717</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45717</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45717</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45717</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45717</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45717</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45717</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45717</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45717</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45717</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45717</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45717</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45717</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45717</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45717</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45717</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45717</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45717</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45717</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45717</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45717</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45717</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45717</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45717</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45717</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45717</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45717</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45717</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45717</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45717</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45717</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45717</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45717</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45717</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45717</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45717</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45717</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45717</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45717</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45717</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45717</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45717</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45717</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45717</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45717</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45717</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45717</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45717</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45717</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45717</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45717</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45717</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45717</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45717</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45717</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45717</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45717</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45717</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45717</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45717</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45717</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45717</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45717</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45717</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45717</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45717</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45717</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45717</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45717</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45717</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45717</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45717</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45717</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45717</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45717</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45717</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45717</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45717</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45717</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45717</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45717</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45717</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45717</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45717</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45717</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45717</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45717</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45717</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45717</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45717</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45717</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45717</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45717</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45717</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45717</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45717</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45717</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45717</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45717</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45717</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45717</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45717</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45717</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45717</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45717</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45717</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45717</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45717</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45717</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45717</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45717</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45717</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45717</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45717</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45717</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45717</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45717</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45717</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45717</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45717</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45717</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45717</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45717</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45717</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45717</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45717</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45717</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45717</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45717</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45717</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45717</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45717</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45717</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45717</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45717</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45717</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45717</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45717</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45717</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45717</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45717</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45717</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45717</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45717</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45717</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45717</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45717</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45717</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45717</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45717</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45717</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45717</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45717</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45717</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45717</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45717</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45717</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45717</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45717</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45717</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45717</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45717</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45717</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45717</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45717</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45717</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45717</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45717</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45717</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45717</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45717</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45717</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45717</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45717</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45717</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45717</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45717</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45717</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45717</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45717</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45717</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45717</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45717</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45717</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45717</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45717</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45717</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45717</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45717</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45717</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45717</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45717</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45717</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45717</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45717</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45717</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45717</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45717</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45717</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45717</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45717</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45717</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45717</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45717</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45717</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45717</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45717</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45717</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45717</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45717</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45717</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45717</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45717</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45717</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45717</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45717</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45717</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45717</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45717</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45717</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45717</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45717</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45717</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45717</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45717</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45717</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45717</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45717</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45717</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45717</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45717</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45717</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45717</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45717</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45717</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45717</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45717</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45717</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45717</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45717</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45717</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45717</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45717</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45717</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45717</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45717</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45717</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45717</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45717</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45717</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45717</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45717</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45717</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45717</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45717</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45717</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45717</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45717</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45717</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45717</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45717</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45717</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45717</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45717</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45717</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45717</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45717</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45717</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45717</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45717</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45717</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45717</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45717</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45717</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45717</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45717</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45717</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45717</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45717</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45717</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45717</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45717</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45717</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45717</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45717</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45717</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45717</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45717</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45717</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45717</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45717</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45717</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45717</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45717</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45717</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45717</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45717</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45717</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45717</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45717</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45717</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45717</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45717</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45717</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45717</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45717</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45717</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45717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45717</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45717</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45717</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45717</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45717</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45717</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45717</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45717</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45717</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45717</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45717</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45717</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45717</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45717</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45717</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45717</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45717</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45717</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45717</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45717</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45717</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45717</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45717</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45717</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45717</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45717</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45717</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45717</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45717</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45717</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45717</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45717</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45717</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45717</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45717</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45717</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45717</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45717</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45717</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45717</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45717</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45717</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45717</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45717</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45717</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45717</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45717</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45717</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45717</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45717</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45717</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45717</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45717</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45717</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45717</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45717</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45717</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45717</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45717</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45717</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45717</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45717</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45717</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45717</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45717</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45717</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45717</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45717</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45717</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45717</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45717</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45717</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45717</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45717</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45717</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45717</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45717</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45717</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45717</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45717</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45717</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45717</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45717</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45717</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45717</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45717</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45717</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45717</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45717</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45717</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45717</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45717</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45717</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45717</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45717</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45717</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45717</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45717</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45717</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45717</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45717</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45717</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45717</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45717</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45717</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45717</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45717</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45717</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45717</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45717</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45717</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45717</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45717</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45717</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45717</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45717</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45717</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45717</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45717</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45717</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45717</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45717</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45717</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45717</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45717</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45717</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45717</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45717</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45717</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45717</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45717</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45717</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45717</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45717</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45717</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45717</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45717</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45717</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45717</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45717</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45717</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45717</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45717</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45717</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45717</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45717</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45717</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45717</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45717</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45717</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45717</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45717</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45717</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45717</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45717</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45717</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45717</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45717</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45717</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45717</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45717</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45717</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45717</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45717</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45717</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45717</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45717</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45717</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45717</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45717</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45717</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45717</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45717</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45717</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45717</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45717</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45717</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45717</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45717</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45717</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45717</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45717</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45717</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45717</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45717</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45717</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45717</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45717</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45717</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45717</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45717</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45717</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45717</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45717</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45717</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45717</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45717</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45717</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45717</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45717</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45717</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45717</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45717</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45717</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45717</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45717</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45717</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45717</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45717</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45717</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45717</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45717</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45717</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45717</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45717</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45717</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45717</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45717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45717</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45717</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45717</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45717</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45717</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45717</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45717</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45717</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45717</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45717</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45717</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45717</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45717</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45717</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45717</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45717</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45717</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45717</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45717</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45717</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45717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45717</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45717</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45717</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45717</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45717</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45717</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45717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45717</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45717</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45717</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45717</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45717</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45717</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45717</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45717</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45717</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45717</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45717</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45717</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45717</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45717</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45717</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45717</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45717</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45717</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45717</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45717</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45717</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45717</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45717</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45717</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45717</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45717</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45717</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45717</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45717</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45717</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45717</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45717</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45717</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45717</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45717</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45717</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45717</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45717</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45717</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45717</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45717</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45717</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45717</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45717</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45717</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45717</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45717</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45717</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45717</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45717</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45717</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4696-2025</t>
        </is>
      </c>
      <c r="B3799" s="1" t="n">
        <v>45688</v>
      </c>
      <c r="C3799" s="1" t="n">
        <v>45717</v>
      </c>
      <c r="D3799" t="inlineStr">
        <is>
          <t>VÄSTERBOTTENS LÄN</t>
        </is>
      </c>
      <c r="E3799" t="inlineStr">
        <is>
          <t>SKELLEFTEÅ</t>
        </is>
      </c>
      <c r="G3799" t="n">
        <v>8.4</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45717</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45717</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45717</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45717</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45717</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45717</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5133-2025</t>
        </is>
      </c>
      <c r="B3806" s="1" t="n">
        <v>45691</v>
      </c>
      <c r="C3806" s="1" t="n">
        <v>45717</v>
      </c>
      <c r="D3806" t="inlineStr">
        <is>
          <t>VÄSTERBOTTENS LÄN</t>
        </is>
      </c>
      <c r="E3806" t="inlineStr">
        <is>
          <t>SKELLEFTEÅ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5011-2025</t>
        </is>
      </c>
      <c r="B3807" s="1" t="n">
        <v>45691</v>
      </c>
      <c r="C3807" s="1" t="n">
        <v>45717</v>
      </c>
      <c r="D3807" t="inlineStr">
        <is>
          <t>VÄSTERBOTTENS LÄN</t>
        </is>
      </c>
      <c r="E3807" t="inlineStr">
        <is>
          <t>SKELLEFTEÅ</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5186-2025</t>
        </is>
      </c>
      <c r="B3808" s="1" t="n">
        <v>45691</v>
      </c>
      <c r="C3808" s="1" t="n">
        <v>45717</v>
      </c>
      <c r="D3808" t="inlineStr">
        <is>
          <t>VÄSTERBOTTENS LÄN</t>
        </is>
      </c>
      <c r="E3808" t="inlineStr">
        <is>
          <t>SKELLEFTEÅ</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45717</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5116-2025</t>
        </is>
      </c>
      <c r="B3810" s="1" t="n">
        <v>45691</v>
      </c>
      <c r="C3810" s="1" t="n">
        <v>45717</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45717</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45717</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45717</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45717</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45717</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45717</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5829-2025</t>
        </is>
      </c>
      <c r="B3817" s="1" t="n">
        <v>45694</v>
      </c>
      <c r="C3817" s="1" t="n">
        <v>45717</v>
      </c>
      <c r="D3817" t="inlineStr">
        <is>
          <t>VÄSTERBOTTENS LÄN</t>
        </is>
      </c>
      <c r="E3817" t="inlineStr">
        <is>
          <t>SKELLEFTEÅ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5876-2025</t>
        </is>
      </c>
      <c r="B3818" s="1" t="n">
        <v>45694</v>
      </c>
      <c r="C3818" s="1" t="n">
        <v>45717</v>
      </c>
      <c r="D3818" t="inlineStr">
        <is>
          <t>VÄSTERBOTTENS LÄN</t>
        </is>
      </c>
      <c r="E3818" t="inlineStr">
        <is>
          <t>SKELLEFTEÅ</t>
        </is>
      </c>
      <c r="G3818" t="n">
        <v>60.7</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45717</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5827-2025</t>
        </is>
      </c>
      <c r="B3820" s="1" t="n">
        <v>45694</v>
      </c>
      <c r="C3820" s="1" t="n">
        <v>45717</v>
      </c>
      <c r="D3820" t="inlineStr">
        <is>
          <t>VÄSTERBOTTENS LÄN</t>
        </is>
      </c>
      <c r="E3820" t="inlineStr">
        <is>
          <t>SKELLEFTEÅ</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45717</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45717</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45717</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5927-2025</t>
        </is>
      </c>
      <c r="B3824" s="1" t="n">
        <v>45695</v>
      </c>
      <c r="C3824" s="1" t="n">
        <v>45717</v>
      </c>
      <c r="D3824" t="inlineStr">
        <is>
          <t>VÄSTERBOTTENS LÄN</t>
        </is>
      </c>
      <c r="E3824" t="inlineStr">
        <is>
          <t>SKELLEFTEÅ</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45717</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6018-2025</t>
        </is>
      </c>
      <c r="B3826" s="1" t="n">
        <v>45695</v>
      </c>
      <c r="C3826" s="1" t="n">
        <v>45717</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6168-2025</t>
        </is>
      </c>
      <c r="B3827" s="1" t="n">
        <v>45695</v>
      </c>
      <c r="C3827" s="1" t="n">
        <v>45717</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5985-2025</t>
        </is>
      </c>
      <c r="B3828" s="1" t="n">
        <v>45695</v>
      </c>
      <c r="C3828" s="1" t="n">
        <v>45717</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45717</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5986-2025</t>
        </is>
      </c>
      <c r="B3830" s="1" t="n">
        <v>45695</v>
      </c>
      <c r="C3830" s="1" t="n">
        <v>45717</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45717</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45717</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45717</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45717</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6899-2025</t>
        </is>
      </c>
      <c r="B3835" s="1" t="n">
        <v>45701</v>
      </c>
      <c r="C3835" s="1" t="n">
        <v>45717</v>
      </c>
      <c r="D3835" t="inlineStr">
        <is>
          <t>VÄSTERBOTTENS LÄN</t>
        </is>
      </c>
      <c r="E3835" t="inlineStr">
        <is>
          <t>SKELLEFTEÅ</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45717</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45717</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7025-2025</t>
        </is>
      </c>
      <c r="B3838" s="1" t="n">
        <v>45701</v>
      </c>
      <c r="C3838" s="1" t="n">
        <v>45717</v>
      </c>
      <c r="D3838" t="inlineStr">
        <is>
          <t>VÄSTERBOTTENS LÄN</t>
        </is>
      </c>
      <c r="E3838" t="inlineStr">
        <is>
          <t>SKELLEFTEÅ</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45717</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45717</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45717</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45717</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45717</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45717</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45717</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45717</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45717</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45717</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8301-2025</t>
        </is>
      </c>
      <c r="B3849" s="1" t="n">
        <v>45708</v>
      </c>
      <c r="C3849" s="1" t="n">
        <v>45717</v>
      </c>
      <c r="D3849" t="inlineStr">
        <is>
          <t>VÄSTERBOTTENS LÄN</t>
        </is>
      </c>
      <c r="E3849" t="inlineStr">
        <is>
          <t>SKELLEFTEÅ</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45717</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8141-2025</t>
        </is>
      </c>
      <c r="B3851" s="1" t="n">
        <v>45708</v>
      </c>
      <c r="C3851" s="1" t="n">
        <v>45717</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45717</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45717</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8140-2025</t>
        </is>
      </c>
      <c r="B3854" s="1" t="n">
        <v>45708</v>
      </c>
      <c r="C3854" s="1" t="n">
        <v>45717</v>
      </c>
      <c r="D3854" t="inlineStr">
        <is>
          <t>VÄSTERBOTTENS LÄN</t>
        </is>
      </c>
      <c r="E3854" t="inlineStr">
        <is>
          <t>SKELLEFTEÅ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8144-2025</t>
        </is>
      </c>
      <c r="B3855" s="1" t="n">
        <v>45708</v>
      </c>
      <c r="C3855" s="1" t="n">
        <v>45717</v>
      </c>
      <c r="D3855" t="inlineStr">
        <is>
          <t>VÄSTERBOTTENS LÄN</t>
        </is>
      </c>
      <c r="E3855" t="inlineStr">
        <is>
          <t>SKELLEFTEÅ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45717</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8289-2025</t>
        </is>
      </c>
      <c r="B3857" s="1" t="n">
        <v>45708</v>
      </c>
      <c r="C3857" s="1" t="n">
        <v>45717</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45717</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45717</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8412-2025</t>
        </is>
      </c>
      <c r="B3860" s="1" t="n">
        <v>45709</v>
      </c>
      <c r="C3860" s="1" t="n">
        <v>45717</v>
      </c>
      <c r="D3860" t="inlineStr">
        <is>
          <t>VÄSTERBOTTENS LÄN</t>
        </is>
      </c>
      <c r="E3860" t="inlineStr">
        <is>
          <t>SKELLEFTEÅ</t>
        </is>
      </c>
      <c r="F3860" t="inlineStr">
        <is>
          <t>Holmen skog AB</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45717</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45717</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45717</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45717</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45717</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45717</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45717</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45717</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45717</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45717</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45717</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45717</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45717</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45717</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45717</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45717</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45717</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45717</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45717</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45717</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45717</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45717</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45717</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45717</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c r="A3885" t="inlineStr">
        <is>
          <t>A 9838-2025</t>
        </is>
      </c>
      <c r="B3885" s="1" t="n">
        <v>45716</v>
      </c>
      <c r="C3885" s="1" t="n">
        <v>45717</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2025-03-01T16:15:01Z</dcterms:created>
  <dcterms:modified xmlns:dcterms="http://purl.org/dc/terms/" xmlns:xsi="http://www.w3.org/2001/XMLSchema-instance" xsi:type="dcterms:W3CDTF">2025-03-01T16:15:04Z</dcterms:modified>
</cp:coreProperties>
</file>