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45338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45338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45338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45338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45338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45338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45338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45338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45338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45338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45338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45338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Doftskinn
Gammelgransskål
Garnlav
Granticka
Lunglav
Ullticka
Violettgrå tagellav
Vitgrynig nållav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15110-2021</t>
        </is>
      </c>
      <c r="B14" s="1" t="n">
        <v>44281</v>
      </c>
      <c r="C14" s="1" t="n">
        <v>45338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SCA</t>
        </is>
      </c>
      <c r="G14" t="n">
        <v>2.7</v>
      </c>
      <c r="H14" t="n">
        <v>1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Rotfingersvamp
Gammelgransskål
Lunglav
Nordtagging
Orange taggsvamp
Svart taggsvamp
Bårdlav
Dropptaggsvamp
Stuplav
Nattviol</t>
        </is>
      </c>
      <c r="S14">
        <f>HYPERLINK("https://klasma.github.io/Logging_2482/artfynd/A 15110-2021 artfynd.xlsx", "A 15110-2021")</f>
        <v/>
      </c>
      <c r="T14">
        <f>HYPERLINK("https://klasma.github.io/Logging_2482/kartor/A 15110-2021 karta.png", "A 15110-2021")</f>
        <v/>
      </c>
      <c r="V14">
        <f>HYPERLINK("https://klasma.github.io/Logging_2482/klagomål/A 15110-2021 FSC-klagomål.docx", "A 15110-2021")</f>
        <v/>
      </c>
      <c r="W14">
        <f>HYPERLINK("https://klasma.github.io/Logging_2482/klagomålsmail/A 15110-2021 FSC-klagomål mail.docx", "A 15110-2021")</f>
        <v/>
      </c>
      <c r="X14">
        <f>HYPERLINK("https://klasma.github.io/Logging_2482/tillsyn/A 15110-2021 tillsynsbegäran.docx", "A 15110-2021")</f>
        <v/>
      </c>
      <c r="Y14">
        <f>HYPERLINK("https://klasma.github.io/Logging_2482/tillsynsmail/A 15110-2021 tillsynsbegäran mail.docx", "A 15110-2021")</f>
        <v/>
      </c>
    </row>
    <row r="15" ht="15" customHeight="1">
      <c r="A15" t="inlineStr">
        <is>
          <t>A 31173-2021</t>
        </is>
      </c>
      <c r="B15" s="1" t="n">
        <v>44368</v>
      </c>
      <c r="C15" s="1" t="n">
        <v>45338</v>
      </c>
      <c r="D15" t="inlineStr">
        <is>
          <t>VÄSTERBOTTENS LÄN</t>
        </is>
      </c>
      <c r="E15" t="inlineStr">
        <is>
          <t>SKELLEFTEÅ</t>
        </is>
      </c>
      <c r="G15" t="n">
        <v>41.4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Ulltickeporing
Gammelgransskål
Granticka
Gränsticka
Harticka
Rosenticka
Stjärntagging
Tretåig hackspett
Ullticka
Stuplav</t>
        </is>
      </c>
      <c r="S15">
        <f>HYPERLINK("https://klasma.github.io/Logging_2482/artfynd/A 31173-2021 artfynd.xlsx", "A 31173-2021")</f>
        <v/>
      </c>
      <c r="T15">
        <f>HYPERLINK("https://klasma.github.io/Logging_2482/kartor/A 31173-2021 karta.png", "A 31173-2021")</f>
        <v/>
      </c>
      <c r="V15">
        <f>HYPERLINK("https://klasma.github.io/Logging_2482/klagomål/A 31173-2021 FSC-klagomål.docx", "A 31173-2021")</f>
        <v/>
      </c>
      <c r="W15">
        <f>HYPERLINK("https://klasma.github.io/Logging_2482/klagomålsmail/A 31173-2021 FSC-klagomål mail.docx", "A 31173-2021")</f>
        <v/>
      </c>
      <c r="X15">
        <f>HYPERLINK("https://klasma.github.io/Logging_2482/tillsyn/A 31173-2021 tillsynsbegäran.docx", "A 31173-2021")</f>
        <v/>
      </c>
      <c r="Y15">
        <f>HYPERLINK("https://klasma.github.io/Logging_2482/tillsynsmail/A 31173-2021 tillsynsbegäran mail.docx", "A 31173-2021")</f>
        <v/>
      </c>
      <c r="Z15">
        <f>HYPERLINK("https://klasma.github.io/Logging_2482/fåglar/A 31173-2021 prioriterade fågelarter.docx", "A 31173-2021")</f>
        <v/>
      </c>
    </row>
    <row r="16" ht="15" customHeight="1">
      <c r="A16" t="inlineStr">
        <is>
          <t>A 899-2023</t>
        </is>
      </c>
      <c r="B16" s="1" t="n">
        <v>44931</v>
      </c>
      <c r="C16" s="1" t="n">
        <v>45338</v>
      </c>
      <c r="D16" t="inlineStr">
        <is>
          <t>VÄSTERBOTTENS LÄN</t>
        </is>
      </c>
      <c r="E16" t="inlineStr">
        <is>
          <t>SKELLEFTEÅ</t>
        </is>
      </c>
      <c r="G16" t="n">
        <v>10.3</v>
      </c>
      <c r="H16" t="n">
        <v>1</v>
      </c>
      <c r="I16" t="n">
        <v>3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10</v>
      </c>
      <c r="R16" s="2" t="inlineStr">
        <is>
          <t>Goliatmusseron
Lakritsmusseron
Tallgråticka
Blå taggsvamp
Motaggsvamp
Svartvit taggsvamp
Talltaggsvamp
Dropptaggsvamp
Plattlummer
Skarp dropptaggsvamp</t>
        </is>
      </c>
      <c r="S16">
        <f>HYPERLINK("https://klasma.github.io/Logging_2482/artfynd/A 899-2023 artfynd.xlsx", "A 899-2023")</f>
        <v/>
      </c>
      <c r="T16">
        <f>HYPERLINK("https://klasma.github.io/Logging_2482/kartor/A 899-2023 karta.png", "A 899-2023")</f>
        <v/>
      </c>
      <c r="V16">
        <f>HYPERLINK("https://klasma.github.io/Logging_2482/klagomål/A 899-2023 FSC-klagomål.docx", "A 899-2023")</f>
        <v/>
      </c>
      <c r="W16">
        <f>HYPERLINK("https://klasma.github.io/Logging_2482/klagomålsmail/A 899-2023 FSC-klagomål mail.docx", "A 899-2023")</f>
        <v/>
      </c>
      <c r="X16">
        <f>HYPERLINK("https://klasma.github.io/Logging_2482/tillsyn/A 899-2023 tillsynsbegäran.docx", "A 899-2023")</f>
        <v/>
      </c>
      <c r="Y16">
        <f>HYPERLINK("https://klasma.github.io/Logging_2482/tillsynsmail/A 899-2023 tillsynsbegäran mail.docx", "A 899-2023")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45338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45338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3196-2024</t>
        </is>
      </c>
      <c r="B19" s="1" t="n">
        <v>45316</v>
      </c>
      <c r="C19" s="1" t="n">
        <v>45338</v>
      </c>
      <c r="D19" t="inlineStr">
        <is>
          <t>VÄSTERBOTTENS LÄN</t>
        </is>
      </c>
      <c r="E19" t="inlineStr">
        <is>
          <t>SKELLEFTEÅ</t>
        </is>
      </c>
      <c r="G19" t="n">
        <v>4.2</v>
      </c>
      <c r="H19" t="n">
        <v>3</v>
      </c>
      <c r="I19" t="n">
        <v>2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10</v>
      </c>
      <c r="R19" s="2" t="inlineStr">
        <is>
          <t>Gräddporing
Knärot
Gammelgransskål
Garnlav
Granticka
Rosenticka
Stjärntagging
Ullticka
Grönkulla
Spindelblomster</t>
        </is>
      </c>
      <c r="S19">
        <f>HYPERLINK("https://klasma.github.io/Logging_2482/artfynd/A 3196-2024 artfynd.xlsx", "A 3196-2024")</f>
        <v/>
      </c>
      <c r="T19">
        <f>HYPERLINK("https://klasma.github.io/Logging_2482/kartor/A 3196-2024 karta.png", "A 3196-2024")</f>
        <v/>
      </c>
      <c r="U19">
        <f>HYPERLINK("https://klasma.github.io/Logging_2482/knärot/A 3196-2024 karta knärot.png", "A 3196-2024")</f>
        <v/>
      </c>
      <c r="V19">
        <f>HYPERLINK("https://klasma.github.io/Logging_2482/klagomål/A 3196-2024 FSC-klagomål.docx", "A 3196-2024")</f>
        <v/>
      </c>
      <c r="W19">
        <f>HYPERLINK("https://klasma.github.io/Logging_2482/klagomålsmail/A 3196-2024 FSC-klagomål mail.docx", "A 3196-2024")</f>
        <v/>
      </c>
      <c r="X19">
        <f>HYPERLINK("https://klasma.github.io/Logging_2482/tillsyn/A 3196-2024 tillsynsbegäran.docx", "A 3196-2024")</f>
        <v/>
      </c>
      <c r="Y19">
        <f>HYPERLINK("https://klasma.github.io/Logging_2482/tillsynsmail/A 3196-2024 tillsynsbegäran mail.docx", "A 3196-2024")</f>
        <v/>
      </c>
    </row>
    <row r="20" ht="15" customHeight="1">
      <c r="A20" t="inlineStr">
        <is>
          <t>A 67683-2018</t>
        </is>
      </c>
      <c r="B20" s="1" t="n">
        <v>43440</v>
      </c>
      <c r="C20" s="1" t="n">
        <v>45338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7.9</v>
      </c>
      <c r="H20" t="n">
        <v>2</v>
      </c>
      <c r="I20" t="n">
        <v>3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9</v>
      </c>
      <c r="R20" s="2" t="inlineStr">
        <is>
          <t>Garnlav
Lunglav
Rosenticka
Talltita
Ullticka
Violettgrå tagellav
Bårdlav
Spindelblomster
Stuplav</t>
        </is>
      </c>
      <c r="S20">
        <f>HYPERLINK("https://klasma.github.io/Logging_2482/artfynd/A 67683-2018 artfynd.xlsx", "A 67683-2018")</f>
        <v/>
      </c>
      <c r="T20">
        <f>HYPERLINK("https://klasma.github.io/Logging_2482/kartor/A 67683-2018 karta.png", "A 67683-2018")</f>
        <v/>
      </c>
      <c r="V20">
        <f>HYPERLINK("https://klasma.github.io/Logging_2482/klagomål/A 67683-2018 FSC-klagomål.docx", "A 67683-2018")</f>
        <v/>
      </c>
      <c r="W20">
        <f>HYPERLINK("https://klasma.github.io/Logging_2482/klagomålsmail/A 67683-2018 FSC-klagomål mail.docx", "A 67683-2018")</f>
        <v/>
      </c>
      <c r="X20">
        <f>HYPERLINK("https://klasma.github.io/Logging_2482/tillsyn/A 67683-2018 tillsynsbegäran.docx", "A 67683-2018")</f>
        <v/>
      </c>
      <c r="Y20">
        <f>HYPERLINK("https://klasma.github.io/Logging_2482/tillsynsmail/A 67683-2018 tillsynsbegäran mail.docx", "A 67683-2018")</f>
        <v/>
      </c>
      <c r="Z20">
        <f>HYPERLINK("https://klasma.github.io/Logging_2482/fåglar/A 67683-2018 prioriterade fågelarter.docx", "A 67683-2018")</f>
        <v/>
      </c>
    </row>
    <row r="21" ht="15" customHeight="1">
      <c r="A21" t="inlineStr">
        <is>
          <t>A 39213-2021</t>
        </is>
      </c>
      <c r="B21" s="1" t="n">
        <v>44413</v>
      </c>
      <c r="C21" s="1" t="n">
        <v>45338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1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Gammelgransskål
Garnlav
Granticka
Stjärntagging
Tallticka
Tretåig hackspett
Ullticka
Violettgrå tagellav
Vedticka</t>
        </is>
      </c>
      <c r="S21">
        <f>HYPERLINK("https://klasma.github.io/Logging_2482/artfynd/A 39213-2021 artfynd.xlsx", "A 39213-2021")</f>
        <v/>
      </c>
      <c r="T21">
        <f>HYPERLINK("https://klasma.github.io/Logging_2482/kartor/A 39213-2021 karta.png", "A 39213-2021")</f>
        <v/>
      </c>
      <c r="V21">
        <f>HYPERLINK("https://klasma.github.io/Logging_2482/klagomål/A 39213-2021 FSC-klagomål.docx", "A 39213-2021")</f>
        <v/>
      </c>
      <c r="W21">
        <f>HYPERLINK("https://klasma.github.io/Logging_2482/klagomålsmail/A 39213-2021 FSC-klagomål mail.docx", "A 39213-2021")</f>
        <v/>
      </c>
      <c r="X21">
        <f>HYPERLINK("https://klasma.github.io/Logging_2482/tillsyn/A 39213-2021 tillsynsbegäran.docx", "A 39213-2021")</f>
        <v/>
      </c>
      <c r="Y21">
        <f>HYPERLINK("https://klasma.github.io/Logging_2482/tillsynsmail/A 39213-2021 tillsynsbegäran mail.docx", "A 39213-2021")</f>
        <v/>
      </c>
      <c r="Z21">
        <f>HYPERLINK("https://klasma.github.io/Logging_2482/fåglar/A 39213-2021 prioriterade fågelarter.docx", "A 39213-2021")</f>
        <v/>
      </c>
    </row>
    <row r="22" ht="15" customHeight="1">
      <c r="A22" t="inlineStr">
        <is>
          <t>A 17660-2023</t>
        </is>
      </c>
      <c r="B22" s="1" t="n">
        <v>45036</v>
      </c>
      <c r="C22" s="1" t="n">
        <v>45338</v>
      </c>
      <c r="D22" t="inlineStr">
        <is>
          <t>VÄSTERBOTTENS LÄN</t>
        </is>
      </c>
      <c r="E22" t="inlineStr">
        <is>
          <t>SKELLEFTEÅ</t>
        </is>
      </c>
      <c r="G22" t="n">
        <v>3.8</v>
      </c>
      <c r="H22" t="n">
        <v>0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9</v>
      </c>
      <c r="R22" s="2" t="inlineStr">
        <is>
          <t>Goliatmusseron
Smalfotad taggsvamp
Blå taggsvamp
Orange taggsvamp
Svart taggsvamp
Svartvit taggsvamp
Talltaggsvamp
Dropptaggsvamp
Skarp dropptaggsvamp</t>
        </is>
      </c>
      <c r="S22">
        <f>HYPERLINK("https://klasma.github.io/Logging_2482/artfynd/A 17660-2023 artfynd.xlsx", "A 17660-2023")</f>
        <v/>
      </c>
      <c r="T22">
        <f>HYPERLINK("https://klasma.github.io/Logging_2482/kartor/A 17660-2023 karta.png", "A 17660-2023")</f>
        <v/>
      </c>
      <c r="V22">
        <f>HYPERLINK("https://klasma.github.io/Logging_2482/klagomål/A 17660-2023 FSC-klagomål.docx", "A 17660-2023")</f>
        <v/>
      </c>
      <c r="W22">
        <f>HYPERLINK("https://klasma.github.io/Logging_2482/klagomålsmail/A 17660-2023 FSC-klagomål mail.docx", "A 17660-2023")</f>
        <v/>
      </c>
      <c r="X22">
        <f>HYPERLINK("https://klasma.github.io/Logging_2482/tillsyn/A 17660-2023 tillsynsbegäran.docx", "A 17660-2023")</f>
        <v/>
      </c>
      <c r="Y22">
        <f>HYPERLINK("https://klasma.github.io/Logging_2482/tillsynsmail/A 17660-2023 tillsynsbegäran mail.docx", "A 17660-2023")</f>
        <v/>
      </c>
    </row>
    <row r="23" ht="15" customHeight="1">
      <c r="A23" t="inlineStr">
        <is>
          <t>A 8784-2019</t>
        </is>
      </c>
      <c r="B23" s="1" t="n">
        <v>43501</v>
      </c>
      <c r="C23" s="1" t="n">
        <v>45338</v>
      </c>
      <c r="D23" t="inlineStr">
        <is>
          <t>VÄSTERBOTTENS LÄN</t>
        </is>
      </c>
      <c r="E23" t="inlineStr">
        <is>
          <t>SKELLEFTEÅ</t>
        </is>
      </c>
      <c r="G23" t="n">
        <v>10.8</v>
      </c>
      <c r="H23" t="n">
        <v>0</v>
      </c>
      <c r="I23" t="n">
        <v>3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8</v>
      </c>
      <c r="R23" s="2" t="inlineStr">
        <is>
          <t>Gammelgransskål
Garnlav
Lunglav
Rosenticka
Ullticka
Bårdlav
Skinnlav
Stuplav</t>
        </is>
      </c>
      <c r="S23">
        <f>HYPERLINK("https://klasma.github.io/Logging_2482/artfynd/A 8784-2019 artfynd.xlsx", "A 8784-2019")</f>
        <v/>
      </c>
      <c r="T23">
        <f>HYPERLINK("https://klasma.github.io/Logging_2482/kartor/A 8784-2019 karta.png", "A 8784-2019")</f>
        <v/>
      </c>
      <c r="V23">
        <f>HYPERLINK("https://klasma.github.io/Logging_2482/klagomål/A 8784-2019 FSC-klagomål.docx", "A 8784-2019")</f>
        <v/>
      </c>
      <c r="W23">
        <f>HYPERLINK("https://klasma.github.io/Logging_2482/klagomålsmail/A 8784-2019 FSC-klagomål mail.docx", "A 8784-2019")</f>
        <v/>
      </c>
      <c r="X23">
        <f>HYPERLINK("https://klasma.github.io/Logging_2482/tillsyn/A 8784-2019 tillsynsbegäran.docx", "A 8784-2019")</f>
        <v/>
      </c>
      <c r="Y23">
        <f>HYPERLINK("https://klasma.github.io/Logging_2482/tillsynsmail/A 8784-2019 tillsynsbegäran mail.docx", "A 8784-2019")</f>
        <v/>
      </c>
    </row>
    <row r="24" ht="15" customHeight="1">
      <c r="A24" t="inlineStr">
        <is>
          <t>A 44892-2021</t>
        </is>
      </c>
      <c r="B24" s="1" t="n">
        <v>44438</v>
      </c>
      <c r="C24" s="1" t="n">
        <v>45338</v>
      </c>
      <c r="D24" t="inlineStr">
        <is>
          <t>VÄSTERBOTTENS LÄN</t>
        </is>
      </c>
      <c r="E24" t="inlineStr">
        <is>
          <t>SKELLEFTEÅ</t>
        </is>
      </c>
      <c r="G24" t="n">
        <v>35.9</v>
      </c>
      <c r="H24" t="n">
        <v>3</v>
      </c>
      <c r="I24" t="n">
        <v>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8</v>
      </c>
      <c r="R24" s="2" t="inlineStr">
        <is>
          <t>Garnlav
Lunglav
Gräsull
Guckusko
Stuplav
Tibast
Brudsporre
Fläcknycklar</t>
        </is>
      </c>
      <c r="S24">
        <f>HYPERLINK("https://klasma.github.io/Logging_2482/artfynd/A 44892-2021 artfynd.xlsx", "A 44892-2021")</f>
        <v/>
      </c>
      <c r="T24">
        <f>HYPERLINK("https://klasma.github.io/Logging_2482/kartor/A 44892-2021 karta.png", "A 44892-2021")</f>
        <v/>
      </c>
      <c r="V24">
        <f>HYPERLINK("https://klasma.github.io/Logging_2482/klagomål/A 44892-2021 FSC-klagomål.docx", "A 44892-2021")</f>
        <v/>
      </c>
      <c r="W24">
        <f>HYPERLINK("https://klasma.github.io/Logging_2482/klagomålsmail/A 44892-2021 FSC-klagomål mail.docx", "A 44892-2021")</f>
        <v/>
      </c>
      <c r="X24">
        <f>HYPERLINK("https://klasma.github.io/Logging_2482/tillsyn/A 44892-2021 tillsynsbegäran.docx", "A 44892-2021")</f>
        <v/>
      </c>
      <c r="Y24">
        <f>HYPERLINK("https://klasma.github.io/Logging_2482/tillsynsmail/A 44892-2021 tillsynsbegäran mail.docx", "A 44892-2021")</f>
        <v/>
      </c>
    </row>
    <row r="25" ht="15" customHeight="1">
      <c r="A25" t="inlineStr">
        <is>
          <t>A 19608-2023</t>
        </is>
      </c>
      <c r="B25" s="1" t="n">
        <v>45051</v>
      </c>
      <c r="C25" s="1" t="n">
        <v>45338</v>
      </c>
      <c r="D25" t="inlineStr">
        <is>
          <t>VÄSTERBOTTENS LÄN</t>
        </is>
      </c>
      <c r="E25" t="inlineStr">
        <is>
          <t>SKELLEFTEÅ</t>
        </is>
      </c>
      <c r="G25" t="n">
        <v>5.4</v>
      </c>
      <c r="H25" t="n">
        <v>1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Blanksvart spiklav
Blå taggsvamp
Garnlav
Talltita
Vedskivlav
Dropptaggsvamp
Skarp dropptaggsvamp
Tallfingersvamp</t>
        </is>
      </c>
      <c r="S25">
        <f>HYPERLINK("https://klasma.github.io/Logging_2482/artfynd/A 19608-2023 artfynd.xlsx", "A 19608-2023")</f>
        <v/>
      </c>
      <c r="T25">
        <f>HYPERLINK("https://klasma.github.io/Logging_2482/kartor/A 19608-2023 karta.png", "A 19608-2023")</f>
        <v/>
      </c>
      <c r="V25">
        <f>HYPERLINK("https://klasma.github.io/Logging_2482/klagomål/A 19608-2023 FSC-klagomål.docx", "A 19608-2023")</f>
        <v/>
      </c>
      <c r="W25">
        <f>HYPERLINK("https://klasma.github.io/Logging_2482/klagomålsmail/A 19608-2023 FSC-klagomål mail.docx", "A 19608-2023")</f>
        <v/>
      </c>
      <c r="X25">
        <f>HYPERLINK("https://klasma.github.io/Logging_2482/tillsyn/A 19608-2023 tillsynsbegäran.docx", "A 19608-2023")</f>
        <v/>
      </c>
      <c r="Y25">
        <f>HYPERLINK("https://klasma.github.io/Logging_2482/tillsynsmail/A 19608-2023 tillsynsbegäran mail.docx", "A 19608-2023")</f>
        <v/>
      </c>
      <c r="Z25">
        <f>HYPERLINK("https://klasma.github.io/Logging_2482/fåglar/A 19608-2023 prioriterade fågelarter.docx", "A 19608-2023")</f>
        <v/>
      </c>
    </row>
    <row r="26" ht="15" customHeight="1">
      <c r="A26" t="inlineStr">
        <is>
          <t>A 41940-2018</t>
        </is>
      </c>
      <c r="B26" s="1" t="n">
        <v>43350</v>
      </c>
      <c r="C26" s="1" t="n">
        <v>45338</v>
      </c>
      <c r="D26" t="inlineStr">
        <is>
          <t>VÄSTERBOTTENS LÄN</t>
        </is>
      </c>
      <c r="E26" t="inlineStr">
        <is>
          <t>SKELLEFTEÅ</t>
        </is>
      </c>
      <c r="G26" t="n">
        <v>7</v>
      </c>
      <c r="H26" t="n">
        <v>1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Gammelgransskål
Garnlav
Granticka
Tretåig hackspett
Ullticka
Violettgrå tagellav
Dropptaggsvamp</t>
        </is>
      </c>
      <c r="S26">
        <f>HYPERLINK("https://klasma.github.io/Logging_2482/artfynd/A 41940-2018 artfynd.xlsx", "A 41940-2018")</f>
        <v/>
      </c>
      <c r="T26">
        <f>HYPERLINK("https://klasma.github.io/Logging_2482/kartor/A 41940-2018 karta.png", "A 41940-2018")</f>
        <v/>
      </c>
      <c r="V26">
        <f>HYPERLINK("https://klasma.github.io/Logging_2482/klagomål/A 41940-2018 FSC-klagomål.docx", "A 41940-2018")</f>
        <v/>
      </c>
      <c r="W26">
        <f>HYPERLINK("https://klasma.github.io/Logging_2482/klagomålsmail/A 41940-2018 FSC-klagomål mail.docx", "A 41940-2018")</f>
        <v/>
      </c>
      <c r="X26">
        <f>HYPERLINK("https://klasma.github.io/Logging_2482/tillsyn/A 41940-2018 tillsynsbegäran.docx", "A 41940-2018")</f>
        <v/>
      </c>
      <c r="Y26">
        <f>HYPERLINK("https://klasma.github.io/Logging_2482/tillsynsmail/A 41940-2018 tillsynsbegäran mail.docx", "A 41940-2018")</f>
        <v/>
      </c>
      <c r="Z26">
        <f>HYPERLINK("https://klasma.github.io/Logging_2482/fåglar/A 41940-2018 prioriterade fågelarter.docx", "A 41940-2018")</f>
        <v/>
      </c>
    </row>
    <row r="27" ht="15" customHeight="1">
      <c r="A27" t="inlineStr">
        <is>
          <t>A 64354-2018</t>
        </is>
      </c>
      <c r="B27" s="1" t="n">
        <v>43419</v>
      </c>
      <c r="C27" s="1" t="n">
        <v>45338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3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Harticka
Spillkråka
Tallticka
Skinnlav
Fläcknycklar
Revlummer</t>
        </is>
      </c>
      <c r="S27">
        <f>HYPERLINK("https://klasma.github.io/Logging_2482/artfynd/A 64354-2018 artfynd.xlsx", "A 64354-2018")</f>
        <v/>
      </c>
      <c r="T27">
        <f>HYPERLINK("https://klasma.github.io/Logging_2482/kartor/A 64354-2018 karta.png", "A 64354-2018")</f>
        <v/>
      </c>
      <c r="V27">
        <f>HYPERLINK("https://klasma.github.io/Logging_2482/klagomål/A 64354-2018 FSC-klagomål.docx", "A 64354-2018")</f>
        <v/>
      </c>
      <c r="W27">
        <f>HYPERLINK("https://klasma.github.io/Logging_2482/klagomålsmail/A 64354-2018 FSC-klagomål mail.docx", "A 64354-2018")</f>
        <v/>
      </c>
      <c r="X27">
        <f>HYPERLINK("https://klasma.github.io/Logging_2482/tillsyn/A 64354-2018 tillsynsbegäran.docx", "A 64354-2018")</f>
        <v/>
      </c>
      <c r="Y27">
        <f>HYPERLINK("https://klasma.github.io/Logging_2482/tillsynsmail/A 64354-2018 tillsynsbegäran mail.docx", "A 64354-2018")</f>
        <v/>
      </c>
      <c r="Z27">
        <f>HYPERLINK("https://klasma.github.io/Logging_2482/fåglar/A 64354-2018 prioriterade fågelarter.docx", "A 64354-2018")</f>
        <v/>
      </c>
    </row>
    <row r="28" ht="15" customHeight="1">
      <c r="A28" t="inlineStr">
        <is>
          <t>A 67687-2018</t>
        </is>
      </c>
      <c r="B28" s="1" t="n">
        <v>43440</v>
      </c>
      <c r="C28" s="1" t="n">
        <v>45338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12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Garnlav
Granticka
Lunglav
Violettgrå tagellav
Luddlav
Vågbandad barkbock</t>
        </is>
      </c>
      <c r="S28">
        <f>HYPERLINK("https://klasma.github.io/Logging_2482/artfynd/A 67687-2018 artfynd.xlsx", "A 67687-2018")</f>
        <v/>
      </c>
      <c r="T28">
        <f>HYPERLINK("https://klasma.github.io/Logging_2482/kartor/A 67687-2018 karta.png", "A 67687-2018")</f>
        <v/>
      </c>
      <c r="V28">
        <f>HYPERLINK("https://klasma.github.io/Logging_2482/klagomål/A 67687-2018 FSC-klagomål.docx", "A 67687-2018")</f>
        <v/>
      </c>
      <c r="W28">
        <f>HYPERLINK("https://klasma.github.io/Logging_2482/klagomålsmail/A 67687-2018 FSC-klagomål mail.docx", "A 67687-2018")</f>
        <v/>
      </c>
      <c r="X28">
        <f>HYPERLINK("https://klasma.github.io/Logging_2482/tillsyn/A 67687-2018 tillsynsbegäran.docx", "A 67687-2018")</f>
        <v/>
      </c>
      <c r="Y28">
        <f>HYPERLINK("https://klasma.github.io/Logging_2482/tillsynsmail/A 67687-2018 tillsynsbegäran mail.docx", "A 67687-2018")</f>
        <v/>
      </c>
    </row>
    <row r="29" ht="15" customHeight="1">
      <c r="A29" t="inlineStr">
        <is>
          <t>A 25653-2019</t>
        </is>
      </c>
      <c r="B29" s="1" t="n">
        <v>43602</v>
      </c>
      <c r="C29" s="1" t="n">
        <v>45338</v>
      </c>
      <c r="D29" t="inlineStr">
        <is>
          <t>VÄSTERBOTTENS LÄN</t>
        </is>
      </c>
      <c r="E29" t="inlineStr">
        <is>
          <t>SKELLEFTEÅ</t>
        </is>
      </c>
      <c r="G29" t="n">
        <v>27.4</v>
      </c>
      <c r="H29" t="n">
        <v>6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Kolflarnlav
Nordfladdermus
Tretåig hackspett
Korallrot
Spindelblomster
Vanlig groda
Revlummer</t>
        </is>
      </c>
      <c r="S29">
        <f>HYPERLINK("https://klasma.github.io/Logging_2482/artfynd/A 25653-2019 artfynd.xlsx", "A 25653-2019")</f>
        <v/>
      </c>
      <c r="T29">
        <f>HYPERLINK("https://klasma.github.io/Logging_2482/kartor/A 25653-2019 karta.png", "A 25653-2019")</f>
        <v/>
      </c>
      <c r="V29">
        <f>HYPERLINK("https://klasma.github.io/Logging_2482/klagomål/A 25653-2019 FSC-klagomål.docx", "A 25653-2019")</f>
        <v/>
      </c>
      <c r="W29">
        <f>HYPERLINK("https://klasma.github.io/Logging_2482/klagomålsmail/A 25653-2019 FSC-klagomål mail.docx", "A 25653-2019")</f>
        <v/>
      </c>
      <c r="X29">
        <f>HYPERLINK("https://klasma.github.io/Logging_2482/tillsyn/A 25653-2019 tillsynsbegäran.docx", "A 25653-2019")</f>
        <v/>
      </c>
      <c r="Y29">
        <f>HYPERLINK("https://klasma.github.io/Logging_2482/tillsynsmail/A 25653-2019 tillsynsbegäran mail.docx", "A 25653-2019")</f>
        <v/>
      </c>
      <c r="Z29">
        <f>HYPERLINK("https://klasma.github.io/Logging_2482/fåglar/A 25653-2019 prioriterade fågelarter.docx", "A 25653-2019")</f>
        <v/>
      </c>
    </row>
    <row r="30" ht="15" customHeight="1">
      <c r="A30" t="inlineStr">
        <is>
          <t>A 63587-2019</t>
        </is>
      </c>
      <c r="B30" s="1" t="n">
        <v>43780</v>
      </c>
      <c r="C30" s="1" t="n">
        <v>45338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Naturvårdsverket</t>
        </is>
      </c>
      <c r="G30" t="n">
        <v>6.1</v>
      </c>
      <c r="H30" t="n">
        <v>2</v>
      </c>
      <c r="I30" t="n">
        <v>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7</v>
      </c>
      <c r="R30" s="2" t="inlineStr">
        <is>
          <t>Grönfink
Granticka
Barkticka
Robust tickgnagare
Tibast
Vedticka
Åkergroda</t>
        </is>
      </c>
      <c r="S30">
        <f>HYPERLINK("https://klasma.github.io/Logging_2482/artfynd/A 63587-2019 artfynd.xlsx", "A 63587-2019")</f>
        <v/>
      </c>
      <c r="T30">
        <f>HYPERLINK("https://klasma.github.io/Logging_2482/kartor/A 63587-2019 karta.png", "A 63587-2019")</f>
        <v/>
      </c>
      <c r="V30">
        <f>HYPERLINK("https://klasma.github.io/Logging_2482/klagomål/A 63587-2019 FSC-klagomål.docx", "A 63587-2019")</f>
        <v/>
      </c>
      <c r="W30">
        <f>HYPERLINK("https://klasma.github.io/Logging_2482/klagomålsmail/A 63587-2019 FSC-klagomål mail.docx", "A 63587-2019")</f>
        <v/>
      </c>
      <c r="X30">
        <f>HYPERLINK("https://klasma.github.io/Logging_2482/tillsyn/A 63587-2019 tillsynsbegäran.docx", "A 63587-2019")</f>
        <v/>
      </c>
      <c r="Y30">
        <f>HYPERLINK("https://klasma.github.io/Logging_2482/tillsynsmail/A 63587-2019 tillsynsbegäran mail.docx", "A 63587-2019")</f>
        <v/>
      </c>
    </row>
    <row r="31" ht="15" customHeight="1">
      <c r="A31" t="inlineStr">
        <is>
          <t>A 14493-2022</t>
        </is>
      </c>
      <c r="B31" s="1" t="n">
        <v>44655</v>
      </c>
      <c r="C31" s="1" t="n">
        <v>45338</v>
      </c>
      <c r="D31" t="inlineStr">
        <is>
          <t>VÄSTERBOTTENS LÄN</t>
        </is>
      </c>
      <c r="E31" t="inlineStr">
        <is>
          <t>SKELLEFTEÅ</t>
        </is>
      </c>
      <c r="G31" t="n">
        <v>9.5</v>
      </c>
      <c r="H31" t="n">
        <v>2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Gammelgransskål
Garnlav
Harticka
Tretåig hackspett
Ullticka
Vedticka</t>
        </is>
      </c>
      <c r="S31">
        <f>HYPERLINK("https://klasma.github.io/Logging_2482/artfynd/A 14493-2022 artfynd.xlsx", "A 14493-2022")</f>
        <v/>
      </c>
      <c r="T31">
        <f>HYPERLINK("https://klasma.github.io/Logging_2482/kartor/A 14493-2022 karta.png", "A 14493-2022")</f>
        <v/>
      </c>
      <c r="U31">
        <f>HYPERLINK("https://klasma.github.io/Logging_2482/knärot/A 14493-2022 karta knärot.png", "A 14493-2022")</f>
        <v/>
      </c>
      <c r="V31">
        <f>HYPERLINK("https://klasma.github.io/Logging_2482/klagomål/A 14493-2022 FSC-klagomål.docx", "A 14493-2022")</f>
        <v/>
      </c>
      <c r="W31">
        <f>HYPERLINK("https://klasma.github.io/Logging_2482/klagomålsmail/A 14493-2022 FSC-klagomål mail.docx", "A 14493-2022")</f>
        <v/>
      </c>
      <c r="X31">
        <f>HYPERLINK("https://klasma.github.io/Logging_2482/tillsyn/A 14493-2022 tillsynsbegäran.docx", "A 14493-2022")</f>
        <v/>
      </c>
      <c r="Y31">
        <f>HYPERLINK("https://klasma.github.io/Logging_2482/tillsynsmail/A 14493-2022 tillsynsbegäran mail.docx", "A 14493-2022")</f>
        <v/>
      </c>
      <c r="Z31">
        <f>HYPERLINK("https://klasma.github.io/Logging_2482/fåglar/A 14493-2022 prioriterade fågelarter.docx", "A 14493-2022")</f>
        <v/>
      </c>
    </row>
    <row r="32" ht="15" customHeight="1">
      <c r="A32" t="inlineStr">
        <is>
          <t>A 32605-2023</t>
        </is>
      </c>
      <c r="B32" s="1" t="n">
        <v>45121</v>
      </c>
      <c r="C32" s="1" t="n">
        <v>45338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5.5</v>
      </c>
      <c r="H32" t="n">
        <v>2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Blanksvart spiklav
Gammelgransskål
Garnlav
Spillkråka
Tallticka
Skinnlav
Lavskrika</t>
        </is>
      </c>
      <c r="S32">
        <f>HYPERLINK("https://klasma.github.io/Logging_2482/artfynd/A 32605-2023 artfynd.xlsx", "A 32605-2023")</f>
        <v/>
      </c>
      <c r="T32">
        <f>HYPERLINK("https://klasma.github.io/Logging_2482/kartor/A 32605-2023 karta.png", "A 32605-2023")</f>
        <v/>
      </c>
      <c r="V32">
        <f>HYPERLINK("https://klasma.github.io/Logging_2482/klagomål/A 32605-2023 FSC-klagomål.docx", "A 32605-2023")</f>
        <v/>
      </c>
      <c r="W32">
        <f>HYPERLINK("https://klasma.github.io/Logging_2482/klagomålsmail/A 32605-2023 FSC-klagomål mail.docx", "A 32605-2023")</f>
        <v/>
      </c>
      <c r="X32">
        <f>HYPERLINK("https://klasma.github.io/Logging_2482/tillsyn/A 32605-2023 tillsynsbegäran.docx", "A 32605-2023")</f>
        <v/>
      </c>
      <c r="Y32">
        <f>HYPERLINK("https://klasma.github.io/Logging_2482/tillsynsmail/A 32605-2023 tillsynsbegäran mail.docx", "A 32605-2023")</f>
        <v/>
      </c>
      <c r="Z32">
        <f>HYPERLINK("https://klasma.github.io/Logging_2482/fåglar/A 32605-2023 prioriterade fågelarter.docx", "A 32605-2023")</f>
        <v/>
      </c>
    </row>
    <row r="33" ht="15" customHeight="1">
      <c r="A33" t="inlineStr">
        <is>
          <t>A 54391-2023</t>
        </is>
      </c>
      <c r="B33" s="1" t="n">
        <v>45226</v>
      </c>
      <c r="C33" s="1" t="n">
        <v>45338</v>
      </c>
      <c r="D33" t="inlineStr">
        <is>
          <t>VÄSTERBOTTENS LÄN</t>
        </is>
      </c>
      <c r="E33" t="inlineStr">
        <is>
          <t>SKELLEFTEÅ</t>
        </is>
      </c>
      <c r="G33" t="n">
        <v>17.9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Harticka
Spillkråka
Tallticka
Skinnlav
Fläcknycklar
Revlummer</t>
        </is>
      </c>
      <c r="S33">
        <f>HYPERLINK("https://klasma.github.io/Logging_2482/artfynd/A 54391-2023 artfynd.xlsx", "A 54391-2023")</f>
        <v/>
      </c>
      <c r="T33">
        <f>HYPERLINK("https://klasma.github.io/Logging_2482/kartor/A 54391-2023 karta.png", "A 54391-2023")</f>
        <v/>
      </c>
      <c r="V33">
        <f>HYPERLINK("https://klasma.github.io/Logging_2482/klagomål/A 54391-2023 FSC-klagomål.docx", "A 54391-2023")</f>
        <v/>
      </c>
      <c r="W33">
        <f>HYPERLINK("https://klasma.github.io/Logging_2482/klagomålsmail/A 54391-2023 FSC-klagomål mail.docx", "A 54391-2023")</f>
        <v/>
      </c>
      <c r="X33">
        <f>HYPERLINK("https://klasma.github.io/Logging_2482/tillsyn/A 54391-2023 tillsynsbegäran.docx", "A 54391-2023")</f>
        <v/>
      </c>
      <c r="Y33">
        <f>HYPERLINK("https://klasma.github.io/Logging_2482/tillsynsmail/A 54391-2023 tillsynsbegäran mail.docx", "A 54391-2023")</f>
        <v/>
      </c>
      <c r="Z33">
        <f>HYPERLINK("https://klasma.github.io/Logging_2482/fåglar/A 54391-2023 prioriterade fågelarter.docx", "A 54391-2023")</f>
        <v/>
      </c>
    </row>
    <row r="34" ht="15" customHeight="1">
      <c r="A34" t="inlineStr">
        <is>
          <t>A 31889-2019</t>
        </is>
      </c>
      <c r="B34" s="1" t="n">
        <v>43642</v>
      </c>
      <c r="C34" s="1" t="n">
        <v>45338</v>
      </c>
      <c r="D34" t="inlineStr">
        <is>
          <t>VÄSTERBOTTENS LÄN</t>
        </is>
      </c>
      <c r="E34" t="inlineStr">
        <is>
          <t>SKELLEFTEÅ</t>
        </is>
      </c>
      <c r="G34" t="n">
        <v>0.7</v>
      </c>
      <c r="H34" t="n">
        <v>2</v>
      </c>
      <c r="I34" t="n">
        <v>1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6</v>
      </c>
      <c r="R34" s="2" t="inlineStr">
        <is>
          <t>Bombmurkla
Knärot
Garnlav
Rosenticka
Ullticka
Vedticka</t>
        </is>
      </c>
      <c r="S34">
        <f>HYPERLINK("https://klasma.github.io/Logging_2482/artfynd/A 31889-2019 artfynd.xlsx", "A 31889-2019")</f>
        <v/>
      </c>
      <c r="T34">
        <f>HYPERLINK("https://klasma.github.io/Logging_2482/kartor/A 31889-2019 karta.png", "A 31889-2019")</f>
        <v/>
      </c>
      <c r="U34">
        <f>HYPERLINK("https://klasma.github.io/Logging_2482/knärot/A 31889-2019 karta knärot.png", "A 31889-2019")</f>
        <v/>
      </c>
      <c r="V34">
        <f>HYPERLINK("https://klasma.github.io/Logging_2482/klagomål/A 31889-2019 FSC-klagomål.docx", "A 31889-2019")</f>
        <v/>
      </c>
      <c r="W34">
        <f>HYPERLINK("https://klasma.github.io/Logging_2482/klagomålsmail/A 31889-2019 FSC-klagomål mail.docx", "A 31889-2019")</f>
        <v/>
      </c>
      <c r="X34">
        <f>HYPERLINK("https://klasma.github.io/Logging_2482/tillsyn/A 31889-2019 tillsynsbegäran.docx", "A 31889-2019")</f>
        <v/>
      </c>
      <c r="Y34">
        <f>HYPERLINK("https://klasma.github.io/Logging_2482/tillsynsmail/A 31889-2019 tillsynsbegäran mail.docx", "A 31889-2019")</f>
        <v/>
      </c>
    </row>
    <row r="35" ht="15" customHeight="1">
      <c r="A35" t="inlineStr">
        <is>
          <t>A 41641-2019</t>
        </is>
      </c>
      <c r="B35" s="1" t="n">
        <v>43696</v>
      </c>
      <c r="C35" s="1" t="n">
        <v>45338</v>
      </c>
      <c r="D35" t="inlineStr">
        <is>
          <t>VÄSTERBOTTENS LÄN</t>
        </is>
      </c>
      <c r="E35" t="inlineStr">
        <is>
          <t>SKELLEFTEÅ</t>
        </is>
      </c>
      <c r="G35" t="n">
        <v>6.1</v>
      </c>
      <c r="H35" t="n">
        <v>1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Tretåig hackspett
Ullticka
Vedticka</t>
        </is>
      </c>
      <c r="S35">
        <f>HYPERLINK("https://klasma.github.io/Logging_2482/artfynd/A 41641-2019 artfynd.xlsx", "A 41641-2019")</f>
        <v/>
      </c>
      <c r="T35">
        <f>HYPERLINK("https://klasma.github.io/Logging_2482/kartor/A 41641-2019 karta.png", "A 41641-2019")</f>
        <v/>
      </c>
      <c r="V35">
        <f>HYPERLINK("https://klasma.github.io/Logging_2482/klagomål/A 41641-2019 FSC-klagomål.docx", "A 41641-2019")</f>
        <v/>
      </c>
      <c r="W35">
        <f>HYPERLINK("https://klasma.github.io/Logging_2482/klagomålsmail/A 41641-2019 FSC-klagomål mail.docx", "A 41641-2019")</f>
        <v/>
      </c>
      <c r="X35">
        <f>HYPERLINK("https://klasma.github.io/Logging_2482/tillsyn/A 41641-2019 tillsynsbegäran.docx", "A 41641-2019")</f>
        <v/>
      </c>
      <c r="Y35">
        <f>HYPERLINK("https://klasma.github.io/Logging_2482/tillsynsmail/A 41641-2019 tillsynsbegäran mail.docx", "A 41641-2019")</f>
        <v/>
      </c>
      <c r="Z35">
        <f>HYPERLINK("https://klasma.github.io/Logging_2482/fåglar/A 41641-2019 prioriterade fågelarter.docx", "A 41641-2019")</f>
        <v/>
      </c>
    </row>
    <row r="36" ht="15" customHeight="1">
      <c r="A36" t="inlineStr">
        <is>
          <t>A 55631-2020</t>
        </is>
      </c>
      <c r="B36" s="1" t="n">
        <v>44131</v>
      </c>
      <c r="C36" s="1" t="n">
        <v>45338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4.3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Granticka
Harticka
Lunglav
Ullticka
Stuplav</t>
        </is>
      </c>
      <c r="S36">
        <f>HYPERLINK("https://klasma.github.io/Logging_2482/artfynd/A 55631-2020 artfynd.xlsx", "A 55631-2020")</f>
        <v/>
      </c>
      <c r="T36">
        <f>HYPERLINK("https://klasma.github.io/Logging_2482/kartor/A 55631-2020 karta.png", "A 55631-2020")</f>
        <v/>
      </c>
      <c r="V36">
        <f>HYPERLINK("https://klasma.github.io/Logging_2482/klagomål/A 55631-2020 FSC-klagomål.docx", "A 55631-2020")</f>
        <v/>
      </c>
      <c r="W36">
        <f>HYPERLINK("https://klasma.github.io/Logging_2482/klagomålsmail/A 55631-2020 FSC-klagomål mail.docx", "A 55631-2020")</f>
        <v/>
      </c>
      <c r="X36">
        <f>HYPERLINK("https://klasma.github.io/Logging_2482/tillsyn/A 55631-2020 tillsynsbegäran.docx", "A 55631-2020")</f>
        <v/>
      </c>
      <c r="Y36">
        <f>HYPERLINK("https://klasma.github.io/Logging_2482/tillsynsmail/A 55631-2020 tillsynsbegäran mail.docx", "A 55631-2020")</f>
        <v/>
      </c>
    </row>
    <row r="37" ht="15" customHeight="1">
      <c r="A37" t="inlineStr">
        <is>
          <t>A 18298-2021</t>
        </is>
      </c>
      <c r="B37" s="1" t="n">
        <v>44305</v>
      </c>
      <c r="C37" s="1" t="n">
        <v>45338</v>
      </c>
      <c r="D37" t="inlineStr">
        <is>
          <t>VÄSTERBOTTENS LÄN</t>
        </is>
      </c>
      <c r="E37" t="inlineStr">
        <is>
          <t>SKELLEFTEÅ</t>
        </is>
      </c>
      <c r="G37" t="n">
        <v>10.7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Harticka
Tretåig hackspett
Ullticka
Trådticka
Vedticka</t>
        </is>
      </c>
      <c r="S37">
        <f>HYPERLINK("https://klasma.github.io/Logging_2482/artfynd/A 18298-2021 artfynd.xlsx", "A 18298-2021")</f>
        <v/>
      </c>
      <c r="T37">
        <f>HYPERLINK("https://klasma.github.io/Logging_2482/kartor/A 18298-2021 karta.png", "A 18298-2021")</f>
        <v/>
      </c>
      <c r="V37">
        <f>HYPERLINK("https://klasma.github.io/Logging_2482/klagomål/A 18298-2021 FSC-klagomål.docx", "A 18298-2021")</f>
        <v/>
      </c>
      <c r="W37">
        <f>HYPERLINK("https://klasma.github.io/Logging_2482/klagomålsmail/A 18298-2021 FSC-klagomål mail.docx", "A 18298-2021")</f>
        <v/>
      </c>
      <c r="X37">
        <f>HYPERLINK("https://klasma.github.io/Logging_2482/tillsyn/A 18298-2021 tillsynsbegäran.docx", "A 18298-2021")</f>
        <v/>
      </c>
      <c r="Y37">
        <f>HYPERLINK("https://klasma.github.io/Logging_2482/tillsynsmail/A 18298-2021 tillsynsbegäran mail.docx", "A 18298-2021")</f>
        <v/>
      </c>
      <c r="Z37">
        <f>HYPERLINK("https://klasma.github.io/Logging_2482/fåglar/A 18298-2021 prioriterade fågelarter.docx", "A 18298-2021")</f>
        <v/>
      </c>
    </row>
    <row r="38" ht="15" customHeight="1">
      <c r="A38" t="inlineStr">
        <is>
          <t>A 28523-2021</t>
        </is>
      </c>
      <c r="B38" s="1" t="n">
        <v>44356</v>
      </c>
      <c r="C38" s="1" t="n">
        <v>45338</v>
      </c>
      <c r="D38" t="inlineStr">
        <is>
          <t>VÄSTERBOTTENS LÄN</t>
        </is>
      </c>
      <c r="E38" t="inlineStr">
        <is>
          <t>SKELLEFTEÅ</t>
        </is>
      </c>
      <c r="G38" t="n">
        <v>6.3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Granticka
Stjärntagging
Violettgrå tagellav
Vedticka</t>
        </is>
      </c>
      <c r="S38">
        <f>HYPERLINK("https://klasma.github.io/Logging_2482/artfynd/A 28523-2021 artfynd.xlsx", "A 28523-2021")</f>
        <v/>
      </c>
      <c r="T38">
        <f>HYPERLINK("https://klasma.github.io/Logging_2482/kartor/A 28523-2021 karta.png", "A 28523-2021")</f>
        <v/>
      </c>
      <c r="V38">
        <f>HYPERLINK("https://klasma.github.io/Logging_2482/klagomål/A 28523-2021 FSC-klagomål.docx", "A 28523-2021")</f>
        <v/>
      </c>
      <c r="W38">
        <f>HYPERLINK("https://klasma.github.io/Logging_2482/klagomålsmail/A 28523-2021 FSC-klagomål mail.docx", "A 28523-2021")</f>
        <v/>
      </c>
      <c r="X38">
        <f>HYPERLINK("https://klasma.github.io/Logging_2482/tillsyn/A 28523-2021 tillsynsbegäran.docx", "A 28523-2021")</f>
        <v/>
      </c>
      <c r="Y38">
        <f>HYPERLINK("https://klasma.github.io/Logging_2482/tillsynsmail/A 28523-2021 tillsynsbegäran mail.docx", "A 28523-2021")</f>
        <v/>
      </c>
    </row>
    <row r="39" ht="15" customHeight="1">
      <c r="A39" t="inlineStr">
        <is>
          <t>A 2451-2022</t>
        </is>
      </c>
      <c r="B39" s="1" t="n">
        <v>44579</v>
      </c>
      <c r="C39" s="1" t="n">
        <v>45338</v>
      </c>
      <c r="D39" t="inlineStr">
        <is>
          <t>VÄSTERBOTTENS LÄN</t>
        </is>
      </c>
      <c r="E39" t="inlineStr">
        <is>
          <t>SKELLEFTEÅ</t>
        </is>
      </c>
      <c r="G39" t="n">
        <v>2.1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Garnlav
Granticka
Nordtagging
Stjärntagging
Ullticka
Violettgrå tagellav</t>
        </is>
      </c>
      <c r="S39">
        <f>HYPERLINK("https://klasma.github.io/Logging_2482/artfynd/A 2451-2022 artfynd.xlsx", "A 2451-2022")</f>
        <v/>
      </c>
      <c r="T39">
        <f>HYPERLINK("https://klasma.github.io/Logging_2482/kartor/A 2451-2022 karta.png", "A 2451-2022")</f>
        <v/>
      </c>
      <c r="V39">
        <f>HYPERLINK("https://klasma.github.io/Logging_2482/klagomål/A 2451-2022 FSC-klagomål.docx", "A 2451-2022")</f>
        <v/>
      </c>
      <c r="W39">
        <f>HYPERLINK("https://klasma.github.io/Logging_2482/klagomålsmail/A 2451-2022 FSC-klagomål mail.docx", "A 2451-2022")</f>
        <v/>
      </c>
      <c r="X39">
        <f>HYPERLINK("https://klasma.github.io/Logging_2482/tillsyn/A 2451-2022 tillsynsbegäran.docx", "A 2451-2022")</f>
        <v/>
      </c>
      <c r="Y39">
        <f>HYPERLINK("https://klasma.github.io/Logging_2482/tillsynsmail/A 2451-2022 tillsynsbegäran mail.docx", "A 2451-2022")</f>
        <v/>
      </c>
    </row>
    <row r="40" ht="15" customHeight="1">
      <c r="A40" t="inlineStr">
        <is>
          <t>A 21553-2023</t>
        </is>
      </c>
      <c r="B40" s="1" t="n">
        <v>45061</v>
      </c>
      <c r="C40" s="1" t="n">
        <v>45338</v>
      </c>
      <c r="D40" t="inlineStr">
        <is>
          <t>VÄSTERBOTTENS LÄN</t>
        </is>
      </c>
      <c r="E40" t="inlineStr">
        <is>
          <t>SKELLEFTEÅ</t>
        </is>
      </c>
      <c r="G40" t="n">
        <v>14.6</v>
      </c>
      <c r="H40" t="n">
        <v>0</v>
      </c>
      <c r="I40" t="n">
        <v>0</v>
      </c>
      <c r="J40" t="n">
        <v>3</v>
      </c>
      <c r="K40" t="n">
        <v>3</v>
      </c>
      <c r="L40" t="n">
        <v>0</v>
      </c>
      <c r="M40" t="n">
        <v>0</v>
      </c>
      <c r="N40" t="n">
        <v>0</v>
      </c>
      <c r="O40" t="n">
        <v>6</v>
      </c>
      <c r="P40" t="n">
        <v>3</v>
      </c>
      <c r="Q40" t="n">
        <v>6</v>
      </c>
      <c r="R40" s="2" t="inlineStr">
        <is>
          <t>Goliatmusseron
Lakritsmusseron
Lammticka
Blå taggsvamp
Skrovlig taggsvamp
Tallriska</t>
        </is>
      </c>
      <c r="S40">
        <f>HYPERLINK("https://klasma.github.io/Logging_2482/artfynd/A 21553-2023 artfynd.xlsx", "A 21553-2023")</f>
        <v/>
      </c>
      <c r="T40">
        <f>HYPERLINK("https://klasma.github.io/Logging_2482/kartor/A 21553-2023 karta.png", "A 21553-2023")</f>
        <v/>
      </c>
      <c r="V40">
        <f>HYPERLINK("https://klasma.github.io/Logging_2482/klagomål/A 21553-2023 FSC-klagomål.docx", "A 21553-2023")</f>
        <v/>
      </c>
      <c r="W40">
        <f>HYPERLINK("https://klasma.github.io/Logging_2482/klagomålsmail/A 21553-2023 FSC-klagomål mail.docx", "A 21553-2023")</f>
        <v/>
      </c>
      <c r="X40">
        <f>HYPERLINK("https://klasma.github.io/Logging_2482/tillsyn/A 21553-2023 tillsynsbegäran.docx", "A 21553-2023")</f>
        <v/>
      </c>
      <c r="Y40">
        <f>HYPERLINK("https://klasma.github.io/Logging_2482/tillsynsmail/A 21553-2023 tillsynsbegäran mail.docx", "A 21553-2023")</f>
        <v/>
      </c>
    </row>
    <row r="41" ht="15" customHeight="1">
      <c r="A41" t="inlineStr">
        <is>
          <t>A 36140-2023</t>
        </is>
      </c>
      <c r="B41" s="1" t="n">
        <v>45149</v>
      </c>
      <c r="C41" s="1" t="n">
        <v>45338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3.5</v>
      </c>
      <c r="H41" t="n">
        <v>3</v>
      </c>
      <c r="I41" t="n">
        <v>0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t="n">
        <v>0</v>
      </c>
      <c r="Q41" t="n">
        <v>6</v>
      </c>
      <c r="R41" s="2" t="inlineStr">
        <is>
          <t>Garnlav
Järpe
Lunglav
Spillkråka
Tretåig hackspett
Ullticka</t>
        </is>
      </c>
      <c r="S41">
        <f>HYPERLINK("https://klasma.github.io/Logging_2482/artfynd/A 36140-2023 artfynd.xlsx", "A 36140-2023")</f>
        <v/>
      </c>
      <c r="T41">
        <f>HYPERLINK("https://klasma.github.io/Logging_2482/kartor/A 36140-2023 karta.png", "A 36140-2023")</f>
        <v/>
      </c>
      <c r="V41">
        <f>HYPERLINK("https://klasma.github.io/Logging_2482/klagomål/A 36140-2023 FSC-klagomål.docx", "A 36140-2023")</f>
        <v/>
      </c>
      <c r="W41">
        <f>HYPERLINK("https://klasma.github.io/Logging_2482/klagomålsmail/A 36140-2023 FSC-klagomål mail.docx", "A 36140-2023")</f>
        <v/>
      </c>
      <c r="X41">
        <f>HYPERLINK("https://klasma.github.io/Logging_2482/tillsyn/A 36140-2023 tillsynsbegäran.docx", "A 36140-2023")</f>
        <v/>
      </c>
      <c r="Y41">
        <f>HYPERLINK("https://klasma.github.io/Logging_2482/tillsynsmail/A 36140-2023 tillsynsbegäran mail.docx", "A 36140-2023")</f>
        <v/>
      </c>
      <c r="Z41">
        <f>HYPERLINK("https://klasma.github.io/Logging_2482/fåglar/A 36140-2023 prioriterade fågelarter.docx", "A 36140-2023")</f>
        <v/>
      </c>
    </row>
    <row r="42" ht="15" customHeight="1">
      <c r="A42" t="inlineStr">
        <is>
          <t>A 57183-2018</t>
        </is>
      </c>
      <c r="B42" s="1" t="n">
        <v>43403</v>
      </c>
      <c r="C42" s="1" t="n">
        <v>45338</v>
      </c>
      <c r="D42" t="inlineStr">
        <is>
          <t>VÄSTERBOTTENS LÄN</t>
        </is>
      </c>
      <c r="E42" t="inlineStr">
        <is>
          <t>SKELLEFTEÅ</t>
        </is>
      </c>
      <c r="G42" t="n">
        <v>17.7</v>
      </c>
      <c r="H42" t="n">
        <v>0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Ostticka
Gammelgransskål
Garnlav
Rosenticka
Ullticka</t>
        </is>
      </c>
      <c r="S42">
        <f>HYPERLINK("https://klasma.github.io/Logging_2482/artfynd/A 57183-2018 artfynd.xlsx", "A 57183-2018")</f>
        <v/>
      </c>
      <c r="T42">
        <f>HYPERLINK("https://klasma.github.io/Logging_2482/kartor/A 57183-2018 karta.png", "A 57183-2018")</f>
        <v/>
      </c>
      <c r="V42">
        <f>HYPERLINK("https://klasma.github.io/Logging_2482/klagomål/A 57183-2018 FSC-klagomål.docx", "A 57183-2018")</f>
        <v/>
      </c>
      <c r="W42">
        <f>HYPERLINK("https://klasma.github.io/Logging_2482/klagomålsmail/A 57183-2018 FSC-klagomål mail.docx", "A 57183-2018")</f>
        <v/>
      </c>
      <c r="X42">
        <f>HYPERLINK("https://klasma.github.io/Logging_2482/tillsyn/A 57183-2018 tillsynsbegäran.docx", "A 57183-2018")</f>
        <v/>
      </c>
      <c r="Y42">
        <f>HYPERLINK("https://klasma.github.io/Logging_2482/tillsynsmail/A 57183-2018 tillsynsbegäran mail.docx", "A 57183-2018")</f>
        <v/>
      </c>
    </row>
    <row r="43" ht="15" customHeight="1">
      <c r="A43" t="inlineStr">
        <is>
          <t>A 14562-2019</t>
        </is>
      </c>
      <c r="B43" s="1" t="n">
        <v>43535</v>
      </c>
      <c r="C43" s="1" t="n">
        <v>45338</v>
      </c>
      <c r="D43" t="inlineStr">
        <is>
          <t>VÄSTERBOTTENS LÄN</t>
        </is>
      </c>
      <c r="E43" t="inlineStr">
        <is>
          <t>SKELLEFTEÅ</t>
        </is>
      </c>
      <c r="G43" t="n">
        <v>4.9</v>
      </c>
      <c r="H43" t="n">
        <v>1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Nordlig flatbagge
Kolflarnlav
Skrovlig flatbagge
Spillkråka
Violettgrå tagellav</t>
        </is>
      </c>
      <c r="S43">
        <f>HYPERLINK("https://klasma.github.io/Logging_2482/artfynd/A 14562-2019 artfynd.xlsx", "A 14562-2019")</f>
        <v/>
      </c>
      <c r="T43">
        <f>HYPERLINK("https://klasma.github.io/Logging_2482/kartor/A 14562-2019 karta.png", "A 14562-2019")</f>
        <v/>
      </c>
      <c r="V43">
        <f>HYPERLINK("https://klasma.github.io/Logging_2482/klagomål/A 14562-2019 FSC-klagomål.docx", "A 14562-2019")</f>
        <v/>
      </c>
      <c r="W43">
        <f>HYPERLINK("https://klasma.github.io/Logging_2482/klagomålsmail/A 14562-2019 FSC-klagomål mail.docx", "A 14562-2019")</f>
        <v/>
      </c>
      <c r="X43">
        <f>HYPERLINK("https://klasma.github.io/Logging_2482/tillsyn/A 14562-2019 tillsynsbegäran.docx", "A 14562-2019")</f>
        <v/>
      </c>
      <c r="Y43">
        <f>HYPERLINK("https://klasma.github.io/Logging_2482/tillsynsmail/A 14562-2019 tillsynsbegäran mail.docx", "A 14562-2019")</f>
        <v/>
      </c>
      <c r="Z43">
        <f>HYPERLINK("https://klasma.github.io/Logging_2482/fåglar/A 14562-2019 prioriterade fågelarter.docx", "A 14562-2019")</f>
        <v/>
      </c>
    </row>
    <row r="44" ht="15" customHeight="1">
      <c r="A44" t="inlineStr">
        <is>
          <t>A 23485-2020</t>
        </is>
      </c>
      <c r="B44" s="1" t="n">
        <v>43966</v>
      </c>
      <c r="C44" s="1" t="n">
        <v>45338</v>
      </c>
      <c r="D44" t="inlineStr">
        <is>
          <t>VÄSTERBOTTENS LÄN</t>
        </is>
      </c>
      <c r="E44" t="inlineStr">
        <is>
          <t>SKELLEFTEÅ</t>
        </is>
      </c>
      <c r="G44" t="n">
        <v>7.5</v>
      </c>
      <c r="H44" t="n">
        <v>1</v>
      </c>
      <c r="I44" t="n">
        <v>0</v>
      </c>
      <c r="J44" t="n">
        <v>4</v>
      </c>
      <c r="K44" t="n">
        <v>0</v>
      </c>
      <c r="L44" t="n">
        <v>1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Trådbrosklav
Granticka
Gränsticka
Järpe
Lunglav</t>
        </is>
      </c>
      <c r="S44">
        <f>HYPERLINK("https://klasma.github.io/Logging_2482/artfynd/A 23485-2020 artfynd.xlsx", "A 23485-2020")</f>
        <v/>
      </c>
      <c r="T44">
        <f>HYPERLINK("https://klasma.github.io/Logging_2482/kartor/A 23485-2020 karta.png", "A 23485-2020")</f>
        <v/>
      </c>
      <c r="V44">
        <f>HYPERLINK("https://klasma.github.io/Logging_2482/klagomål/A 23485-2020 FSC-klagomål.docx", "A 23485-2020")</f>
        <v/>
      </c>
      <c r="W44">
        <f>HYPERLINK("https://klasma.github.io/Logging_2482/klagomålsmail/A 23485-2020 FSC-klagomål mail.docx", "A 23485-2020")</f>
        <v/>
      </c>
      <c r="X44">
        <f>HYPERLINK("https://klasma.github.io/Logging_2482/tillsyn/A 23485-2020 tillsynsbegäran.docx", "A 23485-2020")</f>
        <v/>
      </c>
      <c r="Y44">
        <f>HYPERLINK("https://klasma.github.io/Logging_2482/tillsynsmail/A 23485-2020 tillsynsbegäran mail.docx", "A 23485-2020")</f>
        <v/>
      </c>
      <c r="Z44">
        <f>HYPERLINK("https://klasma.github.io/Logging_2482/fåglar/A 23485-2020 prioriterade fågelarter.docx", "A 23485-2020")</f>
        <v/>
      </c>
    </row>
    <row r="45" ht="15" customHeight="1">
      <c r="A45" t="inlineStr">
        <is>
          <t>A 30834-2020</t>
        </is>
      </c>
      <c r="B45" s="1" t="n">
        <v>44011</v>
      </c>
      <c r="C45" s="1" t="n">
        <v>45338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Kyrkan</t>
        </is>
      </c>
      <c r="G45" t="n">
        <v>8.4</v>
      </c>
      <c r="H45" t="n">
        <v>0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Gräddticka
Harticka
Rosenticka
Stjärntagging
Ullticka</t>
        </is>
      </c>
      <c r="S45">
        <f>HYPERLINK("https://klasma.github.io/Logging_2482/artfynd/A 30834-2020 artfynd.xlsx", "A 30834-2020")</f>
        <v/>
      </c>
      <c r="T45">
        <f>HYPERLINK("https://klasma.github.io/Logging_2482/kartor/A 30834-2020 karta.png", "A 30834-2020")</f>
        <v/>
      </c>
      <c r="V45">
        <f>HYPERLINK("https://klasma.github.io/Logging_2482/klagomål/A 30834-2020 FSC-klagomål.docx", "A 30834-2020")</f>
        <v/>
      </c>
      <c r="W45">
        <f>HYPERLINK("https://klasma.github.io/Logging_2482/klagomålsmail/A 30834-2020 FSC-klagomål mail.docx", "A 30834-2020")</f>
        <v/>
      </c>
      <c r="X45">
        <f>HYPERLINK("https://klasma.github.io/Logging_2482/tillsyn/A 30834-2020 tillsynsbegäran.docx", "A 30834-2020")</f>
        <v/>
      </c>
      <c r="Y45">
        <f>HYPERLINK("https://klasma.github.io/Logging_2482/tillsynsmail/A 30834-2020 tillsynsbegäran mail.docx", "A 30834-2020")</f>
        <v/>
      </c>
    </row>
    <row r="46" ht="15" customHeight="1">
      <c r="A46" t="inlineStr">
        <is>
          <t>A 25468-2021</t>
        </is>
      </c>
      <c r="B46" s="1" t="n">
        <v>44342</v>
      </c>
      <c r="C46" s="1" t="n">
        <v>45338</v>
      </c>
      <c r="D46" t="inlineStr">
        <is>
          <t>VÄSTERBOTTENS LÄN</t>
        </is>
      </c>
      <c r="E46" t="inlineStr">
        <is>
          <t>SKELLEFTEÅ</t>
        </is>
      </c>
      <c r="G46" t="n">
        <v>3.2</v>
      </c>
      <c r="H46" t="n">
        <v>2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Spillkråka
Ärtsångare
Skinnlav
Stuplav</t>
        </is>
      </c>
      <c r="S46">
        <f>HYPERLINK("https://klasma.github.io/Logging_2482/artfynd/A 25468-2021 artfynd.xlsx", "A 25468-2021")</f>
        <v/>
      </c>
      <c r="T46">
        <f>HYPERLINK("https://klasma.github.io/Logging_2482/kartor/A 25468-2021 karta.png", "A 25468-2021")</f>
        <v/>
      </c>
      <c r="V46">
        <f>HYPERLINK("https://klasma.github.io/Logging_2482/klagomål/A 25468-2021 FSC-klagomål.docx", "A 25468-2021")</f>
        <v/>
      </c>
      <c r="W46">
        <f>HYPERLINK("https://klasma.github.io/Logging_2482/klagomålsmail/A 25468-2021 FSC-klagomål mail.docx", "A 25468-2021")</f>
        <v/>
      </c>
      <c r="X46">
        <f>HYPERLINK("https://klasma.github.io/Logging_2482/tillsyn/A 25468-2021 tillsynsbegäran.docx", "A 25468-2021")</f>
        <v/>
      </c>
      <c r="Y46">
        <f>HYPERLINK("https://klasma.github.io/Logging_2482/tillsynsmail/A 25468-2021 tillsynsbegäran mail.docx", "A 25468-2021")</f>
        <v/>
      </c>
      <c r="Z46">
        <f>HYPERLINK("https://klasma.github.io/Logging_2482/fåglar/A 25468-2021 prioriterade fågelarter.docx", "A 25468-2021")</f>
        <v/>
      </c>
    </row>
    <row r="47" ht="15" customHeight="1">
      <c r="A47" t="inlineStr">
        <is>
          <t>A 34250-2021</t>
        </is>
      </c>
      <c r="B47" s="1" t="n">
        <v>44379</v>
      </c>
      <c r="C47" s="1" t="n">
        <v>45338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4.3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Kolflarnlav
Vedflamlav
Vedskivlav</t>
        </is>
      </c>
      <c r="S47">
        <f>HYPERLINK("https://klasma.github.io/Logging_2482/artfynd/A 34250-2021 artfynd.xlsx", "A 34250-2021")</f>
        <v/>
      </c>
      <c r="T47">
        <f>HYPERLINK("https://klasma.github.io/Logging_2482/kartor/A 34250-2021 karta.png", "A 34250-2021")</f>
        <v/>
      </c>
      <c r="V47">
        <f>HYPERLINK("https://klasma.github.io/Logging_2482/klagomål/A 34250-2021 FSC-klagomål.docx", "A 34250-2021")</f>
        <v/>
      </c>
      <c r="W47">
        <f>HYPERLINK("https://klasma.github.io/Logging_2482/klagomålsmail/A 34250-2021 FSC-klagomål mail.docx", "A 34250-2021")</f>
        <v/>
      </c>
      <c r="X47">
        <f>HYPERLINK("https://klasma.github.io/Logging_2482/tillsyn/A 34250-2021 tillsynsbegäran.docx", "A 34250-2021")</f>
        <v/>
      </c>
      <c r="Y47">
        <f>HYPERLINK("https://klasma.github.io/Logging_2482/tillsynsmail/A 34250-2021 tillsynsbegäran mail.docx", "A 34250-2021")</f>
        <v/>
      </c>
    </row>
    <row r="48" ht="15" customHeight="1">
      <c r="A48" t="inlineStr">
        <is>
          <t>A 61848-2021</t>
        </is>
      </c>
      <c r="B48" s="1" t="n">
        <v>44501</v>
      </c>
      <c r="C48" s="1" t="n">
        <v>45338</v>
      </c>
      <c r="D48" t="inlineStr">
        <is>
          <t>VÄSTERBOTTENS LÄN</t>
        </is>
      </c>
      <c r="E48" t="inlineStr">
        <is>
          <t>SKELLEFTEÅ</t>
        </is>
      </c>
      <c r="G48" t="n">
        <v>6.4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Koralltaggsvamp
Lunglav
Bårdlav
Stuplav
Fläcknycklar</t>
        </is>
      </c>
      <c r="S48">
        <f>HYPERLINK("https://klasma.github.io/Logging_2482/artfynd/A 61848-2021 artfynd.xlsx", "A 61848-2021")</f>
        <v/>
      </c>
      <c r="T48">
        <f>HYPERLINK("https://klasma.github.io/Logging_2482/kartor/A 61848-2021 karta.png", "A 61848-2021")</f>
        <v/>
      </c>
      <c r="V48">
        <f>HYPERLINK("https://klasma.github.io/Logging_2482/klagomål/A 61848-2021 FSC-klagomål.docx", "A 61848-2021")</f>
        <v/>
      </c>
      <c r="W48">
        <f>HYPERLINK("https://klasma.github.io/Logging_2482/klagomålsmail/A 61848-2021 FSC-klagomål mail.docx", "A 61848-2021")</f>
        <v/>
      </c>
      <c r="X48">
        <f>HYPERLINK("https://klasma.github.io/Logging_2482/tillsyn/A 61848-2021 tillsynsbegäran.docx", "A 61848-2021")</f>
        <v/>
      </c>
      <c r="Y48">
        <f>HYPERLINK("https://klasma.github.io/Logging_2482/tillsynsmail/A 61848-2021 tillsynsbegäran mail.docx", "A 61848-2021")</f>
        <v/>
      </c>
    </row>
    <row r="49" ht="15" customHeight="1">
      <c r="A49" t="inlineStr">
        <is>
          <t>A 9499-2022</t>
        </is>
      </c>
      <c r="B49" s="1" t="n">
        <v>44616</v>
      </c>
      <c r="C49" s="1" t="n">
        <v>45338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Tajgataggsvamp
Tallgråticka
Motaggsvamp
Talltaggsvamp
Dropptaggsvamp</t>
        </is>
      </c>
      <c r="S49">
        <f>HYPERLINK("https://klasma.github.io/Logging_2482/artfynd/A 9499-2022 artfynd.xlsx", "A 9499-2022")</f>
        <v/>
      </c>
      <c r="T49">
        <f>HYPERLINK("https://klasma.github.io/Logging_2482/kartor/A 9499-2022 karta.png", "A 9499-2022")</f>
        <v/>
      </c>
      <c r="V49">
        <f>HYPERLINK("https://klasma.github.io/Logging_2482/klagomål/A 9499-2022 FSC-klagomål.docx", "A 9499-2022")</f>
        <v/>
      </c>
      <c r="W49">
        <f>HYPERLINK("https://klasma.github.io/Logging_2482/klagomålsmail/A 9499-2022 FSC-klagomål mail.docx", "A 9499-2022")</f>
        <v/>
      </c>
      <c r="X49">
        <f>HYPERLINK("https://klasma.github.io/Logging_2482/tillsyn/A 9499-2022 tillsynsbegäran.docx", "A 9499-2022")</f>
        <v/>
      </c>
      <c r="Y49">
        <f>HYPERLINK("https://klasma.github.io/Logging_2482/tillsynsmail/A 9499-2022 tillsynsbegäran mail.docx", "A 9499-2022")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45338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31594-2023</t>
        </is>
      </c>
      <c r="B51" s="1" t="n">
        <v>45117</v>
      </c>
      <c r="C51" s="1" t="n">
        <v>45338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11.3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Doftticka
Garnlav
Lunglav
Bårdlav
Stuplav</t>
        </is>
      </c>
      <c r="S51">
        <f>HYPERLINK("https://klasma.github.io/Logging_2482/artfynd/A 31594-2023 artfynd.xlsx", "A 31594-2023")</f>
        <v/>
      </c>
      <c r="T51">
        <f>HYPERLINK("https://klasma.github.io/Logging_2482/kartor/A 31594-2023 karta.png", "A 31594-2023")</f>
        <v/>
      </c>
      <c r="V51">
        <f>HYPERLINK("https://klasma.github.io/Logging_2482/klagomål/A 31594-2023 FSC-klagomål.docx", "A 31594-2023")</f>
        <v/>
      </c>
      <c r="W51">
        <f>HYPERLINK("https://klasma.github.io/Logging_2482/klagomålsmail/A 31594-2023 FSC-klagomål mail.docx", "A 31594-2023")</f>
        <v/>
      </c>
      <c r="X51">
        <f>HYPERLINK("https://klasma.github.io/Logging_2482/tillsyn/A 31594-2023 tillsynsbegäran.docx", "A 31594-2023")</f>
        <v/>
      </c>
      <c r="Y51">
        <f>HYPERLINK("https://klasma.github.io/Logging_2482/tillsynsmail/A 31594-2023 tillsynsbegäran mail.docx", "A 31594-2023")</f>
        <v/>
      </c>
    </row>
    <row r="52" ht="15" customHeight="1">
      <c r="A52" t="inlineStr">
        <is>
          <t>A 32689-2019</t>
        </is>
      </c>
      <c r="B52" s="1" t="n">
        <v>43647</v>
      </c>
      <c r="C52" s="1" t="n">
        <v>45338</v>
      </c>
      <c r="D52" t="inlineStr">
        <is>
          <t>VÄSTERBOTTENS LÄN</t>
        </is>
      </c>
      <c r="E52" t="inlineStr">
        <is>
          <t>SKELLEFTEÅ</t>
        </is>
      </c>
      <c r="G52" t="n">
        <v>46.9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Dvärgbägarlav
Lunglav
Luddlav
Stuplav</t>
        </is>
      </c>
      <c r="S52">
        <f>HYPERLINK("https://klasma.github.io/Logging_2482/artfynd/A 32689-2019 artfynd.xlsx", "A 32689-2019")</f>
        <v/>
      </c>
      <c r="T52">
        <f>HYPERLINK("https://klasma.github.io/Logging_2482/kartor/A 32689-2019 karta.png", "A 32689-2019")</f>
        <v/>
      </c>
      <c r="V52">
        <f>HYPERLINK("https://klasma.github.io/Logging_2482/klagomål/A 32689-2019 FSC-klagomål.docx", "A 32689-2019")</f>
        <v/>
      </c>
      <c r="W52">
        <f>HYPERLINK("https://klasma.github.io/Logging_2482/klagomålsmail/A 32689-2019 FSC-klagomål mail.docx", "A 32689-2019")</f>
        <v/>
      </c>
      <c r="X52">
        <f>HYPERLINK("https://klasma.github.io/Logging_2482/tillsyn/A 32689-2019 tillsynsbegäran.docx", "A 32689-2019")</f>
        <v/>
      </c>
      <c r="Y52">
        <f>HYPERLINK("https://klasma.github.io/Logging_2482/tillsynsmail/A 32689-2019 tillsynsbegäran mail.docx", "A 32689-2019")</f>
        <v/>
      </c>
    </row>
    <row r="53" ht="15" customHeight="1">
      <c r="A53" t="inlineStr">
        <is>
          <t>A 52731-2019</t>
        </is>
      </c>
      <c r="B53" s="1" t="n">
        <v>43739</v>
      </c>
      <c r="C53" s="1" t="n">
        <v>45338</v>
      </c>
      <c r="D53" t="inlineStr">
        <is>
          <t>VÄSTERBOTTENS LÄN</t>
        </is>
      </c>
      <c r="E53" t="inlineStr">
        <is>
          <t>SKELLEFTEÅ</t>
        </is>
      </c>
      <c r="G53" t="n">
        <v>6.5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Granticka
Lunglav
Ullticka
Violettgrå tagellav</t>
        </is>
      </c>
      <c r="S53">
        <f>HYPERLINK("https://klasma.github.io/Logging_2482/artfynd/A 52731-2019 artfynd.xlsx", "A 52731-2019")</f>
        <v/>
      </c>
      <c r="T53">
        <f>HYPERLINK("https://klasma.github.io/Logging_2482/kartor/A 52731-2019 karta.png", "A 52731-2019")</f>
        <v/>
      </c>
      <c r="V53">
        <f>HYPERLINK("https://klasma.github.io/Logging_2482/klagomål/A 52731-2019 FSC-klagomål.docx", "A 52731-2019")</f>
        <v/>
      </c>
      <c r="W53">
        <f>HYPERLINK("https://klasma.github.io/Logging_2482/klagomålsmail/A 52731-2019 FSC-klagomål mail.docx", "A 52731-2019")</f>
        <v/>
      </c>
      <c r="X53">
        <f>HYPERLINK("https://klasma.github.io/Logging_2482/tillsyn/A 52731-2019 tillsynsbegäran.docx", "A 52731-2019")</f>
        <v/>
      </c>
      <c r="Y53">
        <f>HYPERLINK("https://klasma.github.io/Logging_2482/tillsynsmail/A 52731-2019 tillsynsbegäran mail.docx", "A 52731-2019")</f>
        <v/>
      </c>
    </row>
    <row r="54" ht="15" customHeight="1">
      <c r="A54" t="inlineStr">
        <is>
          <t>A 55630-2019</t>
        </is>
      </c>
      <c r="B54" s="1" t="n">
        <v>43755</v>
      </c>
      <c r="C54" s="1" t="n">
        <v>45338</v>
      </c>
      <c r="D54" t="inlineStr">
        <is>
          <t>VÄSTERBOTTENS LÄN</t>
        </is>
      </c>
      <c r="E54" t="inlineStr">
        <is>
          <t>SKELLEFTEÅ</t>
        </is>
      </c>
      <c r="G54" t="n">
        <v>20.2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Gammelgransskål
Garnlav
Granticka
Violettgrå tagellav</t>
        </is>
      </c>
      <c r="S54">
        <f>HYPERLINK("https://klasma.github.io/Logging_2482/artfynd/A 55630-2019 artfynd.xlsx", "A 55630-2019")</f>
        <v/>
      </c>
      <c r="T54">
        <f>HYPERLINK("https://klasma.github.io/Logging_2482/kartor/A 55630-2019 karta.png", "A 55630-2019")</f>
        <v/>
      </c>
      <c r="V54">
        <f>HYPERLINK("https://klasma.github.io/Logging_2482/klagomål/A 55630-2019 FSC-klagomål.docx", "A 55630-2019")</f>
        <v/>
      </c>
      <c r="W54">
        <f>HYPERLINK("https://klasma.github.io/Logging_2482/klagomålsmail/A 55630-2019 FSC-klagomål mail.docx", "A 55630-2019")</f>
        <v/>
      </c>
      <c r="X54">
        <f>HYPERLINK("https://klasma.github.io/Logging_2482/tillsyn/A 55630-2019 tillsynsbegäran.docx", "A 55630-2019")</f>
        <v/>
      </c>
      <c r="Y54">
        <f>HYPERLINK("https://klasma.github.io/Logging_2482/tillsynsmail/A 55630-2019 tillsynsbegäran mail.docx", "A 55630-2019")</f>
        <v/>
      </c>
    </row>
    <row r="55" ht="15" customHeight="1">
      <c r="A55" t="inlineStr">
        <is>
          <t>A 26906-2020</t>
        </is>
      </c>
      <c r="B55" s="1" t="n">
        <v>43990</v>
      </c>
      <c r="C55" s="1" t="n">
        <v>45338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Granticka
Lunglav
Bårdlav
Luddlav</t>
        </is>
      </c>
      <c r="S55">
        <f>HYPERLINK("https://klasma.github.io/Logging_2482/artfynd/A 26906-2020 artfynd.xlsx", "A 26906-2020")</f>
        <v/>
      </c>
      <c r="T55">
        <f>HYPERLINK("https://klasma.github.io/Logging_2482/kartor/A 26906-2020 karta.png", "A 26906-2020")</f>
        <v/>
      </c>
      <c r="V55">
        <f>HYPERLINK("https://klasma.github.io/Logging_2482/klagomål/A 26906-2020 FSC-klagomål.docx", "A 26906-2020")</f>
        <v/>
      </c>
      <c r="W55">
        <f>HYPERLINK("https://klasma.github.io/Logging_2482/klagomålsmail/A 26906-2020 FSC-klagomål mail.docx", "A 26906-2020")</f>
        <v/>
      </c>
      <c r="X55">
        <f>HYPERLINK("https://klasma.github.io/Logging_2482/tillsyn/A 26906-2020 tillsynsbegäran.docx", "A 26906-2020")</f>
        <v/>
      </c>
      <c r="Y55">
        <f>HYPERLINK("https://klasma.github.io/Logging_2482/tillsynsmail/A 26906-2020 tillsynsbegäran mail.docx", "A 26906-2020")</f>
        <v/>
      </c>
    </row>
    <row r="56" ht="15" customHeight="1">
      <c r="A56" t="inlineStr">
        <is>
          <t>A 30604-2020</t>
        </is>
      </c>
      <c r="B56" s="1" t="n">
        <v>44008</v>
      </c>
      <c r="C56" s="1" t="n">
        <v>45338</v>
      </c>
      <c r="D56" t="inlineStr">
        <is>
          <t>VÄSTERBOTTENS LÄN</t>
        </is>
      </c>
      <c r="E56" t="inlineStr">
        <is>
          <t>SKELLEFTEÅ</t>
        </is>
      </c>
      <c r="G56" t="n">
        <v>17.9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Tjäder
Fläcknycklar
Revlummer</t>
        </is>
      </c>
      <c r="S56">
        <f>HYPERLINK("https://klasma.github.io/Logging_2482/artfynd/A 30604-2020 artfynd.xlsx", "A 30604-2020")</f>
        <v/>
      </c>
      <c r="T56">
        <f>HYPERLINK("https://klasma.github.io/Logging_2482/kartor/A 30604-2020 karta.png", "A 30604-2020")</f>
        <v/>
      </c>
      <c r="V56">
        <f>HYPERLINK("https://klasma.github.io/Logging_2482/klagomål/A 30604-2020 FSC-klagomål.docx", "A 30604-2020")</f>
        <v/>
      </c>
      <c r="W56">
        <f>HYPERLINK("https://klasma.github.io/Logging_2482/klagomålsmail/A 30604-2020 FSC-klagomål mail.docx", "A 30604-2020")</f>
        <v/>
      </c>
      <c r="X56">
        <f>HYPERLINK("https://klasma.github.io/Logging_2482/tillsyn/A 30604-2020 tillsynsbegäran.docx", "A 30604-2020")</f>
        <v/>
      </c>
      <c r="Y56">
        <f>HYPERLINK("https://klasma.github.io/Logging_2482/tillsynsmail/A 30604-2020 tillsynsbegäran mail.docx", "A 30604-2020")</f>
        <v/>
      </c>
      <c r="Z56">
        <f>HYPERLINK("https://klasma.github.io/Logging_2482/fåglar/A 30604-2020 prioriterade fågelarter.docx", "A 30604-2020")</f>
        <v/>
      </c>
    </row>
    <row r="57" ht="15" customHeight="1">
      <c r="A57" t="inlineStr">
        <is>
          <t>A 55812-2020</t>
        </is>
      </c>
      <c r="B57" s="1" t="n">
        <v>44132</v>
      </c>
      <c r="C57" s="1" t="n">
        <v>45338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10.3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Garnlav
Granticka
Ullticka</t>
        </is>
      </c>
      <c r="S57">
        <f>HYPERLINK("https://klasma.github.io/Logging_2482/artfynd/A 55812-2020 artfynd.xlsx", "A 55812-2020")</f>
        <v/>
      </c>
      <c r="T57">
        <f>HYPERLINK("https://klasma.github.io/Logging_2482/kartor/A 55812-2020 karta.png", "A 55812-2020")</f>
        <v/>
      </c>
      <c r="V57">
        <f>HYPERLINK("https://klasma.github.io/Logging_2482/klagomål/A 55812-2020 FSC-klagomål.docx", "A 55812-2020")</f>
        <v/>
      </c>
      <c r="W57">
        <f>HYPERLINK("https://klasma.github.io/Logging_2482/klagomålsmail/A 55812-2020 FSC-klagomål mail.docx", "A 55812-2020")</f>
        <v/>
      </c>
      <c r="X57">
        <f>HYPERLINK("https://klasma.github.io/Logging_2482/tillsyn/A 55812-2020 tillsynsbegäran.docx", "A 55812-2020")</f>
        <v/>
      </c>
      <c r="Y57">
        <f>HYPERLINK("https://klasma.github.io/Logging_2482/tillsynsmail/A 55812-2020 tillsynsbegäran mail.docx", "A 55812-2020")</f>
        <v/>
      </c>
    </row>
    <row r="58" ht="15" customHeight="1">
      <c r="A58" t="inlineStr">
        <is>
          <t>A 68169-2020</t>
        </is>
      </c>
      <c r="B58" s="1" t="n">
        <v>44183</v>
      </c>
      <c r="C58" s="1" t="n">
        <v>45338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7.6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Spillkråka
Vedticka
Fläcknycklar</t>
        </is>
      </c>
      <c r="S58">
        <f>HYPERLINK("https://klasma.github.io/Logging_2482/artfynd/A 68169-2020 artfynd.xlsx", "A 68169-2020")</f>
        <v/>
      </c>
      <c r="T58">
        <f>HYPERLINK("https://klasma.github.io/Logging_2482/kartor/A 68169-2020 karta.png", "A 68169-2020")</f>
        <v/>
      </c>
      <c r="V58">
        <f>HYPERLINK("https://klasma.github.io/Logging_2482/klagomål/A 68169-2020 FSC-klagomål.docx", "A 68169-2020")</f>
        <v/>
      </c>
      <c r="W58">
        <f>HYPERLINK("https://klasma.github.io/Logging_2482/klagomålsmail/A 68169-2020 FSC-klagomål mail.docx", "A 68169-2020")</f>
        <v/>
      </c>
      <c r="X58">
        <f>HYPERLINK("https://klasma.github.io/Logging_2482/tillsyn/A 68169-2020 tillsynsbegäran.docx", "A 68169-2020")</f>
        <v/>
      </c>
      <c r="Y58">
        <f>HYPERLINK("https://klasma.github.io/Logging_2482/tillsynsmail/A 68169-2020 tillsynsbegäran mail.docx", "A 68169-2020")</f>
        <v/>
      </c>
      <c r="Z58">
        <f>HYPERLINK("https://klasma.github.io/Logging_2482/fåglar/A 68169-2020 prioriterade fågelarter.docx", "A 68169-2020")</f>
        <v/>
      </c>
    </row>
    <row r="59" ht="15" customHeight="1">
      <c r="A59" t="inlineStr">
        <is>
          <t>A 68511-2020</t>
        </is>
      </c>
      <c r="B59" s="1" t="n">
        <v>44186</v>
      </c>
      <c r="C59" s="1" t="n">
        <v>45338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16.9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Lunglav
Violettgrå tagellav
Stuplav</t>
        </is>
      </c>
      <c r="S59">
        <f>HYPERLINK("https://klasma.github.io/Logging_2482/artfynd/A 68511-2020 artfynd.xlsx", "A 68511-2020")</f>
        <v/>
      </c>
      <c r="T59">
        <f>HYPERLINK("https://klasma.github.io/Logging_2482/kartor/A 68511-2020 karta.png", "A 68511-2020")</f>
        <v/>
      </c>
      <c r="V59">
        <f>HYPERLINK("https://klasma.github.io/Logging_2482/klagomål/A 68511-2020 FSC-klagomål.docx", "A 68511-2020")</f>
        <v/>
      </c>
      <c r="W59">
        <f>HYPERLINK("https://klasma.github.io/Logging_2482/klagomålsmail/A 68511-2020 FSC-klagomål mail.docx", "A 68511-2020")</f>
        <v/>
      </c>
      <c r="X59">
        <f>HYPERLINK("https://klasma.github.io/Logging_2482/tillsyn/A 68511-2020 tillsynsbegäran.docx", "A 68511-2020")</f>
        <v/>
      </c>
      <c r="Y59">
        <f>HYPERLINK("https://klasma.github.io/Logging_2482/tillsynsmail/A 68511-2020 tillsynsbegäran mail.docx", "A 68511-2020")</f>
        <v/>
      </c>
    </row>
    <row r="60" ht="15" customHeight="1">
      <c r="A60" t="inlineStr">
        <is>
          <t>A 2776-2021</t>
        </is>
      </c>
      <c r="B60" s="1" t="n">
        <v>44215</v>
      </c>
      <c r="C60" s="1" t="n">
        <v>45338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Lunglav
Bårdlav</t>
        </is>
      </c>
      <c r="S60">
        <f>HYPERLINK("https://klasma.github.io/Logging_2482/artfynd/A 2776-2021 artfynd.xlsx", "A 2776-2021")</f>
        <v/>
      </c>
      <c r="T60">
        <f>HYPERLINK("https://klasma.github.io/Logging_2482/kartor/A 2776-2021 karta.png", "A 2776-2021")</f>
        <v/>
      </c>
      <c r="V60">
        <f>HYPERLINK("https://klasma.github.io/Logging_2482/klagomål/A 2776-2021 FSC-klagomål.docx", "A 2776-2021")</f>
        <v/>
      </c>
      <c r="W60">
        <f>HYPERLINK("https://klasma.github.io/Logging_2482/klagomålsmail/A 2776-2021 FSC-klagomål mail.docx", "A 2776-2021")</f>
        <v/>
      </c>
      <c r="X60">
        <f>HYPERLINK("https://klasma.github.io/Logging_2482/tillsyn/A 2776-2021 tillsynsbegäran.docx", "A 2776-2021")</f>
        <v/>
      </c>
      <c r="Y60">
        <f>HYPERLINK("https://klasma.github.io/Logging_2482/tillsynsmail/A 2776-2021 tillsynsbegäran mail.docx", "A 2776-2021")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45338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45338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45338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3212-2022</t>
        </is>
      </c>
      <c r="B64" s="1" t="n">
        <v>44582</v>
      </c>
      <c r="C64" s="1" t="n">
        <v>45338</v>
      </c>
      <c r="D64" t="inlineStr">
        <is>
          <t>VÄSTERBOTTENS LÄN</t>
        </is>
      </c>
      <c r="E64" t="inlineStr">
        <is>
          <t>SKELLEFTEÅ</t>
        </is>
      </c>
      <c r="G64" t="n">
        <v>1.4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Harticka
Vedticka</t>
        </is>
      </c>
      <c r="S64">
        <f>HYPERLINK("https://klasma.github.io/Logging_2482/artfynd/A 3212-2022 artfynd.xlsx", "A 3212-2022")</f>
        <v/>
      </c>
      <c r="T64">
        <f>HYPERLINK("https://klasma.github.io/Logging_2482/kartor/A 3212-2022 karta.png", "A 3212-2022")</f>
        <v/>
      </c>
      <c r="V64">
        <f>HYPERLINK("https://klasma.github.io/Logging_2482/klagomål/A 3212-2022 FSC-klagomål.docx", "A 3212-2022")</f>
        <v/>
      </c>
      <c r="W64">
        <f>HYPERLINK("https://klasma.github.io/Logging_2482/klagomålsmail/A 3212-2022 FSC-klagomål mail.docx", "A 3212-2022")</f>
        <v/>
      </c>
      <c r="X64">
        <f>HYPERLINK("https://klasma.github.io/Logging_2482/tillsyn/A 3212-2022 tillsynsbegäran.docx", "A 3212-2022")</f>
        <v/>
      </c>
      <c r="Y64">
        <f>HYPERLINK("https://klasma.github.io/Logging_2482/tillsynsmail/A 3212-2022 tillsynsbegäran mail.docx", "A 3212-2022")</f>
        <v/>
      </c>
    </row>
    <row r="65" ht="15" customHeight="1">
      <c r="A65" t="inlineStr">
        <is>
          <t>A 37477-2023</t>
        </is>
      </c>
      <c r="B65" s="1" t="n">
        <v>45156</v>
      </c>
      <c r="C65" s="1" t="n">
        <v>45338</v>
      </c>
      <c r="D65" t="inlineStr">
        <is>
          <t>VÄSTERBOTTENS LÄN</t>
        </is>
      </c>
      <c r="E65" t="inlineStr">
        <is>
          <t>SKELLEFTEÅ</t>
        </is>
      </c>
      <c r="G65" t="n">
        <v>6.3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Lunglav
Ullticka
Violettgrå tagellav</t>
        </is>
      </c>
      <c r="S65">
        <f>HYPERLINK("https://klasma.github.io/Logging_2482/artfynd/A 37477-2023 artfynd.xlsx", "A 37477-2023")</f>
        <v/>
      </c>
      <c r="T65">
        <f>HYPERLINK("https://klasma.github.io/Logging_2482/kartor/A 37477-2023 karta.png", "A 37477-2023")</f>
        <v/>
      </c>
      <c r="V65">
        <f>HYPERLINK("https://klasma.github.io/Logging_2482/klagomål/A 37477-2023 FSC-klagomål.docx", "A 37477-2023")</f>
        <v/>
      </c>
      <c r="W65">
        <f>HYPERLINK("https://klasma.github.io/Logging_2482/klagomålsmail/A 37477-2023 FSC-klagomål mail.docx", "A 37477-2023")</f>
        <v/>
      </c>
      <c r="X65">
        <f>HYPERLINK("https://klasma.github.io/Logging_2482/tillsyn/A 37477-2023 tillsynsbegäran.docx", "A 37477-2023")</f>
        <v/>
      </c>
      <c r="Y65">
        <f>HYPERLINK("https://klasma.github.io/Logging_2482/tillsynsmail/A 37477-2023 tillsynsbegäran mail.docx", "A 37477-2023")</f>
        <v/>
      </c>
    </row>
    <row r="66" ht="15" customHeight="1">
      <c r="A66" t="inlineStr">
        <is>
          <t>A 46092-2023</t>
        </is>
      </c>
      <c r="B66" s="1" t="n">
        <v>45190</v>
      </c>
      <c r="C66" s="1" t="n">
        <v>45338</v>
      </c>
      <c r="D66" t="inlineStr">
        <is>
          <t>VÄSTERBOTTENS LÄN</t>
        </is>
      </c>
      <c r="E66" t="inlineStr">
        <is>
          <t>SKELLEFTEÅ</t>
        </is>
      </c>
      <c r="G66" t="n">
        <v>8.699999999999999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Violettgrå tagellav
Luddlav
Skinnlav
Stuplav</t>
        </is>
      </c>
      <c r="S66">
        <f>HYPERLINK("https://klasma.github.io/Logging_2482/artfynd/A 46092-2023 artfynd.xlsx", "A 46092-2023")</f>
        <v/>
      </c>
      <c r="T66">
        <f>HYPERLINK("https://klasma.github.io/Logging_2482/kartor/A 46092-2023 karta.png", "A 46092-2023")</f>
        <v/>
      </c>
      <c r="V66">
        <f>HYPERLINK("https://klasma.github.io/Logging_2482/klagomål/A 46092-2023 FSC-klagomål.docx", "A 46092-2023")</f>
        <v/>
      </c>
      <c r="W66">
        <f>HYPERLINK("https://klasma.github.io/Logging_2482/klagomålsmail/A 46092-2023 FSC-klagomål mail.docx", "A 46092-2023")</f>
        <v/>
      </c>
      <c r="X66">
        <f>HYPERLINK("https://klasma.github.io/Logging_2482/tillsyn/A 46092-2023 tillsynsbegäran.docx", "A 46092-2023")</f>
        <v/>
      </c>
      <c r="Y66">
        <f>HYPERLINK("https://klasma.github.io/Logging_2482/tillsynsmail/A 46092-2023 tillsynsbegäran mail.docx", "A 46092-2023")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45338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65202-2018</t>
        </is>
      </c>
      <c r="B68" s="1" t="n">
        <v>43423</v>
      </c>
      <c r="C68" s="1" t="n">
        <v>45338</v>
      </c>
      <c r="D68" t="inlineStr">
        <is>
          <t>VÄSTERBOTTENS LÄN</t>
        </is>
      </c>
      <c r="E68" t="inlineStr">
        <is>
          <t>SKELLEFTEÅ</t>
        </is>
      </c>
      <c r="G68" t="n">
        <v>4.7</v>
      </c>
      <c r="H68" t="n">
        <v>2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Spillkråka
Vedticka
Fläcknycklar</t>
        </is>
      </c>
      <c r="S68">
        <f>HYPERLINK("https://klasma.github.io/Logging_2482/artfynd/A 65202-2018 artfynd.xlsx", "A 65202-2018")</f>
        <v/>
      </c>
      <c r="T68">
        <f>HYPERLINK("https://klasma.github.io/Logging_2482/kartor/A 65202-2018 karta.png", "A 65202-2018")</f>
        <v/>
      </c>
      <c r="V68">
        <f>HYPERLINK("https://klasma.github.io/Logging_2482/klagomål/A 65202-2018 FSC-klagomål.docx", "A 65202-2018")</f>
        <v/>
      </c>
      <c r="W68">
        <f>HYPERLINK("https://klasma.github.io/Logging_2482/klagomålsmail/A 65202-2018 FSC-klagomål mail.docx", "A 65202-2018")</f>
        <v/>
      </c>
      <c r="X68">
        <f>HYPERLINK("https://klasma.github.io/Logging_2482/tillsyn/A 65202-2018 tillsynsbegäran.docx", "A 65202-2018")</f>
        <v/>
      </c>
      <c r="Y68">
        <f>HYPERLINK("https://klasma.github.io/Logging_2482/tillsynsmail/A 65202-2018 tillsynsbegäran mail.docx", "A 65202-2018")</f>
        <v/>
      </c>
      <c r="Z68">
        <f>HYPERLINK("https://klasma.github.io/Logging_2482/fåglar/A 65202-2018 prioriterade fågelarter.docx", "A 65202-2018")</f>
        <v/>
      </c>
    </row>
    <row r="69" ht="15" customHeight="1">
      <c r="A69" t="inlineStr">
        <is>
          <t>A 65173-2018</t>
        </is>
      </c>
      <c r="B69" s="1" t="n">
        <v>43432</v>
      </c>
      <c r="C69" s="1" t="n">
        <v>45338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Lunglav
Ullticka</t>
        </is>
      </c>
      <c r="S69">
        <f>HYPERLINK("https://klasma.github.io/Logging_2482/artfynd/A 65173-2018 artfynd.xlsx", "A 65173-2018")</f>
        <v/>
      </c>
      <c r="T69">
        <f>HYPERLINK("https://klasma.github.io/Logging_2482/kartor/A 65173-2018 karta.png", "A 65173-2018")</f>
        <v/>
      </c>
      <c r="V69">
        <f>HYPERLINK("https://klasma.github.io/Logging_2482/klagomål/A 65173-2018 FSC-klagomål.docx", "A 65173-2018")</f>
        <v/>
      </c>
      <c r="W69">
        <f>HYPERLINK("https://klasma.github.io/Logging_2482/klagomålsmail/A 65173-2018 FSC-klagomål mail.docx", "A 65173-2018")</f>
        <v/>
      </c>
      <c r="X69">
        <f>HYPERLINK("https://klasma.github.io/Logging_2482/tillsyn/A 65173-2018 tillsynsbegäran.docx", "A 65173-2018")</f>
        <v/>
      </c>
      <c r="Y69">
        <f>HYPERLINK("https://klasma.github.io/Logging_2482/tillsynsmail/A 65173-2018 tillsynsbegäran mail.docx", "A 65173-2018")</f>
        <v/>
      </c>
    </row>
    <row r="70" ht="15" customHeight="1">
      <c r="A70" t="inlineStr">
        <is>
          <t>A 11624-2019</t>
        </is>
      </c>
      <c r="B70" s="1" t="n">
        <v>43517</v>
      </c>
      <c r="C70" s="1" t="n">
        <v>45338</v>
      </c>
      <c r="D70" t="inlineStr">
        <is>
          <t>VÄSTERBOTTENS LÄN</t>
        </is>
      </c>
      <c r="E70" t="inlineStr">
        <is>
          <t>SKELLEFTEÅ</t>
        </is>
      </c>
      <c r="G70" t="n">
        <v>24.7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Mindre vattensalamander</t>
        </is>
      </c>
      <c r="S70">
        <f>HYPERLINK("https://klasma.github.io/Logging_2482/artfynd/A 11624-2019 artfynd.xlsx", "A 11624-2019")</f>
        <v/>
      </c>
      <c r="T70">
        <f>HYPERLINK("https://klasma.github.io/Logging_2482/kartor/A 11624-2019 karta.png", "A 11624-2019")</f>
        <v/>
      </c>
      <c r="V70">
        <f>HYPERLINK("https://klasma.github.io/Logging_2482/klagomål/A 11624-2019 FSC-klagomål.docx", "A 11624-2019")</f>
        <v/>
      </c>
      <c r="W70">
        <f>HYPERLINK("https://klasma.github.io/Logging_2482/klagomålsmail/A 11624-2019 FSC-klagomål mail.docx", "A 11624-2019")</f>
        <v/>
      </c>
      <c r="X70">
        <f>HYPERLINK("https://klasma.github.io/Logging_2482/tillsyn/A 11624-2019 tillsynsbegäran.docx", "A 11624-2019")</f>
        <v/>
      </c>
      <c r="Y70">
        <f>HYPERLINK("https://klasma.github.io/Logging_2482/tillsynsmail/A 11624-2019 tillsynsbegäran mail.docx", "A 11624-2019")</f>
        <v/>
      </c>
    </row>
    <row r="71" ht="15" customHeight="1">
      <c r="A71" t="inlineStr">
        <is>
          <t>A 14580-2019</t>
        </is>
      </c>
      <c r="B71" s="1" t="n">
        <v>43536</v>
      </c>
      <c r="C71" s="1" t="n">
        <v>45338</v>
      </c>
      <c r="D71" t="inlineStr">
        <is>
          <t>VÄSTERBOTTENS LÄN</t>
        </is>
      </c>
      <c r="E71" t="inlineStr">
        <is>
          <t>SKELLEFTEÅ</t>
        </is>
      </c>
      <c r="G71" t="n">
        <v>11.3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Ullticka</t>
        </is>
      </c>
      <c r="S71">
        <f>HYPERLINK("https://klasma.github.io/Logging_2482/artfynd/A 14580-2019 artfynd.xlsx", "A 14580-2019")</f>
        <v/>
      </c>
      <c r="T71">
        <f>HYPERLINK("https://klasma.github.io/Logging_2482/kartor/A 14580-2019 karta.png", "A 14580-2019")</f>
        <v/>
      </c>
      <c r="V71">
        <f>HYPERLINK("https://klasma.github.io/Logging_2482/klagomål/A 14580-2019 FSC-klagomål.docx", "A 14580-2019")</f>
        <v/>
      </c>
      <c r="W71">
        <f>HYPERLINK("https://klasma.github.io/Logging_2482/klagomålsmail/A 14580-2019 FSC-klagomål mail.docx", "A 14580-2019")</f>
        <v/>
      </c>
      <c r="X71">
        <f>HYPERLINK("https://klasma.github.io/Logging_2482/tillsyn/A 14580-2019 tillsynsbegäran.docx", "A 14580-2019")</f>
        <v/>
      </c>
      <c r="Y71">
        <f>HYPERLINK("https://klasma.github.io/Logging_2482/tillsynsmail/A 14580-2019 tillsynsbegäran mail.docx", "A 14580-2019")</f>
        <v/>
      </c>
    </row>
    <row r="72" ht="15" customHeight="1">
      <c r="A72" t="inlineStr">
        <is>
          <t>A 35777-2019</t>
        </is>
      </c>
      <c r="B72" s="1" t="n">
        <v>43665</v>
      </c>
      <c r="C72" s="1" t="n">
        <v>45338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26.8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Vedticka</t>
        </is>
      </c>
      <c r="S72">
        <f>HYPERLINK("https://klasma.github.io/Logging_2482/artfynd/A 35777-2019 artfynd.xlsx", "A 35777-2019")</f>
        <v/>
      </c>
      <c r="T72">
        <f>HYPERLINK("https://klasma.github.io/Logging_2482/kartor/A 35777-2019 karta.png", "A 35777-2019")</f>
        <v/>
      </c>
      <c r="V72">
        <f>HYPERLINK("https://klasma.github.io/Logging_2482/klagomål/A 35777-2019 FSC-klagomål.docx", "A 35777-2019")</f>
        <v/>
      </c>
      <c r="W72">
        <f>HYPERLINK("https://klasma.github.io/Logging_2482/klagomålsmail/A 35777-2019 FSC-klagomål mail.docx", "A 35777-2019")</f>
        <v/>
      </c>
      <c r="X72">
        <f>HYPERLINK("https://klasma.github.io/Logging_2482/tillsyn/A 35777-2019 tillsynsbegäran.docx", "A 35777-2019")</f>
        <v/>
      </c>
      <c r="Y72">
        <f>HYPERLINK("https://klasma.github.io/Logging_2482/tillsynsmail/A 35777-2019 tillsynsbegäran mail.docx", "A 35777-2019")</f>
        <v/>
      </c>
    </row>
    <row r="73" ht="15" customHeight="1">
      <c r="A73" t="inlineStr">
        <is>
          <t>A 54111-2019</t>
        </is>
      </c>
      <c r="B73" s="1" t="n">
        <v>43752</v>
      </c>
      <c r="C73" s="1" t="n">
        <v>45338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30.6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Vedskivlav
Skarp dropptaggsvamp</t>
        </is>
      </c>
      <c r="S73">
        <f>HYPERLINK("https://klasma.github.io/Logging_2482/artfynd/A 54111-2019 artfynd.xlsx", "A 54111-2019")</f>
        <v/>
      </c>
      <c r="T73">
        <f>HYPERLINK("https://klasma.github.io/Logging_2482/kartor/A 54111-2019 karta.png", "A 54111-2019")</f>
        <v/>
      </c>
      <c r="V73">
        <f>HYPERLINK("https://klasma.github.io/Logging_2482/klagomål/A 54111-2019 FSC-klagomål.docx", "A 54111-2019")</f>
        <v/>
      </c>
      <c r="W73">
        <f>HYPERLINK("https://klasma.github.io/Logging_2482/klagomålsmail/A 54111-2019 FSC-klagomål mail.docx", "A 54111-2019")</f>
        <v/>
      </c>
      <c r="X73">
        <f>HYPERLINK("https://klasma.github.io/Logging_2482/tillsyn/A 54111-2019 tillsynsbegäran.docx", "A 54111-2019")</f>
        <v/>
      </c>
      <c r="Y73">
        <f>HYPERLINK("https://klasma.github.io/Logging_2482/tillsynsmail/A 54111-2019 tillsynsbegäran mail.docx", "A 54111-2019")</f>
        <v/>
      </c>
    </row>
    <row r="74" ht="15" customHeight="1">
      <c r="A74" t="inlineStr">
        <is>
          <t>A 64056-2019</t>
        </is>
      </c>
      <c r="B74" s="1" t="n">
        <v>43796</v>
      </c>
      <c r="C74" s="1" t="n">
        <v>45338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Lunglav</t>
        </is>
      </c>
      <c r="S74">
        <f>HYPERLINK("https://klasma.github.io/Logging_2482/artfynd/A 64056-2019 artfynd.xlsx", "A 64056-2019")</f>
        <v/>
      </c>
      <c r="T74">
        <f>HYPERLINK("https://klasma.github.io/Logging_2482/kartor/A 64056-2019 karta.png", "A 64056-2019")</f>
        <v/>
      </c>
      <c r="V74">
        <f>HYPERLINK("https://klasma.github.io/Logging_2482/klagomål/A 64056-2019 FSC-klagomål.docx", "A 64056-2019")</f>
        <v/>
      </c>
      <c r="W74">
        <f>HYPERLINK("https://klasma.github.io/Logging_2482/klagomålsmail/A 64056-2019 FSC-klagomål mail.docx", "A 64056-2019")</f>
        <v/>
      </c>
      <c r="X74">
        <f>HYPERLINK("https://klasma.github.io/Logging_2482/tillsyn/A 64056-2019 tillsynsbegäran.docx", "A 64056-2019")</f>
        <v/>
      </c>
      <c r="Y74">
        <f>HYPERLINK("https://klasma.github.io/Logging_2482/tillsynsmail/A 64056-2019 tillsynsbegäran mail.docx", "A 64056-2019")</f>
        <v/>
      </c>
    </row>
    <row r="75" ht="15" customHeight="1">
      <c r="A75" t="inlineStr">
        <is>
          <t>A 32940-2020</t>
        </is>
      </c>
      <c r="B75" s="1" t="n">
        <v>44018</v>
      </c>
      <c r="C75" s="1" t="n">
        <v>45338</v>
      </c>
      <c r="D75" t="inlineStr">
        <is>
          <t>VÄSTERBOTTENS LÄN</t>
        </is>
      </c>
      <c r="E75" t="inlineStr">
        <is>
          <t>SKELLEFTEÅ</t>
        </is>
      </c>
      <c r="G75" t="n">
        <v>15.6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Goliatmusseron
Skrovlig taggsvamp
Dropptaggsvamp</t>
        </is>
      </c>
      <c r="S75">
        <f>HYPERLINK("https://klasma.github.io/Logging_2482/artfynd/A 32940-2020 artfynd.xlsx", "A 32940-2020")</f>
        <v/>
      </c>
      <c r="T75">
        <f>HYPERLINK("https://klasma.github.io/Logging_2482/kartor/A 32940-2020 karta.png", "A 32940-2020")</f>
        <v/>
      </c>
      <c r="V75">
        <f>HYPERLINK("https://klasma.github.io/Logging_2482/klagomål/A 32940-2020 FSC-klagomål.docx", "A 32940-2020")</f>
        <v/>
      </c>
      <c r="W75">
        <f>HYPERLINK("https://klasma.github.io/Logging_2482/klagomålsmail/A 32940-2020 FSC-klagomål mail.docx", "A 32940-2020")</f>
        <v/>
      </c>
      <c r="X75">
        <f>HYPERLINK("https://klasma.github.io/Logging_2482/tillsyn/A 32940-2020 tillsynsbegäran.docx", "A 32940-2020")</f>
        <v/>
      </c>
      <c r="Y75">
        <f>HYPERLINK("https://klasma.github.io/Logging_2482/tillsynsmail/A 32940-2020 tillsynsbegäran mail.docx", "A 32940-2020")</f>
        <v/>
      </c>
    </row>
    <row r="76" ht="15" customHeight="1">
      <c r="A76" t="inlineStr">
        <is>
          <t>A 68690-2020</t>
        </is>
      </c>
      <c r="B76" s="1" t="n">
        <v>44186</v>
      </c>
      <c r="C76" s="1" t="n">
        <v>45338</v>
      </c>
      <c r="D76" t="inlineStr">
        <is>
          <t>VÄSTERBOTTENS LÄN</t>
        </is>
      </c>
      <c r="E76" t="inlineStr">
        <is>
          <t>SKELLEFTEÅ</t>
        </is>
      </c>
      <c r="G76" t="n">
        <v>6.1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Ullticka
Vedticka</t>
        </is>
      </c>
      <c r="S76">
        <f>HYPERLINK("https://klasma.github.io/Logging_2482/artfynd/A 68690-2020 artfynd.xlsx", "A 68690-2020")</f>
        <v/>
      </c>
      <c r="T76">
        <f>HYPERLINK("https://klasma.github.io/Logging_2482/kartor/A 68690-2020 karta.png", "A 68690-2020")</f>
        <v/>
      </c>
      <c r="V76">
        <f>HYPERLINK("https://klasma.github.io/Logging_2482/klagomål/A 68690-2020 FSC-klagomål.docx", "A 68690-2020")</f>
        <v/>
      </c>
      <c r="W76">
        <f>HYPERLINK("https://klasma.github.io/Logging_2482/klagomålsmail/A 68690-2020 FSC-klagomål mail.docx", "A 68690-2020")</f>
        <v/>
      </c>
      <c r="X76">
        <f>HYPERLINK("https://klasma.github.io/Logging_2482/tillsyn/A 68690-2020 tillsynsbegäran.docx", "A 68690-2020")</f>
        <v/>
      </c>
      <c r="Y76">
        <f>HYPERLINK("https://klasma.github.io/Logging_2482/tillsynsmail/A 68690-2020 tillsynsbegäran mail.docx", "A 68690-2020")</f>
        <v/>
      </c>
    </row>
    <row r="77" ht="15" customHeight="1">
      <c r="A77" t="inlineStr">
        <is>
          <t>A 16152-2021</t>
        </is>
      </c>
      <c r="B77" s="1" t="n">
        <v>44287</v>
      </c>
      <c r="C77" s="1" t="n">
        <v>45338</v>
      </c>
      <c r="D77" t="inlineStr">
        <is>
          <t>VÄSTERBOTTENS LÄN</t>
        </is>
      </c>
      <c r="E77" t="inlineStr">
        <is>
          <t>SKELLEFTEÅ</t>
        </is>
      </c>
      <c r="G77" t="n">
        <v>3.4</v>
      </c>
      <c r="H77" t="n">
        <v>0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Goliatmusseron
Granticka
Vedticka</t>
        </is>
      </c>
      <c r="S77">
        <f>HYPERLINK("https://klasma.github.io/Logging_2482/artfynd/A 16152-2021 artfynd.xlsx", "A 16152-2021")</f>
        <v/>
      </c>
      <c r="T77">
        <f>HYPERLINK("https://klasma.github.io/Logging_2482/kartor/A 16152-2021 karta.png", "A 16152-2021")</f>
        <v/>
      </c>
      <c r="V77">
        <f>HYPERLINK("https://klasma.github.io/Logging_2482/klagomål/A 16152-2021 FSC-klagomål.docx", "A 16152-2021")</f>
        <v/>
      </c>
      <c r="W77">
        <f>HYPERLINK("https://klasma.github.io/Logging_2482/klagomålsmail/A 16152-2021 FSC-klagomål mail.docx", "A 16152-2021")</f>
        <v/>
      </c>
      <c r="X77">
        <f>HYPERLINK("https://klasma.github.io/Logging_2482/tillsyn/A 16152-2021 tillsynsbegäran.docx", "A 16152-2021")</f>
        <v/>
      </c>
      <c r="Y77">
        <f>HYPERLINK("https://klasma.github.io/Logging_2482/tillsynsmail/A 16152-2021 tillsynsbegäran mail.docx", "A 16152-2021")</f>
        <v/>
      </c>
    </row>
    <row r="78" ht="15" customHeight="1">
      <c r="A78" t="inlineStr">
        <is>
          <t>A 29725-2021</t>
        </is>
      </c>
      <c r="B78" s="1" t="n">
        <v>44362</v>
      </c>
      <c r="C78" s="1" t="n">
        <v>45338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10.7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Garnlav
Orre</t>
        </is>
      </c>
      <c r="S78">
        <f>HYPERLINK("https://klasma.github.io/Logging_2482/artfynd/A 29725-2021 artfynd.xlsx", "A 29725-2021")</f>
        <v/>
      </c>
      <c r="T78">
        <f>HYPERLINK("https://klasma.github.io/Logging_2482/kartor/A 29725-2021 karta.png", "A 29725-2021")</f>
        <v/>
      </c>
      <c r="V78">
        <f>HYPERLINK("https://klasma.github.io/Logging_2482/klagomål/A 29725-2021 FSC-klagomål.docx", "A 29725-2021")</f>
        <v/>
      </c>
      <c r="W78">
        <f>HYPERLINK("https://klasma.github.io/Logging_2482/klagomålsmail/A 29725-2021 FSC-klagomål mail.docx", "A 29725-2021")</f>
        <v/>
      </c>
      <c r="X78">
        <f>HYPERLINK("https://klasma.github.io/Logging_2482/tillsyn/A 29725-2021 tillsynsbegäran.docx", "A 29725-2021")</f>
        <v/>
      </c>
      <c r="Y78">
        <f>HYPERLINK("https://klasma.github.io/Logging_2482/tillsynsmail/A 29725-2021 tillsynsbegäran mail.docx", "A 29725-2021")</f>
        <v/>
      </c>
      <c r="Z78">
        <f>HYPERLINK("https://klasma.github.io/Logging_2482/fåglar/A 29725-2021 prioriterade fågelarter.docx", "A 29725-2021")</f>
        <v/>
      </c>
    </row>
    <row r="79" ht="15" customHeight="1">
      <c r="A79" t="inlineStr">
        <is>
          <t>A 32918-2021</t>
        </is>
      </c>
      <c r="B79" s="1" t="n">
        <v>44375</v>
      </c>
      <c r="C79" s="1" t="n">
        <v>45338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16.7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Tallticka
Dropptaggsvamp</t>
        </is>
      </c>
      <c r="S79">
        <f>HYPERLINK("https://klasma.github.io/Logging_2482/artfynd/A 32918-2021 artfynd.xlsx", "A 32918-2021")</f>
        <v/>
      </c>
      <c r="T79">
        <f>HYPERLINK("https://klasma.github.io/Logging_2482/kartor/A 32918-2021 karta.png", "A 32918-2021")</f>
        <v/>
      </c>
      <c r="V79">
        <f>HYPERLINK("https://klasma.github.io/Logging_2482/klagomål/A 32918-2021 FSC-klagomål.docx", "A 32918-2021")</f>
        <v/>
      </c>
      <c r="W79">
        <f>HYPERLINK("https://klasma.github.io/Logging_2482/klagomålsmail/A 32918-2021 FSC-klagomål mail.docx", "A 32918-2021")</f>
        <v/>
      </c>
      <c r="X79">
        <f>HYPERLINK("https://klasma.github.io/Logging_2482/tillsyn/A 32918-2021 tillsynsbegäran.docx", "A 32918-2021")</f>
        <v/>
      </c>
      <c r="Y79">
        <f>HYPERLINK("https://klasma.github.io/Logging_2482/tillsynsmail/A 32918-2021 tillsynsbegäran mail.docx", "A 32918-2021")</f>
        <v/>
      </c>
    </row>
    <row r="80" ht="15" customHeight="1">
      <c r="A80" t="inlineStr">
        <is>
          <t>A 41508-2021</t>
        </is>
      </c>
      <c r="B80" s="1" t="n">
        <v>44424</v>
      </c>
      <c r="C80" s="1" t="n">
        <v>45338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9.800000000000001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Motaggsvamp
Orange taggsvamp
Dropptaggsvamp</t>
        </is>
      </c>
      <c r="S80">
        <f>HYPERLINK("https://klasma.github.io/Logging_2482/artfynd/A 41508-2021 artfynd.xlsx", "A 41508-2021")</f>
        <v/>
      </c>
      <c r="T80">
        <f>HYPERLINK("https://klasma.github.io/Logging_2482/kartor/A 41508-2021 karta.png", "A 41508-2021")</f>
        <v/>
      </c>
      <c r="V80">
        <f>HYPERLINK("https://klasma.github.io/Logging_2482/klagomål/A 41508-2021 FSC-klagomål.docx", "A 41508-2021")</f>
        <v/>
      </c>
      <c r="W80">
        <f>HYPERLINK("https://klasma.github.io/Logging_2482/klagomålsmail/A 41508-2021 FSC-klagomål mail.docx", "A 41508-2021")</f>
        <v/>
      </c>
      <c r="X80">
        <f>HYPERLINK("https://klasma.github.io/Logging_2482/tillsyn/A 41508-2021 tillsynsbegäran.docx", "A 41508-2021")</f>
        <v/>
      </c>
      <c r="Y80">
        <f>HYPERLINK("https://klasma.github.io/Logging_2482/tillsynsmail/A 41508-2021 tillsynsbegäran mail.docx", "A 41508-2021")</f>
        <v/>
      </c>
    </row>
    <row r="81" ht="15" customHeight="1">
      <c r="A81" t="inlineStr">
        <is>
          <t>A 41506-2021</t>
        </is>
      </c>
      <c r="B81" s="1" t="n">
        <v>44425</v>
      </c>
      <c r="C81" s="1" t="n">
        <v>45338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SCA</t>
        </is>
      </c>
      <c r="G81" t="n">
        <v>4.2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Vedticka</t>
        </is>
      </c>
      <c r="S81">
        <f>HYPERLINK("https://klasma.github.io/Logging_2482/artfynd/A 41506-2021 artfynd.xlsx", "A 41506-2021")</f>
        <v/>
      </c>
      <c r="T81">
        <f>HYPERLINK("https://klasma.github.io/Logging_2482/kartor/A 41506-2021 karta.png", "A 41506-2021")</f>
        <v/>
      </c>
      <c r="V81">
        <f>HYPERLINK("https://klasma.github.io/Logging_2482/klagomål/A 41506-2021 FSC-klagomål.docx", "A 41506-2021")</f>
        <v/>
      </c>
      <c r="W81">
        <f>HYPERLINK("https://klasma.github.io/Logging_2482/klagomålsmail/A 41506-2021 FSC-klagomål mail.docx", "A 41506-2021")</f>
        <v/>
      </c>
      <c r="X81">
        <f>HYPERLINK("https://klasma.github.io/Logging_2482/tillsyn/A 41506-2021 tillsynsbegäran.docx", "A 41506-2021")</f>
        <v/>
      </c>
      <c r="Y81">
        <f>HYPERLINK("https://klasma.github.io/Logging_2482/tillsynsmail/A 41506-2021 tillsynsbegäran mail.docx", "A 41506-2021")</f>
        <v/>
      </c>
    </row>
    <row r="82" ht="15" customHeight="1">
      <c r="A82" t="inlineStr">
        <is>
          <t>A 62340-2021</t>
        </is>
      </c>
      <c r="B82" s="1" t="n">
        <v>44503</v>
      </c>
      <c r="C82" s="1" t="n">
        <v>45338</v>
      </c>
      <c r="D82" t="inlineStr">
        <is>
          <t>VÄSTERBOTTENS LÄN</t>
        </is>
      </c>
      <c r="E82" t="inlineStr">
        <is>
          <t>SKELLEFTEÅ</t>
        </is>
      </c>
      <c r="G82" t="n">
        <v>3.9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Garnlav
Dropptaggsvamp
Vedticka</t>
        </is>
      </c>
      <c r="S82">
        <f>HYPERLINK("https://klasma.github.io/Logging_2482/artfynd/A 62340-2021 artfynd.xlsx", "A 62340-2021")</f>
        <v/>
      </c>
      <c r="T82">
        <f>HYPERLINK("https://klasma.github.io/Logging_2482/kartor/A 62340-2021 karta.png", "A 62340-2021")</f>
        <v/>
      </c>
      <c r="V82">
        <f>HYPERLINK("https://klasma.github.io/Logging_2482/klagomål/A 62340-2021 FSC-klagomål.docx", "A 62340-2021")</f>
        <v/>
      </c>
      <c r="W82">
        <f>HYPERLINK("https://klasma.github.io/Logging_2482/klagomålsmail/A 62340-2021 FSC-klagomål mail.docx", "A 62340-2021")</f>
        <v/>
      </c>
      <c r="X82">
        <f>HYPERLINK("https://klasma.github.io/Logging_2482/tillsyn/A 62340-2021 tillsynsbegäran.docx", "A 62340-2021")</f>
        <v/>
      </c>
      <c r="Y82">
        <f>HYPERLINK("https://klasma.github.io/Logging_2482/tillsynsmail/A 62340-2021 tillsynsbegäran mail.docx", "A 62340-2021")</f>
        <v/>
      </c>
    </row>
    <row r="83" ht="15" customHeight="1">
      <c r="A83" t="inlineStr">
        <is>
          <t>A 4245-2022</t>
        </is>
      </c>
      <c r="B83" s="1" t="n">
        <v>44588</v>
      </c>
      <c r="C83" s="1" t="n">
        <v>45338</v>
      </c>
      <c r="D83" t="inlineStr">
        <is>
          <t>VÄSTERBOTTENS LÄN</t>
        </is>
      </c>
      <c r="E83" t="inlineStr">
        <is>
          <t>SKELLEFTEÅ</t>
        </is>
      </c>
      <c r="G83" t="n">
        <v>0.2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Harticka</t>
        </is>
      </c>
      <c r="S83">
        <f>HYPERLINK("https://klasma.github.io/Logging_2482/artfynd/A 4245-2022 artfynd.xlsx", "A 4245-2022")</f>
        <v/>
      </c>
      <c r="T83">
        <f>HYPERLINK("https://klasma.github.io/Logging_2482/kartor/A 4245-2022 karta.png", "A 4245-2022")</f>
        <v/>
      </c>
      <c r="V83">
        <f>HYPERLINK("https://klasma.github.io/Logging_2482/klagomål/A 4245-2022 FSC-klagomål.docx", "A 4245-2022")</f>
        <v/>
      </c>
      <c r="W83">
        <f>HYPERLINK("https://klasma.github.io/Logging_2482/klagomålsmail/A 4245-2022 FSC-klagomål mail.docx", "A 4245-2022")</f>
        <v/>
      </c>
      <c r="X83">
        <f>HYPERLINK("https://klasma.github.io/Logging_2482/tillsyn/A 4245-2022 tillsynsbegäran.docx", "A 4245-2022")</f>
        <v/>
      </c>
      <c r="Y83">
        <f>HYPERLINK("https://klasma.github.io/Logging_2482/tillsynsmail/A 4245-2022 tillsynsbegäran mail.docx", "A 4245-2022")</f>
        <v/>
      </c>
    </row>
    <row r="84" ht="15" customHeight="1">
      <c r="A84" t="inlineStr">
        <is>
          <t>A 14498-2022</t>
        </is>
      </c>
      <c r="B84" s="1" t="n">
        <v>44655</v>
      </c>
      <c r="C84" s="1" t="n">
        <v>45338</v>
      </c>
      <c r="D84" t="inlineStr">
        <is>
          <t>VÄSTERBOTTENS LÄN</t>
        </is>
      </c>
      <c r="E84" t="inlineStr">
        <is>
          <t>SKELLEFTEÅ</t>
        </is>
      </c>
      <c r="G84" t="n">
        <v>8.6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Granticka
Ullticka</t>
        </is>
      </c>
      <c r="S84">
        <f>HYPERLINK("https://klasma.github.io/Logging_2482/artfynd/A 14498-2022 artfynd.xlsx", "A 14498-2022")</f>
        <v/>
      </c>
      <c r="T84">
        <f>HYPERLINK("https://klasma.github.io/Logging_2482/kartor/A 14498-2022 karta.png", "A 14498-2022")</f>
        <v/>
      </c>
      <c r="V84">
        <f>HYPERLINK("https://klasma.github.io/Logging_2482/klagomål/A 14498-2022 FSC-klagomål.docx", "A 14498-2022")</f>
        <v/>
      </c>
      <c r="W84">
        <f>HYPERLINK("https://klasma.github.io/Logging_2482/klagomålsmail/A 14498-2022 FSC-klagomål mail.docx", "A 14498-2022")</f>
        <v/>
      </c>
      <c r="X84">
        <f>HYPERLINK("https://klasma.github.io/Logging_2482/tillsyn/A 14498-2022 tillsynsbegäran.docx", "A 14498-2022")</f>
        <v/>
      </c>
      <c r="Y84">
        <f>HYPERLINK("https://klasma.github.io/Logging_2482/tillsynsmail/A 14498-2022 tillsynsbegäran mail.docx", "A 14498-2022")</f>
        <v/>
      </c>
    </row>
    <row r="85" ht="15" customHeight="1">
      <c r="A85" t="inlineStr">
        <is>
          <t>A 19803-2022</t>
        </is>
      </c>
      <c r="B85" s="1" t="n">
        <v>44694</v>
      </c>
      <c r="C85" s="1" t="n">
        <v>45338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SCA</t>
        </is>
      </c>
      <c r="G85" t="n">
        <v>5.6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Rosenticka
Spillkråka
Vitgrynig nållav</t>
        </is>
      </c>
      <c r="S85">
        <f>HYPERLINK("https://klasma.github.io/Logging_2482/artfynd/A 19803-2022 artfynd.xlsx", "A 19803-2022")</f>
        <v/>
      </c>
      <c r="T85">
        <f>HYPERLINK("https://klasma.github.io/Logging_2482/kartor/A 19803-2022 karta.png", "A 19803-2022")</f>
        <v/>
      </c>
      <c r="V85">
        <f>HYPERLINK("https://klasma.github.io/Logging_2482/klagomål/A 19803-2022 FSC-klagomål.docx", "A 19803-2022")</f>
        <v/>
      </c>
      <c r="W85">
        <f>HYPERLINK("https://klasma.github.io/Logging_2482/klagomålsmail/A 19803-2022 FSC-klagomål mail.docx", "A 19803-2022")</f>
        <v/>
      </c>
      <c r="X85">
        <f>HYPERLINK("https://klasma.github.io/Logging_2482/tillsyn/A 19803-2022 tillsynsbegäran.docx", "A 19803-2022")</f>
        <v/>
      </c>
      <c r="Y85">
        <f>HYPERLINK("https://klasma.github.io/Logging_2482/tillsynsmail/A 19803-2022 tillsynsbegäran mail.docx", "A 19803-2022")</f>
        <v/>
      </c>
      <c r="Z85">
        <f>HYPERLINK("https://klasma.github.io/Logging_2482/fåglar/A 19803-2022 prioriterade fågelarter.docx", "A 19803-2022")</f>
        <v/>
      </c>
    </row>
    <row r="86" ht="15" customHeight="1">
      <c r="A86" t="inlineStr">
        <is>
          <t>A 40987-2022</t>
        </is>
      </c>
      <c r="B86" s="1" t="n">
        <v>44823</v>
      </c>
      <c r="C86" s="1" t="n">
        <v>45338</v>
      </c>
      <c r="D86" t="inlineStr">
        <is>
          <t>VÄSTERBOTTENS LÄN</t>
        </is>
      </c>
      <c r="E86" t="inlineStr">
        <is>
          <t>SKELLEFTEÅ</t>
        </is>
      </c>
      <c r="G86" t="n">
        <v>7.1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Blå taggsvamp
Bårdlav
Norrlandslav</t>
        </is>
      </c>
      <c r="S86">
        <f>HYPERLINK("https://klasma.github.io/Logging_2482/artfynd/A 40987-2022 artfynd.xlsx", "A 40987-2022")</f>
        <v/>
      </c>
      <c r="T86">
        <f>HYPERLINK("https://klasma.github.io/Logging_2482/kartor/A 40987-2022 karta.png", "A 40987-2022")</f>
        <v/>
      </c>
      <c r="V86">
        <f>HYPERLINK("https://klasma.github.io/Logging_2482/klagomål/A 40987-2022 FSC-klagomål.docx", "A 40987-2022")</f>
        <v/>
      </c>
      <c r="W86">
        <f>HYPERLINK("https://klasma.github.io/Logging_2482/klagomålsmail/A 40987-2022 FSC-klagomål mail.docx", "A 40987-2022")</f>
        <v/>
      </c>
      <c r="X86">
        <f>HYPERLINK("https://klasma.github.io/Logging_2482/tillsyn/A 40987-2022 tillsynsbegäran.docx", "A 40987-2022")</f>
        <v/>
      </c>
      <c r="Y86">
        <f>HYPERLINK("https://klasma.github.io/Logging_2482/tillsynsmail/A 40987-2022 tillsynsbegäran mail.docx", "A 40987-2022")</f>
        <v/>
      </c>
    </row>
    <row r="87" ht="15" customHeight="1">
      <c r="A87" t="inlineStr">
        <is>
          <t>A 41412-2022</t>
        </is>
      </c>
      <c r="B87" s="1" t="n">
        <v>44826</v>
      </c>
      <c r="C87" s="1" t="n">
        <v>45338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Gränsticka
Ullticka
Vedticka</t>
        </is>
      </c>
      <c r="S87">
        <f>HYPERLINK("https://klasma.github.io/Logging_2482/artfynd/A 41412-2022 artfynd.xlsx", "A 41412-2022")</f>
        <v/>
      </c>
      <c r="T87">
        <f>HYPERLINK("https://klasma.github.io/Logging_2482/kartor/A 41412-2022 karta.png", "A 41412-2022")</f>
        <v/>
      </c>
      <c r="V87">
        <f>HYPERLINK("https://klasma.github.io/Logging_2482/klagomål/A 41412-2022 FSC-klagomål.docx", "A 41412-2022")</f>
        <v/>
      </c>
      <c r="W87">
        <f>HYPERLINK("https://klasma.github.io/Logging_2482/klagomålsmail/A 41412-2022 FSC-klagomål mail.docx", "A 41412-2022")</f>
        <v/>
      </c>
      <c r="X87">
        <f>HYPERLINK("https://klasma.github.io/Logging_2482/tillsyn/A 41412-2022 tillsynsbegäran.docx", "A 41412-2022")</f>
        <v/>
      </c>
      <c r="Y87">
        <f>HYPERLINK("https://klasma.github.io/Logging_2482/tillsynsmail/A 41412-2022 tillsynsbegäran mail.docx", "A 41412-2022")</f>
        <v/>
      </c>
    </row>
    <row r="88" ht="15" customHeight="1">
      <c r="A88" t="inlineStr">
        <is>
          <t>A 42687-2022</t>
        </is>
      </c>
      <c r="B88" s="1" t="n">
        <v>44831</v>
      </c>
      <c r="C88" s="1" t="n">
        <v>45338</v>
      </c>
      <c r="D88" t="inlineStr">
        <is>
          <t>VÄSTERBOTTENS LÄN</t>
        </is>
      </c>
      <c r="E88" t="inlineStr">
        <is>
          <t>SKELLEFTEÅ</t>
        </is>
      </c>
      <c r="G88" t="n">
        <v>2.7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Stjärntagging
Ullticka</t>
        </is>
      </c>
      <c r="S88">
        <f>HYPERLINK("https://klasma.github.io/Logging_2482/artfynd/A 42687-2022 artfynd.xlsx", "A 42687-2022")</f>
        <v/>
      </c>
      <c r="T88">
        <f>HYPERLINK("https://klasma.github.io/Logging_2482/kartor/A 42687-2022 karta.png", "A 42687-2022")</f>
        <v/>
      </c>
      <c r="V88">
        <f>HYPERLINK("https://klasma.github.io/Logging_2482/klagomål/A 42687-2022 FSC-klagomål.docx", "A 42687-2022")</f>
        <v/>
      </c>
      <c r="W88">
        <f>HYPERLINK("https://klasma.github.io/Logging_2482/klagomålsmail/A 42687-2022 FSC-klagomål mail.docx", "A 42687-2022")</f>
        <v/>
      </c>
      <c r="X88">
        <f>HYPERLINK("https://klasma.github.io/Logging_2482/tillsyn/A 42687-2022 tillsynsbegäran.docx", "A 42687-2022")</f>
        <v/>
      </c>
      <c r="Y88">
        <f>HYPERLINK("https://klasma.github.io/Logging_2482/tillsynsmail/A 42687-2022 tillsynsbegäran mail.docx", "A 42687-2022")</f>
        <v/>
      </c>
    </row>
    <row r="89" ht="15" customHeight="1">
      <c r="A89" t="inlineStr">
        <is>
          <t>A 51945-2022</t>
        </is>
      </c>
      <c r="B89" s="1" t="n">
        <v>44872</v>
      </c>
      <c r="C89" s="1" t="n">
        <v>45338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Trådticka
Lopplummer
Revlummer</t>
        </is>
      </c>
      <c r="S89">
        <f>HYPERLINK("https://klasma.github.io/Logging_2482/artfynd/A 51945-2022 artfynd.xlsx", "A 51945-2022")</f>
        <v/>
      </c>
      <c r="T89">
        <f>HYPERLINK("https://klasma.github.io/Logging_2482/kartor/A 51945-2022 karta.png", "A 51945-2022")</f>
        <v/>
      </c>
      <c r="V89">
        <f>HYPERLINK("https://klasma.github.io/Logging_2482/klagomål/A 51945-2022 FSC-klagomål.docx", "A 51945-2022")</f>
        <v/>
      </c>
      <c r="W89">
        <f>HYPERLINK("https://klasma.github.io/Logging_2482/klagomålsmail/A 51945-2022 FSC-klagomål mail.docx", "A 51945-2022")</f>
        <v/>
      </c>
      <c r="X89">
        <f>HYPERLINK("https://klasma.github.io/Logging_2482/tillsyn/A 51945-2022 tillsynsbegäran.docx", "A 51945-2022")</f>
        <v/>
      </c>
      <c r="Y89">
        <f>HYPERLINK("https://klasma.github.io/Logging_2482/tillsynsmail/A 51945-2022 tillsynsbegäran mail.docx", "A 51945-2022")</f>
        <v/>
      </c>
    </row>
    <row r="90" ht="15" customHeight="1">
      <c r="A90" t="inlineStr">
        <is>
          <t>A 41099-2023</t>
        </is>
      </c>
      <c r="B90" s="1" t="n">
        <v>45173</v>
      </c>
      <c r="C90" s="1" t="n">
        <v>45338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7.3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Lunglav</t>
        </is>
      </c>
      <c r="S90">
        <f>HYPERLINK("https://klasma.github.io/Logging_2482/artfynd/A 41099-2023 artfynd.xlsx", "A 41099-2023")</f>
        <v/>
      </c>
      <c r="T90">
        <f>HYPERLINK("https://klasma.github.io/Logging_2482/kartor/A 41099-2023 karta.png", "A 41099-2023")</f>
        <v/>
      </c>
      <c r="V90">
        <f>HYPERLINK("https://klasma.github.io/Logging_2482/klagomål/A 41099-2023 FSC-klagomål.docx", "A 41099-2023")</f>
        <v/>
      </c>
      <c r="W90">
        <f>HYPERLINK("https://klasma.github.io/Logging_2482/klagomålsmail/A 41099-2023 FSC-klagomål mail.docx", "A 41099-2023")</f>
        <v/>
      </c>
      <c r="X90">
        <f>HYPERLINK("https://klasma.github.io/Logging_2482/tillsyn/A 41099-2023 tillsynsbegäran.docx", "A 41099-2023")</f>
        <v/>
      </c>
      <c r="Y90">
        <f>HYPERLINK("https://klasma.github.io/Logging_2482/tillsynsmail/A 41099-2023 tillsynsbegäran mail.docx", "A 41099-2023")</f>
        <v/>
      </c>
    </row>
    <row r="91" ht="15" customHeight="1">
      <c r="A91" t="inlineStr">
        <is>
          <t>A 44152-2023</t>
        </is>
      </c>
      <c r="B91" s="1" t="n">
        <v>45188</v>
      </c>
      <c r="C91" s="1" t="n">
        <v>45338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9.199999999999999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Videsparv</t>
        </is>
      </c>
      <c r="S91">
        <f>HYPERLINK("https://klasma.github.io/Logging_2482/artfynd/A 44152-2023 artfynd.xlsx", "A 44152-2023")</f>
        <v/>
      </c>
      <c r="T91">
        <f>HYPERLINK("https://klasma.github.io/Logging_2482/kartor/A 44152-2023 karta.png", "A 44152-2023")</f>
        <v/>
      </c>
      <c r="V91">
        <f>HYPERLINK("https://klasma.github.io/Logging_2482/klagomål/A 44152-2023 FSC-klagomål.docx", "A 44152-2023")</f>
        <v/>
      </c>
      <c r="W91">
        <f>HYPERLINK("https://klasma.github.io/Logging_2482/klagomålsmail/A 44152-2023 FSC-klagomål mail.docx", "A 44152-2023")</f>
        <v/>
      </c>
      <c r="X91">
        <f>HYPERLINK("https://klasma.github.io/Logging_2482/tillsyn/A 44152-2023 tillsynsbegäran.docx", "A 44152-2023")</f>
        <v/>
      </c>
      <c r="Y91">
        <f>HYPERLINK("https://klasma.github.io/Logging_2482/tillsynsmail/A 44152-2023 tillsynsbegäran mail.docx", "A 44152-2023")</f>
        <v/>
      </c>
      <c r="Z91">
        <f>HYPERLINK("https://klasma.github.io/Logging_2482/fåglar/A 44152-2023 prioriterade fågelarter.docx", "A 44152-2023")</f>
        <v/>
      </c>
    </row>
    <row r="92" ht="15" customHeight="1">
      <c r="A92" t="inlineStr">
        <is>
          <t>A 56435-2023</t>
        </is>
      </c>
      <c r="B92" s="1" t="n">
        <v>45243</v>
      </c>
      <c r="C92" s="1" t="n">
        <v>45338</v>
      </c>
      <c r="D92" t="inlineStr">
        <is>
          <t>VÄSTERBOTTENS LÄN</t>
        </is>
      </c>
      <c r="E92" t="inlineStr">
        <is>
          <t>SKELLEFTEÅ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Lunglav
Ullticka
Violettgrå tagellav</t>
        </is>
      </c>
      <c r="S92">
        <f>HYPERLINK("https://klasma.github.io/Logging_2482/artfynd/A 56435-2023 artfynd.xlsx", "A 56435-2023")</f>
        <v/>
      </c>
      <c r="T92">
        <f>HYPERLINK("https://klasma.github.io/Logging_2482/kartor/A 56435-2023 karta.png", "A 56435-2023")</f>
        <v/>
      </c>
      <c r="V92">
        <f>HYPERLINK("https://klasma.github.io/Logging_2482/klagomål/A 56435-2023 FSC-klagomål.docx", "A 56435-2023")</f>
        <v/>
      </c>
      <c r="W92">
        <f>HYPERLINK("https://klasma.github.io/Logging_2482/klagomålsmail/A 56435-2023 FSC-klagomål mail.docx", "A 56435-2023")</f>
        <v/>
      </c>
      <c r="X92">
        <f>HYPERLINK("https://klasma.github.io/Logging_2482/tillsyn/A 56435-2023 tillsynsbegäran.docx", "A 56435-2023")</f>
        <v/>
      </c>
      <c r="Y92">
        <f>HYPERLINK("https://klasma.github.io/Logging_2482/tillsynsmail/A 56435-2023 tillsynsbegäran mail.docx", "A 56435-2023")</f>
        <v/>
      </c>
    </row>
    <row r="93" ht="15" customHeight="1">
      <c r="A93" t="inlineStr">
        <is>
          <t>A 62346-2023</t>
        </is>
      </c>
      <c r="B93" s="1" t="n">
        <v>45267</v>
      </c>
      <c r="C93" s="1" t="n">
        <v>45338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Ullticka
Violettgrå tagellav</t>
        </is>
      </c>
      <c r="S93">
        <f>HYPERLINK("https://klasma.github.io/Logging_2482/artfynd/A 62346-2023 artfynd.xlsx", "A 62346-2023")</f>
        <v/>
      </c>
      <c r="T93">
        <f>HYPERLINK("https://klasma.github.io/Logging_2482/kartor/A 62346-2023 karta.png", "A 62346-2023")</f>
        <v/>
      </c>
      <c r="V93">
        <f>HYPERLINK("https://klasma.github.io/Logging_2482/klagomål/A 62346-2023 FSC-klagomål.docx", "A 62346-2023")</f>
        <v/>
      </c>
      <c r="W93">
        <f>HYPERLINK("https://klasma.github.io/Logging_2482/klagomålsmail/A 62346-2023 FSC-klagomål mail.docx", "A 62346-2023")</f>
        <v/>
      </c>
      <c r="X93">
        <f>HYPERLINK("https://klasma.github.io/Logging_2482/tillsyn/A 62346-2023 tillsynsbegäran.docx", "A 62346-2023")</f>
        <v/>
      </c>
      <c r="Y93">
        <f>HYPERLINK("https://klasma.github.io/Logging_2482/tillsynsmail/A 62346-2023 tillsynsbegäran mail.docx", "A 62346-2023")</f>
        <v/>
      </c>
    </row>
    <row r="94" ht="15" customHeight="1">
      <c r="A94" t="inlineStr">
        <is>
          <t>A 62595-2023</t>
        </is>
      </c>
      <c r="B94" s="1" t="n">
        <v>45267</v>
      </c>
      <c r="C94" s="1" t="n">
        <v>45338</v>
      </c>
      <c r="D94" t="inlineStr">
        <is>
          <t>VÄSTERBOTTENS LÄN</t>
        </is>
      </c>
      <c r="E94" t="inlineStr">
        <is>
          <t>SKELLEFTEÅ</t>
        </is>
      </c>
      <c r="G94" t="n">
        <v>4.6</v>
      </c>
      <c r="H94" t="n">
        <v>2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Vedticka
Fläcknycklar</t>
        </is>
      </c>
      <c r="S94">
        <f>HYPERLINK("https://klasma.github.io/Logging_2482/artfynd/A 62595-2023 artfynd.xlsx", "A 62595-2023")</f>
        <v/>
      </c>
      <c r="T94">
        <f>HYPERLINK("https://klasma.github.io/Logging_2482/kartor/A 62595-2023 karta.png", "A 62595-2023")</f>
        <v/>
      </c>
      <c r="V94">
        <f>HYPERLINK("https://klasma.github.io/Logging_2482/klagomål/A 62595-2023 FSC-klagomål.docx", "A 62595-2023")</f>
        <v/>
      </c>
      <c r="W94">
        <f>HYPERLINK("https://klasma.github.io/Logging_2482/klagomålsmail/A 62595-2023 FSC-klagomål mail.docx", "A 62595-2023")</f>
        <v/>
      </c>
      <c r="X94">
        <f>HYPERLINK("https://klasma.github.io/Logging_2482/tillsyn/A 62595-2023 tillsynsbegäran.docx", "A 62595-2023")</f>
        <v/>
      </c>
      <c r="Y94">
        <f>HYPERLINK("https://klasma.github.io/Logging_2482/tillsynsmail/A 62595-2023 tillsynsbegäran mail.docx", "A 62595-2023")</f>
        <v/>
      </c>
      <c r="Z94">
        <f>HYPERLINK("https://klasma.github.io/Logging_2482/fåglar/A 62595-2023 prioriterade fågelarter.docx", "A 62595-2023")</f>
        <v/>
      </c>
    </row>
    <row r="95" ht="15" customHeight="1">
      <c r="A95" t="inlineStr">
        <is>
          <t>A 64850-2023</t>
        </is>
      </c>
      <c r="B95" s="1" t="n">
        <v>45282</v>
      </c>
      <c r="C95" s="1" t="n">
        <v>45338</v>
      </c>
      <c r="D95" t="inlineStr">
        <is>
          <t>VÄSTERBOTTENS LÄN</t>
        </is>
      </c>
      <c r="E95" t="inlineStr">
        <is>
          <t>SKELLEFTEÅ</t>
        </is>
      </c>
      <c r="G95" t="n">
        <v>9.9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Garnlav
Ullticka</t>
        </is>
      </c>
      <c r="S95">
        <f>HYPERLINK("https://klasma.github.io/Logging_2482/artfynd/A 64850-2023 artfynd.xlsx", "A 64850-2023")</f>
        <v/>
      </c>
      <c r="T95">
        <f>HYPERLINK("https://klasma.github.io/Logging_2482/kartor/A 64850-2023 karta.png", "A 64850-2023")</f>
        <v/>
      </c>
      <c r="V95">
        <f>HYPERLINK("https://klasma.github.io/Logging_2482/klagomål/A 64850-2023 FSC-klagomål.docx", "A 64850-2023")</f>
        <v/>
      </c>
      <c r="W95">
        <f>HYPERLINK("https://klasma.github.io/Logging_2482/klagomålsmail/A 64850-2023 FSC-klagomål mail.docx", "A 64850-2023")</f>
        <v/>
      </c>
      <c r="X95">
        <f>HYPERLINK("https://klasma.github.io/Logging_2482/tillsyn/A 64850-2023 tillsynsbegäran.docx", "A 64850-2023")</f>
        <v/>
      </c>
      <c r="Y95">
        <f>HYPERLINK("https://klasma.github.io/Logging_2482/tillsynsmail/A 64850-2023 tillsynsbegäran mail.docx", "A 64850-2023")</f>
        <v/>
      </c>
    </row>
    <row r="96" ht="15" customHeight="1">
      <c r="A96" t="inlineStr">
        <is>
          <t>A 61019-2018</t>
        </is>
      </c>
      <c r="B96" s="1" t="n">
        <v>43412</v>
      </c>
      <c r="C96" s="1" t="n">
        <v>45338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Rödvingetrast
Spillkråka</t>
        </is>
      </c>
      <c r="S96">
        <f>HYPERLINK("https://klasma.github.io/Logging_2482/artfynd/A 61019-2018 artfynd.xlsx", "A 61019-2018")</f>
        <v/>
      </c>
      <c r="T96">
        <f>HYPERLINK("https://klasma.github.io/Logging_2482/kartor/A 61019-2018 karta.png", "A 61019-2018")</f>
        <v/>
      </c>
      <c r="V96">
        <f>HYPERLINK("https://klasma.github.io/Logging_2482/klagomål/A 61019-2018 FSC-klagomål.docx", "A 61019-2018")</f>
        <v/>
      </c>
      <c r="W96">
        <f>HYPERLINK("https://klasma.github.io/Logging_2482/klagomålsmail/A 61019-2018 FSC-klagomål mail.docx", "A 61019-2018")</f>
        <v/>
      </c>
      <c r="X96">
        <f>HYPERLINK("https://klasma.github.io/Logging_2482/tillsyn/A 61019-2018 tillsynsbegäran.docx", "A 61019-2018")</f>
        <v/>
      </c>
      <c r="Y96">
        <f>HYPERLINK("https://klasma.github.io/Logging_2482/tillsynsmail/A 61019-2018 tillsynsbegäran mail.docx", "A 61019-2018")</f>
        <v/>
      </c>
      <c r="Z96">
        <f>HYPERLINK("https://klasma.github.io/Logging_2482/fåglar/A 61019-2018 prioriterade fågelarter.docx", "A 61019-2018")</f>
        <v/>
      </c>
    </row>
    <row r="97" ht="15" customHeight="1">
      <c r="A97" t="inlineStr">
        <is>
          <t>A 67241-2018</t>
        </is>
      </c>
      <c r="B97" s="1" t="n">
        <v>43431</v>
      </c>
      <c r="C97" s="1" t="n">
        <v>45338</v>
      </c>
      <c r="D97" t="inlineStr">
        <is>
          <t>VÄSTERBOTTENS LÄN</t>
        </is>
      </c>
      <c r="E97" t="inlineStr">
        <is>
          <t>SKELLEFTEÅ</t>
        </is>
      </c>
      <c r="G97" t="n">
        <v>6.5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Fläckporing
Gammelgransskål</t>
        </is>
      </c>
      <c r="S97">
        <f>HYPERLINK("https://klasma.github.io/Logging_2482/artfynd/A 67241-2018 artfynd.xlsx", "A 67241-2018")</f>
        <v/>
      </c>
      <c r="T97">
        <f>HYPERLINK("https://klasma.github.io/Logging_2482/kartor/A 67241-2018 karta.png", "A 67241-2018")</f>
        <v/>
      </c>
      <c r="V97">
        <f>HYPERLINK("https://klasma.github.io/Logging_2482/klagomål/A 67241-2018 FSC-klagomål.docx", "A 67241-2018")</f>
        <v/>
      </c>
      <c r="W97">
        <f>HYPERLINK("https://klasma.github.io/Logging_2482/klagomålsmail/A 67241-2018 FSC-klagomål mail.docx", "A 67241-2018")</f>
        <v/>
      </c>
      <c r="X97">
        <f>HYPERLINK("https://klasma.github.io/Logging_2482/tillsyn/A 67241-2018 tillsynsbegäran.docx", "A 67241-2018")</f>
        <v/>
      </c>
      <c r="Y97">
        <f>HYPERLINK("https://klasma.github.io/Logging_2482/tillsynsmail/A 67241-2018 tillsynsbegäran mail.docx", "A 67241-2018")</f>
        <v/>
      </c>
    </row>
    <row r="98" ht="15" customHeight="1">
      <c r="A98" t="inlineStr">
        <is>
          <t>A 2764-2019</t>
        </is>
      </c>
      <c r="B98" s="1" t="n">
        <v>43479</v>
      </c>
      <c r="C98" s="1" t="n">
        <v>45338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Violettgrå tagellav</t>
        </is>
      </c>
      <c r="S98">
        <f>HYPERLINK("https://klasma.github.io/Logging_2482/artfynd/A 2764-2019 artfynd.xlsx", "A 2764-2019")</f>
        <v/>
      </c>
      <c r="T98">
        <f>HYPERLINK("https://klasma.github.io/Logging_2482/kartor/A 2764-2019 karta.png", "A 2764-2019")</f>
        <v/>
      </c>
      <c r="V98">
        <f>HYPERLINK("https://klasma.github.io/Logging_2482/klagomål/A 2764-2019 FSC-klagomål.docx", "A 2764-2019")</f>
        <v/>
      </c>
      <c r="W98">
        <f>HYPERLINK("https://klasma.github.io/Logging_2482/klagomålsmail/A 2764-2019 FSC-klagomål mail.docx", "A 2764-2019")</f>
        <v/>
      </c>
      <c r="X98">
        <f>HYPERLINK("https://klasma.github.io/Logging_2482/tillsyn/A 2764-2019 tillsynsbegäran.docx", "A 2764-2019")</f>
        <v/>
      </c>
      <c r="Y98">
        <f>HYPERLINK("https://klasma.github.io/Logging_2482/tillsynsmail/A 2764-2019 tillsynsbegäran mail.docx", "A 2764-2019")</f>
        <v/>
      </c>
    </row>
    <row r="99" ht="15" customHeight="1">
      <c r="A99" t="inlineStr">
        <is>
          <t>A 4756-2019</t>
        </is>
      </c>
      <c r="B99" s="1" t="n">
        <v>43486</v>
      </c>
      <c r="C99" s="1" t="n">
        <v>45338</v>
      </c>
      <c r="D99" t="inlineStr">
        <is>
          <t>VÄSTERBOTTENS LÄN</t>
        </is>
      </c>
      <c r="E99" t="inlineStr">
        <is>
          <t>SKELLEFTEÅ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HYPERLINK("https://klasma.github.io/Logging_2482/artfynd/A 4756-2019 artfynd.xlsx", "A 4756-2019")</f>
        <v/>
      </c>
      <c r="T99">
        <f>HYPERLINK("https://klasma.github.io/Logging_2482/kartor/A 4756-2019 karta.png", "A 4756-2019")</f>
        <v/>
      </c>
      <c r="V99">
        <f>HYPERLINK("https://klasma.github.io/Logging_2482/klagomål/A 4756-2019 FSC-klagomål.docx", "A 4756-2019")</f>
        <v/>
      </c>
      <c r="W99">
        <f>HYPERLINK("https://klasma.github.io/Logging_2482/klagomålsmail/A 4756-2019 FSC-klagomål mail.docx", "A 4756-2019")</f>
        <v/>
      </c>
      <c r="X99">
        <f>HYPERLINK("https://klasma.github.io/Logging_2482/tillsyn/A 4756-2019 tillsynsbegäran.docx", "A 4756-2019")</f>
        <v/>
      </c>
      <c r="Y99">
        <f>HYPERLINK("https://klasma.github.io/Logging_2482/tillsynsmail/A 4756-2019 tillsynsbegäran mail.docx", "A 4756-2019")</f>
        <v/>
      </c>
    </row>
    <row r="100" ht="15" customHeight="1">
      <c r="A100" t="inlineStr">
        <is>
          <t>A 9403-2019</t>
        </is>
      </c>
      <c r="B100" s="1" t="n">
        <v>43507</v>
      </c>
      <c r="C100" s="1" t="n">
        <v>45338</v>
      </c>
      <c r="D100" t="inlineStr">
        <is>
          <t>VÄSTERBOTTENS LÄN</t>
        </is>
      </c>
      <c r="E100" t="inlineStr">
        <is>
          <t>SKELLEFTEÅ</t>
        </is>
      </c>
      <c r="G100" t="n">
        <v>0.8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Knärot
Ullticka</t>
        </is>
      </c>
      <c r="S100">
        <f>HYPERLINK("https://klasma.github.io/Logging_2482/artfynd/A 9403-2019 artfynd.xlsx", "A 9403-2019")</f>
        <v/>
      </c>
      <c r="T100">
        <f>HYPERLINK("https://klasma.github.io/Logging_2482/kartor/A 9403-2019 karta.png", "A 9403-2019")</f>
        <v/>
      </c>
      <c r="U100">
        <f>HYPERLINK("https://klasma.github.io/Logging_2482/knärot/A 9403-2019 karta knärot.png", "A 9403-2019")</f>
        <v/>
      </c>
      <c r="V100">
        <f>HYPERLINK("https://klasma.github.io/Logging_2482/klagomål/A 9403-2019 FSC-klagomål.docx", "A 9403-2019")</f>
        <v/>
      </c>
      <c r="W100">
        <f>HYPERLINK("https://klasma.github.io/Logging_2482/klagomålsmail/A 9403-2019 FSC-klagomål mail.docx", "A 9403-2019")</f>
        <v/>
      </c>
      <c r="X100">
        <f>HYPERLINK("https://klasma.github.io/Logging_2482/tillsyn/A 9403-2019 tillsynsbegäran.docx", "A 9403-2019")</f>
        <v/>
      </c>
      <c r="Y100">
        <f>HYPERLINK("https://klasma.github.io/Logging_2482/tillsynsmail/A 9403-2019 tillsynsbegäran mail.docx", "A 9403-2019")</f>
        <v/>
      </c>
    </row>
    <row r="101" ht="15" customHeight="1">
      <c r="A101" t="inlineStr">
        <is>
          <t>A 14561-2019</t>
        </is>
      </c>
      <c r="B101" s="1" t="n">
        <v>43535</v>
      </c>
      <c r="C101" s="1" t="n">
        <v>45338</v>
      </c>
      <c r="D101" t="inlineStr">
        <is>
          <t>VÄSTERBOTTENS LÄN</t>
        </is>
      </c>
      <c r="E101" t="inlineStr">
        <is>
          <t>SKELLEFTEÅ</t>
        </is>
      </c>
      <c r="G101" t="n">
        <v>3.2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Gammelgransskål
Granticka</t>
        </is>
      </c>
      <c r="S101">
        <f>HYPERLINK("https://klasma.github.io/Logging_2482/artfynd/A 14561-2019 artfynd.xlsx", "A 14561-2019")</f>
        <v/>
      </c>
      <c r="T101">
        <f>HYPERLINK("https://klasma.github.io/Logging_2482/kartor/A 14561-2019 karta.png", "A 14561-2019")</f>
        <v/>
      </c>
      <c r="V101">
        <f>HYPERLINK("https://klasma.github.io/Logging_2482/klagomål/A 14561-2019 FSC-klagomål.docx", "A 14561-2019")</f>
        <v/>
      </c>
      <c r="W101">
        <f>HYPERLINK("https://klasma.github.io/Logging_2482/klagomålsmail/A 14561-2019 FSC-klagomål mail.docx", "A 14561-2019")</f>
        <v/>
      </c>
      <c r="X101">
        <f>HYPERLINK("https://klasma.github.io/Logging_2482/tillsyn/A 14561-2019 tillsynsbegäran.docx", "A 14561-2019")</f>
        <v/>
      </c>
      <c r="Y101">
        <f>HYPERLINK("https://klasma.github.io/Logging_2482/tillsynsmail/A 14561-2019 tillsynsbegäran mail.docx", "A 14561-2019")</f>
        <v/>
      </c>
    </row>
    <row r="102" ht="15" customHeight="1">
      <c r="A102" t="inlineStr">
        <is>
          <t>A 18882-2019</t>
        </is>
      </c>
      <c r="B102" s="1" t="n">
        <v>43563</v>
      </c>
      <c r="C102" s="1" t="n">
        <v>45338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Kommuner</t>
        </is>
      </c>
      <c r="G102" t="n">
        <v>33.1</v>
      </c>
      <c r="H102" t="n">
        <v>2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Plattlummer
Revlummer</t>
        </is>
      </c>
      <c r="S102">
        <f>HYPERLINK("https://klasma.github.io/Logging_2482/artfynd/A 18882-2019 artfynd.xlsx", "A 18882-2019")</f>
        <v/>
      </c>
      <c r="T102">
        <f>HYPERLINK("https://klasma.github.io/Logging_2482/kartor/A 18882-2019 karta.png", "A 18882-2019")</f>
        <v/>
      </c>
      <c r="V102">
        <f>HYPERLINK("https://klasma.github.io/Logging_2482/klagomål/A 18882-2019 FSC-klagomål.docx", "A 18882-2019")</f>
        <v/>
      </c>
      <c r="W102">
        <f>HYPERLINK("https://klasma.github.io/Logging_2482/klagomålsmail/A 18882-2019 FSC-klagomål mail.docx", "A 18882-2019")</f>
        <v/>
      </c>
      <c r="X102">
        <f>HYPERLINK("https://klasma.github.io/Logging_2482/tillsyn/A 18882-2019 tillsynsbegäran.docx", "A 18882-2019")</f>
        <v/>
      </c>
      <c r="Y102">
        <f>HYPERLINK("https://klasma.github.io/Logging_2482/tillsynsmail/A 18882-2019 tillsynsbegäran mail.docx", "A 18882-2019")</f>
        <v/>
      </c>
    </row>
    <row r="103" ht="15" customHeight="1">
      <c r="A103" t="inlineStr">
        <is>
          <t>A 29514-2019</t>
        </is>
      </c>
      <c r="B103" s="1" t="n">
        <v>43627</v>
      </c>
      <c r="C103" s="1" t="n">
        <v>45338</v>
      </c>
      <c r="D103" t="inlineStr">
        <is>
          <t>VÄSTERBOTTENS LÄN</t>
        </is>
      </c>
      <c r="E103" t="inlineStr">
        <is>
          <t>SKELLEFTEÅ</t>
        </is>
      </c>
      <c r="G103" t="n">
        <v>9.5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Ullticka
Lappranunkel</t>
        </is>
      </c>
      <c r="S103">
        <f>HYPERLINK("https://klasma.github.io/Logging_2482/artfynd/A 29514-2019 artfynd.xlsx", "A 29514-2019")</f>
        <v/>
      </c>
      <c r="T103">
        <f>HYPERLINK("https://klasma.github.io/Logging_2482/kartor/A 29514-2019 karta.png", "A 29514-2019")</f>
        <v/>
      </c>
      <c r="V103">
        <f>HYPERLINK("https://klasma.github.io/Logging_2482/klagomål/A 29514-2019 FSC-klagomål.docx", "A 29514-2019")</f>
        <v/>
      </c>
      <c r="W103">
        <f>HYPERLINK("https://klasma.github.io/Logging_2482/klagomålsmail/A 29514-2019 FSC-klagomål mail.docx", "A 29514-2019")</f>
        <v/>
      </c>
      <c r="X103">
        <f>HYPERLINK("https://klasma.github.io/Logging_2482/tillsyn/A 29514-2019 tillsynsbegäran.docx", "A 29514-2019")</f>
        <v/>
      </c>
      <c r="Y103">
        <f>HYPERLINK("https://klasma.github.io/Logging_2482/tillsynsmail/A 29514-2019 tillsynsbegäran mail.docx", "A 29514-2019")</f>
        <v/>
      </c>
    </row>
    <row r="104" ht="15" customHeight="1">
      <c r="A104" t="inlineStr">
        <is>
          <t>A 35097-2019</t>
        </is>
      </c>
      <c r="B104" s="1" t="n">
        <v>43661</v>
      </c>
      <c r="C104" s="1" t="n">
        <v>45338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19.2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Grönhjon
Bronshjon</t>
        </is>
      </c>
      <c r="S104">
        <f>HYPERLINK("https://klasma.github.io/Logging_2482/artfynd/A 35097-2019 artfynd.xlsx", "A 35097-2019")</f>
        <v/>
      </c>
      <c r="T104">
        <f>HYPERLINK("https://klasma.github.io/Logging_2482/kartor/A 35097-2019 karta.png", "A 35097-2019")</f>
        <v/>
      </c>
      <c r="V104">
        <f>HYPERLINK("https://klasma.github.io/Logging_2482/klagomål/A 35097-2019 FSC-klagomål.docx", "A 35097-2019")</f>
        <v/>
      </c>
      <c r="W104">
        <f>HYPERLINK("https://klasma.github.io/Logging_2482/klagomålsmail/A 35097-2019 FSC-klagomål mail.docx", "A 35097-2019")</f>
        <v/>
      </c>
      <c r="X104">
        <f>HYPERLINK("https://klasma.github.io/Logging_2482/tillsyn/A 35097-2019 tillsynsbegäran.docx", "A 35097-2019")</f>
        <v/>
      </c>
      <c r="Y104">
        <f>HYPERLINK("https://klasma.github.io/Logging_2482/tillsynsmail/A 35097-2019 tillsynsbegäran mail.docx", "A 35097-2019")</f>
        <v/>
      </c>
    </row>
    <row r="105" ht="15" customHeight="1">
      <c r="A105" t="inlineStr">
        <is>
          <t>A 46354-2019</t>
        </is>
      </c>
      <c r="B105" s="1" t="n">
        <v>43718</v>
      </c>
      <c r="C105" s="1" t="n">
        <v>45338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SCA</t>
        </is>
      </c>
      <c r="G105" t="n">
        <v>5.5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Vanlig groda
Revlummer</t>
        </is>
      </c>
      <c r="S105">
        <f>HYPERLINK("https://klasma.github.io/Logging_2482/artfynd/A 46354-2019 artfynd.xlsx", "A 46354-2019")</f>
        <v/>
      </c>
      <c r="T105">
        <f>HYPERLINK("https://klasma.github.io/Logging_2482/kartor/A 46354-2019 karta.png", "A 46354-2019")</f>
        <v/>
      </c>
      <c r="V105">
        <f>HYPERLINK("https://klasma.github.io/Logging_2482/klagomål/A 46354-2019 FSC-klagomål.docx", "A 46354-2019")</f>
        <v/>
      </c>
      <c r="W105">
        <f>HYPERLINK("https://klasma.github.io/Logging_2482/klagomålsmail/A 46354-2019 FSC-klagomål mail.docx", "A 46354-2019")</f>
        <v/>
      </c>
      <c r="X105">
        <f>HYPERLINK("https://klasma.github.io/Logging_2482/tillsyn/A 46354-2019 tillsynsbegäran.docx", "A 46354-2019")</f>
        <v/>
      </c>
      <c r="Y105">
        <f>HYPERLINK("https://klasma.github.io/Logging_2482/tillsynsmail/A 46354-2019 tillsynsbegäran mail.docx", "A 46354-2019")</f>
        <v/>
      </c>
    </row>
    <row r="106" ht="15" customHeight="1">
      <c r="A106" t="inlineStr">
        <is>
          <t>A 63593-2019</t>
        </is>
      </c>
      <c r="B106" s="1" t="n">
        <v>43780</v>
      </c>
      <c r="C106" s="1" t="n">
        <v>45338</v>
      </c>
      <c r="D106" t="inlineStr">
        <is>
          <t>VÄSTERBOTTENS LÄN</t>
        </is>
      </c>
      <c r="E106" t="inlineStr">
        <is>
          <t>SKELLEFTEÅ</t>
        </is>
      </c>
      <c r="G106" t="n">
        <v>37.6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Grenlav
Revlummer</t>
        </is>
      </c>
      <c r="S106">
        <f>HYPERLINK("https://klasma.github.io/Logging_2482/artfynd/A 63593-2019 artfynd.xlsx", "A 63593-2019")</f>
        <v/>
      </c>
      <c r="T106">
        <f>HYPERLINK("https://klasma.github.io/Logging_2482/kartor/A 63593-2019 karta.png", "A 63593-2019")</f>
        <v/>
      </c>
      <c r="V106">
        <f>HYPERLINK("https://klasma.github.io/Logging_2482/klagomål/A 63593-2019 FSC-klagomål.docx", "A 63593-2019")</f>
        <v/>
      </c>
      <c r="W106">
        <f>HYPERLINK("https://klasma.github.io/Logging_2482/klagomålsmail/A 63593-2019 FSC-klagomål mail.docx", "A 63593-2019")</f>
        <v/>
      </c>
      <c r="X106">
        <f>HYPERLINK("https://klasma.github.io/Logging_2482/tillsyn/A 63593-2019 tillsynsbegäran.docx", "A 63593-2019")</f>
        <v/>
      </c>
      <c r="Y106">
        <f>HYPERLINK("https://klasma.github.io/Logging_2482/tillsynsmail/A 63593-2019 tillsynsbegäran mail.docx", "A 63593-2019")</f>
        <v/>
      </c>
    </row>
    <row r="107" ht="15" customHeight="1">
      <c r="A107" t="inlineStr">
        <is>
          <t>A 65623-2019</t>
        </is>
      </c>
      <c r="B107" s="1" t="n">
        <v>43804</v>
      </c>
      <c r="C107" s="1" t="n">
        <v>45338</v>
      </c>
      <c r="D107" t="inlineStr">
        <is>
          <t>VÄSTERBOTTENS LÄN</t>
        </is>
      </c>
      <c r="E107" t="inlineStr">
        <is>
          <t>SKELLEFTEÅ</t>
        </is>
      </c>
      <c r="G107" t="n">
        <v>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65623-2019 artfynd.xlsx", "A 65623-2019")</f>
        <v/>
      </c>
      <c r="T107">
        <f>HYPERLINK("https://klasma.github.io/Logging_2482/kartor/A 65623-2019 karta.png", "A 65623-2019")</f>
        <v/>
      </c>
      <c r="V107">
        <f>HYPERLINK("https://klasma.github.io/Logging_2482/klagomål/A 65623-2019 FSC-klagomål.docx", "A 65623-2019")</f>
        <v/>
      </c>
      <c r="W107">
        <f>HYPERLINK("https://klasma.github.io/Logging_2482/klagomålsmail/A 65623-2019 FSC-klagomål mail.docx", "A 65623-2019")</f>
        <v/>
      </c>
      <c r="X107">
        <f>HYPERLINK("https://klasma.github.io/Logging_2482/tillsyn/A 65623-2019 tillsynsbegäran.docx", "A 65623-2019")</f>
        <v/>
      </c>
      <c r="Y107">
        <f>HYPERLINK("https://klasma.github.io/Logging_2482/tillsynsmail/A 65623-2019 tillsynsbegäran mail.docx", "A 65623-2019")</f>
        <v/>
      </c>
    </row>
    <row r="108" ht="15" customHeight="1">
      <c r="A108" t="inlineStr">
        <is>
          <t>A 40134-2020</t>
        </is>
      </c>
      <c r="B108" s="1" t="n">
        <v>44067</v>
      </c>
      <c r="C108" s="1" t="n">
        <v>45338</v>
      </c>
      <c r="D108" t="inlineStr">
        <is>
          <t>VÄSTERBOTTENS LÄN</t>
        </is>
      </c>
      <c r="E108" t="inlineStr">
        <is>
          <t>SKELLEFTEÅ</t>
        </is>
      </c>
      <c r="G108" t="n">
        <v>6.1</v>
      </c>
      <c r="H108" t="n">
        <v>0</v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Större svartbagge
Stekelbock</t>
        </is>
      </c>
      <c r="S108">
        <f>HYPERLINK("https://klasma.github.io/Logging_2482/artfynd/A 40134-2020 artfynd.xlsx", "A 40134-2020")</f>
        <v/>
      </c>
      <c r="T108">
        <f>HYPERLINK("https://klasma.github.io/Logging_2482/kartor/A 40134-2020 karta.png", "A 40134-2020")</f>
        <v/>
      </c>
      <c r="V108">
        <f>HYPERLINK("https://klasma.github.io/Logging_2482/klagomål/A 40134-2020 FSC-klagomål.docx", "A 40134-2020")</f>
        <v/>
      </c>
      <c r="W108">
        <f>HYPERLINK("https://klasma.github.io/Logging_2482/klagomålsmail/A 40134-2020 FSC-klagomål mail.docx", "A 40134-2020")</f>
        <v/>
      </c>
      <c r="X108">
        <f>HYPERLINK("https://klasma.github.io/Logging_2482/tillsyn/A 40134-2020 tillsynsbegäran.docx", "A 40134-2020")</f>
        <v/>
      </c>
      <c r="Y108">
        <f>HYPERLINK("https://klasma.github.io/Logging_2482/tillsynsmail/A 40134-2020 tillsynsbegäran mail.docx", "A 40134-2020")</f>
        <v/>
      </c>
    </row>
    <row r="109" ht="15" customHeight="1">
      <c r="A109" t="inlineStr">
        <is>
          <t>A 53541-2020</t>
        </is>
      </c>
      <c r="B109" s="1" t="n">
        <v>44124</v>
      </c>
      <c r="C109" s="1" t="n">
        <v>45338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4.4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Motaggsvamp
Dropptaggsvamp</t>
        </is>
      </c>
      <c r="S109">
        <f>HYPERLINK("https://klasma.github.io/Logging_2482/artfynd/A 53541-2020 artfynd.xlsx", "A 53541-2020")</f>
        <v/>
      </c>
      <c r="T109">
        <f>HYPERLINK("https://klasma.github.io/Logging_2482/kartor/A 53541-2020 karta.png", "A 53541-2020")</f>
        <v/>
      </c>
      <c r="V109">
        <f>HYPERLINK("https://klasma.github.io/Logging_2482/klagomål/A 53541-2020 FSC-klagomål.docx", "A 53541-2020")</f>
        <v/>
      </c>
      <c r="W109">
        <f>HYPERLINK("https://klasma.github.io/Logging_2482/klagomålsmail/A 53541-2020 FSC-klagomål mail.docx", "A 53541-2020")</f>
        <v/>
      </c>
      <c r="X109">
        <f>HYPERLINK("https://klasma.github.io/Logging_2482/tillsyn/A 53541-2020 tillsynsbegäran.docx", "A 53541-2020")</f>
        <v/>
      </c>
      <c r="Y109">
        <f>HYPERLINK("https://klasma.github.io/Logging_2482/tillsynsmail/A 53541-2020 tillsynsbegäran mail.docx", "A 53541-2020")</f>
        <v/>
      </c>
    </row>
    <row r="110" ht="15" customHeight="1">
      <c r="A110" t="inlineStr">
        <is>
          <t>A 55809-2020</t>
        </is>
      </c>
      <c r="B110" s="1" t="n">
        <v>44132</v>
      </c>
      <c r="C110" s="1" t="n">
        <v>45338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9.9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Nordfladdermus
Fläcknycklar</t>
        </is>
      </c>
      <c r="S110">
        <f>HYPERLINK("https://klasma.github.io/Logging_2482/artfynd/A 55809-2020 artfynd.xlsx", "A 55809-2020")</f>
        <v/>
      </c>
      <c r="T110">
        <f>HYPERLINK("https://klasma.github.io/Logging_2482/kartor/A 55809-2020 karta.png", "A 55809-2020")</f>
        <v/>
      </c>
      <c r="V110">
        <f>HYPERLINK("https://klasma.github.io/Logging_2482/klagomål/A 55809-2020 FSC-klagomål.docx", "A 55809-2020")</f>
        <v/>
      </c>
      <c r="W110">
        <f>HYPERLINK("https://klasma.github.io/Logging_2482/klagomålsmail/A 55809-2020 FSC-klagomål mail.docx", "A 55809-2020")</f>
        <v/>
      </c>
      <c r="X110">
        <f>HYPERLINK("https://klasma.github.io/Logging_2482/tillsyn/A 55809-2020 tillsynsbegäran.docx", "A 55809-2020")</f>
        <v/>
      </c>
      <c r="Y110">
        <f>HYPERLINK("https://klasma.github.io/Logging_2482/tillsynsmail/A 55809-2020 tillsynsbegäran mail.docx", "A 55809-2020")</f>
        <v/>
      </c>
    </row>
    <row r="111" ht="15" customHeight="1">
      <c r="A111" t="inlineStr">
        <is>
          <t>A 64203-2020</t>
        </is>
      </c>
      <c r="B111" s="1" t="n">
        <v>44167</v>
      </c>
      <c r="C111" s="1" t="n">
        <v>45338</v>
      </c>
      <c r="D111" t="inlineStr">
        <is>
          <t>VÄSTERBOTTENS LÄN</t>
        </is>
      </c>
      <c r="E111" t="inlineStr">
        <is>
          <t>SKELLEFTEÅ</t>
        </is>
      </c>
      <c r="G111" t="n">
        <v>9.800000000000001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Brudsporre
Fläcknycklar</t>
        </is>
      </c>
      <c r="S111">
        <f>HYPERLINK("https://klasma.github.io/Logging_2482/artfynd/A 64203-2020 artfynd.xlsx", "A 64203-2020")</f>
        <v/>
      </c>
      <c r="T111">
        <f>HYPERLINK("https://klasma.github.io/Logging_2482/kartor/A 64203-2020 karta.png", "A 64203-2020")</f>
        <v/>
      </c>
      <c r="V111">
        <f>HYPERLINK("https://klasma.github.io/Logging_2482/klagomål/A 64203-2020 FSC-klagomål.docx", "A 64203-2020")</f>
        <v/>
      </c>
      <c r="W111">
        <f>HYPERLINK("https://klasma.github.io/Logging_2482/klagomålsmail/A 64203-2020 FSC-klagomål mail.docx", "A 64203-2020")</f>
        <v/>
      </c>
      <c r="X111">
        <f>HYPERLINK("https://klasma.github.io/Logging_2482/tillsyn/A 64203-2020 tillsynsbegäran.docx", "A 64203-2020")</f>
        <v/>
      </c>
      <c r="Y111">
        <f>HYPERLINK("https://klasma.github.io/Logging_2482/tillsynsmail/A 64203-2020 tillsynsbegäran mail.docx", "A 64203-2020")</f>
        <v/>
      </c>
    </row>
    <row r="112" ht="15" customHeight="1">
      <c r="A112" t="inlineStr">
        <is>
          <t>A 35733-2021</t>
        </is>
      </c>
      <c r="B112" s="1" t="n">
        <v>44385</v>
      </c>
      <c r="C112" s="1" t="n">
        <v>45338</v>
      </c>
      <c r="D112" t="inlineStr">
        <is>
          <t>VÄSTERBOTTENS LÄN</t>
        </is>
      </c>
      <c r="E112" t="inlineStr">
        <is>
          <t>SKELLEFTEÅ</t>
        </is>
      </c>
      <c r="G112" t="n">
        <v>0.9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Spillkråka
Tjäder</t>
        </is>
      </c>
      <c r="S112">
        <f>HYPERLINK("https://klasma.github.io/Logging_2482/artfynd/A 35733-2021 artfynd.xlsx", "A 35733-2021")</f>
        <v/>
      </c>
      <c r="T112">
        <f>HYPERLINK("https://klasma.github.io/Logging_2482/kartor/A 35733-2021 karta.png", "A 35733-2021")</f>
        <v/>
      </c>
      <c r="V112">
        <f>HYPERLINK("https://klasma.github.io/Logging_2482/klagomål/A 35733-2021 FSC-klagomål.docx", "A 35733-2021")</f>
        <v/>
      </c>
      <c r="W112">
        <f>HYPERLINK("https://klasma.github.io/Logging_2482/klagomålsmail/A 35733-2021 FSC-klagomål mail.docx", "A 35733-2021")</f>
        <v/>
      </c>
      <c r="X112">
        <f>HYPERLINK("https://klasma.github.io/Logging_2482/tillsyn/A 35733-2021 tillsynsbegäran.docx", "A 35733-2021")</f>
        <v/>
      </c>
      <c r="Y112">
        <f>HYPERLINK("https://klasma.github.io/Logging_2482/tillsynsmail/A 35733-2021 tillsynsbegäran mail.docx", "A 35733-2021")</f>
        <v/>
      </c>
      <c r="Z112">
        <f>HYPERLINK("https://klasma.github.io/Logging_2482/fåglar/A 35733-2021 prioriterade fågelarter.docx", "A 35733-2021")</f>
        <v/>
      </c>
    </row>
    <row r="113" ht="15" customHeight="1">
      <c r="A113" t="inlineStr">
        <is>
          <t>A 35585-2021</t>
        </is>
      </c>
      <c r="B113" s="1" t="n">
        <v>44386</v>
      </c>
      <c r="C113" s="1" t="n">
        <v>45338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8.4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Ullticka</t>
        </is>
      </c>
      <c r="S113">
        <f>HYPERLINK("https://klasma.github.io/Logging_2482/artfynd/A 35585-2021 artfynd.xlsx", "A 35585-2021")</f>
        <v/>
      </c>
      <c r="T113">
        <f>HYPERLINK("https://klasma.github.io/Logging_2482/kartor/A 35585-2021 karta.png", "A 35585-2021")</f>
        <v/>
      </c>
      <c r="V113">
        <f>HYPERLINK("https://klasma.github.io/Logging_2482/klagomål/A 35585-2021 FSC-klagomål.docx", "A 35585-2021")</f>
        <v/>
      </c>
      <c r="W113">
        <f>HYPERLINK("https://klasma.github.io/Logging_2482/klagomålsmail/A 35585-2021 FSC-klagomål mail.docx", "A 35585-2021")</f>
        <v/>
      </c>
      <c r="X113">
        <f>HYPERLINK("https://klasma.github.io/Logging_2482/tillsyn/A 35585-2021 tillsynsbegäran.docx", "A 35585-2021")</f>
        <v/>
      </c>
      <c r="Y113">
        <f>HYPERLINK("https://klasma.github.io/Logging_2482/tillsynsmail/A 35585-2021 tillsynsbegäran mail.docx", "A 35585-2021")</f>
        <v/>
      </c>
    </row>
    <row r="114" ht="15" customHeight="1">
      <c r="A114" t="inlineStr">
        <is>
          <t>A 58661-2021</t>
        </is>
      </c>
      <c r="B114" s="1" t="n">
        <v>44489</v>
      </c>
      <c r="C114" s="1" t="n">
        <v>45338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3.2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Vedskivlav
Bronshjon</t>
        </is>
      </c>
      <c r="S114">
        <f>HYPERLINK("https://klasma.github.io/Logging_2482/artfynd/A 58661-2021 artfynd.xlsx", "A 58661-2021")</f>
        <v/>
      </c>
      <c r="T114">
        <f>HYPERLINK("https://klasma.github.io/Logging_2482/kartor/A 58661-2021 karta.png", "A 58661-2021")</f>
        <v/>
      </c>
      <c r="V114">
        <f>HYPERLINK("https://klasma.github.io/Logging_2482/klagomål/A 58661-2021 FSC-klagomål.docx", "A 58661-2021")</f>
        <v/>
      </c>
      <c r="W114">
        <f>HYPERLINK("https://klasma.github.io/Logging_2482/klagomålsmail/A 58661-2021 FSC-klagomål mail.docx", "A 58661-2021")</f>
        <v/>
      </c>
      <c r="X114">
        <f>HYPERLINK("https://klasma.github.io/Logging_2482/tillsyn/A 58661-2021 tillsynsbegäran.docx", "A 58661-2021")</f>
        <v/>
      </c>
      <c r="Y114">
        <f>HYPERLINK("https://klasma.github.io/Logging_2482/tillsynsmail/A 58661-2021 tillsynsbegäran mail.docx", "A 58661-2021")</f>
        <v/>
      </c>
    </row>
    <row r="115" ht="15" customHeight="1">
      <c r="A115" t="inlineStr">
        <is>
          <t>A 58885-2021</t>
        </is>
      </c>
      <c r="B115" s="1" t="n">
        <v>44489</v>
      </c>
      <c r="C115" s="1" t="n">
        <v>45338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13.7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HYPERLINK("https://klasma.github.io/Logging_2482/artfynd/A 58885-2021 artfynd.xlsx", "A 58885-2021")</f>
        <v/>
      </c>
      <c r="T115">
        <f>HYPERLINK("https://klasma.github.io/Logging_2482/kartor/A 58885-2021 karta.png", "A 58885-2021")</f>
        <v/>
      </c>
      <c r="V115">
        <f>HYPERLINK("https://klasma.github.io/Logging_2482/klagomål/A 58885-2021 FSC-klagomål.docx", "A 58885-2021")</f>
        <v/>
      </c>
      <c r="W115">
        <f>HYPERLINK("https://klasma.github.io/Logging_2482/klagomålsmail/A 58885-2021 FSC-klagomål mail.docx", "A 58885-2021")</f>
        <v/>
      </c>
      <c r="X115">
        <f>HYPERLINK("https://klasma.github.io/Logging_2482/tillsyn/A 58885-2021 tillsynsbegäran.docx", "A 58885-2021")</f>
        <v/>
      </c>
      <c r="Y115">
        <f>HYPERLINK("https://klasma.github.io/Logging_2482/tillsynsmail/A 58885-2021 tillsynsbegäran mail.docx", "A 58885-2021")</f>
        <v/>
      </c>
    </row>
    <row r="116" ht="15" customHeight="1">
      <c r="A116" t="inlineStr">
        <is>
          <t>A 59706-2021</t>
        </is>
      </c>
      <c r="B116" s="1" t="n">
        <v>44494</v>
      </c>
      <c r="C116" s="1" t="n">
        <v>45338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Violettgrå tagellav</t>
        </is>
      </c>
      <c r="S116">
        <f>HYPERLINK("https://klasma.github.io/Logging_2482/artfynd/A 59706-2021 artfynd.xlsx", "A 59706-2021")</f>
        <v/>
      </c>
      <c r="T116">
        <f>HYPERLINK("https://klasma.github.io/Logging_2482/kartor/A 59706-2021 karta.png", "A 59706-2021")</f>
        <v/>
      </c>
      <c r="V116">
        <f>HYPERLINK("https://klasma.github.io/Logging_2482/klagomål/A 59706-2021 FSC-klagomål.docx", "A 59706-2021")</f>
        <v/>
      </c>
      <c r="W116">
        <f>HYPERLINK("https://klasma.github.io/Logging_2482/klagomålsmail/A 59706-2021 FSC-klagomål mail.docx", "A 59706-2021")</f>
        <v/>
      </c>
      <c r="X116">
        <f>HYPERLINK("https://klasma.github.io/Logging_2482/tillsyn/A 59706-2021 tillsynsbegäran.docx", "A 59706-2021")</f>
        <v/>
      </c>
      <c r="Y116">
        <f>HYPERLINK("https://klasma.github.io/Logging_2482/tillsynsmail/A 59706-2021 tillsynsbegäran mail.docx", "A 59706-2021")</f>
        <v/>
      </c>
    </row>
    <row r="117" ht="15" customHeight="1">
      <c r="A117" t="inlineStr">
        <is>
          <t>A 42694-2022</t>
        </is>
      </c>
      <c r="B117" s="1" t="n">
        <v>44831</v>
      </c>
      <c r="C117" s="1" t="n">
        <v>45338</v>
      </c>
      <c r="D117" t="inlineStr">
        <is>
          <t>VÄSTERBOTTENS LÄN</t>
        </is>
      </c>
      <c r="E117" t="inlineStr">
        <is>
          <t>SKELLEFTEÅ</t>
        </is>
      </c>
      <c r="G117" t="n">
        <v>5.6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Vedticka</t>
        </is>
      </c>
      <c r="S117">
        <f>HYPERLINK("https://klasma.github.io/Logging_2482/artfynd/A 42694-2022 artfynd.xlsx", "A 42694-2022")</f>
        <v/>
      </c>
      <c r="T117">
        <f>HYPERLINK("https://klasma.github.io/Logging_2482/kartor/A 42694-2022 karta.png", "A 42694-2022")</f>
        <v/>
      </c>
      <c r="V117">
        <f>HYPERLINK("https://klasma.github.io/Logging_2482/klagomål/A 42694-2022 FSC-klagomål.docx", "A 42694-2022")</f>
        <v/>
      </c>
      <c r="W117">
        <f>HYPERLINK("https://klasma.github.io/Logging_2482/klagomålsmail/A 42694-2022 FSC-klagomål mail.docx", "A 42694-2022")</f>
        <v/>
      </c>
      <c r="X117">
        <f>HYPERLINK("https://klasma.github.io/Logging_2482/tillsyn/A 42694-2022 tillsynsbegäran.docx", "A 42694-2022")</f>
        <v/>
      </c>
      <c r="Y117">
        <f>HYPERLINK("https://klasma.github.io/Logging_2482/tillsynsmail/A 42694-2022 tillsynsbegäran mail.docx", "A 42694-2022")</f>
        <v/>
      </c>
    </row>
    <row r="118" ht="15" customHeight="1">
      <c r="A118" t="inlineStr">
        <is>
          <t>A 49440-2022</t>
        </is>
      </c>
      <c r="B118" s="1" t="n">
        <v>44859</v>
      </c>
      <c r="C118" s="1" t="n">
        <v>45338</v>
      </c>
      <c r="D118" t="inlineStr">
        <is>
          <t>VÄSTERBOTTENS LÄN</t>
        </is>
      </c>
      <c r="E118" t="inlineStr">
        <is>
          <t>SKELLEFTEÅ</t>
        </is>
      </c>
      <c r="G118" t="n">
        <v>1.5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Gränsticka
Ullticka</t>
        </is>
      </c>
      <c r="S118">
        <f>HYPERLINK("https://klasma.github.io/Logging_2482/artfynd/A 49440-2022 artfynd.xlsx", "A 49440-2022")</f>
        <v/>
      </c>
      <c r="T118">
        <f>HYPERLINK("https://klasma.github.io/Logging_2482/kartor/A 49440-2022 karta.png", "A 49440-2022")</f>
        <v/>
      </c>
      <c r="V118">
        <f>HYPERLINK("https://klasma.github.io/Logging_2482/klagomål/A 49440-2022 FSC-klagomål.docx", "A 49440-2022")</f>
        <v/>
      </c>
      <c r="W118">
        <f>HYPERLINK("https://klasma.github.io/Logging_2482/klagomålsmail/A 49440-2022 FSC-klagomål mail.docx", "A 49440-2022")</f>
        <v/>
      </c>
      <c r="X118">
        <f>HYPERLINK("https://klasma.github.io/Logging_2482/tillsyn/A 49440-2022 tillsynsbegäran.docx", "A 49440-2022")</f>
        <v/>
      </c>
      <c r="Y118">
        <f>HYPERLINK("https://klasma.github.io/Logging_2482/tillsynsmail/A 49440-2022 tillsynsbegäran mail.docx", "A 49440-2022")</f>
        <v/>
      </c>
    </row>
    <row r="119" ht="15" customHeight="1">
      <c r="A119" t="inlineStr">
        <is>
          <t>A 56157-2022</t>
        </is>
      </c>
      <c r="B119" s="1" t="n">
        <v>44889</v>
      </c>
      <c r="C119" s="1" t="n">
        <v>45338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Fläcknycklar
Revlummer</t>
        </is>
      </c>
      <c r="S119">
        <f>HYPERLINK("https://klasma.github.io/Logging_2482/artfynd/A 56157-2022 artfynd.xlsx", "A 56157-2022")</f>
        <v/>
      </c>
      <c r="T119">
        <f>HYPERLINK("https://klasma.github.io/Logging_2482/kartor/A 56157-2022 karta.png", "A 56157-2022")</f>
        <v/>
      </c>
      <c r="V119">
        <f>HYPERLINK("https://klasma.github.io/Logging_2482/klagomål/A 56157-2022 FSC-klagomål.docx", "A 56157-2022")</f>
        <v/>
      </c>
      <c r="W119">
        <f>HYPERLINK("https://klasma.github.io/Logging_2482/klagomålsmail/A 56157-2022 FSC-klagomål mail.docx", "A 56157-2022")</f>
        <v/>
      </c>
      <c r="X119">
        <f>HYPERLINK("https://klasma.github.io/Logging_2482/tillsyn/A 56157-2022 tillsynsbegäran.docx", "A 56157-2022")</f>
        <v/>
      </c>
      <c r="Y119">
        <f>HYPERLINK("https://klasma.github.io/Logging_2482/tillsynsmail/A 56157-2022 tillsynsbegäran mail.docx", "A 56157-2022")</f>
        <v/>
      </c>
    </row>
    <row r="120" ht="15" customHeight="1">
      <c r="A120" t="inlineStr">
        <is>
          <t>A 787-2023</t>
        </is>
      </c>
      <c r="B120" s="1" t="n">
        <v>44931</v>
      </c>
      <c r="C120" s="1" t="n">
        <v>45338</v>
      </c>
      <c r="D120" t="inlineStr">
        <is>
          <t>VÄSTERBOTTENS LÄN</t>
        </is>
      </c>
      <c r="E120" t="inlineStr">
        <is>
          <t>SKELLEFTEÅ</t>
        </is>
      </c>
      <c r="G120" t="n">
        <v>13.9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Storgröe
Ögonpyrola</t>
        </is>
      </c>
      <c r="S120">
        <f>HYPERLINK("https://klasma.github.io/Logging_2482/artfynd/A 787-2023 artfynd.xlsx", "A 787-2023")</f>
        <v/>
      </c>
      <c r="T120">
        <f>HYPERLINK("https://klasma.github.io/Logging_2482/kartor/A 787-2023 karta.png", "A 787-2023")</f>
        <v/>
      </c>
      <c r="V120">
        <f>HYPERLINK("https://klasma.github.io/Logging_2482/klagomål/A 787-2023 FSC-klagomål.docx", "A 787-2023")</f>
        <v/>
      </c>
      <c r="W120">
        <f>HYPERLINK("https://klasma.github.io/Logging_2482/klagomålsmail/A 787-2023 FSC-klagomål mail.docx", "A 787-2023")</f>
        <v/>
      </c>
      <c r="X120">
        <f>HYPERLINK("https://klasma.github.io/Logging_2482/tillsyn/A 787-2023 tillsynsbegäran.docx", "A 787-2023")</f>
        <v/>
      </c>
      <c r="Y120">
        <f>HYPERLINK("https://klasma.github.io/Logging_2482/tillsynsmail/A 787-2023 tillsynsbegäran mail.docx", "A 787-2023")</f>
        <v/>
      </c>
    </row>
    <row r="121" ht="15" customHeight="1">
      <c r="A121" t="inlineStr">
        <is>
          <t>A 11627-2023</t>
        </is>
      </c>
      <c r="B121" s="1" t="n">
        <v>44994</v>
      </c>
      <c r="C121" s="1" t="n">
        <v>45338</v>
      </c>
      <c r="D121" t="inlineStr">
        <is>
          <t>VÄSTERBOTTENS LÄN</t>
        </is>
      </c>
      <c r="E121" t="inlineStr">
        <is>
          <t>SKELLEFTEÅ</t>
        </is>
      </c>
      <c r="G121" t="n">
        <v>16.6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Norrlandslav
Revlummer</t>
        </is>
      </c>
      <c r="S121">
        <f>HYPERLINK("https://klasma.github.io/Logging_2482/artfynd/A 11627-2023 artfynd.xlsx", "A 11627-2023")</f>
        <v/>
      </c>
      <c r="T121">
        <f>HYPERLINK("https://klasma.github.io/Logging_2482/kartor/A 11627-2023 karta.png", "A 11627-2023")</f>
        <v/>
      </c>
      <c r="V121">
        <f>HYPERLINK("https://klasma.github.io/Logging_2482/klagomål/A 11627-2023 FSC-klagomål.docx", "A 11627-2023")</f>
        <v/>
      </c>
      <c r="W121">
        <f>HYPERLINK("https://klasma.github.io/Logging_2482/klagomålsmail/A 11627-2023 FSC-klagomål mail.docx", "A 11627-2023")</f>
        <v/>
      </c>
      <c r="X121">
        <f>HYPERLINK("https://klasma.github.io/Logging_2482/tillsyn/A 11627-2023 tillsynsbegäran.docx", "A 11627-2023")</f>
        <v/>
      </c>
      <c r="Y121">
        <f>HYPERLINK("https://klasma.github.io/Logging_2482/tillsynsmail/A 11627-2023 tillsynsbegäran mail.docx", "A 11627-2023")</f>
        <v/>
      </c>
    </row>
    <row r="122" ht="15" customHeight="1">
      <c r="A122" t="inlineStr">
        <is>
          <t>A 29998-2023</t>
        </is>
      </c>
      <c r="B122" s="1" t="n">
        <v>45109</v>
      </c>
      <c r="C122" s="1" t="n">
        <v>45338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10.2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Ullticka
Luddlav</t>
        </is>
      </c>
      <c r="S122">
        <f>HYPERLINK("https://klasma.github.io/Logging_2482/artfynd/A 29998-2023 artfynd.xlsx", "A 29998-2023")</f>
        <v/>
      </c>
      <c r="T122">
        <f>HYPERLINK("https://klasma.github.io/Logging_2482/kartor/A 29998-2023 karta.png", "A 29998-2023")</f>
        <v/>
      </c>
      <c r="V122">
        <f>HYPERLINK("https://klasma.github.io/Logging_2482/klagomål/A 29998-2023 FSC-klagomål.docx", "A 29998-2023")</f>
        <v/>
      </c>
      <c r="W122">
        <f>HYPERLINK("https://klasma.github.io/Logging_2482/klagomålsmail/A 29998-2023 FSC-klagomål mail.docx", "A 29998-2023")</f>
        <v/>
      </c>
      <c r="X122">
        <f>HYPERLINK("https://klasma.github.io/Logging_2482/tillsyn/A 29998-2023 tillsynsbegäran.docx", "A 29998-2023")</f>
        <v/>
      </c>
      <c r="Y122">
        <f>HYPERLINK("https://klasma.github.io/Logging_2482/tillsynsmail/A 29998-2023 tillsynsbegäran mail.docx", "A 29998-2023")</f>
        <v/>
      </c>
    </row>
    <row r="123" ht="15" customHeight="1">
      <c r="A123" t="inlineStr">
        <is>
          <t>A 35513-2023</t>
        </is>
      </c>
      <c r="B123" s="1" t="n">
        <v>45147</v>
      </c>
      <c r="C123" s="1" t="n">
        <v>45338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16.9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Gultoppig fingersvamp
Orange taggsvamp</t>
        </is>
      </c>
      <c r="S123">
        <f>HYPERLINK("https://klasma.github.io/Logging_2482/artfynd/A 35513-2023 artfynd.xlsx", "A 35513-2023")</f>
        <v/>
      </c>
      <c r="T123">
        <f>HYPERLINK("https://klasma.github.io/Logging_2482/kartor/A 35513-2023 karta.png", "A 35513-2023")</f>
        <v/>
      </c>
      <c r="V123">
        <f>HYPERLINK("https://klasma.github.io/Logging_2482/klagomål/A 35513-2023 FSC-klagomål.docx", "A 35513-2023")</f>
        <v/>
      </c>
      <c r="W123">
        <f>HYPERLINK("https://klasma.github.io/Logging_2482/klagomålsmail/A 35513-2023 FSC-klagomål mail.docx", "A 35513-2023")</f>
        <v/>
      </c>
      <c r="X123">
        <f>HYPERLINK("https://klasma.github.io/Logging_2482/tillsyn/A 35513-2023 tillsynsbegäran.docx", "A 35513-2023")</f>
        <v/>
      </c>
      <c r="Y123">
        <f>HYPERLINK("https://klasma.github.io/Logging_2482/tillsynsmail/A 35513-2023 tillsynsbegäran mail.docx", "A 35513-2023")</f>
        <v/>
      </c>
    </row>
    <row r="124" ht="15" customHeight="1">
      <c r="A124" t="inlineStr">
        <is>
          <t>A 40742-2023</t>
        </is>
      </c>
      <c r="B124" s="1" t="n">
        <v>45170</v>
      </c>
      <c r="C124" s="1" t="n">
        <v>45338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13.6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Stuplav</t>
        </is>
      </c>
      <c r="S124">
        <f>HYPERLINK("https://klasma.github.io/Logging_2482/artfynd/A 40742-2023 artfynd.xlsx", "A 40742-2023")</f>
        <v/>
      </c>
      <c r="T124">
        <f>HYPERLINK("https://klasma.github.io/Logging_2482/kartor/A 40742-2023 karta.png", "A 40742-2023")</f>
        <v/>
      </c>
      <c r="V124">
        <f>HYPERLINK("https://klasma.github.io/Logging_2482/klagomål/A 40742-2023 FSC-klagomål.docx", "A 40742-2023")</f>
        <v/>
      </c>
      <c r="W124">
        <f>HYPERLINK("https://klasma.github.io/Logging_2482/klagomålsmail/A 40742-2023 FSC-klagomål mail.docx", "A 40742-2023")</f>
        <v/>
      </c>
      <c r="X124">
        <f>HYPERLINK("https://klasma.github.io/Logging_2482/tillsyn/A 40742-2023 tillsynsbegäran.docx", "A 40742-2023")</f>
        <v/>
      </c>
      <c r="Y124">
        <f>HYPERLINK("https://klasma.github.io/Logging_2482/tillsynsmail/A 40742-2023 tillsynsbegäran mail.docx", "A 40742-2023")</f>
        <v/>
      </c>
    </row>
    <row r="125" ht="15" customHeight="1">
      <c r="A125" t="inlineStr">
        <is>
          <t>A 43250-2023</t>
        </is>
      </c>
      <c r="B125" s="1" t="n">
        <v>45180</v>
      </c>
      <c r="C125" s="1" t="n">
        <v>45338</v>
      </c>
      <c r="D125" t="inlineStr">
        <is>
          <t>VÄSTERBOTTENS LÄN</t>
        </is>
      </c>
      <c r="E125" t="inlineStr">
        <is>
          <t>SKELLEFTEÅ</t>
        </is>
      </c>
      <c r="G125" t="n">
        <v>3.3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Gammelgransskål</t>
        </is>
      </c>
      <c r="S125">
        <f>HYPERLINK("https://klasma.github.io/Logging_2482/artfynd/A 43250-2023 artfynd.xlsx", "A 43250-2023")</f>
        <v/>
      </c>
      <c r="T125">
        <f>HYPERLINK("https://klasma.github.io/Logging_2482/kartor/A 43250-2023 karta.png", "A 43250-2023")</f>
        <v/>
      </c>
      <c r="U125">
        <f>HYPERLINK("https://klasma.github.io/Logging_2482/knärot/A 43250-2023 karta knärot.png", "A 43250-2023")</f>
        <v/>
      </c>
      <c r="V125">
        <f>HYPERLINK("https://klasma.github.io/Logging_2482/klagomål/A 43250-2023 FSC-klagomål.docx", "A 43250-2023")</f>
        <v/>
      </c>
      <c r="W125">
        <f>HYPERLINK("https://klasma.github.io/Logging_2482/klagomålsmail/A 43250-2023 FSC-klagomål mail.docx", "A 43250-2023")</f>
        <v/>
      </c>
      <c r="X125">
        <f>HYPERLINK("https://klasma.github.io/Logging_2482/tillsyn/A 43250-2023 tillsynsbegäran.docx", "A 43250-2023")</f>
        <v/>
      </c>
      <c r="Y125">
        <f>HYPERLINK("https://klasma.github.io/Logging_2482/tillsynsmail/A 43250-2023 tillsynsbegäran mail.docx", "A 43250-2023")</f>
        <v/>
      </c>
    </row>
    <row r="126" ht="15" customHeight="1">
      <c r="A126" t="inlineStr">
        <is>
          <t>A 42786-2023</t>
        </is>
      </c>
      <c r="B126" s="1" t="n">
        <v>45181</v>
      </c>
      <c r="C126" s="1" t="n">
        <v>45338</v>
      </c>
      <c r="D126" t="inlineStr">
        <is>
          <t>VÄSTERBOTTENS LÄN</t>
        </is>
      </c>
      <c r="E126" t="inlineStr">
        <is>
          <t>SKELLEFTEÅ</t>
        </is>
      </c>
      <c r="G126" t="n">
        <v>9.199999999999999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Kärrängsfly</t>
        </is>
      </c>
      <c r="S126">
        <f>HYPERLINK("https://klasma.github.io/Logging_2482/artfynd/A 42786-2023 artfynd.xlsx", "A 42786-2023")</f>
        <v/>
      </c>
      <c r="T126">
        <f>HYPERLINK("https://klasma.github.io/Logging_2482/kartor/A 42786-2023 karta.png", "A 42786-2023")</f>
        <v/>
      </c>
      <c r="V126">
        <f>HYPERLINK("https://klasma.github.io/Logging_2482/klagomål/A 42786-2023 FSC-klagomål.docx", "A 42786-2023")</f>
        <v/>
      </c>
      <c r="W126">
        <f>HYPERLINK("https://klasma.github.io/Logging_2482/klagomålsmail/A 42786-2023 FSC-klagomål mail.docx", "A 42786-2023")</f>
        <v/>
      </c>
      <c r="X126">
        <f>HYPERLINK("https://klasma.github.io/Logging_2482/tillsyn/A 42786-2023 tillsynsbegäran.docx", "A 42786-2023")</f>
        <v/>
      </c>
      <c r="Y126">
        <f>HYPERLINK("https://klasma.github.io/Logging_2482/tillsynsmail/A 42786-2023 tillsynsbegäran mail.docx", "A 42786-2023")</f>
        <v/>
      </c>
    </row>
    <row r="127" ht="15" customHeight="1">
      <c r="A127" t="inlineStr">
        <is>
          <t>A 58157-2023</t>
        </is>
      </c>
      <c r="B127" s="1" t="n">
        <v>45250</v>
      </c>
      <c r="C127" s="1" t="n">
        <v>45338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14.4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Motaggsvamp
Orange taggsvamp</t>
        </is>
      </c>
      <c r="S127">
        <f>HYPERLINK("https://klasma.github.io/Logging_2482/artfynd/A 58157-2023 artfynd.xlsx", "A 58157-2023")</f>
        <v/>
      </c>
      <c r="T127">
        <f>HYPERLINK("https://klasma.github.io/Logging_2482/kartor/A 58157-2023 karta.png", "A 58157-2023")</f>
        <v/>
      </c>
      <c r="V127">
        <f>HYPERLINK("https://klasma.github.io/Logging_2482/klagomål/A 58157-2023 FSC-klagomål.docx", "A 58157-2023")</f>
        <v/>
      </c>
      <c r="W127">
        <f>HYPERLINK("https://klasma.github.io/Logging_2482/klagomålsmail/A 58157-2023 FSC-klagomål mail.docx", "A 58157-2023")</f>
        <v/>
      </c>
      <c r="X127">
        <f>HYPERLINK("https://klasma.github.io/Logging_2482/tillsyn/A 58157-2023 tillsynsbegäran.docx", "A 58157-2023")</f>
        <v/>
      </c>
      <c r="Y127">
        <f>HYPERLINK("https://klasma.github.io/Logging_2482/tillsynsmail/A 58157-2023 tillsynsbegäran mail.docx", "A 58157-2023")</f>
        <v/>
      </c>
    </row>
    <row r="128" ht="15" customHeight="1">
      <c r="A128" t="inlineStr">
        <is>
          <t>A 65013-2023</t>
        </is>
      </c>
      <c r="B128" s="1" t="n">
        <v>45287</v>
      </c>
      <c r="C128" s="1" t="n">
        <v>45338</v>
      </c>
      <c r="D128" t="inlineStr">
        <is>
          <t>VÄSTERBOTTENS LÄN</t>
        </is>
      </c>
      <c r="E128" t="inlineStr">
        <is>
          <t>SKELLEFTEÅ</t>
        </is>
      </c>
      <c r="G128" t="n">
        <v>7.7</v>
      </c>
      <c r="H128" t="n">
        <v>0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Smalfotad taggsvamp
Svartvit taggsvamp</t>
        </is>
      </c>
      <c r="S128">
        <f>HYPERLINK("https://klasma.github.io/Logging_2482/artfynd/A 65013-2023 artfynd.xlsx", "A 65013-2023")</f>
        <v/>
      </c>
      <c r="T128">
        <f>HYPERLINK("https://klasma.github.io/Logging_2482/kartor/A 65013-2023 karta.png", "A 65013-2023")</f>
        <v/>
      </c>
      <c r="V128">
        <f>HYPERLINK("https://klasma.github.io/Logging_2482/klagomål/A 65013-2023 FSC-klagomål.docx", "A 65013-2023")</f>
        <v/>
      </c>
      <c r="W128">
        <f>HYPERLINK("https://klasma.github.io/Logging_2482/klagomålsmail/A 65013-2023 FSC-klagomål mail.docx", "A 65013-2023")</f>
        <v/>
      </c>
      <c r="X128">
        <f>HYPERLINK("https://klasma.github.io/Logging_2482/tillsyn/A 65013-2023 tillsynsbegäran.docx", "A 65013-2023")</f>
        <v/>
      </c>
      <c r="Y128">
        <f>HYPERLINK("https://klasma.github.io/Logging_2482/tillsynsmail/A 65013-2023 tillsynsbegäran mail.docx", "A 65013-2023")</f>
        <v/>
      </c>
    </row>
    <row r="129" ht="15" customHeight="1">
      <c r="A129" t="inlineStr">
        <is>
          <t>A 1259-2024</t>
        </is>
      </c>
      <c r="B129" s="1" t="n">
        <v>45302</v>
      </c>
      <c r="C129" s="1" t="n">
        <v>45338</v>
      </c>
      <c r="D129" t="inlineStr">
        <is>
          <t>VÄSTERBOTTENS LÄN</t>
        </is>
      </c>
      <c r="E129" t="inlineStr">
        <is>
          <t>SKELLEFTEÅ</t>
        </is>
      </c>
      <c r="G129" t="n">
        <v>1.6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Månlåsbräken
Nordlåsbräken</t>
        </is>
      </c>
      <c r="S129">
        <f>HYPERLINK("https://klasma.github.io/Logging_2482/artfynd/A 1259-2024 artfynd.xlsx", "A 1259-2024")</f>
        <v/>
      </c>
      <c r="T129">
        <f>HYPERLINK("https://klasma.github.io/Logging_2482/kartor/A 1259-2024 karta.png", "A 1259-2024")</f>
        <v/>
      </c>
      <c r="V129">
        <f>HYPERLINK("https://klasma.github.io/Logging_2482/klagomål/A 1259-2024 FSC-klagomål.docx", "A 1259-2024")</f>
        <v/>
      </c>
      <c r="W129">
        <f>HYPERLINK("https://klasma.github.io/Logging_2482/klagomålsmail/A 1259-2024 FSC-klagomål mail.docx", "A 1259-2024")</f>
        <v/>
      </c>
      <c r="X129">
        <f>HYPERLINK("https://klasma.github.io/Logging_2482/tillsyn/A 1259-2024 tillsynsbegäran.docx", "A 1259-2024")</f>
        <v/>
      </c>
      <c r="Y129">
        <f>HYPERLINK("https://klasma.github.io/Logging_2482/tillsynsmail/A 1259-2024 tillsynsbegäran mail.docx", "A 1259-2024")</f>
        <v/>
      </c>
    </row>
    <row r="130" ht="15" customHeight="1">
      <c r="A130" t="inlineStr">
        <is>
          <t>A 2054-2024</t>
        </is>
      </c>
      <c r="B130" s="1" t="n">
        <v>45308</v>
      </c>
      <c r="C130" s="1" t="n">
        <v>45338</v>
      </c>
      <c r="D130" t="inlineStr">
        <is>
          <t>VÄSTERBOTTENS LÄN</t>
        </is>
      </c>
      <c r="E130" t="inlineStr">
        <is>
          <t>SKELLEFTEÅ</t>
        </is>
      </c>
      <c r="G130" t="n">
        <v>7.6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HYPERLINK("https://klasma.github.io/Logging_2482/artfynd/A 2054-2024 artfynd.xlsx", "A 2054-2024")</f>
        <v/>
      </c>
      <c r="T130">
        <f>HYPERLINK("https://klasma.github.io/Logging_2482/kartor/A 2054-2024 karta.png", "A 2054-2024")</f>
        <v/>
      </c>
      <c r="V130">
        <f>HYPERLINK("https://klasma.github.io/Logging_2482/klagomål/A 2054-2024 FSC-klagomål.docx", "A 2054-2024")</f>
        <v/>
      </c>
      <c r="W130">
        <f>HYPERLINK("https://klasma.github.io/Logging_2482/klagomålsmail/A 2054-2024 FSC-klagomål mail.docx", "A 2054-2024")</f>
        <v/>
      </c>
      <c r="X130">
        <f>HYPERLINK("https://klasma.github.io/Logging_2482/tillsyn/A 2054-2024 tillsynsbegäran.docx", "A 2054-2024")</f>
        <v/>
      </c>
      <c r="Y130">
        <f>HYPERLINK("https://klasma.github.io/Logging_2482/tillsynsmail/A 2054-2024 tillsynsbegäran mail.docx", "A 2054-2024")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45338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45338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45338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45338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45338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45338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45338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45338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45338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45338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45338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45338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45338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45338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45338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45338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45338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45338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45338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45338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45338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45338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45338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45338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45338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45338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45338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45338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45338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45338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45338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45338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45338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45338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45338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45338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45338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45338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45338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45338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45338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45338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45338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45338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45338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45338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45338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45338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45338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45338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45338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45338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45338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45338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45338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45338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45338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45338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45338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45338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45338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45338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45338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45338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45338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45338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45338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45338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45338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45338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45338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45338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45338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45338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45338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45338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45338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45338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45338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45338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45338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45338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45338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45338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45338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45338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45338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45338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45338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45338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45338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45338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45338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45338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45338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45338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45338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45338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45338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45338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45338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45338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45338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45338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45338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45338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45338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45338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45338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45338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45338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45338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45338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45338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45338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45338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45338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45338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45338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45338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45338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45338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45338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45338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45338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45338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45338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45338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45338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45338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45338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45338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45338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45338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45338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45338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45338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45338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45338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45338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45338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45338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45338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45338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45338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45338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45338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45338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45338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45338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45338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45338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45338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45338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45338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45338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45338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45338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45338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45338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45338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45338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45338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45338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45338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45338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45338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45338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45338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45338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45338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45338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45338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45338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45338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45338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45338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45338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45338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45338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45338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45338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45338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45338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45338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45338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45338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45338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45338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45338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45338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45338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45338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45338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45338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45338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45338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45338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45338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45338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45338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45338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45338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45338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45338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45338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45338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45338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45338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45338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45338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45338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45338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45338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45338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45338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45338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45338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45338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45338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45338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45338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45338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45338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45338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45338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45338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45338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45338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45338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45338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45338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45338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45338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45338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45338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45338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45338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45338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45338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45338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45338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45338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45338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45338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45338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45338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45338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45338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45338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45338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45338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45338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45338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45338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45338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45338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45338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45338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45338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45338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45338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45338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45338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45338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45338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45338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45338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45338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45338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45338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45338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45338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45338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45338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45338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45338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45338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45338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45338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45338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45338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45338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45338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45338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45338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45338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45338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45338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45338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45338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45338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45338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45338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45338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45338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45338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45338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45338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45338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45338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45338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45338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45338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45338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45338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45338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45338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45338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45338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45338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45338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45338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45338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45338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45338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45338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45338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45338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45338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45338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45338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45338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45338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45338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45338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45338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45338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45338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45338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45338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45338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45338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45338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45338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45338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45338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45338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45338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45338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45338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45338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45338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45338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45338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45338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45338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45338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45338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45338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45338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45338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45338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45338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45338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45338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45338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45338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45338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45338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45338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45338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45338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45338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45338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45338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45338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45338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45338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45338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45338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45338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45338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45338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45338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45338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45338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45338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45338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45338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45338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45338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45338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45338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45338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45338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45338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45338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45338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45338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45338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45338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45338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45338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45338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45338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45338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45338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45338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45338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45338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45338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45338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45338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45338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45338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45338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45338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45338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45338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45338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45338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45338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45338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45338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45338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45338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45338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45338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45338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45338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45338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45338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45338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45338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45338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45338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45338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45338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45338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45338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45338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45338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45338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45338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45338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45338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45338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45338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45338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45338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45338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45338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45338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45338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45338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45338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45338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45338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45338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45338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45338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45338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45338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45338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45338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45338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45338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45338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45338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45338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45338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45338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45338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45338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45338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45338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45338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45338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45338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45338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45338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45338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45338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45338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45338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45338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45338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45338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45338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45338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45338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45338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45338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45338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45338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45338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45338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45338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45338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45338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45338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45338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45338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45338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45338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45338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45338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45338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45338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45338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45338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45338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45338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45338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45338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45338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45338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45338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45338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45338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45338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45338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45338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45338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45338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45338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45338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45338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45338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45338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45338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45338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45338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45338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45338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45338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45338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45338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45338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45338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45338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45338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45338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45338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45338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45338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45338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45338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45338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45338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45338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45338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45338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45338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45338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45338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45338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45338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45338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45338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45338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45338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45338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45338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45338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45338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45338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45338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45338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45338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45338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45338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45338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45338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45338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45338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45338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45338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45338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45338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45338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45338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45338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45338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45338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45338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45338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45338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45338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45338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45338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45338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45338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45338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45338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45338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45338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45338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45338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45338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45338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45338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45338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45338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45338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45338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45338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45338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45338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45338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45338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45338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45338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45338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45338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45338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45338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45338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45338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45338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45338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45338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45338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45338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45338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45338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45338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45338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45338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45338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45338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45338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45338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45338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45338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45338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45338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45338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45338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45338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45338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45338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45338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45338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45338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45338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45338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45338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45338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45338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45338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45338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45338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45338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45338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45338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45338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45338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45338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45338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45338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45338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45338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45338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45338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45338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45338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45338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45338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45338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45338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45338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45338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45338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45338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45338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45338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45338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45338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45338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45338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45338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45338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45338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45338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45338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45338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45338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45338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45338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45338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45338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45338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45338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45338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45338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45338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45338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45338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45338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45338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45338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45338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45338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45338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45338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45338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45338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45338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45338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45338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45338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45338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45338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45338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45338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45338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45338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45338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45338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45338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45338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45338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45338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45338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45338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45338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45338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45338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45338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45338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45338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45338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45338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45338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45338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45338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45338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45338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45338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45338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45338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45338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45338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45338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45338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45338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45338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45338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45338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45338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45338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45338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45338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45338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45338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45338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45338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45338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45338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45338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45338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45338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45338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45338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45338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45338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45338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45338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45338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45338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45338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45338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45338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45338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45338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45338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45338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45338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45338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45338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45338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45338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45338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45338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45338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45338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45338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45338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45338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45338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45338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45338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45338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45338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45338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45338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45338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45338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45338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45338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45338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45338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45338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45338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45338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45338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45338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45338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45338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45338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45338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45338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45338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45338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45338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45338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45338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45338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45338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45338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45338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45338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45338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45338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45338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45338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45338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45338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45338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45338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45338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45338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45338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45338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45338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45338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45338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45338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45338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45338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45338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45338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45338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45338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45338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45338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45338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45338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45338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45338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45338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45338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45338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45338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45338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45338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45338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45338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45338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45338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45338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45338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45338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45338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45338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45338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45338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45338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45338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45338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45338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45338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45338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45338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45338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45338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45338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45338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45338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45338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45338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45338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45338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45338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45338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45338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45338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45338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45338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45338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45338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45338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45338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45338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45338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45338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45338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45338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45338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45338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45338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45338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45338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45338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45338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45338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45338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45338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45338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45338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45338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45338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45338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45338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45338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45338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45338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45338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45338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45338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45338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45338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45338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45338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45338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45338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45338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45338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45338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45338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45338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45338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45338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45338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45338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45338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45338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45338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45338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45338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45338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45338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45338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45338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45338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45338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45338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45338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45338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45338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45338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45338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45338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45338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45338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45338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45338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45338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45338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45338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45338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45338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45338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45338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45338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45338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45338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45338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45338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45338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45338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45338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45338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45338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45338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45338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45338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45338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45338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45338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45338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45338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45338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45338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45338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45338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45338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45338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45338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45338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45338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45338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45338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45338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45338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45338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45338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45338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45338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45338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45338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45338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45338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45338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45338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45338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45338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45338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45338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45338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45338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45338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45338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45338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45338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45338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45338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45338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45338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45338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45338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45338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45338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45338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45338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45338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45338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45338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45338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45338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45338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45338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45338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45338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45338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45338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45338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45338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45338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45338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45338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45338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45338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45338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45338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45338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45338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45338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45338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45338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45338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45338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45338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45338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45338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45338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45338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45338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45338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45338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45338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45338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45338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45338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45338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45338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45338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45338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45338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45338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45338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45338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45338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45338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45338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45338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45338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45338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45338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45338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45338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45338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45338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45338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45338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45338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45338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45338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45338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45338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45338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45338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45338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45338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45338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45338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45338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45338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45338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45338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45338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45338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45338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45338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45338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45338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45338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45338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45338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45338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45338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45338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45338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45338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45338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45338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45338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45338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45338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45338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45338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45338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45338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45338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45338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45338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45338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45338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45338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45338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45338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45338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45338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45338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45338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45338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45338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45338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45338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45338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45338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45338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45338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45338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45338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45338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45338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45338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45338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45338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45338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45338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45338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45338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45338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45338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45338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45338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45338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45338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45338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45338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45338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45338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45338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45338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45338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45338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45338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45338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45338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45338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45338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45338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45338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45338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45338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45338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45338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45338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45338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45338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45338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45338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45338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45338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45338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45338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45338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45338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45338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45338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45338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45338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45338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45338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45338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45338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45338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45338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45338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45338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45338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45338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45338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45338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45338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45338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45338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45338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45338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45338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45338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45338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45338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45338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45338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45338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45338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45338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45338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45338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45338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45338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45338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45338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45338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45338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45338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45338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45338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45338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45338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45338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45338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45338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45338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45338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45338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45338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45338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45338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45338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45338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45338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45338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45338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45338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45338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45338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45338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45338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45338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45338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45338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45338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45338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45338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45338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45338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45338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45338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45338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45338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45338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45338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45338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45338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45338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45338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45338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45338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45338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45338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45338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45338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45338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45338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45338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45338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45338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45338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45338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45338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45338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45338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45338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45338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45338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45338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45338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45338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45338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45338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45338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45338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45338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45338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45338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45338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45338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45338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45338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45338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45338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45338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45338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45338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45338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45338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45338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45338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45338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45338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45338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45338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45338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45338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45338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45338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45338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45338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45338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45338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45338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45338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45338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45338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45338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45338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45338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45338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45338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45338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45338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45338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45338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45338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45338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45338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45338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45338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45338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45338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45338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45338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45338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45338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45338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45338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45338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45338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45338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45338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45338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45338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45338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45338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45338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45338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45338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45338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45338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45338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45338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45338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45338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45338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45338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45338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45338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45338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45338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45338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45338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45338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45338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45338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45338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45338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45338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45338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45338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45338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45338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45338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45338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45338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45338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45338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45338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45338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45338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45338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45338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45338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45338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45338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45338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45338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45338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45338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45338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45338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45338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45338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45338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45338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45338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45338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45338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45338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45338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45338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45338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45338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45338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45338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45338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45338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45338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45338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45338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45338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45338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45338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45338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45338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45338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45338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45338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45338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45338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45338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45338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45338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45338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45338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45338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45338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45338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45338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45338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45338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45338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45338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45338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45338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45338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45338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45338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45338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45338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45338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45338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45338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45338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45338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45338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45338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45338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45338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45338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45338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45338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45338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45338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45338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45338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45338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45338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45338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45338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45338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45338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45338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45338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45338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45338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45338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45338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45338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45338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45338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45338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45338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45338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45338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45338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45338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45338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45338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45338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45338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45338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45338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45338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45338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45338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45338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45338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45338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45338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45338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45338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45338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45338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45338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45338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45338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45338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45338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45338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45338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45338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45338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45338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45338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45338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45338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45338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45338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45338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45338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45338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45338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45338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45338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45338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45338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45338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45338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45338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45338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45338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45338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45338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45338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45338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45338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45338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45338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45338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45338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45338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45338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45338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45338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45338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45338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45338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45338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45338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45338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45338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45338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45338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45338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45338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45338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45338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45338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45338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45338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45338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45338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45338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45338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45338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45338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45338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45338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45338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45338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45338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45338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45338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45338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45338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45338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45338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45338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45338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45338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45338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45338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45338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45338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45338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45338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45338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45338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45338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45338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45338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45338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45338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45338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45338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45338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45338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45338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45338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45338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45338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45338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45338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45338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45338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45338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45338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45338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45338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45338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45338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45338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45338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45338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45338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45338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45338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45338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45338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45338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45338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45338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45338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45338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45338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45338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45338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45338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45338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45338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45338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45338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45338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45338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45338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45338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45338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45338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45338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45338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45338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45338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45338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45338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45338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45338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45338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45338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45338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45338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45338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45338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45338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45338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45338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45338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45338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45338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45338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45338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45338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45338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45338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45338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45338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45338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45338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45338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45338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45338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45338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45338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45338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45338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45338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45338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45338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45338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45338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45338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45338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45338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45338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45338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45338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45338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45338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45338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45338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45338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45338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45338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45338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45338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45338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45338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45338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45338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45338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45338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45338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45338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45338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45338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45338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45338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45338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45338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45338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45338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45338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45338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45338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45338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45338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45338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45338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45338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45338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45338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45338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45338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45338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45338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45338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45338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45338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45338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45338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45338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45338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45338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45338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45338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45338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45338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45338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45338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45338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45338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45338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45338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45338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45338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45338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45338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45338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45338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45338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45338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45338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45338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45338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45338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45338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45338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45338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45338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45338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45338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45338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45338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45338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45338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45338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45338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45338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45338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45338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45338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45338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45338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45338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45338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45338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45338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45338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45338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45338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45338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45338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45338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45338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45338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45338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45338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45338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45338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45338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45338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45338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45338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45338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45338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45338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45338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45338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45338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45338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45338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45338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45338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45338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45338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45338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45338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45338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45338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45338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45338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45338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45338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45338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45338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45338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45338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45338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45338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45338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45338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45338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45338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45338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45338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45338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45338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45338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45338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45338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45338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45338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45338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45338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45338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45338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45338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45338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45338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45338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45338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45338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45338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45338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45338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45338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45338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45338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45338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45338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45338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45338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45338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45338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45338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45338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45338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45338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45338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45338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45338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45338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45338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45338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45338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45338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45338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45338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45338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45338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45338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45338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45338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45338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45338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45338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45338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45338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45338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45338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45338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45338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45338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45338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45338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45338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45338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45338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45338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45338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45338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45338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45338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45338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45338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45338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45338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45338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45338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45338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45338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45338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45338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45338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45338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45338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45338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45338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45338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45338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45338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45338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45338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45338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45338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45338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45338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45338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45338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45338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45338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45338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45338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45338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45338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45338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45338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45338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45338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45338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45338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45338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45338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45338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45338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45338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45338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45338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45338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45338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45338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45338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45338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45338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45338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45338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45338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45338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45338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45338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45338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45338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45338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45338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45338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45338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45338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45338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45338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45338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45338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45338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45338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45338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45338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45338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45338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45338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45338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45338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45338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45338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45338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45338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45338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45338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45338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45338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45338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45338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45338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45338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45338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45338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45338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45338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45338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45338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45338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45338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45338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45338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45338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45338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45338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45338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45338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45338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45338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45338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45338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45338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45338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45338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45338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45338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45338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45338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45338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45338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45338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45338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45338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45338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45338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45338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45338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45338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45338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45338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45338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45338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45338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45338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45338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45338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45338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45338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45338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45338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45338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45338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45338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45338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45338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45338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45338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45338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45338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45338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45338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45338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45338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45338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45338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45338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45338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45338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45338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45338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45338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45338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45338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45338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45338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45338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45338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45338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45338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45338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45338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45338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45338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45338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45338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45338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45338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45338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45338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45338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45338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45338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45338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45338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45338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45338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45338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45338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45338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45338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45338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45338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45338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45338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45338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45338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45338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45338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45338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45338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45338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45338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45338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45338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45338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45338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45338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45338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45338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45338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45338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45338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45338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45338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45338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45338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45338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45338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45338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45338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45338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45338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45338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45338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45338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45338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45338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45338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45338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45338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45338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45338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45338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45338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45338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45338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45338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45338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45338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45338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45338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45338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45338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45338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45338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45338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45338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45338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45338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45338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45338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45338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45338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45338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45338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45338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45338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45338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45338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45338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45338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45338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45338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45338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45338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45338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45338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45338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45338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45338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45338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45338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45338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45338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45338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45338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45338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45338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45338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45338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45338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45338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45338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45338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45338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45338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45338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45338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45338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45338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45338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45338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45338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45338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45338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45338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45338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45338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45338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45338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45338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45338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45338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45338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45338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45338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45338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45338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45338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45338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45338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45338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45338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45338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45338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45338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45338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45338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45338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45338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45338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45338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45338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45338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45338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45338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45338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45338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45338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45338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45338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45338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45338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45338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45338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45338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45338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45338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45338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45338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45338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45338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45338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45338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45338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45338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45338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45338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45338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45338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45338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45338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45338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45338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45338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45338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45338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45338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45338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45338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45338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45338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45338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45338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45338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45338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45338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45338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45338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45338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45338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45338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45338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45338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45338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45338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45338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45338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45338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45338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45338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45338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45338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45338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45338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45338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45338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45338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45338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45338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45338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45338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45338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45338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45338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45338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45338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45338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45338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45338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45338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45338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45338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45338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45338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45338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45338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45338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45338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45338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45338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45338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45338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45338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45338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45338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45338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45338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45338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45338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45338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45338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45338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45338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45338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45338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45338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45338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45338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45338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45338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45338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45338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45338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45338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45338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45338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45338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45338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45338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45338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45338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45338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45338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45338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45338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45338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45338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45338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45338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45338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45338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45338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45338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45338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45338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45338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45338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45338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45338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45338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45338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45338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45338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45338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45338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45338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45338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45338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45338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45338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45338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45338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45338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45338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45338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45338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45338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45338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45338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45338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45338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45338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45338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45338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45338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45338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45338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45338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45338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45338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45338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45338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45338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45338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45338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45338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45338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45338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45338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45338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45338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45338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45338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45338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45338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45338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45338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45338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45338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45338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45338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45338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45338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45338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45338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45338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45338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45338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45338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45338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45338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45338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45338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45338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45338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45338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45338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45338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45338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45338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45338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45338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45338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45338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45338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45338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45338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45338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45338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45338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45338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45338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45338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45338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45338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45338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45338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45338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45338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45338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45338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45338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45338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45338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45338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45338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45338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45338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45338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45338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45338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45338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45338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45338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45338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45338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45338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45338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45338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45338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45338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45338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45338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45338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45338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45338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45338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45338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45338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45338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45338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45338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45338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45338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45338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45338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45338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45338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45338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45338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45338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45338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45338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45338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45338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45338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45338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45338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45338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45338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45338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45338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45338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45338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45338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45338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45338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45338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45338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45338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45338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45338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45338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45338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45338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45338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45338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45338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45338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45338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45338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45338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45338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45338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45338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45338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45338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45338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45338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45338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45338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45338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45338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45338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45338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45338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45338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45338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45338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45338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45338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45338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45338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45338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45338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45338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45338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45338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45338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45338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45338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45338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45338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45338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45338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45338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45338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45338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45338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45338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45338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45338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45338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45338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45338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45338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45338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45338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45338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45338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45338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45338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45338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45338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45338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45338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45338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45338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45338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45338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45338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45338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45338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45338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45338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45338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45338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45338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45338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45338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45338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45338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45338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45338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45338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45338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45338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45338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45338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45338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45338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45338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45338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45338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45338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45338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45338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45338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45338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45338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45338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45338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45338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45338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45338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45338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45338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45338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45338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45338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45338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45338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45338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45338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45338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45338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45338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45338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45338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45338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45338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45338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45338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45338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45338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45338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45338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45338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45338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45338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45338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45338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45338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45338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45338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45338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45338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45338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45338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45338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45338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45338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45338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45338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45338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45338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45338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45338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45338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45338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45338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45338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45338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45338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45338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45338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45338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45338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45338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45338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45338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45338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45338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45338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45338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45338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45338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45338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45338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45338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45338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45338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45338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45338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45338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45338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45338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45338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45338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45338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45338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45338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45338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45338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45338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45338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45338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45338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45338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45338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45338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45338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45338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45338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45338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45338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45338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45338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45338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45338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45338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45338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45338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45338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45338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45338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45338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45338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45338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45338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45338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45338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45338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45338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45338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45338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45338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45338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45338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45338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45338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45338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45338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45338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45338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45338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45338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45338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45338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45338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45338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45338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45338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45338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45338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45338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45338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45338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45338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45338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45338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45338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45338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45338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45338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45338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45338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45338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45338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45338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45338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45338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45338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45338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45338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45338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45338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45338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45338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45338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45338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45338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45338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45338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45338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45338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2057-2024</t>
        </is>
      </c>
      <c r="B2893" s="1" t="n">
        <v>45308</v>
      </c>
      <c r="C2893" s="1" t="n">
        <v>45338</v>
      </c>
      <c r="D2893" t="inlineStr">
        <is>
          <t>VÄSTERBOTTENS LÄN</t>
        </is>
      </c>
      <c r="E2893" t="inlineStr">
        <is>
          <t>SKELLEFTEÅ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2059-2024</t>
        </is>
      </c>
      <c r="B2894" s="1" t="n">
        <v>45308</v>
      </c>
      <c r="C2894" s="1" t="n">
        <v>45338</v>
      </c>
      <c r="D2894" t="inlineStr">
        <is>
          <t>VÄSTERBOTTENS LÄN</t>
        </is>
      </c>
      <c r="E2894" t="inlineStr">
        <is>
          <t>SKELLEFTEÅ</t>
        </is>
      </c>
      <c r="F2894" t="inlineStr">
        <is>
          <t>SCA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2055-2024</t>
        </is>
      </c>
      <c r="B2895" s="1" t="n">
        <v>45308</v>
      </c>
      <c r="C2895" s="1" t="n">
        <v>45338</v>
      </c>
      <c r="D2895" t="inlineStr">
        <is>
          <t>VÄSTERBOTTENS LÄN</t>
        </is>
      </c>
      <c r="E2895" t="inlineStr">
        <is>
          <t>SKELLEFTEÅ</t>
        </is>
      </c>
      <c r="G2895" t="n">
        <v>19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2051-2024</t>
        </is>
      </c>
      <c r="B2896" s="1" t="n">
        <v>45308</v>
      </c>
      <c r="C2896" s="1" t="n">
        <v>45338</v>
      </c>
      <c r="D2896" t="inlineStr">
        <is>
          <t>VÄSTERBOTTENS LÄN</t>
        </is>
      </c>
      <c r="E2896" t="inlineStr">
        <is>
          <t>SKELLEFTEÅ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2058-2024</t>
        </is>
      </c>
      <c r="B2897" s="1" t="n">
        <v>45308</v>
      </c>
      <c r="C2897" s="1" t="n">
        <v>45338</v>
      </c>
      <c r="D2897" t="inlineStr">
        <is>
          <t>VÄSTERBOTTENS LÄN</t>
        </is>
      </c>
      <c r="E2897" t="inlineStr">
        <is>
          <t>SKELLEFTEÅ</t>
        </is>
      </c>
      <c r="G2897" t="n">
        <v>29.4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2050-2024</t>
        </is>
      </c>
      <c r="B2898" s="1" t="n">
        <v>45308</v>
      </c>
      <c r="C2898" s="1" t="n">
        <v>45338</v>
      </c>
      <c r="D2898" t="inlineStr">
        <is>
          <t>VÄSTERBOTTENS LÄN</t>
        </is>
      </c>
      <c r="E2898" t="inlineStr">
        <is>
          <t>SKELLEFTEÅ</t>
        </is>
      </c>
      <c r="G2898" t="n">
        <v>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2170-2024</t>
        </is>
      </c>
      <c r="B2899" s="1" t="n">
        <v>45309</v>
      </c>
      <c r="C2899" s="1" t="n">
        <v>45338</v>
      </c>
      <c r="D2899" t="inlineStr">
        <is>
          <t>VÄSTERBOTTENS LÄN</t>
        </is>
      </c>
      <c r="E2899" t="inlineStr">
        <is>
          <t>SKELLEFTEÅ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2090-2024</t>
        </is>
      </c>
      <c r="B2900" s="1" t="n">
        <v>45309</v>
      </c>
      <c r="C2900" s="1" t="n">
        <v>45338</v>
      </c>
      <c r="D2900" t="inlineStr">
        <is>
          <t>VÄSTERBOTTENS LÄN</t>
        </is>
      </c>
      <c r="E2900" t="inlineStr">
        <is>
          <t>SKELLEFTEÅ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2417-2024</t>
        </is>
      </c>
      <c r="B2901" s="1" t="n">
        <v>45310</v>
      </c>
      <c r="C2901" s="1" t="n">
        <v>45338</v>
      </c>
      <c r="D2901" t="inlineStr">
        <is>
          <t>VÄSTERBOTTENS LÄN</t>
        </is>
      </c>
      <c r="E2901" t="inlineStr">
        <is>
          <t>SKELLEFTEÅ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2572-2024</t>
        </is>
      </c>
      <c r="B2902" s="1" t="n">
        <v>45313</v>
      </c>
      <c r="C2902" s="1" t="n">
        <v>45338</v>
      </c>
      <c r="D2902" t="inlineStr">
        <is>
          <t>VÄSTERBOTTENS LÄN</t>
        </is>
      </c>
      <c r="E2902" t="inlineStr">
        <is>
          <t>SKELLEFTEÅ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2579-2024</t>
        </is>
      </c>
      <c r="B2903" s="1" t="n">
        <v>45313</v>
      </c>
      <c r="C2903" s="1" t="n">
        <v>45338</v>
      </c>
      <c r="D2903" t="inlineStr">
        <is>
          <t>VÄSTERBOTTENS LÄN</t>
        </is>
      </c>
      <c r="E2903" t="inlineStr">
        <is>
          <t>SKELLEFTEÅ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2526-2024</t>
        </is>
      </c>
      <c r="B2904" s="1" t="n">
        <v>45313</v>
      </c>
      <c r="C2904" s="1" t="n">
        <v>45338</v>
      </c>
      <c r="D2904" t="inlineStr">
        <is>
          <t>VÄSTERBOTTENS LÄN</t>
        </is>
      </c>
      <c r="E2904" t="inlineStr">
        <is>
          <t>SKELLEFTEÅ</t>
        </is>
      </c>
      <c r="G2904" t="n">
        <v>5.2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2562-2024</t>
        </is>
      </c>
      <c r="B2905" s="1" t="n">
        <v>45313</v>
      </c>
      <c r="C2905" s="1" t="n">
        <v>45338</v>
      </c>
      <c r="D2905" t="inlineStr">
        <is>
          <t>VÄSTERBOTTENS LÄN</t>
        </is>
      </c>
      <c r="E2905" t="inlineStr">
        <is>
          <t>SKELLEFTEÅ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45338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45338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2811-2024</t>
        </is>
      </c>
      <c r="B2908" s="1" t="n">
        <v>45314</v>
      </c>
      <c r="C2908" s="1" t="n">
        <v>45338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2801-2024</t>
        </is>
      </c>
      <c r="B2909" s="1" t="n">
        <v>45314</v>
      </c>
      <c r="C2909" s="1" t="n">
        <v>45338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2840-2024</t>
        </is>
      </c>
      <c r="B2910" s="1" t="n">
        <v>45315</v>
      </c>
      <c r="C2910" s="1" t="n">
        <v>45338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2848-2024</t>
        </is>
      </c>
      <c r="B2911" s="1" t="n">
        <v>45315</v>
      </c>
      <c r="C2911" s="1" t="n">
        <v>45338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2987-2024</t>
        </is>
      </c>
      <c r="B2912" s="1" t="n">
        <v>45315</v>
      </c>
      <c r="C2912" s="1" t="n">
        <v>45338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45338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2976-2024</t>
        </is>
      </c>
      <c r="B2914" s="1" t="n">
        <v>45315</v>
      </c>
      <c r="C2914" s="1" t="n">
        <v>45338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2845-2024</t>
        </is>
      </c>
      <c r="B2915" s="1" t="n">
        <v>45315</v>
      </c>
      <c r="C2915" s="1" t="n">
        <v>45338</v>
      </c>
      <c r="D2915" t="inlineStr">
        <is>
          <t>VÄSTERBOTTENS LÄN</t>
        </is>
      </c>
      <c r="E2915" t="inlineStr">
        <is>
          <t>SKELLEFTEÅ</t>
        </is>
      </c>
      <c r="F2915" t="inlineStr">
        <is>
          <t>Sveaskog</t>
        </is>
      </c>
      <c r="G2915" t="n">
        <v>15.7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3142-2024</t>
        </is>
      </c>
      <c r="B2916" s="1" t="n">
        <v>45316</v>
      </c>
      <c r="C2916" s="1" t="n">
        <v>45338</v>
      </c>
      <c r="D2916" t="inlineStr">
        <is>
          <t>VÄSTERBOTTENS LÄN</t>
        </is>
      </c>
      <c r="E2916" t="inlineStr">
        <is>
          <t>SKELLEFTEÅ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3143-2024</t>
        </is>
      </c>
      <c r="B2917" s="1" t="n">
        <v>45316</v>
      </c>
      <c r="C2917" s="1" t="n">
        <v>45338</v>
      </c>
      <c r="D2917" t="inlineStr">
        <is>
          <t>VÄSTERBOTTENS LÄN</t>
        </is>
      </c>
      <c r="E2917" t="inlineStr">
        <is>
          <t>SKELLEFTEÅ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3045-2024</t>
        </is>
      </c>
      <c r="B2918" s="1" t="n">
        <v>45316</v>
      </c>
      <c r="C2918" s="1" t="n">
        <v>45338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3141-2024</t>
        </is>
      </c>
      <c r="B2919" s="1" t="n">
        <v>45316</v>
      </c>
      <c r="C2919" s="1" t="n">
        <v>45338</v>
      </c>
      <c r="D2919" t="inlineStr">
        <is>
          <t>VÄSTERBOTTENS LÄN</t>
        </is>
      </c>
      <c r="E2919" t="inlineStr">
        <is>
          <t>SKELLEFTEÅ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3358-2024</t>
        </is>
      </c>
      <c r="B2920" s="1" t="n">
        <v>45317</v>
      </c>
      <c r="C2920" s="1" t="n">
        <v>45338</v>
      </c>
      <c r="D2920" t="inlineStr">
        <is>
          <t>VÄSTERBOTTENS LÄN</t>
        </is>
      </c>
      <c r="E2920" t="inlineStr">
        <is>
          <t>SKELLEFTEÅ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45338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45338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45338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45338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3611-2024</t>
        </is>
      </c>
      <c r="B2925" s="1" t="n">
        <v>45320</v>
      </c>
      <c r="C2925" s="1" t="n">
        <v>45338</v>
      </c>
      <c r="D2925" t="inlineStr">
        <is>
          <t>VÄSTERBOTTENS LÄN</t>
        </is>
      </c>
      <c r="E2925" t="inlineStr">
        <is>
          <t>SKELLEFTEÅ</t>
        </is>
      </c>
      <c r="G2925" t="n">
        <v>6.3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3571-2024</t>
        </is>
      </c>
      <c r="B2926" s="1" t="n">
        <v>45320</v>
      </c>
      <c r="C2926" s="1" t="n">
        <v>45338</v>
      </c>
      <c r="D2926" t="inlineStr">
        <is>
          <t>VÄSTERBOTTENS LÄN</t>
        </is>
      </c>
      <c r="E2926" t="inlineStr">
        <is>
          <t>SKELLEFTEÅ</t>
        </is>
      </c>
      <c r="F2926" t="inlineStr">
        <is>
          <t>Holmen skog AB</t>
        </is>
      </c>
      <c r="G2926" t="n">
        <v>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3445-2024</t>
        </is>
      </c>
      <c r="B2927" s="1" t="n">
        <v>45320</v>
      </c>
      <c r="C2927" s="1" t="n">
        <v>45338</v>
      </c>
      <c r="D2927" t="inlineStr">
        <is>
          <t>VÄSTERBOTTENS LÄN</t>
        </is>
      </c>
      <c r="E2927" t="inlineStr">
        <is>
          <t>SKELLEFTEÅ</t>
        </is>
      </c>
      <c r="G2927" t="n">
        <v>19.1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3962-2024</t>
        </is>
      </c>
      <c r="B2928" s="1" t="n">
        <v>45322</v>
      </c>
      <c r="C2928" s="1" t="n">
        <v>45338</v>
      </c>
      <c r="D2928" t="inlineStr">
        <is>
          <t>VÄSTERBOTTENS LÄN</t>
        </is>
      </c>
      <c r="E2928" t="inlineStr">
        <is>
          <t>SKELLEFTEÅ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3947-2024</t>
        </is>
      </c>
      <c r="B2929" s="1" t="n">
        <v>45322</v>
      </c>
      <c r="C2929" s="1" t="n">
        <v>45338</v>
      </c>
      <c r="D2929" t="inlineStr">
        <is>
          <t>VÄSTERBOTTENS LÄN</t>
        </is>
      </c>
      <c r="E2929" t="inlineStr">
        <is>
          <t>SKELLEFTEÅ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3983-2024</t>
        </is>
      </c>
      <c r="B2930" s="1" t="n">
        <v>45322</v>
      </c>
      <c r="C2930" s="1" t="n">
        <v>45338</v>
      </c>
      <c r="D2930" t="inlineStr">
        <is>
          <t>VÄSTERBOTTENS LÄN</t>
        </is>
      </c>
      <c r="E2930" t="inlineStr">
        <is>
          <t>SKELLEFTEÅ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4019-2024</t>
        </is>
      </c>
      <c r="B2931" s="1" t="n">
        <v>45323</v>
      </c>
      <c r="C2931" s="1" t="n">
        <v>45338</v>
      </c>
      <c r="D2931" t="inlineStr">
        <is>
          <t>VÄSTERBOTTENS LÄN</t>
        </is>
      </c>
      <c r="E2931" t="inlineStr">
        <is>
          <t>SKELLEFTEÅ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45338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45338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4084-2024</t>
        </is>
      </c>
      <c r="B2934" s="1" t="n">
        <v>45323</v>
      </c>
      <c r="C2934" s="1" t="n">
        <v>45338</v>
      </c>
      <c r="D2934" t="inlineStr">
        <is>
          <t>VÄSTERBOTTENS LÄN</t>
        </is>
      </c>
      <c r="E2934" t="inlineStr">
        <is>
          <t>SKELLEFTEÅ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45338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4118-2024</t>
        </is>
      </c>
      <c r="B2936" s="1" t="n">
        <v>45323</v>
      </c>
      <c r="C2936" s="1" t="n">
        <v>45338</v>
      </c>
      <c r="D2936" t="inlineStr">
        <is>
          <t>VÄSTERBOTTENS LÄN</t>
        </is>
      </c>
      <c r="E2936" t="inlineStr">
        <is>
          <t>SKELLEFTEÅ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4124-2024</t>
        </is>
      </c>
      <c r="B2937" s="1" t="n">
        <v>45323</v>
      </c>
      <c r="C2937" s="1" t="n">
        <v>45338</v>
      </c>
      <c r="D2937" t="inlineStr">
        <is>
          <t>VÄSTERBOTTENS LÄN</t>
        </is>
      </c>
      <c r="E2937" t="inlineStr">
        <is>
          <t>SKELLEFTEÅ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4022-2024</t>
        </is>
      </c>
      <c r="B2938" s="1" t="n">
        <v>45323</v>
      </c>
      <c r="C2938" s="1" t="n">
        <v>45338</v>
      </c>
      <c r="D2938" t="inlineStr">
        <is>
          <t>VÄSTERBOTTENS LÄN</t>
        </is>
      </c>
      <c r="E2938" t="inlineStr">
        <is>
          <t>SKELLEFTEÅ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4034-2024</t>
        </is>
      </c>
      <c r="B2939" s="1" t="n">
        <v>45323</v>
      </c>
      <c r="C2939" s="1" t="n">
        <v>45338</v>
      </c>
      <c r="D2939" t="inlineStr">
        <is>
          <t>VÄSTERBOTTENS LÄN</t>
        </is>
      </c>
      <c r="E2939" t="inlineStr">
        <is>
          <t>SKELLEFTEÅ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4292-2024</t>
        </is>
      </c>
      <c r="B2940" s="1" t="n">
        <v>45324</v>
      </c>
      <c r="C2940" s="1" t="n">
        <v>45338</v>
      </c>
      <c r="D2940" t="inlineStr">
        <is>
          <t>VÄSTERBOTTENS LÄN</t>
        </is>
      </c>
      <c r="E2940" t="inlineStr">
        <is>
          <t>SKELLEFTEÅ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45338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4617-2024</t>
        </is>
      </c>
      <c r="B2942" s="1" t="n">
        <v>45327</v>
      </c>
      <c r="C2942" s="1" t="n">
        <v>45338</v>
      </c>
      <c r="D2942" t="inlineStr">
        <is>
          <t>VÄSTERBOTTENS LÄN</t>
        </is>
      </c>
      <c r="E2942" t="inlineStr">
        <is>
          <t>SKELLEFTEÅ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4777-2024</t>
        </is>
      </c>
      <c r="B2943" s="1" t="n">
        <v>45328</v>
      </c>
      <c r="C2943" s="1" t="n">
        <v>45338</v>
      </c>
      <c r="D2943" t="inlineStr">
        <is>
          <t>VÄSTERBOTTENS LÄN</t>
        </is>
      </c>
      <c r="E2943" t="inlineStr">
        <is>
          <t>SKELLEFTEÅ</t>
        </is>
      </c>
      <c r="G2943" t="n">
        <v>6.6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4900-2024</t>
        </is>
      </c>
      <c r="B2944" s="1" t="n">
        <v>45329</v>
      </c>
      <c r="C2944" s="1" t="n">
        <v>45338</v>
      </c>
      <c r="D2944" t="inlineStr">
        <is>
          <t>VÄSTERBOTTENS LÄN</t>
        </is>
      </c>
      <c r="E2944" t="inlineStr">
        <is>
          <t>SKELLEFTEÅ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5239-2024</t>
        </is>
      </c>
      <c r="B2945" s="1" t="n">
        <v>45330</v>
      </c>
      <c r="C2945" s="1" t="n">
        <v>45338</v>
      </c>
      <c r="D2945" t="inlineStr">
        <is>
          <t>VÄSTERBOTTENS LÄN</t>
        </is>
      </c>
      <c r="E2945" t="inlineStr">
        <is>
          <t>SKELLEFTEÅ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5220-2024</t>
        </is>
      </c>
      <c r="B2946" s="1" t="n">
        <v>45330</v>
      </c>
      <c r="C2946" s="1" t="n">
        <v>45338</v>
      </c>
      <c r="D2946" t="inlineStr">
        <is>
          <t>VÄSTERBOTTENS LÄN</t>
        </is>
      </c>
      <c r="E2946" t="inlineStr">
        <is>
          <t>SKELLEFTEÅ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5237-2024</t>
        </is>
      </c>
      <c r="B2947" s="1" t="n">
        <v>45330</v>
      </c>
      <c r="C2947" s="1" t="n">
        <v>45338</v>
      </c>
      <c r="D2947" t="inlineStr">
        <is>
          <t>VÄSTERBOTTENS LÄN</t>
        </is>
      </c>
      <c r="E2947" t="inlineStr">
        <is>
          <t>SKELLEFTEÅ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5236-2024</t>
        </is>
      </c>
      <c r="B2948" s="1" t="n">
        <v>45330</v>
      </c>
      <c r="C2948" s="1" t="n">
        <v>45338</v>
      </c>
      <c r="D2948" t="inlineStr">
        <is>
          <t>VÄSTERBOTTENS LÄN</t>
        </is>
      </c>
      <c r="E2948" t="inlineStr">
        <is>
          <t>SKELLEFTEÅ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5252-2024</t>
        </is>
      </c>
      <c r="B2949" s="1" t="n">
        <v>45330</v>
      </c>
      <c r="C2949" s="1" t="n">
        <v>45338</v>
      </c>
      <c r="D2949" t="inlineStr">
        <is>
          <t>VÄSTERBOTTENS LÄN</t>
        </is>
      </c>
      <c r="E2949" t="inlineStr">
        <is>
          <t>SKELLEFTEÅ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45338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5639-2024</t>
        </is>
      </c>
      <c r="B2951" s="1" t="n">
        <v>45334</v>
      </c>
      <c r="C2951" s="1" t="n">
        <v>45338</v>
      </c>
      <c r="D2951" t="inlineStr">
        <is>
          <t>VÄSTERBOTTENS LÄN</t>
        </is>
      </c>
      <c r="E2951" t="inlineStr">
        <is>
          <t>SKELLEFTEÅ</t>
        </is>
      </c>
      <c r="G2951" t="n">
        <v>9.4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45338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45338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5603-2024</t>
        </is>
      </c>
      <c r="B2954" s="1" t="n">
        <v>45334</v>
      </c>
      <c r="C2954" s="1" t="n">
        <v>45338</v>
      </c>
      <c r="D2954" t="inlineStr">
        <is>
          <t>VÄSTERBOTTENS LÄN</t>
        </is>
      </c>
      <c r="E2954" t="inlineStr">
        <is>
          <t>SKELLEFTEÅ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45338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>
      <c r="A2956" t="inlineStr">
        <is>
          <t>A 6244-2024</t>
        </is>
      </c>
      <c r="B2956" s="1" t="n">
        <v>45337</v>
      </c>
      <c r="C2956" s="1" t="n">
        <v>45338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2024-02-16T16:06:11Z</dcterms:created>
  <dcterms:modified xmlns:dcterms="http://purl.org/dc/terms/" xmlns:xsi="http://www.w3.org/2001/XMLSchema-instance" xsi:type="dcterms:W3CDTF">2024-02-16T16:06:12Z</dcterms:modified>
</cp:coreProperties>
</file>