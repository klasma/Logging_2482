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45833</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45833</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45833</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45833</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45833</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45833</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45833</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45833</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45833</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45833</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45833</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45833</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45833</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45833</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45833</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45833</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45833</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45833</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63587-2019</t>
        </is>
      </c>
      <c r="B24" s="1" t="n">
        <v>43780</v>
      </c>
      <c r="C24" s="1" t="n">
        <v>45833</v>
      </c>
      <c r="D24" t="inlineStr">
        <is>
          <t>VÄSTERBOTTENS LÄN</t>
        </is>
      </c>
      <c r="E24" t="inlineStr">
        <is>
          <t>SKELLEFTEÅ</t>
        </is>
      </c>
      <c r="F24" t="inlineStr">
        <is>
          <t>Naturvårdsverket</t>
        </is>
      </c>
      <c r="G24" t="n">
        <v>6.1</v>
      </c>
      <c r="H24" t="n">
        <v>5</v>
      </c>
      <c r="I24" t="n">
        <v>5</v>
      </c>
      <c r="J24" t="n">
        <v>2</v>
      </c>
      <c r="K24" t="n">
        <v>0</v>
      </c>
      <c r="L24" t="n">
        <v>1</v>
      </c>
      <c r="M24" t="n">
        <v>0</v>
      </c>
      <c r="N24" t="n">
        <v>0</v>
      </c>
      <c r="O24" t="n">
        <v>3</v>
      </c>
      <c r="P24" t="n">
        <v>1</v>
      </c>
      <c r="Q24" t="n">
        <v>11</v>
      </c>
      <c r="R24" s="2" t="inlineStr">
        <is>
          <t>Grönfink
Granticka
Nordfladdermus
Barkticka
Robust tickgnagare
Skinnlav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31079-2021</t>
        </is>
      </c>
      <c r="B25" s="1" t="n">
        <v>44368</v>
      </c>
      <c r="C25" s="1" t="n">
        <v>45833</v>
      </c>
      <c r="D25" t="inlineStr">
        <is>
          <t>VÄSTERBOTTENS LÄN</t>
        </is>
      </c>
      <c r="E25" t="inlineStr">
        <is>
          <t>SKELLEFTEÅ</t>
        </is>
      </c>
      <c r="F25" t="inlineStr">
        <is>
          <t>Holmen skog AB</t>
        </is>
      </c>
      <c r="G25" t="n">
        <v>6.9</v>
      </c>
      <c r="H25" t="n">
        <v>1</v>
      </c>
      <c r="I25" t="n">
        <v>5</v>
      </c>
      <c r="J25" t="n">
        <v>6</v>
      </c>
      <c r="K25" t="n">
        <v>0</v>
      </c>
      <c r="L25" t="n">
        <v>0</v>
      </c>
      <c r="M25" t="n">
        <v>0</v>
      </c>
      <c r="N25" t="n">
        <v>0</v>
      </c>
      <c r="O25" t="n">
        <v>6</v>
      </c>
      <c r="P25" t="n">
        <v>0</v>
      </c>
      <c r="Q25" t="n">
        <v>11</v>
      </c>
      <c r="R25" s="2" t="inlineStr">
        <is>
          <t>Gammelgransskål
Garnlav
Granticka
Lunglav
Ullticka
Violettgrå tagellav
Bårdlav
Luddlav
Skinnlav
Spindelblomster
Vedticka</t>
        </is>
      </c>
      <c r="S25">
        <f>HYPERLINK("https://klasma.github.io/Logging_2482/artfynd/A 31079-2021 artfynd.xlsx", "A 31079-2021")</f>
        <v/>
      </c>
      <c r="T25">
        <f>HYPERLINK("https://klasma.github.io/Logging_2482/kartor/A 31079-2021 karta.png", "A 31079-2021")</f>
        <v/>
      </c>
      <c r="V25">
        <f>HYPERLINK("https://klasma.github.io/Logging_2482/klagomål/A 31079-2021 FSC-klagomål.docx", "A 31079-2021")</f>
        <v/>
      </c>
      <c r="W25">
        <f>HYPERLINK("https://klasma.github.io/Logging_2482/klagomålsmail/A 31079-2021 FSC-klagomål mail.docx", "A 31079-2021")</f>
        <v/>
      </c>
      <c r="X25">
        <f>HYPERLINK("https://klasma.github.io/Logging_2482/tillsyn/A 31079-2021 tillsynsbegäran.docx", "A 31079-2021")</f>
        <v/>
      </c>
      <c r="Y25">
        <f>HYPERLINK("https://klasma.github.io/Logging_2482/tillsynsmail/A 31079-2021 tillsynsbegäran mail.docx", "A 31079-2021")</f>
        <v/>
      </c>
    </row>
    <row r="26" ht="15" customHeight="1">
      <c r="A26" t="inlineStr">
        <is>
          <t>A 9162-2024</t>
        </is>
      </c>
      <c r="B26" s="1" t="n">
        <v>45358</v>
      </c>
      <c r="C26" s="1" t="n">
        <v>45833</v>
      </c>
      <c r="D26" t="inlineStr">
        <is>
          <t>VÄSTERBOTTENS LÄN</t>
        </is>
      </c>
      <c r="E26" t="inlineStr">
        <is>
          <t>SKELLEFTEÅ</t>
        </is>
      </c>
      <c r="G26" t="n">
        <v>19.7</v>
      </c>
      <c r="H26" t="n">
        <v>3</v>
      </c>
      <c r="I26" t="n">
        <v>1</v>
      </c>
      <c r="J26" t="n">
        <v>8</v>
      </c>
      <c r="K26" t="n">
        <v>2</v>
      </c>
      <c r="L26" t="n">
        <v>0</v>
      </c>
      <c r="M26" t="n">
        <v>0</v>
      </c>
      <c r="N26" t="n">
        <v>0</v>
      </c>
      <c r="O26" t="n">
        <v>10</v>
      </c>
      <c r="P26" t="n">
        <v>2</v>
      </c>
      <c r="Q26" t="n">
        <v>11</v>
      </c>
      <c r="R26" s="2" t="inlineStr">
        <is>
          <t>Knärot
Ulltickeporing
Gammelgransskål
Garnlav
Granticka
Spillkråka
Tallriska
Tretåig hackspett
Ullticka
Violettgrå tagellav
Vedticka</t>
        </is>
      </c>
      <c r="S26">
        <f>HYPERLINK("https://klasma.github.io/Logging_2482/artfynd/A 9162-2024 artfynd.xlsx", "A 9162-2024")</f>
        <v/>
      </c>
      <c r="T26">
        <f>HYPERLINK("https://klasma.github.io/Logging_2482/kartor/A 9162-2024 karta.png", "A 9162-2024")</f>
        <v/>
      </c>
      <c r="U26">
        <f>HYPERLINK("https://klasma.github.io/Logging_2482/knärot/A 9162-2024 karta knärot.png", "A 9162-2024")</f>
        <v/>
      </c>
      <c r="V26">
        <f>HYPERLINK("https://klasma.github.io/Logging_2482/klagomål/A 9162-2024 FSC-klagomål.docx", "A 9162-2024")</f>
        <v/>
      </c>
      <c r="W26">
        <f>HYPERLINK("https://klasma.github.io/Logging_2482/klagomålsmail/A 9162-2024 FSC-klagomål mail.docx", "A 9162-2024")</f>
        <v/>
      </c>
      <c r="X26">
        <f>HYPERLINK("https://klasma.github.io/Logging_2482/tillsyn/A 9162-2024 tillsynsbegäran.docx", "A 9162-2024")</f>
        <v/>
      </c>
      <c r="Y26">
        <f>HYPERLINK("https://klasma.github.io/Logging_2482/tillsynsmail/A 9162-2024 tillsynsbegäran mail.docx", "A 9162-2024")</f>
        <v/>
      </c>
      <c r="Z26">
        <f>HYPERLINK("https://klasma.github.io/Logging_2482/fåglar/A 9162-2024 prioriterade fågelarter.docx", "A 9162-2024")</f>
        <v/>
      </c>
    </row>
    <row r="27" ht="15" customHeight="1">
      <c r="A27" t="inlineStr">
        <is>
          <t>A 55811-2020</t>
        </is>
      </c>
      <c r="B27" s="1" t="n">
        <v>44132</v>
      </c>
      <c r="C27" s="1" t="n">
        <v>45833</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45833</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45833</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45833</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45833</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45833</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50032-2024</t>
        </is>
      </c>
      <c r="B33" s="1" t="n">
        <v>45599</v>
      </c>
      <c r="C33" s="1" t="n">
        <v>45833</v>
      </c>
      <c r="D33" t="inlineStr">
        <is>
          <t>VÄSTERBOTTENS LÄN</t>
        </is>
      </c>
      <c r="E33" t="inlineStr">
        <is>
          <t>SKELLEFTEÅ</t>
        </is>
      </c>
      <c r="F33" t="inlineStr">
        <is>
          <t>Sveaskog</t>
        </is>
      </c>
      <c r="G33" t="n">
        <v>22.7</v>
      </c>
      <c r="H33" t="n">
        <v>3</v>
      </c>
      <c r="I33" t="n">
        <v>2</v>
      </c>
      <c r="J33" t="n">
        <v>7</v>
      </c>
      <c r="K33" t="n">
        <v>0</v>
      </c>
      <c r="L33" t="n">
        <v>1</v>
      </c>
      <c r="M33" t="n">
        <v>0</v>
      </c>
      <c r="N33" t="n">
        <v>0</v>
      </c>
      <c r="O33" t="n">
        <v>8</v>
      </c>
      <c r="P33" t="n">
        <v>1</v>
      </c>
      <c r="Q33" t="n">
        <v>10</v>
      </c>
      <c r="R33" s="2" t="inlineStr">
        <is>
          <t>Urskogsporing
Gammelgransskål
Granticka
Kolflarnlav
Mörk kolflarnlav
Spillkråka
Talltita
Tretåig hackspett
Dropptaggsvamp
Skinnlav</t>
        </is>
      </c>
      <c r="S33">
        <f>HYPERLINK("https://klasma.github.io/Logging_2482/artfynd/A 50032-2024 artfynd.xlsx", "A 50032-2024")</f>
        <v/>
      </c>
      <c r="T33">
        <f>HYPERLINK("https://klasma.github.io/Logging_2482/kartor/A 50032-2024 karta.png", "A 50032-2024")</f>
        <v/>
      </c>
      <c r="V33">
        <f>HYPERLINK("https://klasma.github.io/Logging_2482/klagomål/A 50032-2024 FSC-klagomål.docx", "A 50032-2024")</f>
        <v/>
      </c>
      <c r="W33">
        <f>HYPERLINK("https://klasma.github.io/Logging_2482/klagomålsmail/A 50032-2024 FSC-klagomål mail.docx", "A 50032-2024")</f>
        <v/>
      </c>
      <c r="X33">
        <f>HYPERLINK("https://klasma.github.io/Logging_2482/tillsyn/A 50032-2024 tillsynsbegäran.docx", "A 50032-2024")</f>
        <v/>
      </c>
      <c r="Y33">
        <f>HYPERLINK("https://klasma.github.io/Logging_2482/tillsynsmail/A 50032-2024 tillsynsbegäran mail.docx", "A 50032-2024")</f>
        <v/>
      </c>
      <c r="Z33">
        <f>HYPERLINK("https://klasma.github.io/Logging_2482/fåglar/A 50032-2024 prioriterade fågelarter.docx", "A 50032-2024")</f>
        <v/>
      </c>
    </row>
    <row r="34" ht="15" customHeight="1">
      <c r="A34" t="inlineStr">
        <is>
          <t>A 16152-2021</t>
        </is>
      </c>
      <c r="B34" s="1" t="n">
        <v>44287</v>
      </c>
      <c r="C34" s="1" t="n">
        <v>45833</v>
      </c>
      <c r="D34" t="inlineStr">
        <is>
          <t>VÄSTERBOTTENS LÄN</t>
        </is>
      </c>
      <c r="E34" t="inlineStr">
        <is>
          <t>SKELLEFTEÅ</t>
        </is>
      </c>
      <c r="G34" t="n">
        <v>3.4</v>
      </c>
      <c r="H34" t="n">
        <v>0</v>
      </c>
      <c r="I34" t="n">
        <v>3</v>
      </c>
      <c r="J34" t="n">
        <v>5</v>
      </c>
      <c r="K34" t="n">
        <v>1</v>
      </c>
      <c r="L34" t="n">
        <v>0</v>
      </c>
      <c r="M34" t="n">
        <v>0</v>
      </c>
      <c r="N34" t="n">
        <v>0</v>
      </c>
      <c r="O34" t="n">
        <v>6</v>
      </c>
      <c r="P34" t="n">
        <v>1</v>
      </c>
      <c r="Q34" t="n">
        <v>9</v>
      </c>
      <c r="R34" s="2" t="inlineStr">
        <is>
          <t>Goliatmusseron
Blå taggsvamp
Granticka
Orange taggsvamp
Svart taggsvamp
Talltaggsvamp
Dropptaggsvamp
Skarp dropptaggsvamp
Vedticka</t>
        </is>
      </c>
      <c r="S34">
        <f>HYPERLINK("https://klasma.github.io/Logging_2482/artfynd/A 16152-2021 artfynd.xlsx", "A 16152-2021")</f>
        <v/>
      </c>
      <c r="T34">
        <f>HYPERLINK("https://klasma.github.io/Logging_2482/kartor/A 16152-2021 karta.png", "A 16152-2021")</f>
        <v/>
      </c>
      <c r="V34">
        <f>HYPERLINK("https://klasma.github.io/Logging_2482/klagomål/A 16152-2021 FSC-klagomål.docx", "A 16152-2021")</f>
        <v/>
      </c>
      <c r="W34">
        <f>HYPERLINK("https://klasma.github.io/Logging_2482/klagomålsmail/A 16152-2021 FSC-klagomål mail.docx", "A 16152-2021")</f>
        <v/>
      </c>
      <c r="X34">
        <f>HYPERLINK("https://klasma.github.io/Logging_2482/tillsyn/A 16152-2021 tillsynsbegäran.docx", "A 16152-2021")</f>
        <v/>
      </c>
      <c r="Y34">
        <f>HYPERLINK("https://klasma.github.io/Logging_2482/tillsynsmail/A 16152-2021 tillsynsbegäran mail.docx", "A 16152-2021")</f>
        <v/>
      </c>
    </row>
    <row r="35" ht="15" customHeight="1">
      <c r="A35" t="inlineStr">
        <is>
          <t>A 39213-2021</t>
        </is>
      </c>
      <c r="B35" s="1" t="n">
        <v>44413</v>
      </c>
      <c r="C35" s="1" t="n">
        <v>45833</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1602-2023</t>
        </is>
      </c>
      <c r="B36" s="1" t="n">
        <v>44935</v>
      </c>
      <c r="C36" s="1" t="n">
        <v>45833</v>
      </c>
      <c r="D36" t="inlineStr">
        <is>
          <t>VÄSTERBOTTENS LÄN</t>
        </is>
      </c>
      <c r="E36" t="inlineStr">
        <is>
          <t>SKELLEFTEÅ</t>
        </is>
      </c>
      <c r="G36" t="n">
        <v>12.6</v>
      </c>
      <c r="H36" t="n">
        <v>3</v>
      </c>
      <c r="I36" t="n">
        <v>1</v>
      </c>
      <c r="J36" t="n">
        <v>7</v>
      </c>
      <c r="K36" t="n">
        <v>1</v>
      </c>
      <c r="L36" t="n">
        <v>0</v>
      </c>
      <c r="M36" t="n">
        <v>0</v>
      </c>
      <c r="N36" t="n">
        <v>0</v>
      </c>
      <c r="O36" t="n">
        <v>8</v>
      </c>
      <c r="P36" t="n">
        <v>1</v>
      </c>
      <c r="Q36" t="n">
        <v>9</v>
      </c>
      <c r="R36" s="2" t="inlineStr">
        <is>
          <t>Knärot
Gammelgransskål
Garnlav
Granticka
Spillkråka
Tretåig hackspett
Ullticka
Violettgrå tagellav
Vedticka</t>
        </is>
      </c>
      <c r="S36">
        <f>HYPERLINK("https://klasma.github.io/Logging_2482/artfynd/A 1602-2023 artfynd.xlsx", "A 1602-2023")</f>
        <v/>
      </c>
      <c r="T36">
        <f>HYPERLINK("https://klasma.github.io/Logging_2482/kartor/A 1602-2023 karta.png", "A 1602-2023")</f>
        <v/>
      </c>
      <c r="U36">
        <f>HYPERLINK("https://klasma.github.io/Logging_2482/knärot/A 1602-2023 karta knärot.png", "A 1602-2023")</f>
        <v/>
      </c>
      <c r="V36">
        <f>HYPERLINK("https://klasma.github.io/Logging_2482/klagomål/A 1602-2023 FSC-klagomål.docx", "A 1602-2023")</f>
        <v/>
      </c>
      <c r="W36">
        <f>HYPERLINK("https://klasma.github.io/Logging_2482/klagomålsmail/A 1602-2023 FSC-klagomål mail.docx", "A 1602-2023")</f>
        <v/>
      </c>
      <c r="X36">
        <f>HYPERLINK("https://klasma.github.io/Logging_2482/tillsyn/A 1602-2023 tillsynsbegäran.docx", "A 1602-2023")</f>
        <v/>
      </c>
      <c r="Y36">
        <f>HYPERLINK("https://klasma.github.io/Logging_2482/tillsynsmail/A 1602-2023 tillsynsbegäran mail.docx", "A 1602-2023")</f>
        <v/>
      </c>
      <c r="Z36">
        <f>HYPERLINK("https://klasma.github.io/Logging_2482/fåglar/A 1602-2023 prioriterade fågelarter.docx", "A 1602-2023")</f>
        <v/>
      </c>
    </row>
    <row r="37" ht="15" customHeight="1">
      <c r="A37" t="inlineStr">
        <is>
          <t>A 17660-2023</t>
        </is>
      </c>
      <c r="B37" s="1" t="n">
        <v>45036</v>
      </c>
      <c r="C37" s="1" t="n">
        <v>45833</v>
      </c>
      <c r="D37" t="inlineStr">
        <is>
          <t>VÄSTERBOTTENS LÄN</t>
        </is>
      </c>
      <c r="E37" t="inlineStr">
        <is>
          <t>SKELLEFTEÅ</t>
        </is>
      </c>
      <c r="G37" t="n">
        <v>3.8</v>
      </c>
      <c r="H37" t="n">
        <v>0</v>
      </c>
      <c r="I37" t="n">
        <v>2</v>
      </c>
      <c r="J37" t="n">
        <v>5</v>
      </c>
      <c r="K37" t="n">
        <v>2</v>
      </c>
      <c r="L37" t="n">
        <v>0</v>
      </c>
      <c r="M37" t="n">
        <v>0</v>
      </c>
      <c r="N37" t="n">
        <v>0</v>
      </c>
      <c r="O37" t="n">
        <v>7</v>
      </c>
      <c r="P37" t="n">
        <v>2</v>
      </c>
      <c r="Q37" t="n">
        <v>9</v>
      </c>
      <c r="R37" s="2" t="inlineStr">
        <is>
          <t>Goliatmusseron
Smalfotad taggsvamp
Blå taggsvamp
Orange taggsvamp
Svart taggsvamp
Svartvit taggsvamp
Talltaggsvamp
Dropptaggsvamp
Skarp dropptaggsvamp</t>
        </is>
      </c>
      <c r="S37">
        <f>HYPERLINK("https://klasma.github.io/Logging_2482/artfynd/A 17660-2023 artfynd.xlsx", "A 17660-2023")</f>
        <v/>
      </c>
      <c r="T37">
        <f>HYPERLINK("https://klasma.github.io/Logging_2482/kartor/A 17660-2023 karta.png", "A 17660-2023")</f>
        <v/>
      </c>
      <c r="V37">
        <f>HYPERLINK("https://klasma.github.io/Logging_2482/klagomål/A 17660-2023 FSC-klagomål.docx", "A 17660-2023")</f>
        <v/>
      </c>
      <c r="W37">
        <f>HYPERLINK("https://klasma.github.io/Logging_2482/klagomålsmail/A 17660-2023 FSC-klagomål mail.docx", "A 17660-2023")</f>
        <v/>
      </c>
      <c r="X37">
        <f>HYPERLINK("https://klasma.github.io/Logging_2482/tillsyn/A 17660-2023 tillsynsbegäran.docx", "A 17660-2023")</f>
        <v/>
      </c>
      <c r="Y37">
        <f>HYPERLINK("https://klasma.github.io/Logging_2482/tillsynsmail/A 17660-2023 tillsynsbegäran mail.docx", "A 17660-2023")</f>
        <v/>
      </c>
    </row>
    <row r="38" ht="15" customHeight="1">
      <c r="A38" t="inlineStr">
        <is>
          <t>A 2054-2024</t>
        </is>
      </c>
      <c r="B38" s="1" t="n">
        <v>45308</v>
      </c>
      <c r="C38" s="1" t="n">
        <v>45833</v>
      </c>
      <c r="D38" t="inlineStr">
        <is>
          <t>VÄSTERBOTTENS LÄN</t>
        </is>
      </c>
      <c r="E38" t="inlineStr">
        <is>
          <t>SKELLEFTEÅ</t>
        </is>
      </c>
      <c r="G38" t="n">
        <v>7.6</v>
      </c>
      <c r="H38" t="n">
        <v>2</v>
      </c>
      <c r="I38" t="n">
        <v>3</v>
      </c>
      <c r="J38" t="n">
        <v>6</v>
      </c>
      <c r="K38" t="n">
        <v>0</v>
      </c>
      <c r="L38" t="n">
        <v>0</v>
      </c>
      <c r="M38" t="n">
        <v>0</v>
      </c>
      <c r="N38" t="n">
        <v>0</v>
      </c>
      <c r="O38" t="n">
        <v>6</v>
      </c>
      <c r="P38" t="n">
        <v>0</v>
      </c>
      <c r="Q38" t="n">
        <v>9</v>
      </c>
      <c r="R38" s="2" t="inlineStr">
        <is>
          <t>Blå taggsvamp
Orange taggsvamp
Svart taggsvamp
Tallriska
Talltaggsvamp
Utter
Dropptaggsvamp
Plattlummer
Skarp dropptaggsvamp</t>
        </is>
      </c>
      <c r="S38">
        <f>HYPERLINK("https://klasma.github.io/Logging_2482/artfynd/A 2054-2024 artfynd.xlsx", "A 2054-2024")</f>
        <v/>
      </c>
      <c r="T38">
        <f>HYPERLINK("https://klasma.github.io/Logging_2482/kartor/A 2054-2024 karta.png", "A 2054-2024")</f>
        <v/>
      </c>
      <c r="V38">
        <f>HYPERLINK("https://klasma.github.io/Logging_2482/klagomål/A 2054-2024 FSC-klagomål.docx", "A 2054-2024")</f>
        <v/>
      </c>
      <c r="W38">
        <f>HYPERLINK("https://klasma.github.io/Logging_2482/klagomålsmail/A 2054-2024 FSC-klagomål mail.docx", "A 2054-2024")</f>
        <v/>
      </c>
      <c r="X38">
        <f>HYPERLINK("https://klasma.github.io/Logging_2482/tillsyn/A 2054-2024 tillsynsbegäran.docx", "A 2054-2024")</f>
        <v/>
      </c>
      <c r="Y38">
        <f>HYPERLINK("https://klasma.github.io/Logging_2482/tillsynsmail/A 2054-2024 tillsynsbegäran mail.docx", "A 2054-2024")</f>
        <v/>
      </c>
    </row>
    <row r="39" ht="15" customHeight="1">
      <c r="A39" t="inlineStr">
        <is>
          <t>A 47887-2024</t>
        </is>
      </c>
      <c r="B39" s="1" t="n">
        <v>45588</v>
      </c>
      <c r="C39" s="1" t="n">
        <v>45833</v>
      </c>
      <c r="D39" t="inlineStr">
        <is>
          <t>VÄSTERBOTTENS LÄN</t>
        </is>
      </c>
      <c r="E39" t="inlineStr">
        <is>
          <t>SKELLEFTEÅ</t>
        </is>
      </c>
      <c r="F39" t="inlineStr">
        <is>
          <t>Sveaskog</t>
        </is>
      </c>
      <c r="G39" t="n">
        <v>24.7</v>
      </c>
      <c r="H39" t="n">
        <v>2</v>
      </c>
      <c r="I39" t="n">
        <v>2</v>
      </c>
      <c r="J39" t="n">
        <v>7</v>
      </c>
      <c r="K39" t="n">
        <v>0</v>
      </c>
      <c r="L39" t="n">
        <v>0</v>
      </c>
      <c r="M39" t="n">
        <v>0</v>
      </c>
      <c r="N39" t="n">
        <v>0</v>
      </c>
      <c r="O39" t="n">
        <v>7</v>
      </c>
      <c r="P39" t="n">
        <v>0</v>
      </c>
      <c r="Q39" t="n">
        <v>9</v>
      </c>
      <c r="R39" s="2" t="inlineStr">
        <is>
          <t>Blanksvart spiklav
Blågrå svartspik
Garnlav
Harticka
Nordtagging
Talltita
Vedflamlav
Dropptaggsvamp
Plattlummer</t>
        </is>
      </c>
      <c r="S39">
        <f>HYPERLINK("https://klasma.github.io/Logging_2482/artfynd/A 47887-2024 artfynd.xlsx", "A 47887-2024")</f>
        <v/>
      </c>
      <c r="T39">
        <f>HYPERLINK("https://klasma.github.io/Logging_2482/kartor/A 47887-2024 karta.png", "A 47887-2024")</f>
        <v/>
      </c>
      <c r="V39">
        <f>HYPERLINK("https://klasma.github.io/Logging_2482/klagomål/A 47887-2024 FSC-klagomål.docx", "A 47887-2024")</f>
        <v/>
      </c>
      <c r="W39">
        <f>HYPERLINK("https://klasma.github.io/Logging_2482/klagomålsmail/A 47887-2024 FSC-klagomål mail.docx", "A 47887-2024")</f>
        <v/>
      </c>
      <c r="X39">
        <f>HYPERLINK("https://klasma.github.io/Logging_2482/tillsyn/A 47887-2024 tillsynsbegäran.docx", "A 47887-2024")</f>
        <v/>
      </c>
      <c r="Y39">
        <f>HYPERLINK("https://klasma.github.io/Logging_2482/tillsynsmail/A 47887-2024 tillsynsbegäran mail.docx", "A 47887-2024")</f>
        <v/>
      </c>
      <c r="Z39">
        <f>HYPERLINK("https://klasma.github.io/Logging_2482/fåglar/A 47887-2024 prioriterade fågelarter.docx", "A 47887-2024")</f>
        <v/>
      </c>
    </row>
    <row r="40" ht="15" customHeight="1">
      <c r="A40" t="inlineStr">
        <is>
          <t>A 53424-2024</t>
        </is>
      </c>
      <c r="B40" s="1" t="n">
        <v>45614</v>
      </c>
      <c r="C40" s="1" t="n">
        <v>45833</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45833</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45833</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45833</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45833</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45833</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45833</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45833</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45833</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45833</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45833</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45833</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45833</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45833</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45833</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45833</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45833</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45833</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45833</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45833</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45833</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45833</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45833</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45833</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45833</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45833</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45833</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45833</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45833</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45833</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45833</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45833</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45833</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45833</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45833</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45833</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45833</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45833</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45833</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45833</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45833</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45833</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45833</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45833</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45833</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45833</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45833</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45833</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45833</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45833</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45833</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45833</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45833</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45833</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45833</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45833</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45833</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45833</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45833</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45833</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45833</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45833</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45833</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45833</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45833</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45833</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45833</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45833</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45833</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45833</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45833</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45833</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45833</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45833</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45833</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45833</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45833</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45833</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45833</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45833</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45833</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45833</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45833</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45833</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45833</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45833</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45833</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45833</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45833</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45833</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45833</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45833</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45833</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45833</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45833</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45833</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45833</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45833</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45833</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45833</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45833</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45833</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45833</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45833</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45833</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45833</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45833</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45833</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45833</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45833</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45833</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45833</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45833</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45833</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45833</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45833</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45833</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45833</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45833</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45833</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45833</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45833</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45833</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45833</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45833</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45833</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45833</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45833</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45833</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45833</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45833</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45833</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45833</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45833</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45833</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45833</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45833</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45833</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45833</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45833</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45833</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45833</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45833</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45833</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45833</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45833</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45833</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45833</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45833</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45833</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45833</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45833</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45833</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45833</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45833</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45833</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45833</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45833</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45833</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45833</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45833</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45833</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45833</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45833</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45833</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45833</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45833</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45833</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45833</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45833</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45833</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45833</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45833</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45833</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45833</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45833</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45833</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45833</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45833</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45833</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45833</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45833</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45833</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45833</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45833</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45833</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45833</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45833</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45833</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45833</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45833</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45833</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45833</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45833</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45833</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45833</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45833</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45833</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45833</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45833</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45833</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45833</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45833</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45833</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45833</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45833</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45833</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45833</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45833</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45833</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45833</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45833</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45833</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45833</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45833</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45833</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45833</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45833</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45833</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45833</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45833</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45833</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45833</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45833</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45833</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45833</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45833</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45833</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45833</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45833</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45833</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45833</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45833</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45833</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45833</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45833</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45833</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45833</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45833</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45833</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45833</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45833</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45833</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45833</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45833</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45833</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45833</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45833</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45833</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45833</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45833</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45833</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45833</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45833</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45833</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45833</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45833</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45833</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45833</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45833</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45833</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45833</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45833</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45833</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45833</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45833</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45833</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45833</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45833</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45833</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45833</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45833</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45833</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45833</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45833</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45833</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45833</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45833</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45833</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45833</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45833</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45833</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45833</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45833</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45833</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45833</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45833</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45833</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45833</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45833</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45833</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45833</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45833</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45833</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45833</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45833</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45833</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45833</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45833</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45833</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45833</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45833</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45833</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45833</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45833</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45833</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45833</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45833</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45833</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45833</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45833</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45833</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45833</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45833</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45833</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45833</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45833</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45833</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45833</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45833</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45833</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45833</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45833</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45833</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45833</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45833</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45833</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45833</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45833</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45833</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45833</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45833</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45833</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45833</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45833</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45833</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45833</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45833</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45833</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45833</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45833</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45833</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45833</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45833</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45833</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45833</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45833</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45833</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45833</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45833</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45833</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45833</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45833</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45833</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45833</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45833</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45833</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45833</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45833</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45833</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45833</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45833</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45833</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45833</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45833</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45833</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45833</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45833</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45833</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45833</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45833</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45833</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45833</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45833</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45833</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45833</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45833</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45833</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45833</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45833</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45833</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45833</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45833</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45833</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45833</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45833</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45833</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45833</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45833</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45833</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45833</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45833</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45833</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45833</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45833</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45833</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45833</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45833</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45833</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45833</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45833</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45833</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45833</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45833</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45833</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45833</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45833</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45833</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45833</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45833</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45833</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45833</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45833</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45833</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45833</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45833</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45833</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45833</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45833</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45833</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45833</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45833</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45833</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45833</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45833</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45833</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45833</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45833</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45833</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45833</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45833</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45833</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45833</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45833</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45833</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45833</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45833</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45833</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45833</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45833</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45833</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45833</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45833</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45833</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45833</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45833</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45833</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45833</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45833</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45833</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45833</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45833</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45833</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45833</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45833</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45833</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45833</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45833</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45833</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45833</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45833</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45833</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45833</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45833</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45833</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45833</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45833</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45833</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45833</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45833</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45833</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45833</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45833</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45833</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45833</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45833</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45833</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45833</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45833</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45833</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45833</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45833</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45833</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45833</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45833</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45833</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45833</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45833</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45833</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45833</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45833</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45833</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45833</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45833</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45833</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45833</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45833</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45833</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45833</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45833</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45833</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45833</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45833</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45833</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45833</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45833</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45833</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45833</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45833</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45833</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45833</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45833</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45833</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45833</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45833</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45833</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45833</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45833</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45833</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45833</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45833</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45833</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45833</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45833</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45833</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45833</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45833</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45833</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45833</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45833</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45833</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45833</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45833</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45833</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45833</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45833</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45833</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45833</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45833</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45833</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45833</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45833</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45833</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45833</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45833</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45833</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45833</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45833</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45833</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45833</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45833</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45833</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45833</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45833</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45833</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45833</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45833</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45833</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45833</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45833</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45833</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45833</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45833</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45833</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45833</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45833</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45833</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45833</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45833</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45833</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45833</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45833</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45833</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45833</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45833</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45833</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45833</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45833</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45833</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45833</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45833</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45833</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45833</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45833</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45833</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45833</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45833</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45833</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45833</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45833</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45833</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45833</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45833</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45833</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45833</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45833</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45833</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45833</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45833</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45833</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45833</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45833</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45833</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45833</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45833</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45833</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45833</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45833</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45833</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45833</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45833</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45833</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45833</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45833</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45833</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45833</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45833</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45833</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45833</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45833</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45833</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45833</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45833</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45833</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45833</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45833</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45833</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45833</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45833</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45833</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45833</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45833</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45833</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45833</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45833</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45833</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45833</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45833</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45833</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45833</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45833</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45833</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45833</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45833</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45833</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45833</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45833</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45833</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45833</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45833</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45833</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45833</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45833</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45833</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45833</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45833</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45833</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45833</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45833</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45833</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45833</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45833</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45833</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45833</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45833</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45833</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45833</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45833</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45833</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45833</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45833</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45833</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45833</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45833</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45833</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45833</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45833</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45833</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45833</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45833</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45833</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45833</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45833</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45833</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45833</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45833</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45833</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45833</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45833</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45833</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45833</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45833</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45833</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45833</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45833</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45833</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45833</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45833</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45833</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45833</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45833</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45833</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45833</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45833</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45833</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45833</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45833</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45833</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45833</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45833</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45833</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45833</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45833</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45833</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45833</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45833</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45833</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45833</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45833</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45833</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45833</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45833</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45833</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45833</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45833</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45833</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45833</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45833</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45833</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45833</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45833</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45833</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45833</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45833</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45833</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45833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45833</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45833</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45833</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45833</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45833</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45833</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45833</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45833</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45833</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45833</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45833</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45833</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45833</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45833</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45833</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45833</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45833</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45833</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45833</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45833</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45833</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45833</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45833</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45833</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45833</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45833</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45833</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45833</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45833</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45833</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45833</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45833</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45833</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45833</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45833</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45833</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45833</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45833</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45833</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45833</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45833</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45833</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45833</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45833</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45833</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45833</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45833</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45833</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45833</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45833</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45833</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45833</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45833</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45833</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45833</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45833</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45833</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45833</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45833</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45833</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45833</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45833</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45833</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45833</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45833</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45833</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45833</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45833</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45833</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45833</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45833</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45833</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45833</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45833</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45833</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45833</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45833</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45833</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45833</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45833</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45833</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45833</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45833</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45833</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45833</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45833</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45833</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45833</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45833</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45833</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45833</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45833</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45833</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45833</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45833</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45833</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45833</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45833</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45833</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45833</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45833</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45833</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45833</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45833</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45833</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45833</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45833</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45833</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45833</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45833</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45833</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45833</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45833</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45833</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45833</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45833</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45833</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45833</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45833</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45833</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45833</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45833</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45833</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45833</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45833</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45833</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45833</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45833</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45833</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45833</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45833</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45833</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45833</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45833</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45833</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45833</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45833</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45833</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45833</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45833</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45833</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45833</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45833</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45833</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45833</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45833</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45833</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45833</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45833</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45833</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45833</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45833</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45833</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45833</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45833</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45833</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45833</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45833</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45833</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45833</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45833</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45833</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45833</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45833</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45833</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45833</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45833</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45833</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45833</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45833</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45833</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45833</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45833</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45833</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45833</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45833</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45833</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45833</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45833</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45833</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45833</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45833</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45833</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45833</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45833</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45833</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45833</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45833</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45833</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45833</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45833</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45833</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45833</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45833</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45833</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45833</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45833</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45833</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45833</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45833</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45833</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45833</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45833</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45833</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45833</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45833</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45833</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45833</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45833</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45833</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45833</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45833</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45833</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45833</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45833</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45833</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45833</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45833</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45833</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45833</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45833</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45833</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45833</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45833</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45833</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45833</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45833</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45833</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45833</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45833</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45833</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45833</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45833</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45833</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45833</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45833</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45833</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45833</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45833</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45833</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45833</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45833</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45833</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45833</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45833</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45833</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45833</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45833</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45833</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45833</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45833</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45833</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45833</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45833</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45833</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45833</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45833</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45833</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45833</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45833</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45833</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45833</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45833</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45833</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45833</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45833</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45833</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45833</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45833</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45833</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45833</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45833</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45833</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45833</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45833</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45833</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45833</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45833</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45833</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45833</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45833</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45833</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45833</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45833</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45833</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45833</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45833</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45833</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45833</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45833</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45833</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45833</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45833</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45833</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45833</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45833</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45833</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45833</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45833</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45833</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45833</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45833</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45833</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45833</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45833</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45833</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45833</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45833</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45833</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45833</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45833</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45833</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45833</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45833</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45833</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45833</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45833</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45833</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45833</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45833</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45833</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45833</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45833</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45833</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45833</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45833</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45833</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45833</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45833</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45833</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45833</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45833</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45833</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45833</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45833</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45833</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45833</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45833</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45833</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45833</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45833</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45833</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45833</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45833</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45833</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45833</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45833</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45833</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45833</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45833</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45833</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45833</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45833</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45833</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45833</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45833</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45833</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45833</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45833</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45833</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45833</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45833</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45833</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45833</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45833</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45833</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45833</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45833</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45833</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45833</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45833</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45833</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45833</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45833</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45833</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45833</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45833</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45833</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45833</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45833</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45833</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45833</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45833</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45833</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45833</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45833</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45833</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45833</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45833</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45833</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45833</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45833</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45833</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45833</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45833</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45833</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45833</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45833</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45833</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45833</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45833</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45833</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45833</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45833</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45833</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45833</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45833</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45833</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45833</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45833</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45833</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45833</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45833</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45833</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45833</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45833</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45833</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45833</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45833</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45833</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45833</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45833</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45833</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45833</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45833</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45833</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45833</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45833</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45833</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45833</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45833</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45833</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45833</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45833</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45833</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45833</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45833</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45833</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45833</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45833</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45833</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45833</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45833</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45833</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45833</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45833</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45833</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45833</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45833</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45833</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45833</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45833</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45833</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45833</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45833</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45833</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45833</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45833</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45833</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45833</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45833</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45833</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45833</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45833</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45833</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45833</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45833</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45833</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45833</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45833</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45833</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45833</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45833</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45833</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45833</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45833</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45833</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45833</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45833</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45833</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45833</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45833</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45833</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45833</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45833</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45833</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45833</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45833</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45833</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45833</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45833</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45833</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45833</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45833</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45833</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45833</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45833</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45833</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45833</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45833</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45833</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45833</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45833</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45833</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45833</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45833</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45833</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45833</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45833</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45833</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45833</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45833</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45833</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45833</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45833</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45833</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45833</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45833</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45833</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45833</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45833</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45833</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45833</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45833</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45833</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45833</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45833</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45833</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45833</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45833</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45833</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45833</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45833</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45833</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45833</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45833</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45833</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45833</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45833</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45833</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45833</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45833</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45833</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45833</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45833</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45833</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45833</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45833</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45833</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45833</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45833</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45833</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45833</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45833</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45833</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45833</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45833</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45833</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45833</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45833</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45833</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45833</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45833</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45833</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45833</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45833</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45833</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45833</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45833</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45833</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45833</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45833</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45833</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45833</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45833</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45833</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45833</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45833</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45833</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45833</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45833</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45833</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45833</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45833</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45833</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45833</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45833</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45833</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45833</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45833</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45833</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45833</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45833</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45833</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45833</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45833</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45833</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45833</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45833</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45833</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45833</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45833</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45833</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45833</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45833</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45833</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45833</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45833</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45833</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45833</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45833</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45833</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45833</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45833</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45833</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45833</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45833</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45833</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45833</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45833</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45833</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45833</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45833</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45833</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45833</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45833</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45833</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45833</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45833</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45833</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45833</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45833</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45833</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45833</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45833</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45833</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45833</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45833</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45833</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45833</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45833</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45833</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45833</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45833</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45833</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45833</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45833</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45833</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45833</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45833</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45833</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45833</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45833</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45833</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45833</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45833</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45833</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45833</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45833</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45833</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45833</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45833</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45833</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45833</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45833</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45833</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45833</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45833</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45833</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45833</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45833</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45833</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45833</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45833</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45833</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45833</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45833</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45833</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45833</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45833</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45833</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45833</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45833</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45833</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45833</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45833</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45833</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45833</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45833</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45833</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45833</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45833</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45833</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45833</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45833</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45833</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45833</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45833</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45833</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45833</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45833</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45833</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45833</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45833</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45833</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45833</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45833</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45833</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45833</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45833</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45833</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45833</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45833</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45833</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45833</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45833</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45833</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45833</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45833</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45833</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45833</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45833</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45833</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45833</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45833</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45833</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45833</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45833</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45833</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45833</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45833</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45833</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45833</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45833</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45833</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45833</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45833</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45833</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45833</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45833</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45833</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45833</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45833</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45833</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45833</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45833</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45833</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45833</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45833</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45833</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45833</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45833</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45833</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45833</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45833</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45833</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45833</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45833</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45833</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45833</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45833</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45833</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45833</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45833</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45833</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45833</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45833</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45833</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45833</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45833</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45833</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45833</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45833</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45833</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45833</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45833</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45833</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45833</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45833</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45833</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45833</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45833</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45833</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45833</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45833</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45833</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45833</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45833</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45833</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45833</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45833</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45833</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45833</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45833</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45833</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45833</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45833</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45833</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45833</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45833</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45833</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45833</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45833</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45833</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45833</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45833</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45833</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45833</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45833</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45833</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45833</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45833</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45833</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45833</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45833</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45833</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45833</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45833</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45833</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45833</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45833</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45833</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45833</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45833</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45833</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45833</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45833</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45833</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45833</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45833</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45833</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45833</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45833</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45833</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45833</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45833</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45833</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45833</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45833</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45833</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45833</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45833</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45833</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45833</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45833</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45833</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45833</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45833</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45833</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45833</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45833</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45833</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45833</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45833</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45833</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45833</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45833</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45833</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45833</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45833</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45833</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45833</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45833</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45833</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45833</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45833</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45833</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45833</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45833</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45833</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45833</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45833</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45833</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45833</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45833</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45833</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45833</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45833</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45833</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45833</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45833</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45833</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45833</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45833</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45833</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45833</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45833</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45833</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45833</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45833</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45833</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45833</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45833</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45833</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45833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45833</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45833</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45833</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45833</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45833</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45833</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45833</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45833</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45833</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45833</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45833</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45833</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45833</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45833</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45833</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45833</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45833</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45833</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45833</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45833</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45833</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45833</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45833</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45833</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45833</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45833</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45833</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45833</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45833</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45833</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45833</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45833</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45833</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45833</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45833</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45833</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45833</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45833</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45833</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45833</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45833</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45833</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45833</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45833</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45833</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45833</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45833</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45833</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45833</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45833</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45833</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45833</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45833</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45833</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45833</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45833</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45833</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45833</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45833</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45833</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45833</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45833</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45833</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45833</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45833</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45833</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45833</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45833</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45833</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45833</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45833</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45833</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45833</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45833</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45833</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45833</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45833</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45833</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45833</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45833</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45833</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45833</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45833</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45833</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45833</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45833</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45833</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45833</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45833</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45833</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45833</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45833</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45833</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45833</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45833</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45833</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45833</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45833</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45833</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45833</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45833</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45833</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45833</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45833</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45833</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45833</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45833</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45833</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45833</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45833</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45833</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45833</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45833</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45833</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45833</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45833</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45833</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45833</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45833</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45833</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45833</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45833</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45833</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45833</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45833</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45833</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45833</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45833</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45833</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45833</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45833</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45833</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45833</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45833</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45833</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45833</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45833</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45833</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45833</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45833</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45833</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45833</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45833</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45833</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45833</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45833</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45833</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45833</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45833</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45833</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45833</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45833</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45833</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45833</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45833</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45833</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45833</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45833</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45833</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45833</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45833</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45833</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45833</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45833</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45833</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45833</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45833</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45833</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45833</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45833</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45833</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45833</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45833</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45833</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45833</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45833</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45833</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45833</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45833</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45833</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45833</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45833</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45833</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45833</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45833</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45833</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45833</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45833</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45833</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45833</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45833</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45833</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45833</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45833</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45833</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45833</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45833</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45833</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45833</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45833</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45833</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45833</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45833</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45833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45833</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45833</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45833</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45833</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45833</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45833</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45833</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45833</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45833</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45833</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45833</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45833</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45833</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45833</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45833</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45833</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45833</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45833</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45833</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45833</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45833</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45833</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45833</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45833</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45833</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45833</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45833</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45833</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45833</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45833</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45833</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45833</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45833</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45833</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45833</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45833</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45833</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45833</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45833</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45833</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45833</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45833</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45833</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45833</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45833</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45833</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45833</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45833</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45833</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45833</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45833</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45833</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45833</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45833</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45833</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45833</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45833</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45833</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45833</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45833</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45833</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45833</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45833</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45833</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45833</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45833</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45833</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45833</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45833</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45833</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45833</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45833</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45833</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45833</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45833</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45833</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45833</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45833</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45833</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45833</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45833</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45833</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45833</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45833</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45833</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45833</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45833</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45833</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45833</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45833</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45833</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45833</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45833</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45833</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45833</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45833</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45833</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45833</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45833</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45833</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45833</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45833</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45833</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45833</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45833</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45833</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45833</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45833</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45833</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45833</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45833</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45833</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45833</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45833</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45833</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45833</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45833</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45833</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45833</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45833</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45833</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45833</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45833</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45833</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45833</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45833</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45833</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45833</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45833</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45833</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45833</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45833</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45833</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45833</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45833</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45833</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45833</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45833</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45833</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45833</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45833</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45833</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45833</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45833</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45833</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45833</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45833</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45833</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45833</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45833</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45833</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45833</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45833</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45833</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45833</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45833</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45833</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45833</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45833</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45833</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45833</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45833</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45833</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45833</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45833</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45833</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45833</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45833</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45833</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45833</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45833</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45833</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45833</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45833</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45833</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45833</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45833</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45833</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45833</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45833</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45833</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45833</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45833</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45833</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45833</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45833</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45833</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45833</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45833</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45833</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45833</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45833</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45833</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45833</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45833</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45833</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45833</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45833</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45833</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45833</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45833</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45833</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45833</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45833</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45833</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45833</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45833</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45833</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45833</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45833</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45833</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45833</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45833</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45833</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45833</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45833</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45833</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45833</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45833</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45833</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45833</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45833</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45833</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45833</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45833</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45833</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45833</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45833</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45833</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45833</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45833</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45833</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45833</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45833</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45833</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45833</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45833</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45833</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45833</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45833</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45833</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45833</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45833</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45833</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45833</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45833</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45833</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45833</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45833</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45833</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45833</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45833</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45833</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45833</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45833</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45833</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45833</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45833</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45833</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45833</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45833</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45833</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45833</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45833</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45833</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45833</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45833</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45833</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45833</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45833</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45833</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45833</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45833</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45833</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45833</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45833</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45833</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45833</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45833</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45833</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45833</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45833</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45833</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45833</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45833</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45833</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45833</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45833</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45833</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45833</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45833</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45833</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45833</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45833</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45833</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45833</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45833</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45833</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45833</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45833</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45833</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45833</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45833</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45833</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45833</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45833</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45833</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45833</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45833</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45833</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45833</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45833</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45833</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45833</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45833</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45833</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45833</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45833</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45833</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45833</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45833</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45833</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45833</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45833</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45833</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45833</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45833</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45833</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45833</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45833</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45833</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45833</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45833</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45833</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45833</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45833</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45833</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45833</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45833</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45833</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45833</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45833</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45833</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45833</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45833</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45833</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45833</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45833</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45833</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45833</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45833</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45833</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45833</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45833</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45833</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45833</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45833</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45833</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45833</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45833</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45833</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45833</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45833</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45833</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45833</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45833</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45833</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45833</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45833</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45833</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45833</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45833</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45833</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45833</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45833</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45833</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45833</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45833</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45833</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45833</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45833</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45833</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45833</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45833</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45833</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45833</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45833</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45833</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45833</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45833</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45833</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45833</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45833</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45833</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45833</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45833</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45833</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45833</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45833</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45833</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45833</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45833</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45833</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45833</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45833</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45833</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45833</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45833</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45833</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45833</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45833</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45833</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45833</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45833</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45833</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45833</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45833</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45833</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45833</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45833</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45833</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45833</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45833</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45833</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45833</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45833</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45833</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45833</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45833</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45833</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45833</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45833</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45833</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45833</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45833</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45833</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45833</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45833</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45833</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45833</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45833</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45833</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45833</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45833</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45833</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45833</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45833</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45833</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45833</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45833</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45833</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45833</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45833</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45833</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45833</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45833</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45833</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45833</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45833</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45833</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45833</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45833</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45833</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45833</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45833</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45833</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45833</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45833</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45833</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45833</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45833</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45833</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45833</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45833</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45833</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45833</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45833</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45833</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45833</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45833</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45833</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45833</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45833</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45833</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45833</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45833</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45833</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45833</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45833</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45833</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45833</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45833</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45833</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45833</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45833</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45833</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45833</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45833</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45833</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45833</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45833</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45833</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45833</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45833</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45833</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45833</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45833</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45833</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45833</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45833</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45833</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45833</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45833</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45833</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45833</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45833</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45833</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45833</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45833</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45833</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45833</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45833</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45833</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45833</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45833</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45833</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45833</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45833</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45833</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45833</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45833</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45833</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45833</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45833</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45833</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45833</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45833</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45833</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45833</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45833</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45833</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45833</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45833</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45833</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45833</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45833</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45833</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45833</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45833</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45833</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45833</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45833</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45833</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45833</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45833</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45833</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45833</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45833</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45833</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45833</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45833</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45833</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45833</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45833</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45833</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45833</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45833</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45833</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45833</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45833</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45833</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45833</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45833</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45833</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45833</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45833</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45833</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45833</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45833</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45833</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45833</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45833</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45833</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45833</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45833</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45833</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45833</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45833</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45833</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45833</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45833</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45833</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45833</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45833</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45833</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45833</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45833</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45833</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45833</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45833</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45833</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45833</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45833</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45833</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45833</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45833</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45833</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45833</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45833</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45833</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45833</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45833</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45833</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45833</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45833</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45833</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45833</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45833</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45833</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45833</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45833</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45833</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45833</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45833</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45833</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45833</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45833</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45833</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45833</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45833</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45833</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45833</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45833</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45833</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45833</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45833</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45833</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45833</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45833</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45833</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45833</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45833</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45833</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45833</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45833</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45833</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45833</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45833</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45833</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45833</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45833</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45833</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45833</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45833</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45833</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45833</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45833</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45833</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45833</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45833</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45833</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45833</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45833</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45833</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45833</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45833</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45833</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45833</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45833</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45833</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45833</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45833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45833</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45833</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45833</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45833</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45833</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45833</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45833</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45833</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45833</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45833</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45833</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45833</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45833</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45833</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45833</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45833</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45833</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45833</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45833</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45833</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45833</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45833</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45833</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45833</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45833</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45833</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45833</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45833</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45833</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45833</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45833</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45833</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45833</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45833</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45833</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45833</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45833</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45833</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45833</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45833</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45833</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45833</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45833</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45833</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45833</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45833</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45833</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45833</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45833</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45833</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45833</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45833</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45833</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45833</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45833</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45833</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45833</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45833</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45833</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45833</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45833</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45833</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45833</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45833</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45833</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45833</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45833</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45833</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45833</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45833</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45833</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45833</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45833</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45833</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45833</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45833</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45833</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45833</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45833</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45833</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45833</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45833</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45833</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45833</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45833</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45833</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45833</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45833</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45833</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45833</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45833</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45833</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45833</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45833</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45833</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45833</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45833</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45833</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45833</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45833</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45833</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45833</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45833</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45833</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45833</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45833</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45833</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45833</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45833</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45833</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45833</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45833</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45833</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45833</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45833</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45833</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45833</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45833</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45833</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45833</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45833</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45833</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45833</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45833</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45833</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45833</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45833</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45833</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45833</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45833</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45833</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45833</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45833</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45833</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45833</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45833</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45833</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45833</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45833</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45833</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45833</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45833</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45833</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45833</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45833</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45833</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45833</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45833</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45833</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45833</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45833</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45833</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45833</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45833</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45833</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45833</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45833</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45833</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45833</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45833</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45833</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45833</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45833</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45833</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45833</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45833</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45833</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45833</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45833</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45833</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45833</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45833</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45833</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45833</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45833</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45833</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45833</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45833</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45833</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45833</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45833</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45833</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45833</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45833</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45833</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45833</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45833</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45833</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45833</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45833</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45833</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45833</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45833</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45833</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45833</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45833</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45833</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45833</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45833</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45833</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45833</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45833</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45833</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45833</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45833</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45833</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45833</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45833</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45833</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45833</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45833</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45833</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45833</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45833</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45833</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45833</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45833</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45833</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45833</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45833</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45833</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45833</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45833</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45833</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45833</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45833</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45833</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45833</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45833</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45833</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45833</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45833</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45833</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45833</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45833</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45833</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45833</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45833</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45833</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45833</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45833</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45833</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45833</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45833</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45833</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45833</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45833</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45833</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45833</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45833</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45833</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45833</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45833</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45833</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45833</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45833</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45833</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45833</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45833</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45833</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45833</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45833</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45833</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45833</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45833</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45833</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45833</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45833</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45833</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45833</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45833</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45833</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45833</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45833</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45833</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45833</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45833</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45833</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45833</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45833</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45833</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45833</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45833</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45833</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45833</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45833</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45833</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45833</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45833</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45833</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45833</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45833</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45833</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45833</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45833</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45833</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45833</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45833</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45833</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45833</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45833</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45833</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45833</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45833</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45833</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45833</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45833</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45833</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45833</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45833</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45833</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45833</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45833</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45833</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45833</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45833</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45833</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45833</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45833</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45833</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45833</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45833</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45833</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45833</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45833</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45833</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45833</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45833</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45833</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45833</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45833</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45833</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45833</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45833</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45833</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45833</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45833</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45833</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45833</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45833</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45833</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45833</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45833</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45833</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45833</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45833</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45833</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45833</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45833</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45833</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45833</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45833</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45833</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45833</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45833</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45833</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45833</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45833</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45833</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45833</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45833</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45833</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45833</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45833</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45833</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45833</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45833</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45833</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45833</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45833</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45833</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45833</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45833</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45833</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45833</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45833</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45833</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45833</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45833</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45833</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45833</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45833</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45833</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45833</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45833</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45833</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45833</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45833</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45833</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45833</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45833</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45833</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45833</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45833</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45833</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45833</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45833</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45833</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45833</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45833</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45833</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45833</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45833</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45833</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45833</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45833</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45833</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45833</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45833</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45833</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45833</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45833</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45833</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45833</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45833</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45833</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45833</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45833</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45833</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45833</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45833</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45833</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45833</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45833</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45833</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45833</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45833</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45833</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45833</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45833</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45833</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45833</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45833</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45833</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45833</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45833</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45833</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45833</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45833</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45833</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45833</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45833</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45833</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45833</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45833</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45833</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45833</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45833</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45833</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45833</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45833</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45833</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45833</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45833</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45833</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45833</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45833</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45833</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45833</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45833</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45833</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45833</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45833</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45833</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45833</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45833</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45833</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45833</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45833</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45833</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45833</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45833</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45833</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45833</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45833</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45833</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45833</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45833</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45833</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45833</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45833</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45833</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45833</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45833</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45833</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45833</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45833</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45833</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45833</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45833</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45833</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45833</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45833</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45833</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45833</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45833</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45833</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45833</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45833</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45833</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45833</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45833</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45833</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45833</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45833</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45833</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45833</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45833</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45833</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45833</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45833</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45833</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45833</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45833</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45833</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45833</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45833</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45833</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45833</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45833</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45833</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45833</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45833</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45833</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45833</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45833</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45833</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45833</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45833</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45833</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45833</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45833</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45833</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45833</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45833</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45833</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45833</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45833</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45833</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45833</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45833</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45833</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45833</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45833</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45833</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45833</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45833</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45833</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45833</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45833</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45833</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45833</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45833</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45833</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45833</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45833</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45833</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45833</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45833</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45833</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45833</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45833</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45833</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45833</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45833</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45833</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45833</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45833</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45833</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45833</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45833</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45833</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45833</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45833</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45833</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45833</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45833</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45833</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45833</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45833</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45833</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45833</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45833</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45833</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45833</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45833</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45833</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45833</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45833</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45833</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45833</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45833</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45833</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45833</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45833</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45833</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45833</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45833</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45833</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45833</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45833</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45833</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45833</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45833</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45833</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45833</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45833</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45833</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45833</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45833</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45833</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45833</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45833</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45833</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45833</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45833</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45833</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45833</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45833</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45833</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45833</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45833</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45833</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45833</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45833</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45833</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45833</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45833</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45833</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45833</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45833</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45833</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45833</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45833</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45833</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45833</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45833</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45833</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45833</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45833</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45833</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45833</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45833</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45833</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45833</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45833</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45833</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45833</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45833</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45833</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45833</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45833</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45833</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45833</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45833</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45833</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45833</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45833</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45833</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45833</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45833</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45833</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45833</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45833</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45833</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45833</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45833</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45833</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45833</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45833</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45833</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45833</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45833</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45833</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45833</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45833</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45833</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45833</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45833</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45833</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45833</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45833</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45833</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45833</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45833</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45833</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45833</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45833</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45833</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45833</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45833</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45833</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45833</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45833</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45833</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45833</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45833</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45833</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45833</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45833</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45833</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45833</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45833</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45833</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45833</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45833</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45833</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45833</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45833</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45833</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45833</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45833</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45833</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45833</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45833</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45833</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45833</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45833</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45833</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45833</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45833</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45833</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45833</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45833</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45833</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45833</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45833</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45833</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45833</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45833</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45833</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45833</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45833</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45833</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45833</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45833</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45833</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45833</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45833</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45833</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45833</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45833</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45833</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45833</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45833</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45833</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45833</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45833</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45833</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45833</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45833</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45833</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45833</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45833</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45833</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45833</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45833</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45833</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45833</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45833</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45833</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45833</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45833</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45833</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45833</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45833</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45833</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45833</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45833</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45833</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45833</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45833</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45833</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45833</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45833</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45833</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45833</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45833</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45833</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45833</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45833</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45833</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45833</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45833</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45833</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45833</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45833</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45833</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45833</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45833</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45833</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45833</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45833</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45833</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45833</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45833</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45833</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45833</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45833</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45833</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45833</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45833</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45833</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45833</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45833</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45833</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45833</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45833</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45833</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45833</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45833</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45833</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45833</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45833</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45833</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45833</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45833</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45833</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45833</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45833</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45833</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45833</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45833</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45833</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45833</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45833</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45833</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45833</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45833</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45833</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45833</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45833</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45833</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45833</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45833</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45833</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45833</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45833</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45833</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45833</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45833</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45833</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45833</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45833</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45833</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45833</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45833</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45833</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45833</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45833</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45833</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45833</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45833</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45833</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45833</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45833</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45833</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45833</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45833</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45833</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45833</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45833</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45833</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45833</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45833</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45833</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45833</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45833</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45833</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45833</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45833</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45833</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45833</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45833</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45833</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45833</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45833</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45833</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45833</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45833</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45833</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45833</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45833</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45833</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45833</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45833</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45833</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45833</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45833</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45833</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45833</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45833</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45833</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45833</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45833</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45833</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45833</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45833</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45833</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45833</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45833</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45833</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45833</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45833</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45833</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45833</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45833</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45833</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45833</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45833</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45833</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45833</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45833</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45833</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45833</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45833</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45833</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45833</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45833</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45833</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45833</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45833</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45833</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45833</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45833</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45833</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45833</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45833</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45833</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45833</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45833</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45833</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45833</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45833</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45833</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45833</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45833</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45833</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45833</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45833</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45833</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45833</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45833</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45833</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45833</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45833</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45833</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45833</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45833</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45833</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45833</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45833</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45833</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45833</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45833</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45833</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45833</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45833</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45833</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45833</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45833</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45833</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45833</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45833</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45833</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45833</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45833</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45833</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45833</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45833</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45833</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45833</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45833</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45833</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45833</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45833</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45833</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45833</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45833</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45833</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45833</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45833</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45833</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45833</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45833</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45833</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45833</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45833</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45833</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45833</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45833</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45833</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45833</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45833</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45833</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45833</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45833</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45833</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45833</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45833</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45833</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45833</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45833</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45833</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45833</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45833</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45833</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45833</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45833</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45833</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45833</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45833</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45833</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45833</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45833</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45833</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45833</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45833</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45833</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45833</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45833</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45833</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45833</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45833</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45833</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45833</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45833</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45833</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45833</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45833</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45833</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45833</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45833</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45833</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45833</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45833</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45833</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45833</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45833</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45833</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45833</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45833</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45833</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45833</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45833</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45833</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45833</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45833</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45833</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45833</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45833</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45833</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45833</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45833</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45833</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45833</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45833</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45833</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45833</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45833</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45833</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45833</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45833</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45833</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45833</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45833</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45833</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45833</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45833</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45833</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45833</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45833</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45833</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45833</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45833</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45833</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45833</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45833</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45833</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45833</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45833</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45833</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45833</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45833</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45833</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45833</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45833</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45833</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45833</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45833</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45833</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45833</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45833</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45833</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45833</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45833</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45833</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45833</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45833</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45833</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45833</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45833</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45833</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45833</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45833</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45833</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45833</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45833</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45833</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45833</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45833</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45833</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45833</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45833</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45833</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45833</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45833</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45833</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45833</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45833</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45833</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45833</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45833</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45833</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45833</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45833</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45833</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45833</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45833</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45833</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45833</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45833</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45833</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45833</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45833</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45833</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45833</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45833</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45833</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45833</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45833</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45833</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45833</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45833</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45833</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45833</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45833</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45833</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45833</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45833</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45833</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45833</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45833</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45833</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45833</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45833</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45833</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45833</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45833</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45833</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45833</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45833</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45833</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45833</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45833</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45833</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45833</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45833</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45833</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45833</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45833</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45833</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45833</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45833</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45833</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45833</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45833</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45833</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45833</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45833</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45833</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45833</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45833</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45833</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45833</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45833</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45833</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45833</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45833</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45833</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45833</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45833</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45833</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45833</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45833</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45833</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45833</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45833</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45833</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45833</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45833</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45833</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45833</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45833</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45833</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45833</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45833</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45833</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45833</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45833</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45833</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45833</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45833</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45833</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45833</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45833</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45833</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45833</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45833</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45833</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45833</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45833</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45833</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45833</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45833</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45833</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45833</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45833</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45833</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45833</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45833</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45833</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45833</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45833</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45833</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45833</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45833</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45833</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45833</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45833</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45833</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45833</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45833</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45833</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45833</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45833</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45833</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45833</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45833</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45833</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45833</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45833</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45833</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45833</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45833</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45833</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45833</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45833</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45833</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45833</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45833</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45833</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45833</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45833</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45833</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45833</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45833</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45833</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45833</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45833</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45833</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45833</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45833</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45833</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45833</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45833</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45833</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45833</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45833</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45833</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45833</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45833</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45833</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45833</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45833</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45833</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45833</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45833</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45833</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45833</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45833</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45833</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45833</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45833</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45833</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45833</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45833</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45833</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45833</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45833</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45833</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45833</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45833</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45833</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45833</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45833</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45833</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45833</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45833</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45833</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45833</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45833</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45833</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45833</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45833</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45833</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45833</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45833</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45833</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45833</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45833</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45833</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45833</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45833</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45833</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45833</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45833</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45833</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45833</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45833</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45833</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45833</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45833</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45833</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45833</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45833</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45833</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45833</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45833</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45833</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45833</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45833</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45833</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45833</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45833</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45833</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45833</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45833</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45833</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45833</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45833</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45833</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45833</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45833</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45833</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45833</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45833</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45833</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45833</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45833</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45833</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45833</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45833</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45833</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45833</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45833</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45833</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45833</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45833</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45833</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45833</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45833</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45833</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45833</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45833</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45833</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45833</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45833</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45833</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45833</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45833</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45833</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45833</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45833</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45833</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45833</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45833</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45833</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45833</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45833</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45833</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45833</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45833</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45833</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45833</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45833</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45833</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45833</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45833</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45833</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45833</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45833</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45833</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45833</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45833</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45833</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45833</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45833</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45833</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45833</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45833</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45833</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45833</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45833</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45833</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45833</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45833</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45833</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45833</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45833</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45833</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45833</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45833</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45833</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45833</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45833</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45833</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45833</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45833</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45833</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45833</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45833</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45833</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45833</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45833</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45833</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45833</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45833</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45833</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45833</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45833</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45833</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45833</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45833</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45833</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45833</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45833</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45833</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45833</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45833</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45833</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45833</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45833</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45833</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45833</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45833</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45833</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45833</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45833</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45833</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45833</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45833</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45833</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45833</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45833</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45833</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45833</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45833</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45833</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45833</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45833</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45833</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45833</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45833</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45833</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45833</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45833</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45833</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45833</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45833</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45833</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45833</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45833</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45833</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45833</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45833</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45833</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45833</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45833</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45833</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45833</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45833</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45833</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45833</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45833</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45833</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45833</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45833</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45833</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45833</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45833</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45833</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45833</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45833</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45833</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45833</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45833</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45833</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45833</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45833</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45833</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45833</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45833</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45833</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45833</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45833</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45833</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45833</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45833</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45833</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45833</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45833</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45833</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45833</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45833</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45833</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45833</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45833</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45833</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45833</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45833</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45833</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45833</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45833</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45833</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45833</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45833</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45833</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45833</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45833</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45833</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45833</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45833</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45833</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45833</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45833</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45833</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45833</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45833</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45833</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45833</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45833</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45833</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45833</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45833</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45833</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45833</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45833</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45833</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45833</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45833</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45833</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45833</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45833</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45833</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45833</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45833</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45833</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45833</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45833</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45833</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45833</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45833</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45833</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45833</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45833</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45833</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45833</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45833</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45833</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45833</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45833</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45833</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45833</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45833</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45833</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45833</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45833</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45833</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45833</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45833</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45833</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45833</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45833</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45833</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45833</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45833</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45833</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45833</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45833</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45833</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45833</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45833</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45833</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45833</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45833</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45833</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45833</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45833</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45833</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45833</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45833</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45833</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45833</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45833</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45833</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45833</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45833</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45833</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45833</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45833</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45833</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45833</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45833</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45833</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45833</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45833</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45833</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45833</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25182-2025</t>
        </is>
      </c>
      <c r="B4176" s="1" t="n">
        <v>45800</v>
      </c>
      <c r="C4176" s="1" t="n">
        <v>45833</v>
      </c>
      <c r="D4176" t="inlineStr">
        <is>
          <t>VÄSTERBOTTENS LÄN</t>
        </is>
      </c>
      <c r="E4176" t="inlineStr">
        <is>
          <t>SKELLEFTEÅ</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25801-2025</t>
        </is>
      </c>
      <c r="B4177" s="1" t="n">
        <v>45803</v>
      </c>
      <c r="C4177" s="1" t="n">
        <v>45833</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25514-2025</t>
        </is>
      </c>
      <c r="B4178" s="1" t="n">
        <v>45803</v>
      </c>
      <c r="C4178" s="1" t="n">
        <v>45833</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25641-2025</t>
        </is>
      </c>
      <c r="B4179" s="1" t="n">
        <v>45803</v>
      </c>
      <c r="C4179" s="1" t="n">
        <v>45833</v>
      </c>
      <c r="D4179" t="inlineStr">
        <is>
          <t>VÄSTERBOTTENS LÄN</t>
        </is>
      </c>
      <c r="E4179" t="inlineStr">
        <is>
          <t>SKELLEFTEÅ</t>
        </is>
      </c>
      <c r="F4179" t="inlineStr">
        <is>
          <t>Holmen skog AB</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45833</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45833</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45833</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45833</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25679-2025</t>
        </is>
      </c>
      <c r="B4184" s="1" t="n">
        <v>45803</v>
      </c>
      <c r="C4184" s="1" t="n">
        <v>45833</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45833</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45833</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25876-2025</t>
        </is>
      </c>
      <c r="B4187" s="1" t="n">
        <v>45804</v>
      </c>
      <c r="C4187" s="1" t="n">
        <v>45833</v>
      </c>
      <c r="D4187" t="inlineStr">
        <is>
          <t>VÄSTERBOTTENS LÄN</t>
        </is>
      </c>
      <c r="E4187" t="inlineStr">
        <is>
          <t>SKELLEFTEÅ</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26049-2025</t>
        </is>
      </c>
      <c r="B4188" s="1" t="n">
        <v>45804</v>
      </c>
      <c r="C4188" s="1" t="n">
        <v>45833</v>
      </c>
      <c r="D4188" t="inlineStr">
        <is>
          <t>VÄSTERBOTTENS LÄN</t>
        </is>
      </c>
      <c r="E4188" t="inlineStr">
        <is>
          <t>SKELLEFTEÅ</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26045-2025</t>
        </is>
      </c>
      <c r="B4189" s="1" t="n">
        <v>45804</v>
      </c>
      <c r="C4189" s="1" t="n">
        <v>45833</v>
      </c>
      <c r="D4189" t="inlineStr">
        <is>
          <t>VÄSTERBOTTENS LÄN</t>
        </is>
      </c>
      <c r="E4189" t="inlineStr">
        <is>
          <t>SKELLEFTEÅ</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25868-2025</t>
        </is>
      </c>
      <c r="B4190" s="1" t="n">
        <v>45804</v>
      </c>
      <c r="C4190" s="1" t="n">
        <v>45833</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25773-2025</t>
        </is>
      </c>
      <c r="B4191" s="1" t="n">
        <v>45804</v>
      </c>
      <c r="C4191" s="1" t="n">
        <v>45833</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45833</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45833</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45833</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45833</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45833</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45833</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45833</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45833</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45833</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45833</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45833</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45833</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27091-2025</t>
        </is>
      </c>
      <c r="B4204" s="1" t="n">
        <v>45811</v>
      </c>
      <c r="C4204" s="1" t="n">
        <v>45833</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27082-2025</t>
        </is>
      </c>
      <c r="B4205" s="1" t="n">
        <v>45811</v>
      </c>
      <c r="C4205" s="1" t="n">
        <v>45833</v>
      </c>
      <c r="D4205" t="inlineStr">
        <is>
          <t>VÄSTERBOTTENS LÄN</t>
        </is>
      </c>
      <c r="E4205" t="inlineStr">
        <is>
          <t>SKELLEFTEÅ</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26962-2025</t>
        </is>
      </c>
      <c r="B4206" s="1" t="n">
        <v>45811</v>
      </c>
      <c r="C4206" s="1" t="n">
        <v>45833</v>
      </c>
      <c r="D4206" t="inlineStr">
        <is>
          <t>VÄSTERBOTTENS LÄN</t>
        </is>
      </c>
      <c r="E4206" t="inlineStr">
        <is>
          <t>SKELLEFTEÅ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45833</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45833</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45833</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45833</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45833</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27437-2025</t>
        </is>
      </c>
      <c r="B4212" s="1" t="n">
        <v>45813</v>
      </c>
      <c r="C4212" s="1" t="n">
        <v>45833</v>
      </c>
      <c r="D4212" t="inlineStr">
        <is>
          <t>VÄSTERBOTTENS LÄN</t>
        </is>
      </c>
      <c r="E4212" t="inlineStr">
        <is>
          <t>SKELLEFTEÅ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45833</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27433-2025</t>
        </is>
      </c>
      <c r="B4214" s="1" t="n">
        <v>45813</v>
      </c>
      <c r="C4214" s="1" t="n">
        <v>45833</v>
      </c>
      <c r="D4214" t="inlineStr">
        <is>
          <t>VÄSTERBOTTENS LÄN</t>
        </is>
      </c>
      <c r="E4214" t="inlineStr">
        <is>
          <t>SKELLEFTEÅ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27477-2025</t>
        </is>
      </c>
      <c r="B4215" s="1" t="n">
        <v>45813</v>
      </c>
      <c r="C4215" s="1" t="n">
        <v>45833</v>
      </c>
      <c r="D4215" t="inlineStr">
        <is>
          <t>VÄSTERBOTTENS LÄN</t>
        </is>
      </c>
      <c r="E4215" t="inlineStr">
        <is>
          <t>SKELLEFTEÅ</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45833</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45833</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45833</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45833</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45833</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45833</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45833</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45833</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45833</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45833</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45833</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45833</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45833</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45833</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45833</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45833</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45833</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28359-2025</t>
        </is>
      </c>
      <c r="B4233" s="1" t="n">
        <v>45818</v>
      </c>
      <c r="C4233" s="1" t="n">
        <v>45833</v>
      </c>
      <c r="D4233" t="inlineStr">
        <is>
          <t>VÄSTERBOTTENS LÄN</t>
        </is>
      </c>
      <c r="E4233" t="inlineStr">
        <is>
          <t>SKELLEFTEÅ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28360-2025</t>
        </is>
      </c>
      <c r="B4234" s="1" t="n">
        <v>45818</v>
      </c>
      <c r="C4234" s="1" t="n">
        <v>45833</v>
      </c>
      <c r="D4234" t="inlineStr">
        <is>
          <t>VÄSTERBOTTENS LÄN</t>
        </is>
      </c>
      <c r="E4234" t="inlineStr">
        <is>
          <t>SKELLEFTEÅ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28311-2025</t>
        </is>
      </c>
      <c r="B4235" s="1" t="n">
        <v>45818</v>
      </c>
      <c r="C4235" s="1" t="n">
        <v>45833</v>
      </c>
      <c r="D4235" t="inlineStr">
        <is>
          <t>VÄSTERBOTTENS LÄN</t>
        </is>
      </c>
      <c r="E4235" t="inlineStr">
        <is>
          <t>SKELLEFTEÅ</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28316-2025</t>
        </is>
      </c>
      <c r="B4236" s="1" t="n">
        <v>45818</v>
      </c>
      <c r="C4236" s="1" t="n">
        <v>45833</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28354-2025</t>
        </is>
      </c>
      <c r="B4237" s="1" t="n">
        <v>45818</v>
      </c>
      <c r="C4237" s="1" t="n">
        <v>45833</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28355-2025</t>
        </is>
      </c>
      <c r="B4238" s="1" t="n">
        <v>45818</v>
      </c>
      <c r="C4238" s="1" t="n">
        <v>45833</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28329-2025</t>
        </is>
      </c>
      <c r="B4239" s="1" t="n">
        <v>45818</v>
      </c>
      <c r="C4239" s="1" t="n">
        <v>45833</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28169-2025</t>
        </is>
      </c>
      <c r="B4240" s="1" t="n">
        <v>45818</v>
      </c>
      <c r="C4240" s="1" t="n">
        <v>45833</v>
      </c>
      <c r="D4240" t="inlineStr">
        <is>
          <t>VÄSTERBOTTENS LÄN</t>
        </is>
      </c>
      <c r="E4240" t="inlineStr">
        <is>
          <t>SKELLEFTEÅ</t>
        </is>
      </c>
      <c r="F4240" t="inlineStr">
        <is>
          <t>Holmen skog AB</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45833</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45833</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28577-2025</t>
        </is>
      </c>
      <c r="B4243" s="1" t="n">
        <v>45819</v>
      </c>
      <c r="C4243" s="1" t="n">
        <v>45833</v>
      </c>
      <c r="D4243" t="inlineStr">
        <is>
          <t>VÄSTERBOTTENS LÄN</t>
        </is>
      </c>
      <c r="E4243" t="inlineStr">
        <is>
          <t>SKELLEFTEÅ</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28573-2025</t>
        </is>
      </c>
      <c r="B4244" s="1" t="n">
        <v>45819</v>
      </c>
      <c r="C4244" s="1" t="n">
        <v>45833</v>
      </c>
      <c r="D4244" t="inlineStr">
        <is>
          <t>VÄSTERBOTTENS LÄN</t>
        </is>
      </c>
      <c r="E4244" t="inlineStr">
        <is>
          <t>SKELLEFTEÅ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45833</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45833</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45833</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45833</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45833</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45833</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28984-2025</t>
        </is>
      </c>
      <c r="B4251" s="1" t="n">
        <v>45821</v>
      </c>
      <c r="C4251" s="1" t="n">
        <v>45833</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28986-2025</t>
        </is>
      </c>
      <c r="B4252" s="1" t="n">
        <v>45821</v>
      </c>
      <c r="C4252" s="1" t="n">
        <v>45833</v>
      </c>
      <c r="D4252" t="inlineStr">
        <is>
          <t>VÄSTERBOTTENS LÄN</t>
        </is>
      </c>
      <c r="E4252" t="inlineStr">
        <is>
          <t>SKELLEFTEÅ</t>
        </is>
      </c>
      <c r="F4252" t="inlineStr">
        <is>
          <t>Holmen skog AB</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29101-2025</t>
        </is>
      </c>
      <c r="B4253" s="1" t="n">
        <v>45821</v>
      </c>
      <c r="C4253" s="1" t="n">
        <v>45833</v>
      </c>
      <c r="D4253" t="inlineStr">
        <is>
          <t>VÄSTERBOTTENS LÄN</t>
        </is>
      </c>
      <c r="E4253" t="inlineStr">
        <is>
          <t>SKELLEFTEÅ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28961-2025</t>
        </is>
      </c>
      <c r="B4254" s="1" t="n">
        <v>45821</v>
      </c>
      <c r="C4254" s="1" t="n">
        <v>45833</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29134-2025</t>
        </is>
      </c>
      <c r="B4255" s="1" t="n">
        <v>45821</v>
      </c>
      <c r="C4255" s="1" t="n">
        <v>45833</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45833</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45833</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45833</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29277-2025</t>
        </is>
      </c>
      <c r="B4259" s="1" t="n">
        <v>45824</v>
      </c>
      <c r="C4259" s="1" t="n">
        <v>45833</v>
      </c>
      <c r="D4259" t="inlineStr">
        <is>
          <t>VÄSTERBOTTENS LÄN</t>
        </is>
      </c>
      <c r="E4259" t="inlineStr">
        <is>
          <t>SKELLEFTEÅ</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45833</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45833</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45833</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45833</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29442-2025</t>
        </is>
      </c>
      <c r="B4264" s="1" t="n">
        <v>45824</v>
      </c>
      <c r="C4264" s="1" t="n">
        <v>45833</v>
      </c>
      <c r="D4264" t="inlineStr">
        <is>
          <t>VÄSTERBOTTENS LÄN</t>
        </is>
      </c>
      <c r="E4264" t="inlineStr">
        <is>
          <t>SKELLEFTEÅ</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29750-2025</t>
        </is>
      </c>
      <c r="B4265" s="1" t="n">
        <v>45825</v>
      </c>
      <c r="C4265" s="1" t="n">
        <v>45833</v>
      </c>
      <c r="D4265" t="inlineStr">
        <is>
          <t>VÄSTERBOTTENS LÄN</t>
        </is>
      </c>
      <c r="E4265" t="inlineStr">
        <is>
          <t>SKELLEFTEÅ</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29765-2025</t>
        </is>
      </c>
      <c r="B4266" s="1" t="n">
        <v>45825</v>
      </c>
      <c r="C4266" s="1" t="n">
        <v>45833</v>
      </c>
      <c r="D4266" t="inlineStr">
        <is>
          <t>VÄSTERBOTTENS LÄN</t>
        </is>
      </c>
      <c r="E4266" t="inlineStr">
        <is>
          <t>SKELLEFTEÅ</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29706-2025</t>
        </is>
      </c>
      <c r="B4267" s="1" t="n">
        <v>45825</v>
      </c>
      <c r="C4267" s="1" t="n">
        <v>45833</v>
      </c>
      <c r="D4267" t="inlineStr">
        <is>
          <t>VÄSTERBOTTENS LÄN</t>
        </is>
      </c>
      <c r="E4267" t="inlineStr">
        <is>
          <t>SKELLEFTEÅ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29757-2025</t>
        </is>
      </c>
      <c r="B4268" s="1" t="n">
        <v>45825</v>
      </c>
      <c r="C4268" s="1" t="n">
        <v>45833</v>
      </c>
      <c r="D4268" t="inlineStr">
        <is>
          <t>VÄSTERBOTTENS LÄN</t>
        </is>
      </c>
      <c r="E4268" t="inlineStr">
        <is>
          <t>SKELLEFTEÅ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29663-2025</t>
        </is>
      </c>
      <c r="B4269" s="1" t="n">
        <v>45825</v>
      </c>
      <c r="C4269" s="1" t="n">
        <v>45833</v>
      </c>
      <c r="D4269" t="inlineStr">
        <is>
          <t>VÄSTERBOTTENS LÄN</t>
        </is>
      </c>
      <c r="E4269" t="inlineStr">
        <is>
          <t>SKELLEFTEÅ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29500-2025</t>
        </is>
      </c>
      <c r="B4270" s="1" t="n">
        <v>45825</v>
      </c>
      <c r="C4270" s="1" t="n">
        <v>45833</v>
      </c>
      <c r="D4270" t="inlineStr">
        <is>
          <t>VÄSTERBOTTENS LÄN</t>
        </is>
      </c>
      <c r="E4270" t="inlineStr">
        <is>
          <t>SKELLEFTEÅ</t>
        </is>
      </c>
      <c r="G4270" t="n">
        <v>19.6</v>
      </c>
      <c r="H4270" t="n">
        <v>0</v>
      </c>
      <c r="I4270" t="n">
        <v>0</v>
      </c>
      <c r="J4270" t="n">
        <v>0</v>
      </c>
      <c r="K4270" t="n">
        <v>0</v>
      </c>
      <c r="L4270" t="n">
        <v>0</v>
      </c>
      <c r="M4270" t="n">
        <v>0</v>
      </c>
      <c r="N4270" t="n">
        <v>0</v>
      </c>
      <c r="O4270" t="n">
        <v>0</v>
      </c>
      <c r="P4270" t="n">
        <v>0</v>
      </c>
      <c r="Q4270" t="n">
        <v>0</v>
      </c>
      <c r="R4270" s="2" t="inlineStr"/>
    </row>
    <row r="4271" ht="15" customHeight="1">
      <c r="A4271" t="inlineStr">
        <is>
          <t>A 29665-2025</t>
        </is>
      </c>
      <c r="B4271" s="1" t="n">
        <v>45825</v>
      </c>
      <c r="C4271" s="1" t="n">
        <v>45833</v>
      </c>
      <c r="D4271" t="inlineStr">
        <is>
          <t>VÄSTERBOTTENS LÄN</t>
        </is>
      </c>
      <c r="E4271" t="inlineStr">
        <is>
          <t>SKELLEFTEÅ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29613-2025</t>
        </is>
      </c>
      <c r="B4272" s="1" t="n">
        <v>45825</v>
      </c>
      <c r="C4272" s="1" t="n">
        <v>45833</v>
      </c>
      <c r="D4272" t="inlineStr">
        <is>
          <t>VÄSTERBOTTENS LÄN</t>
        </is>
      </c>
      <c r="E4272" t="inlineStr">
        <is>
          <t>SKELLEFTEÅ</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45833</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29693-2025</t>
        </is>
      </c>
      <c r="B4274" s="1" t="n">
        <v>45825</v>
      </c>
      <c r="C4274" s="1" t="n">
        <v>45833</v>
      </c>
      <c r="D4274" t="inlineStr">
        <is>
          <t>VÄSTERBOTTENS LÄN</t>
        </is>
      </c>
      <c r="E4274" t="inlineStr">
        <is>
          <t>SKELLEFTEÅ</t>
        </is>
      </c>
      <c r="G4274" t="n">
        <v>17.8</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45833</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30438-2025</t>
        </is>
      </c>
      <c r="B4276" s="1" t="n">
        <v>45827</v>
      </c>
      <c r="C4276" s="1" t="n">
        <v>45833</v>
      </c>
      <c r="D4276" t="inlineStr">
        <is>
          <t>VÄSTERBOTTENS LÄN</t>
        </is>
      </c>
      <c r="E4276" t="inlineStr">
        <is>
          <t>SKELLEFTEÅ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30195-2025</t>
        </is>
      </c>
      <c r="B4277" s="1" t="n">
        <v>45827</v>
      </c>
      <c r="C4277" s="1" t="n">
        <v>45833</v>
      </c>
      <c r="D4277" t="inlineStr">
        <is>
          <t>VÄSTERBOTTENS LÄN</t>
        </is>
      </c>
      <c r="E4277" t="inlineStr">
        <is>
          <t>SKELLEFTEÅ</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30432-2025</t>
        </is>
      </c>
      <c r="B4278" s="1" t="n">
        <v>45827</v>
      </c>
      <c r="C4278" s="1" t="n">
        <v>45833</v>
      </c>
      <c r="D4278" t="inlineStr">
        <is>
          <t>VÄSTERBOTTENS LÄN</t>
        </is>
      </c>
      <c r="E4278" t="inlineStr">
        <is>
          <t>SKELLEFTEÅ</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30711-2025</t>
        </is>
      </c>
      <c r="B4279" s="1" t="n">
        <v>45831</v>
      </c>
      <c r="C4279" s="1" t="n">
        <v>45833</v>
      </c>
      <c r="D4279" t="inlineStr">
        <is>
          <t>VÄSTERBOTTENS LÄN</t>
        </is>
      </c>
      <c r="E4279" t="inlineStr">
        <is>
          <t>SKELLEFTEÅ</t>
        </is>
      </c>
      <c r="F4279" t="inlineStr">
        <is>
          <t>Sveaskog</t>
        </is>
      </c>
      <c r="G4279" t="n">
        <v>21.5</v>
      </c>
      <c r="H4279" t="n">
        <v>0</v>
      </c>
      <c r="I4279" t="n">
        <v>0</v>
      </c>
      <c r="J4279" t="n">
        <v>0</v>
      </c>
      <c r="K4279" t="n">
        <v>0</v>
      </c>
      <c r="L4279" t="n">
        <v>0</v>
      </c>
      <c r="M4279" t="n">
        <v>0</v>
      </c>
      <c r="N4279" t="n">
        <v>0</v>
      </c>
      <c r="O4279" t="n">
        <v>0</v>
      </c>
      <c r="P4279" t="n">
        <v>0</v>
      </c>
      <c r="Q4279" t="n">
        <v>0</v>
      </c>
      <c r="R4279" s="2" t="inlineStr"/>
    </row>
    <row r="4280" ht="15" customHeight="1">
      <c r="A4280" t="inlineStr">
        <is>
          <t>A 30791-2025</t>
        </is>
      </c>
      <c r="B4280" s="1" t="n">
        <v>45831</v>
      </c>
      <c r="C4280" s="1" t="n">
        <v>45833</v>
      </c>
      <c r="D4280" t="inlineStr">
        <is>
          <t>VÄSTERBOTTENS LÄN</t>
        </is>
      </c>
      <c r="E4280" t="inlineStr">
        <is>
          <t>SKELLEFTEÅ</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31077-2025</t>
        </is>
      </c>
      <c r="B4281" s="1" t="n">
        <v>45831</v>
      </c>
      <c r="C4281" s="1" t="n">
        <v>45833</v>
      </c>
      <c r="D4281" t="inlineStr">
        <is>
          <t>VÄSTERBOTTENS LÄN</t>
        </is>
      </c>
      <c r="E4281" t="inlineStr">
        <is>
          <t>SKELLEFTEÅ</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31108-2025</t>
        </is>
      </c>
      <c r="B4282" s="1" t="n">
        <v>45832</v>
      </c>
      <c r="C4282" s="1" t="n">
        <v>45833</v>
      </c>
      <c r="D4282" t="inlineStr">
        <is>
          <t>VÄSTERBOTTENS LÄN</t>
        </is>
      </c>
      <c r="E4282" t="inlineStr">
        <is>
          <t>SKELLEFTEÅ</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31178-2025</t>
        </is>
      </c>
      <c r="B4283" s="1" t="n">
        <v>45832</v>
      </c>
      <c r="C4283" s="1" t="n">
        <v>45833</v>
      </c>
      <c r="D4283" t="inlineStr">
        <is>
          <t>VÄSTERBOTTENS LÄN</t>
        </is>
      </c>
      <c r="E4283" t="inlineStr">
        <is>
          <t>SKELLEFTEÅ</t>
        </is>
      </c>
      <c r="F4283" t="inlineStr">
        <is>
          <t>Holmen skog AB</t>
        </is>
      </c>
      <c r="G4283" t="n">
        <v>19.2</v>
      </c>
      <c r="H4283" t="n">
        <v>0</v>
      </c>
      <c r="I4283" t="n">
        <v>0</v>
      </c>
      <c r="J4283" t="n">
        <v>0</v>
      </c>
      <c r="K4283" t="n">
        <v>0</v>
      </c>
      <c r="L4283" t="n">
        <v>0</v>
      </c>
      <c r="M4283" t="n">
        <v>0</v>
      </c>
      <c r="N4283" t="n">
        <v>0</v>
      </c>
      <c r="O4283" t="n">
        <v>0</v>
      </c>
      <c r="P4283" t="n">
        <v>0</v>
      </c>
      <c r="Q4283" t="n">
        <v>0</v>
      </c>
      <c r="R4283" s="2" t="inlineStr"/>
    </row>
    <row r="4284">
      <c r="A4284" t="inlineStr">
        <is>
          <t>A 31168-2025</t>
        </is>
      </c>
      <c r="B4284" s="1" t="n">
        <v>45832</v>
      </c>
      <c r="C4284" s="1" t="n">
        <v>45833</v>
      </c>
      <c r="D4284" t="inlineStr">
        <is>
          <t>VÄSTERBOTTENS LÄN</t>
        </is>
      </c>
      <c r="E4284" t="inlineStr">
        <is>
          <t>SKELLEFTEÅ</t>
        </is>
      </c>
      <c r="F4284" t="inlineStr">
        <is>
          <t>Holmen skog AB</t>
        </is>
      </c>
      <c r="G4284" t="n">
        <v>5.3</v>
      </c>
      <c r="H4284" t="n">
        <v>0</v>
      </c>
      <c r="I4284" t="n">
        <v>0</v>
      </c>
      <c r="J4284" t="n">
        <v>0</v>
      </c>
      <c r="K4284" t="n">
        <v>0</v>
      </c>
      <c r="L4284" t="n">
        <v>0</v>
      </c>
      <c r="M4284" t="n">
        <v>0</v>
      </c>
      <c r="N4284" t="n">
        <v>0</v>
      </c>
      <c r="O4284" t="n">
        <v>0</v>
      </c>
      <c r="P4284" t="n">
        <v>0</v>
      </c>
      <c r="Q4284" t="n">
        <v>0</v>
      </c>
      <c r="R4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2025-06-25T19:53:52Z</dcterms:created>
  <dcterms:modified xmlns:dcterms="http://purl.org/dc/terms/" xmlns:xsi="http://www.w3.org/2001/XMLSchema-instance" xsi:type="dcterms:W3CDTF">2025-06-25T19:53:56Z</dcterms:modified>
</cp:coreProperties>
</file>