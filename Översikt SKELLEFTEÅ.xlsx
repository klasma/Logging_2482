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45733</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45733</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45733</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45733</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45733</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45733</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45733</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45733</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45733</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45733</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45733</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45733</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45733</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45733</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45733</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45733</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45733</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45733</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45733</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45733</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45733</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45733</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45733</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45733</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45733</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45733</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45733</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45733</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45733</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45733</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45733</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45733</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45733</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45733</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45733</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45733</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45733</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45733</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45733</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45733</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45733</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45733</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45733</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45733</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45733</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45733</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45733</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45733</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45733</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45733</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45733</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45733</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45733</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45733</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45733</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45733</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45733</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45733</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45733</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45733</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45733</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45733</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45733</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45733</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45733</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45733</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45733</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45733</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45733</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45733</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45733</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45733</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45733</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45733</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45733</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45733</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45733</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45733</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45733</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45733</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45733</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45733</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45733</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45733</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45733</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45733</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45733</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45733</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45733</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45733</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45733</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45733</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45733</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45733</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45733</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45733</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45733</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45733</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45733</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45733</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45733</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45733</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45733</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45733</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45733</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45733</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45733</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45733</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45733</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45733</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45733</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45733</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45733</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45733</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45733</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45733</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45733</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45733</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45733</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45733</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45733</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45733</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45733</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45733</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45733</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45733</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45733</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45733</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45733</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45733</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45733</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45733</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9093-2025</t>
        </is>
      </c>
      <c r="B134" s="1" t="n">
        <v>45713</v>
      </c>
      <c r="C134" s="1" t="n">
        <v>45733</v>
      </c>
      <c r="D134" t="inlineStr">
        <is>
          <t>VÄSTERBOTTENS LÄN</t>
        </is>
      </c>
      <c r="E134" t="inlineStr">
        <is>
          <t>SKELLEFTEÅ</t>
        </is>
      </c>
      <c r="G134" t="n">
        <v>4.3</v>
      </c>
      <c r="H134" t="n">
        <v>2</v>
      </c>
      <c r="I134" t="n">
        <v>0</v>
      </c>
      <c r="J134" t="n">
        <v>3</v>
      </c>
      <c r="K134" t="n">
        <v>0</v>
      </c>
      <c r="L134" t="n">
        <v>0</v>
      </c>
      <c r="M134" t="n">
        <v>0</v>
      </c>
      <c r="N134" t="n">
        <v>0</v>
      </c>
      <c r="O134" t="n">
        <v>3</v>
      </c>
      <c r="P134" t="n">
        <v>0</v>
      </c>
      <c r="Q134" t="n">
        <v>3</v>
      </c>
      <c r="R134" s="2" t="inlineStr">
        <is>
          <t>Spillkråka
Tretåig hackspett
Ullticka</t>
        </is>
      </c>
      <c r="S134">
        <f>HYPERLINK("https://klasma.github.io/Logging_2482/artfynd/A 9093-2025 artfynd.xlsx", "A 9093-2025")</f>
        <v/>
      </c>
      <c r="T134">
        <f>HYPERLINK("https://klasma.github.io/Logging_2482/kartor/A 9093-2025 karta.png", "A 9093-2025")</f>
        <v/>
      </c>
      <c r="V134">
        <f>HYPERLINK("https://klasma.github.io/Logging_2482/klagomål/A 9093-2025 FSC-klagomål.docx", "A 9093-2025")</f>
        <v/>
      </c>
      <c r="W134">
        <f>HYPERLINK("https://klasma.github.io/Logging_2482/klagomålsmail/A 9093-2025 FSC-klagomål mail.docx", "A 9093-2025")</f>
        <v/>
      </c>
      <c r="X134">
        <f>HYPERLINK("https://klasma.github.io/Logging_2482/tillsyn/A 9093-2025 tillsynsbegäran.docx", "A 9093-2025")</f>
        <v/>
      </c>
      <c r="Y134">
        <f>HYPERLINK("https://klasma.github.io/Logging_2482/tillsynsmail/A 9093-2025 tillsynsbegäran mail.docx", "A 9093-2025")</f>
        <v/>
      </c>
      <c r="Z134">
        <f>HYPERLINK("https://klasma.github.io/Logging_2482/fåglar/A 9093-2025 prioriterade fågelarter.docx", "A 9093-2025")</f>
        <v/>
      </c>
    </row>
    <row r="135" ht="15" customHeight="1">
      <c r="A135" t="inlineStr">
        <is>
          <t>A 18882-2019</t>
        </is>
      </c>
      <c r="B135" s="1" t="n">
        <v>43563</v>
      </c>
      <c r="C135" s="1" t="n">
        <v>45733</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45733</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45733</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45733</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45733</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45733</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45733</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45733</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45733</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45733</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45733</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45733</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45733</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45733</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45733</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45733</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45733</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45733</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45733</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45733</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45733</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45733</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45733</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45733</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45733</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45733</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45733</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45733</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45733</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45733</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45733</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45733</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45733</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45733</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45733</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45733</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45733</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45733</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45733</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45733</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45733</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45733</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45733</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45733</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45733</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45733</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45733</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45733</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45733</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45733</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45733</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45733</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45733</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45733</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45733</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45733</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45733</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45733</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45733</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45733</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45733</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45733</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45733</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45733</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45733</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45733</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45733</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45733</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45733</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45733</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45733</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45733</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45733</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45733</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45733</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45733</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45733</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45733</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45733</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45733</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45733</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45733</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45733</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45733</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45733</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45733</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45733</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45733</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45733</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45733</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45733</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45733</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45733</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45733</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45733</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45733</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45733</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45733</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45733</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45733</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45733</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45733</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45733</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45733</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45733</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45733</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45733</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45733</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45733</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45733</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45733</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45733</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45733</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45733</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45733</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45733</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45733</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45733</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45733</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45733</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45733</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45733</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45733</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45733</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45733</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45733</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45733</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45733</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45733</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45733</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45733</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45733</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45733</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45733</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45733</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45733</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45733</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45733</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45733</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45733</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45733</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45733</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45733</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45733</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45733</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45733</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45733</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45733</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45733</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45733</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45733</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45733</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45733</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45733</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45733</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45733</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45733</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45733</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45733</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45733</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45733</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45733</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45733</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45733</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45733</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45733</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45733</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45733</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45733</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45733</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45733</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45733</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45733</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45733</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45733</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45733</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45733</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45733</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45733</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45733</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45733</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45733</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45733</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45733</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45733</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45733</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45733</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45733</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45733</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45733</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45733</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45733</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45733</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45733</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45733</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45733</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45733</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45733</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45733</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45733</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45733</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45733</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45733</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45733</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45733</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45733</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45733</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45733</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45733</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45733</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45733</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45733</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45733</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45733</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45733</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45733</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45733</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45733</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45733</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45733</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45733</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45733</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45733</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45733</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45733</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45733</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45733</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45733</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45733</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45733</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45733</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45733</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45733</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45733</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45733</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45733</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45733</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45733</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45733</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45733</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45733</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45733</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45733</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45733</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45733</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45733</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45733</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45733</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45733</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45733</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45733</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45733</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45733</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45733</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45733</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45733</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45733</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45733</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45733</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45733</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45733</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45733</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45733</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45733</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45733</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45733</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45733</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45733</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45733</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45733</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45733</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45733</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45733</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45733</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45733</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45733</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45733</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45733</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45733</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45733</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45733</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45733</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45733</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45733</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45733</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45733</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45733</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45733</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45733</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45733</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45733</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45733</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45733</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45733</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45733</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45733</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45733</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45733</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45733</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45733</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45733</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45733</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45733</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45733</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45733</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45733</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45733</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45733</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45733</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45733</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45733</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45733</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45733</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45733</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45733</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45733</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45733</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45733</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45733</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45733</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45733</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45733</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45733</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45733</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45733</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45733</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45733</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45733</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45733</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45733</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45733</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45733</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45733</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45733</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45733</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45733</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45733</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45733</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45733</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45733</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45733</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45733</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45733</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45733</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45733</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45733</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45733</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45733</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45733</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45733</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45733</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45733</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45733</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45733</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45733</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45733</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45733</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45733</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45733</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45733</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45733</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45733</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45733</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45733</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45733</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45733</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45733</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45733</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45733</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45733</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45733</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45733</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45733</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45733</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45733</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45733</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45733</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45733</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45733</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45733</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45733</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45733</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45733</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45733</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45733</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45733</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45733</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45733</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45733</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45733</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45733</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45733</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45733</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45733</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45733</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45733</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45733</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45733</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45733</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45733</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45733</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45733</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45733</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45733</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45733</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45733</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45733</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45733</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45733</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45733</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45733</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45733</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45733</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45733</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45733</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45733</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45733</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45733</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45733</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45733</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45733</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45733</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45733</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45733</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45733</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45733</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45733</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45733</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45733</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45733</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45733</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45733</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45733</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45733</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45733</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45733</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45733</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45733</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45733</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45733</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45733</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45733</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45733</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45733</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45733</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45733</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45733</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45733</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45733</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45733</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45733</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45733</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45733</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45733</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45733</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45733</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45733</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45733</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45733</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45733</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45733</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45733</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45733</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45733</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45733</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45733</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45733</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45733</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45733</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45733</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45733</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45733</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45733</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45733</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45733</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45733</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45733</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45733</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45733</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45733</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45733</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45733</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45733</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45733</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45733</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45733</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45733</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45733</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45733</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45733</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45733</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45733</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45733</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45733</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45733</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45733</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45733</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45733</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45733</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45733</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45733</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45733</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45733</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45733</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45733</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45733</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45733</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45733</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45733</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45733</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45733</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45733</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45733</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45733</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45733</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45733</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45733</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45733</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45733</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45733</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45733</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45733</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45733</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45733</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45733</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45733</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45733</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45733</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45733</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45733</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45733</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45733</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45733</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45733</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45733</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45733</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45733</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45733</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45733</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45733</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45733</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45733</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45733</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45733</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45733</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45733</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45733</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45733</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45733</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45733</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45733</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45733</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45733</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45733</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45733</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45733</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45733</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45733</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45733</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45733</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45733</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45733</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45733</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45733</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45733</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45733</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45733</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45733</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45733</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45733</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45733</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45733</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45733</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45733</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45733</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45733</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45733</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45733</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45733</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45733</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45733</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45733</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45733</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45733</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45733</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45733</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45733</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45733</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45733</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45733</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45733</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45733</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45733</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45733</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45733</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45733</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45733</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45733</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45733</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45733</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45733</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45733</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45733</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45733</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45733</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45733</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45733</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45733</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45733</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45733</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45733</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45733</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45733</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45733</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45733</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45733</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45733</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45733</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45733</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45733</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45733</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45733</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45733</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45733</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45733</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45733</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45733</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45733</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45733</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45733</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45733</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45733</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45733</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45733</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45733</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45733</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45733</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45733</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45733</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45733</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45733</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45733</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45733</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45733</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45733</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45733</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45733</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45733</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45733</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45733</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45733</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45733</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45733</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45733</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45733</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45733</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45733</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45733</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45733</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45733</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45733</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45733</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45733</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45733</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45733</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45733</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45733</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45733</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45733</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45733</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45733</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45733</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45733</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45733</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45733</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45733</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45733</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45733</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45733</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45733</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45733</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45733</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45733</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45733</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45733</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45733</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45733</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45733</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45733</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45733</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45733</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45733</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45733</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45733</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45733</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45733</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45733</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45733</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45733</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45733</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45733</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45733</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45733</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45733</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45733</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45733</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45733</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45733</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45733</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45733</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45733</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45733</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45733</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45733</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45733</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45733</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45733</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45733</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45733</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45733</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45733</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45733</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45733</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45733</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45733</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45733</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45733</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45733</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45733</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45733</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45733</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45733</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45733</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45733</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45733</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45733</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45733</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45733</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45733</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45733</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45733</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45733</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45733</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45733</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45733</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45733</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45733</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45733</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45733</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45733</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45733</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45733</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45733</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45733</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45733</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45733</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45733</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45733</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45733</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45733</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45733</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45733</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45733</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45733</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45733</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45733</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45733</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45733</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45733</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45733</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45733</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45733</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45733</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45733</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45733</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45733</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45733</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45733</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45733</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45733</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45733</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45733</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45733</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45733</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45733</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45733</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45733</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45733</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45733</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45733</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45733</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45733</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45733</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45733</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45733</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45733</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45733</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45733</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45733</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45733</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45733</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45733</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45733</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45733</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45733</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45733</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45733</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45733</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45733</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45733</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45733</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45733</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45733</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45733</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45733</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45733</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45733</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45733</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45733</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45733</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45733</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45733</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45733</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45733</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45733</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45733</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45733</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45733</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45733</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45733</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45733</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45733</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45733</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45733</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45733</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45733</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45733</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45733</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45733</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45733</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45733</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45733</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45733</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45733</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45733</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45733</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45733</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45733</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45733</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45733</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45733</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45733</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45733</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45733</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45733</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45733</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45733</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45733</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45733</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45733</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45733</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45733</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45733</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45733</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45733</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45733</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45733</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45733</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45733</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45733</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45733</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45733</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45733</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45733</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45733</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45733</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45733</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45733</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45733</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45733</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45733</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45733</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45733</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45733</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45733</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45733</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45733</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45733</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45733</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45733</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45733</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45733</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45733</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45733</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45733</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45733</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45733</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45733</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45733</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45733</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45733</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45733</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45733</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45733</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45733</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45733</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45733</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45733</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45733</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45733</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45733</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45733</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45733</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45733</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45733</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45733</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45733</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45733</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45733</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45733</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45733</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45733</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45733</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45733</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45733</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45733</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45733</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45733</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45733</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45733</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45733</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45733</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45733</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45733</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45733</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45733</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45733</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45733</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45733</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45733</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45733</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45733</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45733</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45733</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45733</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45733</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45733</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45733</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45733</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45733</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45733</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45733</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45733</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45733</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45733</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45733</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45733</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45733</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45733</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45733</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45733</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45733</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45733</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45733</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45733</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45733</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45733</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45733</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45733</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45733</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45733</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45733</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45733</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45733</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45733</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45733</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45733</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45733</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45733</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45733</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45733</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45733</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45733</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45733</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45733</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45733</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45733</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45733</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45733</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45733</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45733</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45733</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45733</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45733</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45733</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45733</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45733</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45733</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45733</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45733</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45733</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45733</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45733</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45733</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45733</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45733</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45733</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45733</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45733</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45733</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45733</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45733</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45733</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45733</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45733</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45733</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45733</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45733</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45733</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45733</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45733</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45733</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45733</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45733</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45733</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45733</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45733</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45733</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45733</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45733</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45733</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45733</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45733</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45733</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45733</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45733</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45733</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45733</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45733</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45733</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45733</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45733</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45733</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45733</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45733</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45733</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45733</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45733</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45733</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45733</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45733</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45733</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45733</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45733</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45733</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45733</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45733</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45733</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45733</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45733</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45733</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45733</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45733</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45733</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45733</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45733</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45733</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45733</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45733</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45733</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45733</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45733</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45733</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45733</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45733</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45733</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45733</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45733</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45733</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45733</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45733</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45733</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45733</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45733</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45733</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45733</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45733</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45733</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45733</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45733</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45733</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45733</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45733</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45733</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45733</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45733</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45733</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45733</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45733</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45733</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45733</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45733</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45733</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45733</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45733</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45733</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45733</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45733</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45733</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45733</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45733</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45733</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45733</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45733</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45733</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45733</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45733</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45733</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45733</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45733</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45733</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45733</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45733</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45733</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45733</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45733</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45733</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45733</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45733</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45733</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45733</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45733</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45733</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45733</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45733</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45733</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45733</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45733</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45733</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45733</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45733</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45733</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45733</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45733</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45733</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45733</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45733</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45733</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45733</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45733</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45733</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45733</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45733</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45733</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45733</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45733</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45733</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45733</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45733</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45733</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45733</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45733</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45733</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45733</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45733</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45733</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45733</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45733</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45733</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45733</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45733</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45733</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45733</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45733</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45733</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45733</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45733</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45733</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45733</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45733</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45733</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45733</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45733</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45733</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45733</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45733</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45733</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45733</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45733</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45733</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45733</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45733</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45733</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45733</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45733</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45733</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45733</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45733</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45733</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45733</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45733</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45733</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45733</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45733</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45733</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45733</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45733</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45733</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45733</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45733</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45733</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45733</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45733</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45733</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45733</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45733</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45733</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45733</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45733</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45733</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45733</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45733</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45733</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45733</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45733</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45733</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45733</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45733</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45733</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45733</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45733</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45733</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45733</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45733</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45733</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45733</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45733</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45733</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45733</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45733</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45733</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45733</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45733</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45733</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45733</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45733</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45733</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45733</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45733</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45733</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45733</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45733</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45733</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45733</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45733</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45733</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45733</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45733</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45733</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45733</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45733</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45733</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45733</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45733</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45733</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45733</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45733</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45733</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45733</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45733</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45733</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45733</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45733</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45733</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45733</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45733</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45733</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45733</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45733</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45733</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45733</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45733</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45733</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45733</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45733</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45733</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45733</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45733</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45733</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45733</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45733</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45733</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45733</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45733</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45733</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45733</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45733</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45733</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45733</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45733</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45733</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45733</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45733</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45733</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45733</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45733</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45733</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45733</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45733</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45733</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45733</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45733</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45733</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45733</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45733</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45733</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45733</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45733</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45733</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45733</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45733</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45733</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45733</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45733</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45733</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45733</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45733</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45733</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45733</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45733</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45733</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45733</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45733</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45733</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45733</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45733</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45733</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45733</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45733</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45733</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45733</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45733</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45733</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45733</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45733</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45733</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45733</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45733</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45733</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45733</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45733</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45733</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45733</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45733</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45733</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45733</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45733</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45733</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45733</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45733</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45733</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45733</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45733</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45733</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45733</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45733</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45733</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45733</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45733</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45733</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45733</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45733</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45733</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45733</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45733</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45733</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45733</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45733</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45733</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45733</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45733</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45733</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45733</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45733</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45733</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45733</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45733</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45733</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45733</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45733</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45733</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45733</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45733</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45733</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45733</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45733</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45733</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45733</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45733</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45733</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45733</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45733</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45733</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45733</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45733</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45733</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45733</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45733</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45733</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45733</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45733</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45733</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45733</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45733</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45733</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45733</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45733</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45733</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45733</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45733</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45733</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45733</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45733</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45733</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45733</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45733</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45733</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45733</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45733</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45733</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45733</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45733</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45733</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45733</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45733</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45733</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45733</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45733</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45733</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45733</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45733</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45733</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45733</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45733</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45733</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45733</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45733</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45733</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45733</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45733</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45733</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45733</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45733</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45733</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45733</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45733</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45733</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45733</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45733</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45733</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45733</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45733</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45733</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45733</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45733</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45733</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45733</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45733</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45733</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45733</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45733</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45733</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45733</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45733</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45733</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45733</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45733</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45733</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45733</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45733</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45733</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45733</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45733</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45733</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45733</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45733</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45733</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45733</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45733</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45733</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45733</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45733</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45733</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45733</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45733</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45733</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45733</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45733</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45733</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45733</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45733</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45733</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45733</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45733</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45733</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45733</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45733</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45733</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45733</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45733</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45733</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45733</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45733</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45733</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45733</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45733</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45733</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45733</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45733</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45733</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45733</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45733</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45733</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45733</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45733</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45733</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45733</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45733</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45733</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45733</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45733</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45733</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45733</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45733</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45733</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45733</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45733</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45733</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45733</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45733</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45733</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45733</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45733</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45733</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45733</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45733</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45733</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45733</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45733</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45733</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45733</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45733</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45733</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45733</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45733</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45733</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45733</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45733</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45733</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45733</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45733</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45733</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45733</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45733</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45733</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45733</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45733</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45733</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45733</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45733</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45733</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45733</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45733</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45733</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45733</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45733</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45733</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45733</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45733</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45733</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45733</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45733</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45733</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45733</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45733</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45733</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45733</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45733</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45733</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45733</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45733</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45733</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45733</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45733</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45733</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45733</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45733</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45733</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45733</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45733</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45733</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45733</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45733</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45733</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45733</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45733</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45733</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45733</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45733</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45733</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45733</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45733</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45733</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45733</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45733</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45733</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45733</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45733</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45733</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45733</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45733</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45733</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45733</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45733</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45733</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45733</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45733</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45733</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45733</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45733</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45733</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45733</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45733</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45733</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45733</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45733</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45733</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45733</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45733</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45733</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45733</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45733</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45733</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45733</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45733</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45733</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45733</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45733</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45733</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45733</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45733</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45733</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45733</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45733</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45733</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45733</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45733</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45733</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45733</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45733</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45733</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45733</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45733</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45733</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45733</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45733</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45733</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45733</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45733</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45733</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45733</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45733</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45733</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45733</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45733</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45733</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45733</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45733</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45733</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45733</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45733</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45733</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45733</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45733</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45733</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45733</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45733</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45733</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45733</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45733</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45733</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45733</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45733</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45733</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45733</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45733</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45733</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45733</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45733</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45733</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45733</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45733</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45733</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45733</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45733</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45733</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45733</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45733</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45733</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45733</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45733</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45733</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45733</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45733</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45733</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45733</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45733</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45733</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45733</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45733</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45733</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45733</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45733</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45733</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45733</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45733</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45733</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45733</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45733</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45733</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45733</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45733</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45733</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45733</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45733</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45733</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45733</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45733</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45733</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45733</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45733</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45733</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45733</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45733</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45733</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45733</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45733</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45733</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45733</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45733</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45733</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45733</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45733</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45733</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45733</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45733</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45733</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45733</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45733</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45733</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45733</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45733</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45733</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45733</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45733</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45733</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45733</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45733</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45733</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45733</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45733</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45733</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45733</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45733</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45733</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45733</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45733</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45733</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45733</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45733</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45733</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45733</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45733</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45733</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45733</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45733</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45733</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45733</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45733</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45733</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45733</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45733</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45733</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45733</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45733</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45733</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45733</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45733</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45733</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45733</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45733</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45733</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45733</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45733</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45733</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45733</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45733</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45733</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45733</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45733</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45733</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45733</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45733</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45733</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45733</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45733</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45733</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45733</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45733</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45733</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45733</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45733</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45733</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45733</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45733</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45733</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45733</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45733</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45733</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45733</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45733</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45733</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45733</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45733</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45733</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45733</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45733</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45733</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45733</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45733</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45733</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45733</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45733</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45733</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45733</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45733</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45733</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45733</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45733</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45733</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45733</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45733</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45733</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45733</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45733</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45733</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45733</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45733</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45733</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45733</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45733</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45733</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45733</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45733</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45733</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45733</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45733</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45733</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45733</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45733</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45733</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45733</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45733</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45733</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45733</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45733</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45733</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45733</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45733</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45733</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45733</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45733</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45733</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45733</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45733</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45733</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45733</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45733</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45733</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45733</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45733</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45733</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45733</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45733</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45733</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45733</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45733</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45733</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45733</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45733</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45733</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45733</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45733</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45733</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45733</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45733</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45733</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45733</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45733</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45733</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45733</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45733</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45733</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45733</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45733</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45733</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45733</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45733</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45733</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45733</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45733</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45733</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45733</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45733</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45733</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45733</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45733</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45733</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45733</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45733</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45733</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45733</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45733</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45733</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45733</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45733</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45733</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45733</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45733</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45733</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45733</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45733</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45733</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45733</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45733</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45733</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45733</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45733</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45733</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45733</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45733</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45733</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45733</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45733</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45733</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45733</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45733</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45733</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45733</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45733</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45733</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45733</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45733</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45733</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45733</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45733</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45733</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45733</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45733</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45733</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45733</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45733</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45733</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45733</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45733</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45733</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45733</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45733</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45733</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45733</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45733</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45733</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45733</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45733</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45733</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45733</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45733</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45733</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45733</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45733</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45733</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45733</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45733</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45733</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45733</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45733</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45733</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45733</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45733</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45733</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45733</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45733</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45733</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45733</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45733</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45733</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45733</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45733</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45733</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45733</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45733</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45733</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45733</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45733</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45733</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45733</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45733</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45733</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45733</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45733</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45733</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45733</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45733</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45733</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45733</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45733</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45733</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45733</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45733</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45733</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45733</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45733</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45733</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45733</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45733</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45733</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45733</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45733</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45733</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45733</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45733</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45733</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45733</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45733</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45733</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45733</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45733</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45733</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45733</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45733</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45733</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45733</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45733</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45733</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45733</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45733</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45733</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45733</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45733</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45733</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45733</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45733</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45733</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45733</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45733</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45733</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45733</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45733</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45733</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45733</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45733</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45733</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45733</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45733</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45733</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45733</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45733</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45733</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45733</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45733</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45733</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45733</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45733</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45733</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45733</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45733</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45733</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45733</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45733</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45733</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45733</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45733</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45733</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45733</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45733</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45733</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45733</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45733</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45733</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45733</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45733</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45733</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45733</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45733</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45733</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45733</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45733</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45733</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45733</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45733</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45733</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45733</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45733</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45733</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45733</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45733</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45733</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45733</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45733</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45733</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45733</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45733</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45733</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45733</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45733</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45733</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45733</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45733</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45733</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45733</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45733</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45733</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45733</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45733</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45733</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45733</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45733</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45733</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45733</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45733</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45733</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45733</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45733</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45733</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45733</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45733</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45733</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45733</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45733</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45733</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45733</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45733</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45733</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45733</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45733</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45733</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45733</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45733</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45733</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45733</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45733</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45733</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45733</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45733</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45733</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45733</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45733</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45733</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45733</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45733</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45733</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45733</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45733</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45733</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45733</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45733</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45733</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45733</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45733</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45733</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45733</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45733</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45733</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45733</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45733</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45733</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45733</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45733</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45733</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45733</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45733</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45733</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45733</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45733</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45733</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45733</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45733</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45733</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45733</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45733</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45733</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45733</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45733</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45733</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45733</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45733</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45733</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45733</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45733</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45733</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45733</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45733</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45733</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45733</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45733</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45733</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45733</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45733</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45733</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45733</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45733</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45733</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45733</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45733</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45733</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45733</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45733</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45733</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45733</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45733</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45733</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45733</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45733</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45733</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45733</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45733</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45733</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45733</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45733</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45733</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45733</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45733</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45733</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45733</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45733</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45733</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45733</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45733</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45733</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45733</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45733</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45733</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45733</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45733</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45733</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45733</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45733</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45733</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45733</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45733</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45733</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45733</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45733</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45733</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45733</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45733</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45733</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45733</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45733</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45733</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45733</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45733</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45733</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45733</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45733</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45733</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45733</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45733</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45733</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45733</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45733</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45733</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45733</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45733</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45733</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45733</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45733</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45733</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45733</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45733</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45733</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45733</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45733</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45733</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45733</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45733</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45733</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45733</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45733</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45733</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45733</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45733</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45733</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45733</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45733</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45733</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45733</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45733</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45733</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45733</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45733</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45733</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45733</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45733</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45733</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45733</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45733</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45733</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45733</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45733</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45733</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45733</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45733</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45733</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45733</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45733</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45733</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45733</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45733</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45733</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45733</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45733</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45733</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45733</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45733</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45733</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45733</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45733</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45733</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45733</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45733</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45733</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45733</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45733</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45733</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45733</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45733</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45733</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45733</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45733</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45733</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45733</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45733</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45733</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45733</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45733</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45733</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45733</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45733</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45733</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45733</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45733</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45733</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45733</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45733</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45733</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45733</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45733</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45733</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45733</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45733</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45733</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45733</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45733</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45733</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45733</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45733</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45733</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45733</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45733</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45733</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45733</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45733</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45733</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45733</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45733</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45733</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45733</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45733</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45733</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45733</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45733</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45733</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45733</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45733</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45733</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45733</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45733</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45733</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45733</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45733</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45733</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45733</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45733</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45733</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45733</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45733</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45733</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45733</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45733</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45733</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45733</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45733</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45733</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45733</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45733</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45733</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45733</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45733</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45733</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45733</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45733</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45733</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45733</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45733</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45733</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45733</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45733</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45733</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45733</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45733</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45733</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45733</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45733</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45733</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45733</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45733</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45733</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45733</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45733</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45733</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45733</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45733</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45733</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45733</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45733</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45733</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45733</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45733</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45733</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45733</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45733</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45733</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45733</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45733</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45733</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45733</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45733</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45733</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45733</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45733</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45733</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45733</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45733</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45733</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45733</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45733</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45733</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45733</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45733</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45733</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45733</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45733</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45733</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45733</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45733</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45733</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45733</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45733</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45733</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45733</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45733</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45733</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45733</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45733</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45733</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45733</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45733</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45733</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45733</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45733</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45733</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45733</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45733</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45733</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45733</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45733</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45733</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45733</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45733</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45733</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45733</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45733</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45733</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45733</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45733</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45733</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45733</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45733</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45733</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45733</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45733</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45733</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45733</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45733</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45733</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45733</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45733</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45733</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45733</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45733</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45733</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45733</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45733</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45733</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45733</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45733</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45733</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45733</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45733</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45733</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45733</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45733</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45733</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45733</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45733</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45733</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45733</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45733</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45733</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45733</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45733</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45733</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45733</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45733</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45733</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45733</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45733</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45733</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45733</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45733</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45733</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45733</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45733</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45733</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45733</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45733</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45733</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45733</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45733</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45733</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45733</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45733</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45733</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45733</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45733</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45733</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45733</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45733</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45733</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45733</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45733</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45733</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45733</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45733</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45733</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45733</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45733</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45733</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45733</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45733</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45733</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45733</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45733</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45733</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45733</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45733</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45733</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45733</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45733</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45733</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45733</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45733</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45733</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45733</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45733</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45733</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45733</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45733</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45733</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45733</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45733</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45733</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45733</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45733</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45733</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45733</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45733</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45733</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45733</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45733</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45733</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45733</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45733</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45733</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45733</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45733</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45733</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45733</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45733</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45733</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45733</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45733</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45733</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45733</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45733</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45733</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45733</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45733</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45733</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45733</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45733</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45733</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45733</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45733</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45733</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45733</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45733</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45733</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45733</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45733</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45733</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45733</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45733</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45733</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45733</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45733</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45733</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45733</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45733</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45733</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45733</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45733</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45733</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45733</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45733</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45733</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45733</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45733</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45733</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45733</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45733</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45733</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45733</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45733</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45733</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45733</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45733</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45733</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45733</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45733</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45733</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45733</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45733</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45733</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45733</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45733</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45733</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45733</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45733</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45733</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45733</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45733</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45733</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45733</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45733</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45733</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45733</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45733</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45733</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45733</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45733</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45733</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45733</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45733</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45733</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45733</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45733</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45733</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45733</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45733</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45733</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45733</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45733</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45733</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45733</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45733</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45733</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45733</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45733</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45733</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45733</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45733</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45733</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45733</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45733</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45733</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45733</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45733</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45733</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45733</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45733</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45733</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45733</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45733</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45733</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45733</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45733</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45733</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45733</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45733</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45733</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45733</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45733</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45733</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45733</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45733</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45733</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45733</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45733</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45733</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45733</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45733</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45733</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45733</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45733</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45733</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45733</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45733</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45733</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45733</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45733</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45733</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45733</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45733</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45733</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45733</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45733</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45733</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45733</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45733</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45733</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45733</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45733</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45733</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45733</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45733</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45733</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45733</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45733</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45733</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45733</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45733</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45733</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45733</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45733</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45733</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45733</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45733</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45733</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45733</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45733</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45733</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45733</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45733</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45733</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45733</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45733</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45733</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45733</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45733</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45733</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45733</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45733</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45733</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45733</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45733</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45733</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45733</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45733</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45733</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45733</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45733</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45733</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45733</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45733</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45733</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45733</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45733</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45733</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45733</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45733</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45733</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45733</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45733</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45733</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45733</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45733</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45733</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45733</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45733</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45733</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45733</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45733</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45733</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45733</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45733</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45733</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45733</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45733</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45733</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45733</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45733</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45733</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45733</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45733</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45733</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45733</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45733</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45733</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45733</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45733</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45733</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45733</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45733</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45733</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45733</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45733</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45733</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45733</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45733</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45733</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45733</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45733</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45733</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45733</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45733</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45733</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45733</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45733</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45733</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45733</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45733</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45733</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45733</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45733</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45733</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45733</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45733</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45733</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45733</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45733</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45733</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45733</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45733</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45733</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45733</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45733</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45733</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45733</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45733</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45733</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45733</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45733</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45733</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45733</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45733</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45733</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45733</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45733</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45733</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45733</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45733</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45733</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45733</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45733</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45733</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45733</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45733</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45733</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45733</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45733</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45733</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45733</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45733</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45733</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45733</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45733</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45733</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45733</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45733</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45733</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45733</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45733</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45733</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45733</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45733</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45733</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45733</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45733</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45733</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45733</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45733</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45733</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45733</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45733</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45733</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45733</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45733</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45733</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45733</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45733</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45733</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45733</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45733</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45733</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45733</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45733</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45733</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45733</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45733</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45733</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45733</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45733</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45733</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45733</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45733</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45733</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45733</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45733</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45733</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45733</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45733</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45733</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45733</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45733</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45733</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45733</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45733</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45733</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45733</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45733</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45733</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45733</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45733</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45733</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45733</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45733</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45733</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45733</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45733</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45733</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45733</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45733</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45733</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45733</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45733</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45733</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45733</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45733</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45733</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45733</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45733</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45733</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45733</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45733</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45733</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45733</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45733</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45733</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45733</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45733</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45733</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45733</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45733</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45733</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45733</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45733</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45733</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45733</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45733</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45733</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45733</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45733</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45733</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45733</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45733</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45733</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45733</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45733</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45733</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45733</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45733</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45733</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45733</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45733</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45733</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45733</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45733</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45733</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45733</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45733</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45733</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45733</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45733</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45733</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45733</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45733</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45733</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45733</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45733</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45733</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45733</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45733</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45733</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45733</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45733</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45733</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45733</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45733</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45733</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45733</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45733</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45733</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45733</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45733</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45733</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45733</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45733</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45733</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45733</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45733</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45733</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45733</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45733</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45733</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45733</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45733</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45733</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45733</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45733</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45733</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45733</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45733</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45733</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45733</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45733</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45733</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45733</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45733</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45733</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45733</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45733</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45733</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45733</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45733</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45733</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45733</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45733</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45733</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45733</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45733</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45733</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45733</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45733</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45733</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45733</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45733</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45733</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45733</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45733</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45733</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45733</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45733</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45733</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45733</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45733</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45733</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45733</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45733</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45733</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45733</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45733</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45733</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45733</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45733</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45733</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45733</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45733</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45733</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45733</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45733</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45733</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45733</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45733</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45733</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45733</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45733</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45733</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45733</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45733</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45733</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45733</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45733</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45733</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45733</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45733</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45733</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45733</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45733</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45733</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45733</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45733</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45733</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45733</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45733</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45733</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45733</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45733</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45733</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45733</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45733</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45733</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45733</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45733</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45733</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45733</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45733</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45733</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45733</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45733</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45733</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45733</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45733</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45733</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45733</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45733</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45733</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45733</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45733</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45733</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45733</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45733</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45733</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45733</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45733</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45733</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45733</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45733</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45733</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45733</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45733</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45733</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45733</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45733</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45733</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45733</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45733</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45733</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45733</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45733</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45733</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45733</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45733</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45733</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45733</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45733</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45733</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45733</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45733</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45733</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45733</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45733</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45733</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45733</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45733</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45733</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45733</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45733</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45733</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45733</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45733</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45733</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45733</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45733</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45733</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45733</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45733</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45733</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45733</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45733</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45733</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45733</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45733</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45733</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45733</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45733</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45733</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45733</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45733</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45733</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45733</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45733</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45733</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45733</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45733</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45733</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45733</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45733</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45733</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45733</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45733</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45733</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45733</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45733</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45733</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45733</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45733</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45733</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45733</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45733</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45733</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45733</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45733</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45733</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45733</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45733</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45733</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45733</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45733</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45733</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45733</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45733</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45733</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45733</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45733</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45733</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45733</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45733</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45733</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45733</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45733</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45733</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45733</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45733</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45733</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45733</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45733</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45733</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45733</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45733</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45733</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45733</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45733</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45733</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45733</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45733</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45733</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45733</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45733</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45733</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45733</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45733</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45733</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45733</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45733</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45733</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45733</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45733</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45733</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45733</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45733</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45733</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45733</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45733</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45733</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45733</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45733</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45733</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45733</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45733</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45733</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45733</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45733</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45733</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45733</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45733</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45733</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45733</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45733</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45733</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45733</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45733</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45733</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45733</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45733</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45733</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45733</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45733</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45733</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45733</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45733</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45733</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45733</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45733</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45733</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45733</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45733</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45733</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45733</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45733</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45733</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45733</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45733</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45733</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45733</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45733</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45733</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45733</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45733</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45733</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45733</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45733</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45733</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45733</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45733</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45733</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45733</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45733</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45733</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45733</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45733</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45733</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45733</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45733</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45733</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45733</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45733</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45733</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45733</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45733</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45733</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45733</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45733</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45733</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45733</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45733</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45733</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45733</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45733</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45733</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45733</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45733</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45733</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45733</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45733</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45733</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45733</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45733</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45733</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45733</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45733</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45733</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45733</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45733</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45733</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45733</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45733</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45733</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45733</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45733</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45733</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45733</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45733</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45733</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45733</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45733</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45733</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45733</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45733</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45733</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45733</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45733</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45733</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45733</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45733</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45733</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45733</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45733</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45733</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45733</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45733</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45733</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45733</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45733</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45733</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45733</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45733</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45733</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45733</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45733</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45733</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45733</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45733</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45733</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45733</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45733</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45733</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45733</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45733</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45733</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45733</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45733</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45733</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45733</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45733</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45733</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45733</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45733</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45733</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45733</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45733</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45733</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45733</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45733</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45733</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45733</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45733</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45733</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45733</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45733</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45733</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45733</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45733</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45733</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45733</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45733</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45733</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45733</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45733</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45733</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45733</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45733</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45733</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45733</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45733</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45733</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45733</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45733</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45733</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45733</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45733</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45733</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45733</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45733</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45733</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45733</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45733</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45733</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45733</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45733</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45733</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45733</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45733</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45733</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45733</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45733</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45733</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45733</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45733</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45733</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45733</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45733</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45733</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45733</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45733</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45733</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45733</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45733</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45733</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45733</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45733</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45733</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45733</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45733</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45733</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45733</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45733</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45733</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45733</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45733</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45733</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45733</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45733</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45733</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45733</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45733</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45733</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45733</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45733</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45733</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45733</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45733</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45733</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45733</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45733</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45733</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45733</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45733</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45733</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45733</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45733</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45733</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45733</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45733</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45733</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45733</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45733</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45733</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45733</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45733</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45733</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45733</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45733</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45733</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45733</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45733</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45733</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45733</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45733</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45733</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45733</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45733</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45733</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45733</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45733</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45733</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45733</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45733</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45733</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45733</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45733</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45733</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45733</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45733</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45733</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45733</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45733</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45733</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45733</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45733</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45733</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45733</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45733</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45733</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45733</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45733</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45733</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45733</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45733</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45733</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45733</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45733</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45733</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45733</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45733</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45733</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45733</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45733</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45733</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45733</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45733</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45733</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45733</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45733</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45733</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45733</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45733</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45733</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45733</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45733</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45733</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45733</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45733</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45733</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45733</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45733</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45733</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45733</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45733</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45733</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45733</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45733</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45733</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45733</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45733</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45733</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45733</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45733</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45733</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45733</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45733</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45733</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45733</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45733</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45733</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45733</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45733</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45733</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45733</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45733</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45733</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45733</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45733</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45733</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45733</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45733</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45733</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45733</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45733</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45733</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45733</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45733</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45733</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45733</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45733</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45733</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45733</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45733</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45733</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45733</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45733</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45733</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45733</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45733</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45733</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45733</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45733</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45733</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45733</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45733</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45733</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45733</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45733</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45733</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45733</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45733</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45733</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45733</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45733</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45733</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45733</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45733</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5147-2025</t>
        </is>
      </c>
      <c r="B3808" s="1" t="n">
        <v>45691</v>
      </c>
      <c r="C3808" s="1" t="n">
        <v>45733</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45733</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5011-2025</t>
        </is>
      </c>
      <c r="B3810" s="1" t="n">
        <v>45691</v>
      </c>
      <c r="C3810" s="1" t="n">
        <v>45733</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45733</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45733</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5563-2025</t>
        </is>
      </c>
      <c r="B3813" s="1" t="n">
        <v>45693</v>
      </c>
      <c r="C3813" s="1" t="n">
        <v>45733</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5475-2025</t>
        </is>
      </c>
      <c r="B3814" s="1" t="n">
        <v>45693</v>
      </c>
      <c r="C3814" s="1" t="n">
        <v>45733</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5827-2025</t>
        </is>
      </c>
      <c r="B3815" s="1" t="n">
        <v>45694</v>
      </c>
      <c r="C3815" s="1" t="n">
        <v>45733</v>
      </c>
      <c r="D3815" t="inlineStr">
        <is>
          <t>VÄSTERBOTTENS LÄN</t>
        </is>
      </c>
      <c r="E3815" t="inlineStr">
        <is>
          <t>SKELLEFTEÅ</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45733</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5768-2025</t>
        </is>
      </c>
      <c r="B3817" s="1" t="n">
        <v>45694</v>
      </c>
      <c r="C3817" s="1" t="n">
        <v>45733</v>
      </c>
      <c r="D3817" t="inlineStr">
        <is>
          <t>VÄSTERBOTTENS LÄN</t>
        </is>
      </c>
      <c r="E3817" t="inlineStr">
        <is>
          <t>SKELLEFTEÅ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5828-2025</t>
        </is>
      </c>
      <c r="B3818" s="1" t="n">
        <v>45694</v>
      </c>
      <c r="C3818" s="1" t="n">
        <v>45733</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5831-2025</t>
        </is>
      </c>
      <c r="B3819" s="1" t="n">
        <v>45694</v>
      </c>
      <c r="C3819" s="1" t="n">
        <v>45733</v>
      </c>
      <c r="D3819" t="inlineStr">
        <is>
          <t>VÄSTERBOTTENS LÄN</t>
        </is>
      </c>
      <c r="E3819" t="inlineStr">
        <is>
          <t>SKELLEFTEÅ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45733</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45733</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5829-2025</t>
        </is>
      </c>
      <c r="B3822" s="1" t="n">
        <v>45694</v>
      </c>
      <c r="C3822" s="1" t="n">
        <v>45733</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5876-2025</t>
        </is>
      </c>
      <c r="B3823" s="1" t="n">
        <v>45694</v>
      </c>
      <c r="C3823" s="1" t="n">
        <v>45733</v>
      </c>
      <c r="D3823" t="inlineStr">
        <is>
          <t>VÄSTERBOTTENS LÄN</t>
        </is>
      </c>
      <c r="E3823" t="inlineStr">
        <is>
          <t>SKELLEFTEÅ</t>
        </is>
      </c>
      <c r="G3823" t="n">
        <v>60.7</v>
      </c>
      <c r="H3823" t="n">
        <v>0</v>
      </c>
      <c r="I3823" t="n">
        <v>0</v>
      </c>
      <c r="J3823" t="n">
        <v>0</v>
      </c>
      <c r="K3823" t="n">
        <v>0</v>
      </c>
      <c r="L3823" t="n">
        <v>0</v>
      </c>
      <c r="M3823" t="n">
        <v>0</v>
      </c>
      <c r="N3823" t="n">
        <v>0</v>
      </c>
      <c r="O3823" t="n">
        <v>0</v>
      </c>
      <c r="P3823" t="n">
        <v>0</v>
      </c>
      <c r="Q3823" t="n">
        <v>0</v>
      </c>
      <c r="R3823" s="2" t="inlineStr"/>
    </row>
    <row r="3824" ht="15" customHeight="1">
      <c r="A3824" t="inlineStr">
        <is>
          <t>A 5985-2025</t>
        </is>
      </c>
      <c r="B3824" s="1" t="n">
        <v>45695</v>
      </c>
      <c r="C3824" s="1" t="n">
        <v>45733</v>
      </c>
      <c r="D3824" t="inlineStr">
        <is>
          <t>VÄSTERBOTTENS LÄN</t>
        </is>
      </c>
      <c r="E3824" t="inlineStr">
        <is>
          <t>SKELLEFTEÅ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45733</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45733</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5927-2025</t>
        </is>
      </c>
      <c r="B3827" s="1" t="n">
        <v>45695</v>
      </c>
      <c r="C3827" s="1" t="n">
        <v>45733</v>
      </c>
      <c r="D3827" t="inlineStr">
        <is>
          <t>VÄSTERBOTTENS LÄN</t>
        </is>
      </c>
      <c r="E3827" t="inlineStr">
        <is>
          <t>SKELLEFTEÅ</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6007-2025</t>
        </is>
      </c>
      <c r="B3828" s="1" t="n">
        <v>45695</v>
      </c>
      <c r="C3828" s="1" t="n">
        <v>45733</v>
      </c>
      <c r="D3828" t="inlineStr">
        <is>
          <t>VÄSTERBOTTENS LÄN</t>
        </is>
      </c>
      <c r="E3828" t="inlineStr">
        <is>
          <t>SKELLEFTEÅ</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6018-2025</t>
        </is>
      </c>
      <c r="B3829" s="1" t="n">
        <v>45695</v>
      </c>
      <c r="C3829" s="1" t="n">
        <v>45733</v>
      </c>
      <c r="D3829" t="inlineStr">
        <is>
          <t>VÄSTERBOTTENS LÄN</t>
        </is>
      </c>
      <c r="E3829" t="inlineStr">
        <is>
          <t>SKELLEFTEÅ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45733</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45733</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6443-2025</t>
        </is>
      </c>
      <c r="B3832" s="1" t="n">
        <v>45699</v>
      </c>
      <c r="C3832" s="1" t="n">
        <v>45733</v>
      </c>
      <c r="D3832" t="inlineStr">
        <is>
          <t>VÄSTERBOTTENS LÄN</t>
        </is>
      </c>
      <c r="E3832" t="inlineStr">
        <is>
          <t>SKELLEFTEÅ</t>
        </is>
      </c>
      <c r="G3832" t="n">
        <v>6.3</v>
      </c>
      <c r="H3832" t="n">
        <v>0</v>
      </c>
      <c r="I3832" t="n">
        <v>0</v>
      </c>
      <c r="J3832" t="n">
        <v>0</v>
      </c>
      <c r="K3832" t="n">
        <v>0</v>
      </c>
      <c r="L3832" t="n">
        <v>0</v>
      </c>
      <c r="M3832" t="n">
        <v>0</v>
      </c>
      <c r="N3832" t="n">
        <v>0</v>
      </c>
      <c r="O3832" t="n">
        <v>0</v>
      </c>
      <c r="P3832" t="n">
        <v>0</v>
      </c>
      <c r="Q3832" t="n">
        <v>0</v>
      </c>
      <c r="R3832" s="2" t="inlineStr"/>
    </row>
    <row r="3833" ht="15" customHeight="1">
      <c r="A3833" t="inlineStr">
        <is>
          <t>A 6357-2025</t>
        </is>
      </c>
      <c r="B3833" s="1" t="n">
        <v>45699</v>
      </c>
      <c r="C3833" s="1" t="n">
        <v>45733</v>
      </c>
      <c r="D3833" t="inlineStr">
        <is>
          <t>VÄSTERBOTTENS LÄN</t>
        </is>
      </c>
      <c r="E3833" t="inlineStr">
        <is>
          <t>SKELLEFTEÅ</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6900-2025</t>
        </is>
      </c>
      <c r="B3834" s="1" t="n">
        <v>45701</v>
      </c>
      <c r="C3834" s="1" t="n">
        <v>45733</v>
      </c>
      <c r="D3834" t="inlineStr">
        <is>
          <t>VÄSTERBOTTENS LÄN</t>
        </is>
      </c>
      <c r="E3834" t="inlineStr">
        <is>
          <t>SKELLEFTEÅ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7028-2025</t>
        </is>
      </c>
      <c r="B3835" s="1" t="n">
        <v>45701</v>
      </c>
      <c r="C3835" s="1" t="n">
        <v>45733</v>
      </c>
      <c r="D3835" t="inlineStr">
        <is>
          <t>VÄSTERBOTTENS LÄN</t>
        </is>
      </c>
      <c r="E3835" t="inlineStr">
        <is>
          <t>SKELLEFTEÅ</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7048-2025</t>
        </is>
      </c>
      <c r="B3836" s="1" t="n">
        <v>45701</v>
      </c>
      <c r="C3836" s="1" t="n">
        <v>45733</v>
      </c>
      <c r="D3836" t="inlineStr">
        <is>
          <t>VÄSTERBOTTENS LÄN</t>
        </is>
      </c>
      <c r="E3836" t="inlineStr">
        <is>
          <t>SKELLEFTEÅ</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7027-2025</t>
        </is>
      </c>
      <c r="B3837" s="1" t="n">
        <v>45701</v>
      </c>
      <c r="C3837" s="1" t="n">
        <v>45733</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6899-2025</t>
        </is>
      </c>
      <c r="B3838" s="1" t="n">
        <v>45701</v>
      </c>
      <c r="C3838" s="1" t="n">
        <v>45733</v>
      </c>
      <c r="D3838" t="inlineStr">
        <is>
          <t>VÄSTERBOTTENS LÄN</t>
        </is>
      </c>
      <c r="E3838" t="inlineStr">
        <is>
          <t>SKELLEFTEÅ</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7025-2025</t>
        </is>
      </c>
      <c r="B3839" s="1" t="n">
        <v>45701</v>
      </c>
      <c r="C3839" s="1" t="n">
        <v>45733</v>
      </c>
      <c r="D3839" t="inlineStr">
        <is>
          <t>VÄSTERBOTTENS LÄN</t>
        </is>
      </c>
      <c r="E3839" t="inlineStr">
        <is>
          <t>SKELLEFTEÅ</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45733</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7816-2025</t>
        </is>
      </c>
      <c r="B3841" s="1" t="n">
        <v>45706</v>
      </c>
      <c r="C3841" s="1" t="n">
        <v>45733</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7815-2025</t>
        </is>
      </c>
      <c r="B3842" s="1" t="n">
        <v>45706</v>
      </c>
      <c r="C3842" s="1" t="n">
        <v>45733</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7916-2025</t>
        </is>
      </c>
      <c r="B3843" s="1" t="n">
        <v>45707</v>
      </c>
      <c r="C3843" s="1" t="n">
        <v>45733</v>
      </c>
      <c r="D3843" t="inlineStr">
        <is>
          <t>VÄSTERBOTTENS LÄN</t>
        </is>
      </c>
      <c r="E3843" t="inlineStr">
        <is>
          <t>SKELLEFTEÅ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7981-2025</t>
        </is>
      </c>
      <c r="B3844" s="1" t="n">
        <v>45707</v>
      </c>
      <c r="C3844" s="1" t="n">
        <v>45733</v>
      </c>
      <c r="D3844" t="inlineStr">
        <is>
          <t>VÄSTERBOTTENS LÄN</t>
        </is>
      </c>
      <c r="E3844" t="inlineStr">
        <is>
          <t>SKELLEFTEÅ</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8010-2025</t>
        </is>
      </c>
      <c r="B3845" s="1" t="n">
        <v>45707</v>
      </c>
      <c r="C3845" s="1" t="n">
        <v>45733</v>
      </c>
      <c r="D3845" t="inlineStr">
        <is>
          <t>VÄSTERBOTTENS LÄN</t>
        </is>
      </c>
      <c r="E3845" t="inlineStr">
        <is>
          <t>SKELLEFTEÅ</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8013-2025</t>
        </is>
      </c>
      <c r="B3846" s="1" t="n">
        <v>45707</v>
      </c>
      <c r="C3846" s="1" t="n">
        <v>45733</v>
      </c>
      <c r="D3846" t="inlineStr">
        <is>
          <t>VÄSTERBOTTENS LÄN</t>
        </is>
      </c>
      <c r="E3846" t="inlineStr">
        <is>
          <t>SKELLEFTEÅ</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7991-2025</t>
        </is>
      </c>
      <c r="B3847" s="1" t="n">
        <v>45707</v>
      </c>
      <c r="C3847" s="1" t="n">
        <v>45733</v>
      </c>
      <c r="D3847" t="inlineStr">
        <is>
          <t>VÄSTERBOTTENS LÄN</t>
        </is>
      </c>
      <c r="E3847" t="inlineStr">
        <is>
          <t>SKELLEFTEÅ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8090-2025</t>
        </is>
      </c>
      <c r="B3848" s="1" t="n">
        <v>45707</v>
      </c>
      <c r="C3848" s="1" t="n">
        <v>45733</v>
      </c>
      <c r="D3848" t="inlineStr">
        <is>
          <t>VÄSTERBOTTENS LÄN</t>
        </is>
      </c>
      <c r="E3848" t="inlineStr">
        <is>
          <t>SKELLEFTEÅ</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8221-2025</t>
        </is>
      </c>
      <c r="B3849" s="1" t="n">
        <v>45708</v>
      </c>
      <c r="C3849" s="1" t="n">
        <v>45733</v>
      </c>
      <c r="D3849" t="inlineStr">
        <is>
          <t>VÄSTERBOTTENS LÄN</t>
        </is>
      </c>
      <c r="E3849" t="inlineStr">
        <is>
          <t>SKELLEFTEÅ</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8140-2025</t>
        </is>
      </c>
      <c r="B3850" s="1" t="n">
        <v>45708</v>
      </c>
      <c r="C3850" s="1" t="n">
        <v>45733</v>
      </c>
      <c r="D3850" t="inlineStr">
        <is>
          <t>VÄSTERBOTTENS LÄN</t>
        </is>
      </c>
      <c r="E3850" t="inlineStr">
        <is>
          <t>SKELLEFTEÅ</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8144-2025</t>
        </is>
      </c>
      <c r="B3851" s="1" t="n">
        <v>45708</v>
      </c>
      <c r="C3851" s="1" t="n">
        <v>45733</v>
      </c>
      <c r="D3851" t="inlineStr">
        <is>
          <t>VÄSTERBOTTENS LÄN</t>
        </is>
      </c>
      <c r="E3851" t="inlineStr">
        <is>
          <t>SKELLEFTEÅ</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8240-2025</t>
        </is>
      </c>
      <c r="B3852" s="1" t="n">
        <v>45708</v>
      </c>
      <c r="C3852" s="1" t="n">
        <v>45733</v>
      </c>
      <c r="D3852" t="inlineStr">
        <is>
          <t>VÄSTERBOTTENS LÄN</t>
        </is>
      </c>
      <c r="E3852" t="inlineStr">
        <is>
          <t>SKELLEFTEÅ</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8141-2025</t>
        </is>
      </c>
      <c r="B3853" s="1" t="n">
        <v>45708</v>
      </c>
      <c r="C3853" s="1" t="n">
        <v>45733</v>
      </c>
      <c r="D3853" t="inlineStr">
        <is>
          <t>VÄSTERBOTTENS LÄN</t>
        </is>
      </c>
      <c r="E3853" t="inlineStr">
        <is>
          <t>SKELLEFTEÅ</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8241-2025</t>
        </is>
      </c>
      <c r="B3854" s="1" t="n">
        <v>45708</v>
      </c>
      <c r="C3854" s="1" t="n">
        <v>45733</v>
      </c>
      <c r="D3854" t="inlineStr">
        <is>
          <t>VÄSTERBOTTENS LÄN</t>
        </is>
      </c>
      <c r="E3854" t="inlineStr">
        <is>
          <t>SKELLEFTEÅ</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8280-2025</t>
        </is>
      </c>
      <c r="B3855" s="1" t="n">
        <v>45708</v>
      </c>
      <c r="C3855" s="1" t="n">
        <v>45733</v>
      </c>
      <c r="D3855" t="inlineStr">
        <is>
          <t>VÄSTERBOTTENS LÄN</t>
        </is>
      </c>
      <c r="E3855" t="inlineStr">
        <is>
          <t>SKELLEFTEÅ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8289-2025</t>
        </is>
      </c>
      <c r="B3856" s="1" t="n">
        <v>45708</v>
      </c>
      <c r="C3856" s="1" t="n">
        <v>45733</v>
      </c>
      <c r="D3856" t="inlineStr">
        <is>
          <t>VÄSTERBOTTENS LÄN</t>
        </is>
      </c>
      <c r="E3856" t="inlineStr">
        <is>
          <t>SKELLEFTEÅ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8301-2025</t>
        </is>
      </c>
      <c r="B3857" s="1" t="n">
        <v>45708</v>
      </c>
      <c r="C3857" s="1" t="n">
        <v>45733</v>
      </c>
      <c r="D3857" t="inlineStr">
        <is>
          <t>VÄSTERBOTTENS LÄN</t>
        </is>
      </c>
      <c r="E3857" t="inlineStr">
        <is>
          <t>SKELLEFTEÅ</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8427-2025</t>
        </is>
      </c>
      <c r="B3858" s="1" t="n">
        <v>45709</v>
      </c>
      <c r="C3858" s="1" t="n">
        <v>45733</v>
      </c>
      <c r="D3858" t="inlineStr">
        <is>
          <t>VÄSTERBOTTENS LÄN</t>
        </is>
      </c>
      <c r="E3858" t="inlineStr">
        <is>
          <t>SKELLEFTEÅ</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8397-2025</t>
        </is>
      </c>
      <c r="B3859" s="1" t="n">
        <v>45709</v>
      </c>
      <c r="C3859" s="1" t="n">
        <v>45733</v>
      </c>
      <c r="D3859" t="inlineStr">
        <is>
          <t>VÄSTERBOTTENS LÄN</t>
        </is>
      </c>
      <c r="E3859" t="inlineStr">
        <is>
          <t>SKELLEFTEÅ</t>
        </is>
      </c>
      <c r="G3859" t="n">
        <v>16.6</v>
      </c>
      <c r="H3859" t="n">
        <v>0</v>
      </c>
      <c r="I3859" t="n">
        <v>0</v>
      </c>
      <c r="J3859" t="n">
        <v>0</v>
      </c>
      <c r="K3859" t="n">
        <v>0</v>
      </c>
      <c r="L3859" t="n">
        <v>0</v>
      </c>
      <c r="M3859" t="n">
        <v>0</v>
      </c>
      <c r="N3859" t="n">
        <v>0</v>
      </c>
      <c r="O3859" t="n">
        <v>0</v>
      </c>
      <c r="P3859" t="n">
        <v>0</v>
      </c>
      <c r="Q3859" t="n">
        <v>0</v>
      </c>
      <c r="R3859" s="2" t="inlineStr"/>
    </row>
    <row r="3860" ht="15" customHeight="1">
      <c r="A3860" t="inlineStr">
        <is>
          <t>A 8577-2025</t>
        </is>
      </c>
      <c r="B3860" s="1" t="n">
        <v>45709</v>
      </c>
      <c r="C3860" s="1" t="n">
        <v>45733</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8442-2025</t>
        </is>
      </c>
      <c r="B3861" s="1" t="n">
        <v>45709</v>
      </c>
      <c r="C3861" s="1" t="n">
        <v>45733</v>
      </c>
      <c r="D3861" t="inlineStr">
        <is>
          <t>VÄSTERBOTTENS LÄN</t>
        </is>
      </c>
      <c r="E3861" t="inlineStr">
        <is>
          <t>SKELLEFTEÅ</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8412-2025</t>
        </is>
      </c>
      <c r="B3862" s="1" t="n">
        <v>45709</v>
      </c>
      <c r="C3862" s="1" t="n">
        <v>45733</v>
      </c>
      <c r="D3862" t="inlineStr">
        <is>
          <t>VÄSTERBOTTENS LÄN</t>
        </is>
      </c>
      <c r="E3862" t="inlineStr">
        <is>
          <t>SKELLEFTEÅ</t>
        </is>
      </c>
      <c r="F3862" t="inlineStr">
        <is>
          <t>Holmen skog AB</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8644-2025</t>
        </is>
      </c>
      <c r="B3863" s="1" t="n">
        <v>45712</v>
      </c>
      <c r="C3863" s="1" t="n">
        <v>45733</v>
      </c>
      <c r="D3863" t="inlineStr">
        <is>
          <t>VÄSTERBOTTENS LÄN</t>
        </is>
      </c>
      <c r="E3863" t="inlineStr">
        <is>
          <t>SKELLEFTEÅ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8658-2025</t>
        </is>
      </c>
      <c r="B3864" s="1" t="n">
        <v>45712</v>
      </c>
      <c r="C3864" s="1" t="n">
        <v>45733</v>
      </c>
      <c r="D3864" t="inlineStr">
        <is>
          <t>VÄSTERBOTTENS LÄN</t>
        </is>
      </c>
      <c r="E3864" t="inlineStr">
        <is>
          <t>SKELLEFTEÅ</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8689-2025</t>
        </is>
      </c>
      <c r="B3865" s="1" t="n">
        <v>45712</v>
      </c>
      <c r="C3865" s="1" t="n">
        <v>45733</v>
      </c>
      <c r="D3865" t="inlineStr">
        <is>
          <t>VÄSTERBOTTENS LÄN</t>
        </is>
      </c>
      <c r="E3865" t="inlineStr">
        <is>
          <t>SKELLEFTEÅ</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8820-2025</t>
        </is>
      </c>
      <c r="B3866" s="1" t="n">
        <v>45712</v>
      </c>
      <c r="C3866" s="1" t="n">
        <v>45733</v>
      </c>
      <c r="D3866" t="inlineStr">
        <is>
          <t>VÄSTERBOTTENS LÄN</t>
        </is>
      </c>
      <c r="E3866" t="inlineStr">
        <is>
          <t>SKELLEFTEÅ</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8801-2025</t>
        </is>
      </c>
      <c r="B3867" s="1" t="n">
        <v>45712</v>
      </c>
      <c r="C3867" s="1" t="n">
        <v>45733</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8821-2025</t>
        </is>
      </c>
      <c r="B3868" s="1" t="n">
        <v>45712</v>
      </c>
      <c r="C3868" s="1" t="n">
        <v>45733</v>
      </c>
      <c r="D3868" t="inlineStr">
        <is>
          <t>VÄSTERBOTTENS LÄN</t>
        </is>
      </c>
      <c r="E3868" t="inlineStr">
        <is>
          <t>SKELLEFTEÅ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8669-2025</t>
        </is>
      </c>
      <c r="B3869" s="1" t="n">
        <v>45712</v>
      </c>
      <c r="C3869" s="1" t="n">
        <v>45733</v>
      </c>
      <c r="D3869" t="inlineStr">
        <is>
          <t>VÄSTERBOTTENS LÄN</t>
        </is>
      </c>
      <c r="E3869" t="inlineStr">
        <is>
          <t>SKELLEFTEÅ</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8840-2025</t>
        </is>
      </c>
      <c r="B3870" s="1" t="n">
        <v>45713</v>
      </c>
      <c r="C3870" s="1" t="n">
        <v>45733</v>
      </c>
      <c r="D3870" t="inlineStr">
        <is>
          <t>VÄSTERBOTTENS LÄN</t>
        </is>
      </c>
      <c r="E3870" t="inlineStr">
        <is>
          <t>SKELLEFTEÅ</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8839-2025</t>
        </is>
      </c>
      <c r="B3871" s="1" t="n">
        <v>45713</v>
      </c>
      <c r="C3871" s="1" t="n">
        <v>45733</v>
      </c>
      <c r="D3871" t="inlineStr">
        <is>
          <t>VÄSTERBOTTENS LÄN</t>
        </is>
      </c>
      <c r="E3871" t="inlineStr">
        <is>
          <t>SKELLEFTEÅ</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8887-2025</t>
        </is>
      </c>
      <c r="B3872" s="1" t="n">
        <v>45713</v>
      </c>
      <c r="C3872" s="1" t="n">
        <v>45733</v>
      </c>
      <c r="D3872" t="inlineStr">
        <is>
          <t>VÄSTERBOTTENS LÄN</t>
        </is>
      </c>
      <c r="E3872" t="inlineStr">
        <is>
          <t>SKELLEFTEÅ</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8927-2025</t>
        </is>
      </c>
      <c r="B3873" s="1" t="n">
        <v>45713</v>
      </c>
      <c r="C3873" s="1" t="n">
        <v>45733</v>
      </c>
      <c r="D3873" t="inlineStr">
        <is>
          <t>VÄSTERBOTTENS LÄN</t>
        </is>
      </c>
      <c r="E3873" t="inlineStr">
        <is>
          <t>SKELLEFTEÅ</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45733</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9448-2025</t>
        </is>
      </c>
      <c r="B3875" s="1" t="n">
        <v>45715</v>
      </c>
      <c r="C3875" s="1" t="n">
        <v>45733</v>
      </c>
      <c r="D3875" t="inlineStr">
        <is>
          <t>VÄSTERBOTTENS LÄN</t>
        </is>
      </c>
      <c r="E3875" t="inlineStr">
        <is>
          <t>SKELLEFTEÅ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9441-2025</t>
        </is>
      </c>
      <c r="B3876" s="1" t="n">
        <v>45715</v>
      </c>
      <c r="C3876" s="1" t="n">
        <v>45733</v>
      </c>
      <c r="D3876" t="inlineStr">
        <is>
          <t>VÄSTERBOTTENS LÄN</t>
        </is>
      </c>
      <c r="E3876" t="inlineStr">
        <is>
          <t>SKELLEFTEÅ</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9450-2025</t>
        </is>
      </c>
      <c r="B3877" s="1" t="n">
        <v>45715</v>
      </c>
      <c r="C3877" s="1" t="n">
        <v>45733</v>
      </c>
      <c r="D3877" t="inlineStr">
        <is>
          <t>VÄSTERBOTTENS LÄN</t>
        </is>
      </c>
      <c r="E3877" t="inlineStr">
        <is>
          <t>SKELLEFTEÅ</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9383-2025</t>
        </is>
      </c>
      <c r="B3878" s="1" t="n">
        <v>45715</v>
      </c>
      <c r="C3878" s="1" t="n">
        <v>45733</v>
      </c>
      <c r="D3878" t="inlineStr">
        <is>
          <t>VÄSTERBOTTENS LÄN</t>
        </is>
      </c>
      <c r="E3878" t="inlineStr">
        <is>
          <t>SKELLEFTEÅ</t>
        </is>
      </c>
      <c r="G3878" t="n">
        <v>17.5</v>
      </c>
      <c r="H3878" t="n">
        <v>0</v>
      </c>
      <c r="I3878" t="n">
        <v>0</v>
      </c>
      <c r="J3878" t="n">
        <v>0</v>
      </c>
      <c r="K3878" t="n">
        <v>0</v>
      </c>
      <c r="L3878" t="n">
        <v>0</v>
      </c>
      <c r="M3878" t="n">
        <v>0</v>
      </c>
      <c r="N3878" t="n">
        <v>0</v>
      </c>
      <c r="O3878" t="n">
        <v>0</v>
      </c>
      <c r="P3878" t="n">
        <v>0</v>
      </c>
      <c r="Q3878" t="n">
        <v>0</v>
      </c>
      <c r="R3878" s="2" t="inlineStr"/>
    </row>
    <row r="3879" ht="15" customHeight="1">
      <c r="A3879" t="inlineStr">
        <is>
          <t>A 9432-2025</t>
        </is>
      </c>
      <c r="B3879" s="1" t="n">
        <v>45715</v>
      </c>
      <c r="C3879" s="1" t="n">
        <v>45733</v>
      </c>
      <c r="D3879" t="inlineStr">
        <is>
          <t>VÄSTERBOTTENS LÄN</t>
        </is>
      </c>
      <c r="E3879" t="inlineStr">
        <is>
          <t>SKELLEFTEÅ</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9694-2025</t>
        </is>
      </c>
      <c r="B3880" s="1" t="n">
        <v>45716</v>
      </c>
      <c r="C3880" s="1" t="n">
        <v>45733</v>
      </c>
      <c r="D3880" t="inlineStr">
        <is>
          <t>VÄSTERBOTTENS LÄN</t>
        </is>
      </c>
      <c r="E3880" t="inlineStr">
        <is>
          <t>SKELLEFTEÅ</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9702-2025</t>
        </is>
      </c>
      <c r="B3881" s="1" t="n">
        <v>45716</v>
      </c>
      <c r="C3881" s="1" t="n">
        <v>45733</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9705-2025</t>
        </is>
      </c>
      <c r="B3882" s="1" t="n">
        <v>45716</v>
      </c>
      <c r="C3882" s="1" t="n">
        <v>45733</v>
      </c>
      <c r="D3882" t="inlineStr">
        <is>
          <t>VÄSTERBOTTENS LÄN</t>
        </is>
      </c>
      <c r="E3882" t="inlineStr">
        <is>
          <t>SKELLEFTEÅ</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9841-2025</t>
        </is>
      </c>
      <c r="B3883" s="1" t="n">
        <v>45716</v>
      </c>
      <c r="C3883" s="1" t="n">
        <v>45733</v>
      </c>
      <c r="D3883" t="inlineStr">
        <is>
          <t>VÄSTERBOTTENS LÄN</t>
        </is>
      </c>
      <c r="E3883" t="inlineStr">
        <is>
          <t>SKELLEFTEÅ</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9840-2025</t>
        </is>
      </c>
      <c r="B3884" s="1" t="n">
        <v>45716</v>
      </c>
      <c r="C3884" s="1" t="n">
        <v>45733</v>
      </c>
      <c r="D3884" t="inlineStr">
        <is>
          <t>VÄSTERBOTTENS LÄN</t>
        </is>
      </c>
      <c r="E3884" t="inlineStr">
        <is>
          <t>SKELLEFTEÅ</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9838-2025</t>
        </is>
      </c>
      <c r="B3885" s="1" t="n">
        <v>45716</v>
      </c>
      <c r="C3885" s="1" t="n">
        <v>45733</v>
      </c>
      <c r="D3885" t="inlineStr">
        <is>
          <t>VÄSTERBOTTENS LÄN</t>
        </is>
      </c>
      <c r="E3885" t="inlineStr">
        <is>
          <t>SKELLEFTEÅ</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10063-2025</t>
        </is>
      </c>
      <c r="B3886" s="1" t="n">
        <v>45719</v>
      </c>
      <c r="C3886" s="1" t="n">
        <v>45733</v>
      </c>
      <c r="D3886" t="inlineStr">
        <is>
          <t>VÄSTERBOTTENS LÄN</t>
        </is>
      </c>
      <c r="E3886" t="inlineStr">
        <is>
          <t>SKELLEFTEÅ</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10082-2025</t>
        </is>
      </c>
      <c r="B3887" s="1" t="n">
        <v>45719</v>
      </c>
      <c r="C3887" s="1" t="n">
        <v>45733</v>
      </c>
      <c r="D3887" t="inlineStr">
        <is>
          <t>VÄSTERBOTTENS LÄN</t>
        </is>
      </c>
      <c r="E3887" t="inlineStr">
        <is>
          <t>SKELLEFTEÅ</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10079-2025</t>
        </is>
      </c>
      <c r="B3888" s="1" t="n">
        <v>45719</v>
      </c>
      <c r="C3888" s="1" t="n">
        <v>45733</v>
      </c>
      <c r="D3888" t="inlineStr">
        <is>
          <t>VÄSTERBOTTENS LÄN</t>
        </is>
      </c>
      <c r="E3888" t="inlineStr">
        <is>
          <t>SKELLEFTEÅ</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10074-2025</t>
        </is>
      </c>
      <c r="B3889" s="1" t="n">
        <v>45719</v>
      </c>
      <c r="C3889" s="1" t="n">
        <v>45733</v>
      </c>
      <c r="D3889" t="inlineStr">
        <is>
          <t>VÄSTERBOTTENS LÄN</t>
        </is>
      </c>
      <c r="E3889" t="inlineStr">
        <is>
          <t>SKELLEFTEÅ</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10278-2025</t>
        </is>
      </c>
      <c r="B3890" s="1" t="n">
        <v>45720</v>
      </c>
      <c r="C3890" s="1" t="n">
        <v>45733</v>
      </c>
      <c r="D3890" t="inlineStr">
        <is>
          <t>VÄSTERBOTTENS LÄN</t>
        </is>
      </c>
      <c r="E3890" t="inlineStr">
        <is>
          <t>SKELLEFTEÅ</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10287-2025</t>
        </is>
      </c>
      <c r="B3891" s="1" t="n">
        <v>45720</v>
      </c>
      <c r="C3891" s="1" t="n">
        <v>45733</v>
      </c>
      <c r="D3891" t="inlineStr">
        <is>
          <t>VÄSTERBOTTENS LÄN</t>
        </is>
      </c>
      <c r="E3891" t="inlineStr">
        <is>
          <t>SKELLEFTEÅ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10601-2025</t>
        </is>
      </c>
      <c r="B3892" s="1" t="n">
        <v>45721</v>
      </c>
      <c r="C3892" s="1" t="n">
        <v>45733</v>
      </c>
      <c r="D3892" t="inlineStr">
        <is>
          <t>VÄSTERBOTTENS LÄN</t>
        </is>
      </c>
      <c r="E3892" t="inlineStr">
        <is>
          <t>SKELLEFTEÅ</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10903-2025</t>
        </is>
      </c>
      <c r="B3893" s="1" t="n">
        <v>45722</v>
      </c>
      <c r="C3893" s="1" t="n">
        <v>45733</v>
      </c>
      <c r="D3893" t="inlineStr">
        <is>
          <t>VÄSTERBOTTENS LÄN</t>
        </is>
      </c>
      <c r="E3893" t="inlineStr">
        <is>
          <t>SKELLEFTEÅ</t>
        </is>
      </c>
      <c r="G3893" t="n">
        <v>12.3</v>
      </c>
      <c r="H3893" t="n">
        <v>0</v>
      </c>
      <c r="I3893" t="n">
        <v>0</v>
      </c>
      <c r="J3893" t="n">
        <v>0</v>
      </c>
      <c r="K3893" t="n">
        <v>0</v>
      </c>
      <c r="L3893" t="n">
        <v>0</v>
      </c>
      <c r="M3893" t="n">
        <v>0</v>
      </c>
      <c r="N3893" t="n">
        <v>0</v>
      </c>
      <c r="O3893" t="n">
        <v>0</v>
      </c>
      <c r="P3893" t="n">
        <v>0</v>
      </c>
      <c r="Q3893" t="n">
        <v>0</v>
      </c>
      <c r="R3893" s="2" t="inlineStr"/>
    </row>
    <row r="3894" ht="15" customHeight="1">
      <c r="A3894" t="inlineStr">
        <is>
          <t>A 10841-2025</t>
        </is>
      </c>
      <c r="B3894" s="1" t="n">
        <v>45722</v>
      </c>
      <c r="C3894" s="1" t="n">
        <v>45733</v>
      </c>
      <c r="D3894" t="inlineStr">
        <is>
          <t>VÄSTERBOTTENS LÄN</t>
        </is>
      </c>
      <c r="E3894" t="inlineStr">
        <is>
          <t>SKELLEFTEÅ</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10986-2025</t>
        </is>
      </c>
      <c r="B3895" s="1" t="n">
        <v>45723</v>
      </c>
      <c r="C3895" s="1" t="n">
        <v>45733</v>
      </c>
      <c r="D3895" t="inlineStr">
        <is>
          <t>VÄSTERBOTTENS LÄN</t>
        </is>
      </c>
      <c r="E3895" t="inlineStr">
        <is>
          <t>SKELLEFTEÅ</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11254-2025</t>
        </is>
      </c>
      <c r="B3896" s="1" t="n">
        <v>45726</v>
      </c>
      <c r="C3896" s="1" t="n">
        <v>45733</v>
      </c>
      <c r="D3896" t="inlineStr">
        <is>
          <t>VÄSTERBOTTENS LÄN</t>
        </is>
      </c>
      <c r="E3896" t="inlineStr">
        <is>
          <t>SKELLEFTEÅ</t>
        </is>
      </c>
      <c r="G3896" t="n">
        <v>12.6</v>
      </c>
      <c r="H3896" t="n">
        <v>0</v>
      </c>
      <c r="I3896" t="n">
        <v>0</v>
      </c>
      <c r="J3896" t="n">
        <v>0</v>
      </c>
      <c r="K3896" t="n">
        <v>0</v>
      </c>
      <c r="L3896" t="n">
        <v>0</v>
      </c>
      <c r="M3896" t="n">
        <v>0</v>
      </c>
      <c r="N3896" t="n">
        <v>0</v>
      </c>
      <c r="O3896" t="n">
        <v>0</v>
      </c>
      <c r="P3896" t="n">
        <v>0</v>
      </c>
      <c r="Q3896" t="n">
        <v>0</v>
      </c>
      <c r="R3896" s="2" t="inlineStr"/>
    </row>
    <row r="3897" ht="15" customHeight="1">
      <c r="A3897" t="inlineStr">
        <is>
          <t>A 11391-2025</t>
        </is>
      </c>
      <c r="B3897" s="1" t="n">
        <v>45726</v>
      </c>
      <c r="C3897" s="1" t="n">
        <v>45733</v>
      </c>
      <c r="D3897" t="inlineStr">
        <is>
          <t>VÄSTERBOTTENS LÄN</t>
        </is>
      </c>
      <c r="E3897" t="inlineStr">
        <is>
          <t>SKELLEFTEÅ</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11278-2025</t>
        </is>
      </c>
      <c r="B3898" s="1" t="n">
        <v>45726</v>
      </c>
      <c r="C3898" s="1" t="n">
        <v>45733</v>
      </c>
      <c r="D3898" t="inlineStr">
        <is>
          <t>VÄSTERBOTTENS LÄN</t>
        </is>
      </c>
      <c r="E3898" t="inlineStr">
        <is>
          <t>SKELLEFTEÅ</t>
        </is>
      </c>
      <c r="G3898" t="n">
        <v>6.4</v>
      </c>
      <c r="H3898" t="n">
        <v>0</v>
      </c>
      <c r="I3898" t="n">
        <v>0</v>
      </c>
      <c r="J3898" t="n">
        <v>0</v>
      </c>
      <c r="K3898" t="n">
        <v>0</v>
      </c>
      <c r="L3898" t="n">
        <v>0</v>
      </c>
      <c r="M3898" t="n">
        <v>0</v>
      </c>
      <c r="N3898" t="n">
        <v>0</v>
      </c>
      <c r="O3898" t="n">
        <v>0</v>
      </c>
      <c r="P3898" t="n">
        <v>0</v>
      </c>
      <c r="Q3898" t="n">
        <v>0</v>
      </c>
      <c r="R3898" s="2" t="inlineStr"/>
    </row>
    <row r="3899" ht="15" customHeight="1">
      <c r="A3899" t="inlineStr">
        <is>
          <t>A 11314-2025</t>
        </is>
      </c>
      <c r="B3899" s="1" t="n">
        <v>45726</v>
      </c>
      <c r="C3899" s="1" t="n">
        <v>45733</v>
      </c>
      <c r="D3899" t="inlineStr">
        <is>
          <t>VÄSTERBOTTENS LÄN</t>
        </is>
      </c>
      <c r="E3899" t="inlineStr">
        <is>
          <t>SKELLEFTEÅ</t>
        </is>
      </c>
      <c r="G3899" t="n">
        <v>8.800000000000001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11318-2025</t>
        </is>
      </c>
      <c r="B3900" s="1" t="n">
        <v>45726</v>
      </c>
      <c r="C3900" s="1" t="n">
        <v>45733</v>
      </c>
      <c r="D3900" t="inlineStr">
        <is>
          <t>VÄSTERBOTTENS LÄN</t>
        </is>
      </c>
      <c r="E3900" t="inlineStr">
        <is>
          <t>SKELLEFTEÅ</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11644-2025</t>
        </is>
      </c>
      <c r="B3901" s="1" t="n">
        <v>45727</v>
      </c>
      <c r="C3901" s="1" t="n">
        <v>45733</v>
      </c>
      <c r="D3901" t="inlineStr">
        <is>
          <t>VÄSTERBOTTENS LÄN</t>
        </is>
      </c>
      <c r="E3901" t="inlineStr">
        <is>
          <t>SKELLEFTEÅ</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11843-2025</t>
        </is>
      </c>
      <c r="B3902" s="1" t="n">
        <v>45728</v>
      </c>
      <c r="C3902" s="1" t="n">
        <v>45733</v>
      </c>
      <c r="D3902" t="inlineStr">
        <is>
          <t>VÄSTERBOTTENS LÄN</t>
        </is>
      </c>
      <c r="E3902" t="inlineStr">
        <is>
          <t>SKELLEFTEÅ</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11884-2025</t>
        </is>
      </c>
      <c r="B3903" s="1" t="n">
        <v>45728</v>
      </c>
      <c r="C3903" s="1" t="n">
        <v>45733</v>
      </c>
      <c r="D3903" t="inlineStr">
        <is>
          <t>VÄSTERBOTTENS LÄN</t>
        </is>
      </c>
      <c r="E3903" t="inlineStr">
        <is>
          <t>SKELLEFTEÅ</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11907-2025</t>
        </is>
      </c>
      <c r="B3904" s="1" t="n">
        <v>45728</v>
      </c>
      <c r="C3904" s="1" t="n">
        <v>45733</v>
      </c>
      <c r="D3904" t="inlineStr">
        <is>
          <t>VÄSTERBOTTENS LÄN</t>
        </is>
      </c>
      <c r="E3904" t="inlineStr">
        <is>
          <t>SKELLEFTEÅ</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11994-2025</t>
        </is>
      </c>
      <c r="B3905" s="1" t="n">
        <v>45728</v>
      </c>
      <c r="C3905" s="1" t="n">
        <v>45733</v>
      </c>
      <c r="D3905" t="inlineStr">
        <is>
          <t>VÄSTERBOTTENS LÄN</t>
        </is>
      </c>
      <c r="E3905" t="inlineStr">
        <is>
          <t>SKELLEFTEÅ</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11851-2025</t>
        </is>
      </c>
      <c r="B3906" s="1" t="n">
        <v>45728</v>
      </c>
      <c r="C3906" s="1" t="n">
        <v>45733</v>
      </c>
      <c r="D3906" t="inlineStr">
        <is>
          <t>VÄSTERBOTTENS LÄN</t>
        </is>
      </c>
      <c r="E3906" t="inlineStr">
        <is>
          <t>SKELLEFTEÅ</t>
        </is>
      </c>
      <c r="G3906" t="n">
        <v>9.199999999999999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12050-2025</t>
        </is>
      </c>
      <c r="B3907" s="1" t="n">
        <v>45728</v>
      </c>
      <c r="C3907" s="1" t="n">
        <v>45733</v>
      </c>
      <c r="D3907" t="inlineStr">
        <is>
          <t>VÄSTERBOTTENS LÄN</t>
        </is>
      </c>
      <c r="E3907" t="inlineStr">
        <is>
          <t>SKELLEFTEÅ</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11971-2025</t>
        </is>
      </c>
      <c r="B3908" s="1" t="n">
        <v>45728</v>
      </c>
      <c r="C3908" s="1" t="n">
        <v>45733</v>
      </c>
      <c r="D3908" t="inlineStr">
        <is>
          <t>VÄSTERBOTTENS LÄN</t>
        </is>
      </c>
      <c r="E3908" t="inlineStr">
        <is>
          <t>SKELLEFTEÅ</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11956-2025</t>
        </is>
      </c>
      <c r="B3909" s="1" t="n">
        <v>45728</v>
      </c>
      <c r="C3909" s="1" t="n">
        <v>45733</v>
      </c>
      <c r="D3909" t="inlineStr">
        <is>
          <t>VÄSTERBOTTENS LÄN</t>
        </is>
      </c>
      <c r="E3909" t="inlineStr">
        <is>
          <t>SKELLEFTEÅ</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12090-2025</t>
        </is>
      </c>
      <c r="B3910" s="1" t="n">
        <v>45729</v>
      </c>
      <c r="C3910" s="1" t="n">
        <v>45733</v>
      </c>
      <c r="D3910" t="inlineStr">
        <is>
          <t>VÄSTERBOTTENS LÄN</t>
        </is>
      </c>
      <c r="E3910" t="inlineStr">
        <is>
          <t>SKELLEFTEÅ</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12300-2025</t>
        </is>
      </c>
      <c r="B3911" s="1" t="n">
        <v>45729</v>
      </c>
      <c r="C3911" s="1" t="n">
        <v>45733</v>
      </c>
      <c r="D3911" t="inlineStr">
        <is>
          <t>VÄSTERBOTTENS LÄN</t>
        </is>
      </c>
      <c r="E3911" t="inlineStr">
        <is>
          <t>SKELLEFTEÅ</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12256-2025</t>
        </is>
      </c>
      <c r="B3912" s="1" t="n">
        <v>45729</v>
      </c>
      <c r="C3912" s="1" t="n">
        <v>45733</v>
      </c>
      <c r="D3912" t="inlineStr">
        <is>
          <t>VÄSTERBOTTENS LÄN</t>
        </is>
      </c>
      <c r="E3912" t="inlineStr">
        <is>
          <t>SKELLEFTEÅ</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12320-2025</t>
        </is>
      </c>
      <c r="B3913" s="1" t="n">
        <v>45730</v>
      </c>
      <c r="C3913" s="1" t="n">
        <v>45733</v>
      </c>
      <c r="D3913" t="inlineStr">
        <is>
          <t>VÄSTERBOTTENS LÄN</t>
        </is>
      </c>
      <c r="E3913" t="inlineStr">
        <is>
          <t>SKELLEFTEÅ</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12545-2025</t>
        </is>
      </c>
      <c r="B3914" s="1" t="n">
        <v>45730</v>
      </c>
      <c r="C3914" s="1" t="n">
        <v>45733</v>
      </c>
      <c r="D3914" t="inlineStr">
        <is>
          <t>VÄSTERBOTTENS LÄN</t>
        </is>
      </c>
      <c r="E3914" t="inlineStr">
        <is>
          <t>SKELLEFTEÅ</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12547-2025</t>
        </is>
      </c>
      <c r="B3915" s="1" t="n">
        <v>45730</v>
      </c>
      <c r="C3915" s="1" t="n">
        <v>45733</v>
      </c>
      <c r="D3915" t="inlineStr">
        <is>
          <t>VÄSTERBOTTENS LÄN</t>
        </is>
      </c>
      <c r="E3915" t="inlineStr">
        <is>
          <t>SKELLEFTEÅ</t>
        </is>
      </c>
      <c r="G3915" t="n">
        <v>3</v>
      </c>
      <c r="H3915" t="n">
        <v>0</v>
      </c>
      <c r="I3915" t="n">
        <v>0</v>
      </c>
      <c r="J3915" t="n">
        <v>0</v>
      </c>
      <c r="K3915" t="n">
        <v>0</v>
      </c>
      <c r="L3915" t="n">
        <v>0</v>
      </c>
      <c r="M3915" t="n">
        <v>0</v>
      </c>
      <c r="N3915" t="n">
        <v>0</v>
      </c>
      <c r="O3915" t="n">
        <v>0</v>
      </c>
      <c r="P3915" t="n">
        <v>0</v>
      </c>
      <c r="Q3915" t="n">
        <v>0</v>
      </c>
      <c r="R3915" s="2" t="inlineStr"/>
    </row>
    <row r="3916">
      <c r="A3916" t="inlineStr">
        <is>
          <t>A 12353-2025</t>
        </is>
      </c>
      <c r="B3916" s="1" t="n">
        <v>45730</v>
      </c>
      <c r="C3916" s="1" t="n">
        <v>45733</v>
      </c>
      <c r="D3916" t="inlineStr">
        <is>
          <t>VÄSTERBOTTENS LÄN</t>
        </is>
      </c>
      <c r="E3916" t="inlineStr">
        <is>
          <t>SKELLEFTEÅ</t>
        </is>
      </c>
      <c r="G3916" t="n">
        <v>6.5</v>
      </c>
      <c r="H3916" t="n">
        <v>0</v>
      </c>
      <c r="I3916" t="n">
        <v>0</v>
      </c>
      <c r="J3916" t="n">
        <v>0</v>
      </c>
      <c r="K3916" t="n">
        <v>0</v>
      </c>
      <c r="L3916" t="n">
        <v>0</v>
      </c>
      <c r="M3916" t="n">
        <v>0</v>
      </c>
      <c r="N3916" t="n">
        <v>0</v>
      </c>
      <c r="O3916" t="n">
        <v>0</v>
      </c>
      <c r="P3916" t="n">
        <v>0</v>
      </c>
      <c r="Q3916" t="n">
        <v>0</v>
      </c>
      <c r="R3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2025-03-17T17:08:02Z</dcterms:created>
  <dcterms:modified xmlns:dcterms="http://purl.org/dc/terms/" xmlns:xsi="http://www.w3.org/2001/XMLSchema-instance" xsi:type="dcterms:W3CDTF">2025-03-17T17:08:05Z</dcterms:modified>
</cp:coreProperties>
</file>