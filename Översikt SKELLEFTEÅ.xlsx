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45927</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45927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45927</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45927</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45927</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45927</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45927</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45927</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45927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45927</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45927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45927</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45927</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45927</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45927</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45927</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45927</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45927</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32934-2025</t>
        </is>
      </c>
      <c r="B23" s="1" t="n">
        <v>45839.67444444444</v>
      </c>
      <c r="C23" s="1" t="n">
        <v>45927</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45927</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28986-2025</t>
        </is>
      </c>
      <c r="B25" s="1" t="n">
        <v>45821.36898148148</v>
      </c>
      <c r="C25" s="1" t="n">
        <v>45927</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9093-2025</t>
        </is>
      </c>
      <c r="B26" s="1" t="n">
        <v>45713</v>
      </c>
      <c r="C26" s="1" t="n">
        <v>45927</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16152-2021</t>
        </is>
      </c>
      <c r="B27" s="1" t="n">
        <v>44287</v>
      </c>
      <c r="C27" s="1" t="n">
        <v>45927</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45927</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45927</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45927</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39213-2021</t>
        </is>
      </c>
      <c r="B31" s="1" t="n">
        <v>44413</v>
      </c>
      <c r="C31" s="1" t="n">
        <v>45927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45927</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48272-2024</t>
        </is>
      </c>
      <c r="B33" s="1" t="n">
        <v>45590</v>
      </c>
      <c r="C33" s="1" t="n">
        <v>45927</v>
      </c>
      <c r="D33" t="inlineStr">
        <is>
          <t>VÄSTERBOTTENS LÄN</t>
        </is>
      </c>
      <c r="E33" t="inlineStr">
        <is>
          <t>SKELLEFTEÅ</t>
        </is>
      </c>
      <c r="G33" t="n">
        <v>12.5</v>
      </c>
      <c r="H33" t="n">
        <v>1</v>
      </c>
      <c r="I33" t="n">
        <v>0</v>
      </c>
      <c r="J33" t="n">
        <v>7</v>
      </c>
      <c r="K33" t="n">
        <v>1</v>
      </c>
      <c r="L33" t="n">
        <v>0</v>
      </c>
      <c r="M33" t="n">
        <v>0</v>
      </c>
      <c r="N33" t="n">
        <v>0</v>
      </c>
      <c r="O33" t="n">
        <v>8</v>
      </c>
      <c r="P33" t="n">
        <v>1</v>
      </c>
      <c r="Q33" t="n">
        <v>8</v>
      </c>
      <c r="R33" s="2" t="inlineStr">
        <is>
          <t>Vågticka
Granticka
Harticka
Rosenticka
Stjärntagging
Tretåig hackspett
Ullticka
Violettgrå tagellav</t>
        </is>
      </c>
      <c r="S33">
        <f>HYPERLINK("https://klasma.github.io/Logging_2482/artfynd/A 48272-2024 artfynd.xlsx", "A 48272-2024")</f>
        <v/>
      </c>
      <c r="T33">
        <f>HYPERLINK("https://klasma.github.io/Logging_2482/kartor/A 48272-2024 karta.png", "A 48272-2024")</f>
        <v/>
      </c>
      <c r="V33">
        <f>HYPERLINK("https://klasma.github.io/Logging_2482/klagomål/A 48272-2024 FSC-klagomål.docx", "A 48272-2024")</f>
        <v/>
      </c>
      <c r="W33">
        <f>HYPERLINK("https://klasma.github.io/Logging_2482/klagomålsmail/A 48272-2024 FSC-klagomål mail.docx", "A 48272-2024")</f>
        <v/>
      </c>
      <c r="X33">
        <f>HYPERLINK("https://klasma.github.io/Logging_2482/tillsyn/A 48272-2024 tillsynsbegäran.docx", "A 48272-2024")</f>
        <v/>
      </c>
      <c r="Y33">
        <f>HYPERLINK("https://klasma.github.io/Logging_2482/tillsynsmail/A 48272-2024 tillsynsbegäran mail.docx", "A 48272-2024")</f>
        <v/>
      </c>
      <c r="Z33">
        <f>HYPERLINK("https://klasma.github.io/Logging_2482/fåglar/A 48272-2024 prioriterade fågelarter.docx", "A 48272-2024")</f>
        <v/>
      </c>
    </row>
    <row r="34" ht="15" customHeight="1">
      <c r="A34" t="inlineStr">
        <is>
          <t>A 12017-2023</t>
        </is>
      </c>
      <c r="B34" s="1" t="n">
        <v>44995.64068287037</v>
      </c>
      <c r="C34" s="1" t="n">
        <v>45927</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913-2023</t>
        </is>
      </c>
      <c r="B35" s="1" t="n">
        <v>44931</v>
      </c>
      <c r="C35" s="1" t="n">
        <v>45927</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13467-2024</t>
        </is>
      </c>
      <c r="B36" s="1" t="n">
        <v>45387.57256944444</v>
      </c>
      <c r="C36" s="1" t="n">
        <v>45927</v>
      </c>
      <c r="D36" t="inlineStr">
        <is>
          <t>VÄSTERBOTTENS LÄN</t>
        </is>
      </c>
      <c r="E36" t="inlineStr">
        <is>
          <t>SKELLEFTEÅ</t>
        </is>
      </c>
      <c r="F36" t="inlineStr">
        <is>
          <t>Sveaskog</t>
        </is>
      </c>
      <c r="G36" t="n">
        <v>3.1</v>
      </c>
      <c r="H36" t="n">
        <v>3</v>
      </c>
      <c r="I36" t="n">
        <v>0</v>
      </c>
      <c r="J36" t="n">
        <v>5</v>
      </c>
      <c r="K36" t="n">
        <v>1</v>
      </c>
      <c r="L36" t="n">
        <v>0</v>
      </c>
      <c r="M36" t="n">
        <v>0</v>
      </c>
      <c r="N36" t="n">
        <v>0</v>
      </c>
      <c r="O36" t="n">
        <v>6</v>
      </c>
      <c r="P36" t="n">
        <v>1</v>
      </c>
      <c r="Q36" t="n">
        <v>7</v>
      </c>
      <c r="R36" s="2" t="inlineStr">
        <is>
          <t>Knärot
Garnlav
Granticka
Orange taggsvamp
Talltita
Äggvaxskivling
Lavskrika</t>
        </is>
      </c>
      <c r="S36">
        <f>HYPERLINK("https://klasma.github.io/Logging_2482/artfynd/A 13467-2024 artfynd.xlsx", "A 13467-2024")</f>
        <v/>
      </c>
      <c r="T36">
        <f>HYPERLINK("https://klasma.github.io/Logging_2482/kartor/A 13467-2024 karta.png", "A 13467-2024")</f>
        <v/>
      </c>
      <c r="U36">
        <f>HYPERLINK("https://klasma.github.io/Logging_2482/knärot/A 13467-2024 karta knärot.png", "A 13467-2024")</f>
        <v/>
      </c>
      <c r="V36">
        <f>HYPERLINK("https://klasma.github.io/Logging_2482/klagomål/A 13467-2024 FSC-klagomål.docx", "A 13467-2024")</f>
        <v/>
      </c>
      <c r="W36">
        <f>HYPERLINK("https://klasma.github.io/Logging_2482/klagomålsmail/A 13467-2024 FSC-klagomål mail.docx", "A 13467-2024")</f>
        <v/>
      </c>
      <c r="X36">
        <f>HYPERLINK("https://klasma.github.io/Logging_2482/tillsyn/A 13467-2024 tillsynsbegäran.docx", "A 13467-2024")</f>
        <v/>
      </c>
      <c r="Y36">
        <f>HYPERLINK("https://klasma.github.io/Logging_2482/tillsynsmail/A 13467-2024 tillsynsbegäran mail.docx", "A 13467-2024")</f>
        <v/>
      </c>
      <c r="Z36">
        <f>HYPERLINK("https://klasma.github.io/Logging_2482/fåglar/A 13467-2024 prioriterade fågelarter.docx", "A 13467-2024")</f>
        <v/>
      </c>
    </row>
    <row r="37" ht="15" customHeight="1">
      <c r="A37" t="inlineStr">
        <is>
          <t>A 14493-2022</t>
        </is>
      </c>
      <c r="B37" s="1" t="n">
        <v>44655</v>
      </c>
      <c r="C37" s="1" t="n">
        <v>45927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54391-2023</t>
        </is>
      </c>
      <c r="B38" s="1" t="n">
        <v>45226</v>
      </c>
      <c r="C38" s="1" t="n">
        <v>45927</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8397-2025</t>
        </is>
      </c>
      <c r="B39" s="1" t="n">
        <v>45709.37489583333</v>
      </c>
      <c r="C39" s="1" t="n">
        <v>45927</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18298-2021</t>
        </is>
      </c>
      <c r="B40" s="1" t="n">
        <v>44305</v>
      </c>
      <c r="C40" s="1" t="n">
        <v>45927</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45927</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45927</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45927</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45927</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45927</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45927</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9499-2022</t>
        </is>
      </c>
      <c r="B47" s="1" t="n">
        <v>44616</v>
      </c>
      <c r="C47" s="1" t="n">
        <v>45927</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45927</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45927</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26589-2025</t>
        </is>
      </c>
      <c r="B50" s="1" t="n">
        <v>45807.83921296296</v>
      </c>
      <c r="C50" s="1" t="n">
        <v>45927</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45927</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45927</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45927</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45927</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51811-2022</t>
        </is>
      </c>
      <c r="B55" s="1" t="n">
        <v>44867</v>
      </c>
      <c r="C55" s="1" t="n">
        <v>45927</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45927</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45927</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45927</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45927</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45927</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46092-2023</t>
        </is>
      </c>
      <c r="B61" s="1" t="n">
        <v>45190</v>
      </c>
      <c r="C61" s="1" t="n">
        <v>45927</v>
      </c>
      <c r="D61" t="inlineStr">
        <is>
          <t>VÄSTERBOTTENS LÄN</t>
        </is>
      </c>
      <c r="E61" t="inlineStr">
        <is>
          <t>SKELLEFTEÅ</t>
        </is>
      </c>
      <c r="G61" t="n">
        <v>8.699999999999999</v>
      </c>
      <c r="H61" t="n">
        <v>0</v>
      </c>
      <c r="I61" t="n">
        <v>3</v>
      </c>
      <c r="J61" t="n">
        <v>1</v>
      </c>
      <c r="K61" t="n">
        <v>0</v>
      </c>
      <c r="L61" t="n">
        <v>0</v>
      </c>
      <c r="M61" t="n">
        <v>0</v>
      </c>
      <c r="N61" t="n">
        <v>0</v>
      </c>
      <c r="O61" t="n">
        <v>1</v>
      </c>
      <c r="P61" t="n">
        <v>0</v>
      </c>
      <c r="Q61" t="n">
        <v>4</v>
      </c>
      <c r="R61" s="2" t="inlineStr">
        <is>
          <t>Violettgrå tagellav
Luddlav
Skinnlav
Stuplav</t>
        </is>
      </c>
      <c r="S61">
        <f>HYPERLINK("https://klasma.github.io/Logging_2482/artfynd/A 46092-2023 artfynd.xlsx", "A 46092-2023")</f>
        <v/>
      </c>
      <c r="T61">
        <f>HYPERLINK("https://klasma.github.io/Logging_2482/kartor/A 46092-2023 karta.png", "A 46092-2023")</f>
        <v/>
      </c>
      <c r="V61">
        <f>HYPERLINK("https://klasma.github.io/Logging_2482/klagomål/A 46092-2023 FSC-klagomål.docx", "A 46092-2023")</f>
        <v/>
      </c>
      <c r="W61">
        <f>HYPERLINK("https://klasma.github.io/Logging_2482/klagomålsmail/A 46092-2023 FSC-klagomål mail.docx", "A 46092-2023")</f>
        <v/>
      </c>
      <c r="X61">
        <f>HYPERLINK("https://klasma.github.io/Logging_2482/tillsyn/A 46092-2023 tillsynsbegäran.docx", "A 46092-2023")</f>
        <v/>
      </c>
      <c r="Y61">
        <f>HYPERLINK("https://klasma.github.io/Logging_2482/tillsynsmail/A 46092-2023 tillsynsbegäran mail.docx", "A 46092-2023")</f>
        <v/>
      </c>
    </row>
    <row r="62" ht="15" customHeight="1">
      <c r="A62" t="inlineStr">
        <is>
          <t>A 57738-2021</t>
        </is>
      </c>
      <c r="B62" s="1" t="n">
        <v>44484</v>
      </c>
      <c r="C62" s="1" t="n">
        <v>45927</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62340-2021</t>
        </is>
      </c>
      <c r="B63" s="1" t="n">
        <v>44503</v>
      </c>
      <c r="C63" s="1" t="n">
        <v>45927</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55235-2024</t>
        </is>
      </c>
      <c r="B64" s="1" t="n">
        <v>45620</v>
      </c>
      <c r="C64" s="1" t="n">
        <v>45927</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55242-2024</t>
        </is>
      </c>
      <c r="B65" s="1" t="n">
        <v>45620</v>
      </c>
      <c r="C65" s="1" t="n">
        <v>45927</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62393-2023</t>
        </is>
      </c>
      <c r="B66" s="1" t="n">
        <v>45268</v>
      </c>
      <c r="C66" s="1" t="n">
        <v>45927</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57409-2021</t>
        </is>
      </c>
      <c r="B67" s="1" t="n">
        <v>44483</v>
      </c>
      <c r="C67" s="1" t="n">
        <v>45927</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56462-2024</t>
        </is>
      </c>
      <c r="B68" s="1" t="n">
        <v>45625</v>
      </c>
      <c r="C68" s="1" t="n">
        <v>45927</v>
      </c>
      <c r="D68" t="inlineStr">
        <is>
          <t>VÄSTERBOTTENS LÄN</t>
        </is>
      </c>
      <c r="E68" t="inlineStr">
        <is>
          <t>SKELLEFTEÅ</t>
        </is>
      </c>
      <c r="F68" t="inlineStr">
        <is>
          <t>Holmen skog AB</t>
        </is>
      </c>
      <c r="G68" t="n">
        <v>44.8</v>
      </c>
      <c r="H68" t="n">
        <v>0</v>
      </c>
      <c r="I68" t="n">
        <v>0</v>
      </c>
      <c r="J68" t="n">
        <v>3</v>
      </c>
      <c r="K68" t="n">
        <v>0</v>
      </c>
      <c r="L68" t="n">
        <v>1</v>
      </c>
      <c r="M68" t="n">
        <v>0</v>
      </c>
      <c r="N68" t="n">
        <v>0</v>
      </c>
      <c r="O68" t="n">
        <v>4</v>
      </c>
      <c r="P68" t="n">
        <v>1</v>
      </c>
      <c r="Q68" t="n">
        <v>4</v>
      </c>
      <c r="R68" s="2" t="inlineStr">
        <is>
          <t>Större svartbagge
Korthornad ögonbagge
Rödhalsad vedsvampbagge
Svart ögonknäppare</t>
        </is>
      </c>
      <c r="S68">
        <f>HYPERLINK("https://klasma.github.io/Logging_2482/artfynd/A 56462-2024 artfynd.xlsx", "A 56462-2024")</f>
        <v/>
      </c>
      <c r="T68">
        <f>HYPERLINK("https://klasma.github.io/Logging_2482/kartor/A 56462-2024 karta.png", "A 56462-2024")</f>
        <v/>
      </c>
      <c r="V68">
        <f>HYPERLINK("https://klasma.github.io/Logging_2482/klagomål/A 56462-2024 FSC-klagomål.docx", "A 56462-2024")</f>
        <v/>
      </c>
      <c r="W68">
        <f>HYPERLINK("https://klasma.github.io/Logging_2482/klagomålsmail/A 56462-2024 FSC-klagomål mail.docx", "A 56462-2024")</f>
        <v/>
      </c>
      <c r="X68">
        <f>HYPERLINK("https://klasma.github.io/Logging_2482/tillsyn/A 56462-2024 tillsynsbegäran.docx", "A 56462-2024")</f>
        <v/>
      </c>
      <c r="Y68">
        <f>HYPERLINK("https://klasma.github.io/Logging_2482/tillsynsmail/A 56462-2024 tillsynsbegäran mail.docx", "A 56462-2024")</f>
        <v/>
      </c>
    </row>
    <row r="69" ht="15" customHeight="1">
      <c r="A69" t="inlineStr">
        <is>
          <t>A 53423-2024</t>
        </is>
      </c>
      <c r="B69" s="1" t="n">
        <v>45614.51168981481</v>
      </c>
      <c r="C69" s="1" t="n">
        <v>45927</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58835-2021</t>
        </is>
      </c>
      <c r="B70" s="1" t="n">
        <v>44489</v>
      </c>
      <c r="C70" s="1" t="n">
        <v>45927</v>
      </c>
      <c r="D70" t="inlineStr">
        <is>
          <t>VÄSTERBOTTENS LÄN</t>
        </is>
      </c>
      <c r="E70" t="inlineStr">
        <is>
          <t>SKELLEFTEÅ</t>
        </is>
      </c>
      <c r="G70" t="n">
        <v>10.2</v>
      </c>
      <c r="H70" t="n">
        <v>0</v>
      </c>
      <c r="I70" t="n">
        <v>0</v>
      </c>
      <c r="J70" t="n">
        <v>4</v>
      </c>
      <c r="K70" t="n">
        <v>0</v>
      </c>
      <c r="L70" t="n">
        <v>0</v>
      </c>
      <c r="M70" t="n">
        <v>0</v>
      </c>
      <c r="N70" t="n">
        <v>0</v>
      </c>
      <c r="O70" t="n">
        <v>4</v>
      </c>
      <c r="P70" t="n">
        <v>0</v>
      </c>
      <c r="Q70" t="n">
        <v>4</v>
      </c>
      <c r="R70" s="2" t="inlineStr">
        <is>
          <t>Doftskinn
Gammelgransskål
Stjärntagging
Ullticka</t>
        </is>
      </c>
      <c r="S70">
        <f>HYPERLINK("https://klasma.github.io/Logging_2482/artfynd/A 58835-2021 artfynd.xlsx", "A 58835-2021")</f>
        <v/>
      </c>
      <c r="T70">
        <f>HYPERLINK("https://klasma.github.io/Logging_2482/kartor/A 58835-2021 karta.png", "A 58835-2021")</f>
        <v/>
      </c>
      <c r="V70">
        <f>HYPERLINK("https://klasma.github.io/Logging_2482/klagomål/A 58835-2021 FSC-klagomål.docx", "A 58835-2021")</f>
        <v/>
      </c>
      <c r="W70">
        <f>HYPERLINK("https://klasma.github.io/Logging_2482/klagomålsmail/A 58835-2021 FSC-klagomål mail.docx", "A 58835-2021")</f>
        <v/>
      </c>
      <c r="X70">
        <f>HYPERLINK("https://klasma.github.io/Logging_2482/tillsyn/A 58835-2021 tillsynsbegäran.docx", "A 58835-2021")</f>
        <v/>
      </c>
      <c r="Y70">
        <f>HYPERLINK("https://klasma.github.io/Logging_2482/tillsynsmail/A 58835-2021 tillsynsbegäran mail.docx", "A 58835-2021")</f>
        <v/>
      </c>
    </row>
    <row r="71" ht="15" customHeight="1">
      <c r="A71" t="inlineStr">
        <is>
          <t>A 38654-2025</t>
        </is>
      </c>
      <c r="B71" s="1" t="n">
        <v>45884.59638888889</v>
      </c>
      <c r="C71" s="1" t="n">
        <v>45927</v>
      </c>
      <c r="D71" t="inlineStr">
        <is>
          <t>VÄSTERBOTTENS LÄN</t>
        </is>
      </c>
      <c r="E71" t="inlineStr">
        <is>
          <t>SKELLEFTEÅ</t>
        </is>
      </c>
      <c r="F71" t="inlineStr">
        <is>
          <t>Holmen skog AB</t>
        </is>
      </c>
      <c r="G71" t="n">
        <v>5.6</v>
      </c>
      <c r="H71" t="n">
        <v>3</v>
      </c>
      <c r="I71" t="n">
        <v>0</v>
      </c>
      <c r="J71" t="n">
        <v>1</v>
      </c>
      <c r="K71" t="n">
        <v>0</v>
      </c>
      <c r="L71" t="n">
        <v>0</v>
      </c>
      <c r="M71" t="n">
        <v>0</v>
      </c>
      <c r="N71" t="n">
        <v>0</v>
      </c>
      <c r="O71" t="n">
        <v>1</v>
      </c>
      <c r="P71" t="n">
        <v>0</v>
      </c>
      <c r="Q71" t="n">
        <v>4</v>
      </c>
      <c r="R71" s="2" t="inlineStr">
        <is>
          <t>Gammelgransskål
Kopparödla
Brudsporre
Nattviol</t>
        </is>
      </c>
      <c r="S71">
        <f>HYPERLINK("https://klasma.github.io/Logging_2482/artfynd/A 38654-2025 artfynd.xlsx", "A 38654-2025")</f>
        <v/>
      </c>
      <c r="T71">
        <f>HYPERLINK("https://klasma.github.io/Logging_2482/kartor/A 38654-2025 karta.png", "A 38654-2025")</f>
        <v/>
      </c>
      <c r="V71">
        <f>HYPERLINK("https://klasma.github.io/Logging_2482/klagomål/A 38654-2025 FSC-klagomål.docx", "A 38654-2025")</f>
        <v/>
      </c>
      <c r="W71">
        <f>HYPERLINK("https://klasma.github.io/Logging_2482/klagomålsmail/A 38654-2025 FSC-klagomål mail.docx", "A 38654-2025")</f>
        <v/>
      </c>
      <c r="X71">
        <f>HYPERLINK("https://klasma.github.io/Logging_2482/tillsyn/A 38654-2025 tillsynsbegäran.docx", "A 38654-2025")</f>
        <v/>
      </c>
      <c r="Y71">
        <f>HYPERLINK("https://klasma.github.io/Logging_2482/tillsynsmail/A 38654-2025 tillsynsbegäran mail.docx", "A 38654-2025")</f>
        <v/>
      </c>
    </row>
    <row r="72" ht="15" customHeight="1">
      <c r="A72" t="inlineStr">
        <is>
          <t>A 39114-2025</t>
        </is>
      </c>
      <c r="B72" s="1" t="n">
        <v>45888.55090277778</v>
      </c>
      <c r="C72" s="1" t="n">
        <v>45927</v>
      </c>
      <c r="D72" t="inlineStr">
        <is>
          <t>VÄSTERBOTTENS LÄN</t>
        </is>
      </c>
      <c r="E72" t="inlineStr">
        <is>
          <t>SKELLEFTEÅ</t>
        </is>
      </c>
      <c r="F72" t="inlineStr">
        <is>
          <t>Holmen skog AB</t>
        </is>
      </c>
      <c r="G72" t="n">
        <v>2.9</v>
      </c>
      <c r="H72" t="n">
        <v>2</v>
      </c>
      <c r="I72" t="n">
        <v>1</v>
      </c>
      <c r="J72" t="n">
        <v>2</v>
      </c>
      <c r="K72" t="n">
        <v>0</v>
      </c>
      <c r="L72" t="n">
        <v>0</v>
      </c>
      <c r="M72" t="n">
        <v>0</v>
      </c>
      <c r="N72" t="n">
        <v>0</v>
      </c>
      <c r="O72" t="n">
        <v>2</v>
      </c>
      <c r="P72" t="n">
        <v>0</v>
      </c>
      <c r="Q72" t="n">
        <v>4</v>
      </c>
      <c r="R72" s="2" t="inlineStr">
        <is>
          <t>Garnlav
Tretåig hackspett
Vedticka
Lavskrika</t>
        </is>
      </c>
      <c r="S72">
        <f>HYPERLINK("https://klasma.github.io/Logging_2482/artfynd/A 39114-2025 artfynd.xlsx", "A 39114-2025")</f>
        <v/>
      </c>
      <c r="T72">
        <f>HYPERLINK("https://klasma.github.io/Logging_2482/kartor/A 39114-2025 karta.png", "A 39114-2025")</f>
        <v/>
      </c>
      <c r="V72">
        <f>HYPERLINK("https://klasma.github.io/Logging_2482/klagomål/A 39114-2025 FSC-klagomål.docx", "A 39114-2025")</f>
        <v/>
      </c>
      <c r="W72">
        <f>HYPERLINK("https://klasma.github.io/Logging_2482/klagomålsmail/A 39114-2025 FSC-klagomål mail.docx", "A 39114-2025")</f>
        <v/>
      </c>
      <c r="X72">
        <f>HYPERLINK("https://klasma.github.io/Logging_2482/tillsyn/A 39114-2025 tillsynsbegäran.docx", "A 39114-2025")</f>
        <v/>
      </c>
      <c r="Y72">
        <f>HYPERLINK("https://klasma.github.io/Logging_2482/tillsynsmail/A 39114-2025 tillsynsbegäran mail.docx", "A 39114-2025")</f>
        <v/>
      </c>
      <c r="Z72">
        <f>HYPERLINK("https://klasma.github.io/Logging_2482/fåglar/A 39114-2025 prioriterade fågelarter.docx", "A 39114-2025")</f>
        <v/>
      </c>
    </row>
    <row r="73" ht="15" customHeight="1">
      <c r="A73" t="inlineStr">
        <is>
          <t>A 39126-2025</t>
        </is>
      </c>
      <c r="B73" s="1" t="n">
        <v>45888.58637731482</v>
      </c>
      <c r="C73" s="1" t="n">
        <v>45927</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35164-2025</t>
        </is>
      </c>
      <c r="B74" s="1" t="n">
        <v>45852</v>
      </c>
      <c r="C74" s="1" t="n">
        <v>45927</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18577-2024</t>
        </is>
      </c>
      <c r="B75" s="1" t="n">
        <v>45425</v>
      </c>
      <c r="C75" s="1" t="n">
        <v>45927</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45927</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45927</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44152-2023</t>
        </is>
      </c>
      <c r="B78" s="1" t="n">
        <v>45188.47930555556</v>
      </c>
      <c r="C78" s="1" t="n">
        <v>45927</v>
      </c>
      <c r="D78" t="inlineStr">
        <is>
          <t>VÄSTERBOTTENS LÄN</t>
        </is>
      </c>
      <c r="E78" t="inlineStr">
        <is>
          <t>SKELLEFTEÅ</t>
        </is>
      </c>
      <c r="F78" t="inlineStr">
        <is>
          <t>Holmen skog AB</t>
        </is>
      </c>
      <c r="G78" t="n">
        <v>9.199999999999999</v>
      </c>
      <c r="H78" t="n">
        <v>1</v>
      </c>
      <c r="I78" t="n">
        <v>0</v>
      </c>
      <c r="J78" t="n">
        <v>3</v>
      </c>
      <c r="K78" t="n">
        <v>0</v>
      </c>
      <c r="L78" t="n">
        <v>0</v>
      </c>
      <c r="M78" t="n">
        <v>0</v>
      </c>
      <c r="N78" t="n">
        <v>0</v>
      </c>
      <c r="O78" t="n">
        <v>3</v>
      </c>
      <c r="P78" t="n">
        <v>0</v>
      </c>
      <c r="Q78" t="n">
        <v>3</v>
      </c>
      <c r="R78" s="2" t="inlineStr">
        <is>
          <t>Gammelgransskål
Garnlav
Videsparv</t>
        </is>
      </c>
      <c r="S78">
        <f>HYPERLINK("https://klasma.github.io/Logging_2482/artfynd/A 44152-2023 artfynd.xlsx", "A 44152-2023")</f>
        <v/>
      </c>
      <c r="T78">
        <f>HYPERLINK("https://klasma.github.io/Logging_2482/kartor/A 44152-2023 karta.png", "A 44152-2023")</f>
        <v/>
      </c>
      <c r="V78">
        <f>HYPERLINK("https://klasma.github.io/Logging_2482/klagomål/A 44152-2023 FSC-klagomål.docx", "A 44152-2023")</f>
        <v/>
      </c>
      <c r="W78">
        <f>HYPERLINK("https://klasma.github.io/Logging_2482/klagomålsmail/A 44152-2023 FSC-klagomål mail.docx", "A 44152-2023")</f>
        <v/>
      </c>
      <c r="X78">
        <f>HYPERLINK("https://klasma.github.io/Logging_2482/tillsyn/A 44152-2023 tillsynsbegäran.docx", "A 44152-2023")</f>
        <v/>
      </c>
      <c r="Y78">
        <f>HYPERLINK("https://klasma.github.io/Logging_2482/tillsynsmail/A 44152-2023 tillsynsbegäran mail.docx", "A 44152-2023")</f>
        <v/>
      </c>
      <c r="Z78">
        <f>HYPERLINK("https://klasma.github.io/Logging_2482/fåglar/A 44152-2023 prioriterade fågelarter.docx", "A 44152-2023")</f>
        <v/>
      </c>
    </row>
    <row r="79" ht="15" customHeight="1">
      <c r="A79" t="inlineStr">
        <is>
          <t>A 23299-2025</t>
        </is>
      </c>
      <c r="B79" s="1" t="n">
        <v>45791.59457175926</v>
      </c>
      <c r="C79" s="1" t="n">
        <v>45927</v>
      </c>
      <c r="D79" t="inlineStr">
        <is>
          <t>VÄSTERBOTTENS LÄN</t>
        </is>
      </c>
      <c r="E79" t="inlineStr">
        <is>
          <t>SKELLEFTEÅ</t>
        </is>
      </c>
      <c r="F79" t="inlineStr">
        <is>
          <t>Holmen skog AB</t>
        </is>
      </c>
      <c r="G79" t="n">
        <v>1.5</v>
      </c>
      <c r="H79" t="n">
        <v>1</v>
      </c>
      <c r="I79" t="n">
        <v>2</v>
      </c>
      <c r="J79" t="n">
        <v>1</v>
      </c>
      <c r="K79" t="n">
        <v>0</v>
      </c>
      <c r="L79" t="n">
        <v>0</v>
      </c>
      <c r="M79" t="n">
        <v>0</v>
      </c>
      <c r="N79" t="n">
        <v>0</v>
      </c>
      <c r="O79" t="n">
        <v>1</v>
      </c>
      <c r="P79" t="n">
        <v>0</v>
      </c>
      <c r="Q79" t="n">
        <v>3</v>
      </c>
      <c r="R79" s="2" t="inlineStr">
        <is>
          <t>Garnlav
Nästlav
Plattlummer</t>
        </is>
      </c>
      <c r="S79">
        <f>HYPERLINK("https://klasma.github.io/Logging_2482/artfynd/A 23299-2025 artfynd.xlsx", "A 23299-2025")</f>
        <v/>
      </c>
      <c r="T79">
        <f>HYPERLINK("https://klasma.github.io/Logging_2482/kartor/A 23299-2025 karta.png", "A 23299-2025")</f>
        <v/>
      </c>
      <c r="V79">
        <f>HYPERLINK("https://klasma.github.io/Logging_2482/klagomål/A 23299-2025 FSC-klagomål.docx", "A 23299-2025")</f>
        <v/>
      </c>
      <c r="W79">
        <f>HYPERLINK("https://klasma.github.io/Logging_2482/klagomålsmail/A 23299-2025 FSC-klagomål mail.docx", "A 23299-2025")</f>
        <v/>
      </c>
      <c r="X79">
        <f>HYPERLINK("https://klasma.github.io/Logging_2482/tillsyn/A 23299-2025 tillsynsbegäran.docx", "A 23299-2025")</f>
        <v/>
      </c>
      <c r="Y79">
        <f>HYPERLINK("https://klasma.github.io/Logging_2482/tillsynsmail/A 23299-2025 tillsynsbegäran mail.docx", "A 23299-2025")</f>
        <v/>
      </c>
    </row>
    <row r="80" ht="15" customHeight="1">
      <c r="A80" t="inlineStr">
        <is>
          <t>A 23725-2025</t>
        </is>
      </c>
      <c r="B80" s="1" t="n">
        <v>45793.40694444445</v>
      </c>
      <c r="C80" s="1" t="n">
        <v>45927</v>
      </c>
      <c r="D80" t="inlineStr">
        <is>
          <t>VÄSTERBOTTENS LÄN</t>
        </is>
      </c>
      <c r="E80" t="inlineStr">
        <is>
          <t>SKELLEFTEÅ</t>
        </is>
      </c>
      <c r="G80" t="n">
        <v>6.3</v>
      </c>
      <c r="H80" t="n">
        <v>2</v>
      </c>
      <c r="I80" t="n">
        <v>0</v>
      </c>
      <c r="J80" t="n">
        <v>2</v>
      </c>
      <c r="K80" t="n">
        <v>0</v>
      </c>
      <c r="L80" t="n">
        <v>0</v>
      </c>
      <c r="M80" t="n">
        <v>0</v>
      </c>
      <c r="N80" t="n">
        <v>0</v>
      </c>
      <c r="O80" t="n">
        <v>2</v>
      </c>
      <c r="P80" t="n">
        <v>0</v>
      </c>
      <c r="Q80" t="n">
        <v>3</v>
      </c>
      <c r="R80" s="2" t="inlineStr">
        <is>
          <t>Garnlav
Nordfladdermus
Fläcknycklar</t>
        </is>
      </c>
      <c r="S80">
        <f>HYPERLINK("https://klasma.github.io/Logging_2482/artfynd/A 23725-2025 artfynd.xlsx", "A 23725-2025")</f>
        <v/>
      </c>
      <c r="T80">
        <f>HYPERLINK("https://klasma.github.io/Logging_2482/kartor/A 23725-2025 karta.png", "A 23725-2025")</f>
        <v/>
      </c>
      <c r="V80">
        <f>HYPERLINK("https://klasma.github.io/Logging_2482/klagomål/A 23725-2025 FSC-klagomål.docx", "A 23725-2025")</f>
        <v/>
      </c>
      <c r="W80">
        <f>HYPERLINK("https://klasma.github.io/Logging_2482/klagomålsmail/A 23725-2025 FSC-klagomål mail.docx", "A 23725-2025")</f>
        <v/>
      </c>
      <c r="X80">
        <f>HYPERLINK("https://klasma.github.io/Logging_2482/tillsyn/A 23725-2025 tillsynsbegäran.docx", "A 23725-2025")</f>
        <v/>
      </c>
      <c r="Y80">
        <f>HYPERLINK("https://klasma.github.io/Logging_2482/tillsynsmail/A 23725-2025 tillsynsbegäran mail.docx", "A 23725-2025")</f>
        <v/>
      </c>
    </row>
    <row r="81" ht="15" customHeight="1">
      <c r="A81" t="inlineStr">
        <is>
          <t>A 41099-2023</t>
        </is>
      </c>
      <c r="B81" s="1" t="n">
        <v>45173.68905092592</v>
      </c>
      <c r="C81" s="1" t="n">
        <v>45927</v>
      </c>
      <c r="D81" t="inlineStr">
        <is>
          <t>VÄSTERBOTTENS LÄN</t>
        </is>
      </c>
      <c r="E81" t="inlineStr">
        <is>
          <t>SKELLEFTEÅ</t>
        </is>
      </c>
      <c r="F81" t="inlineStr">
        <is>
          <t>Holmen skog AB</t>
        </is>
      </c>
      <c r="G81" t="n">
        <v>7.3</v>
      </c>
      <c r="H81" t="n">
        <v>0</v>
      </c>
      <c r="I81" t="n">
        <v>0</v>
      </c>
      <c r="J81" t="n">
        <v>3</v>
      </c>
      <c r="K81" t="n">
        <v>0</v>
      </c>
      <c r="L81" t="n">
        <v>0</v>
      </c>
      <c r="M81" t="n">
        <v>0</v>
      </c>
      <c r="N81" t="n">
        <v>0</v>
      </c>
      <c r="O81" t="n">
        <v>3</v>
      </c>
      <c r="P81" t="n">
        <v>0</v>
      </c>
      <c r="Q81" t="n">
        <v>3</v>
      </c>
      <c r="R81" s="2" t="inlineStr">
        <is>
          <t>Gammelgransskål
Garnlav
Lunglav</t>
        </is>
      </c>
      <c r="S81">
        <f>HYPERLINK("https://klasma.github.io/Logging_2482/artfynd/A 41099-2023 artfynd.xlsx", "A 41099-2023")</f>
        <v/>
      </c>
      <c r="T81">
        <f>HYPERLINK("https://klasma.github.io/Logging_2482/kartor/A 41099-2023 karta.png", "A 41099-2023")</f>
        <v/>
      </c>
      <c r="V81">
        <f>HYPERLINK("https://klasma.github.io/Logging_2482/klagomål/A 41099-2023 FSC-klagomål.docx", "A 41099-2023")</f>
        <v/>
      </c>
      <c r="W81">
        <f>HYPERLINK("https://klasma.github.io/Logging_2482/klagomålsmail/A 41099-2023 FSC-klagomål mail.docx", "A 41099-2023")</f>
        <v/>
      </c>
      <c r="X81">
        <f>HYPERLINK("https://klasma.github.io/Logging_2482/tillsyn/A 41099-2023 tillsynsbegäran.docx", "A 41099-2023")</f>
        <v/>
      </c>
      <c r="Y81">
        <f>HYPERLINK("https://klasma.github.io/Logging_2482/tillsynsmail/A 41099-2023 tillsynsbegäran mail.docx", "A 41099-2023")</f>
        <v/>
      </c>
    </row>
    <row r="82" ht="15" customHeight="1">
      <c r="A82" t="inlineStr">
        <is>
          <t>A 58525-2023</t>
        </is>
      </c>
      <c r="B82" s="1" t="n">
        <v>45251.38579861111</v>
      </c>
      <c r="C82" s="1" t="n">
        <v>45927</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29725-2021</t>
        </is>
      </c>
      <c r="B83" s="1" t="n">
        <v>44362.44362268518</v>
      </c>
      <c r="C83" s="1" t="n">
        <v>45927</v>
      </c>
      <c r="D83" t="inlineStr">
        <is>
          <t>VÄSTERBOTTENS LÄN</t>
        </is>
      </c>
      <c r="E83" t="inlineStr">
        <is>
          <t>SKELLEFTEÅ</t>
        </is>
      </c>
      <c r="F83" t="inlineStr">
        <is>
          <t>Holmen skog AB</t>
        </is>
      </c>
      <c r="G83" t="n">
        <v>10.7</v>
      </c>
      <c r="H83" t="n">
        <v>1</v>
      </c>
      <c r="I83" t="n">
        <v>0</v>
      </c>
      <c r="J83" t="n">
        <v>2</v>
      </c>
      <c r="K83" t="n">
        <v>0</v>
      </c>
      <c r="L83" t="n">
        <v>0</v>
      </c>
      <c r="M83" t="n">
        <v>0</v>
      </c>
      <c r="N83" t="n">
        <v>0</v>
      </c>
      <c r="O83" t="n">
        <v>2</v>
      </c>
      <c r="P83" t="n">
        <v>0</v>
      </c>
      <c r="Q83" t="n">
        <v>3</v>
      </c>
      <c r="R83" s="2" t="inlineStr">
        <is>
          <t>Gammelgransskål
Garnlav
Orre</t>
        </is>
      </c>
      <c r="S83">
        <f>HYPERLINK("https://klasma.github.io/Logging_2482/artfynd/A 29725-2021 artfynd.xlsx", "A 29725-2021")</f>
        <v/>
      </c>
      <c r="T83">
        <f>HYPERLINK("https://klasma.github.io/Logging_2482/kartor/A 29725-2021 karta.png", "A 29725-2021")</f>
        <v/>
      </c>
      <c r="V83">
        <f>HYPERLINK("https://klasma.github.io/Logging_2482/klagomål/A 29725-2021 FSC-klagomål.docx", "A 29725-2021")</f>
        <v/>
      </c>
      <c r="W83">
        <f>HYPERLINK("https://klasma.github.io/Logging_2482/klagomålsmail/A 29725-2021 FSC-klagomål mail.docx", "A 29725-2021")</f>
        <v/>
      </c>
      <c r="X83">
        <f>HYPERLINK("https://klasma.github.io/Logging_2482/tillsyn/A 29725-2021 tillsynsbegäran.docx", "A 29725-2021")</f>
        <v/>
      </c>
      <c r="Y83">
        <f>HYPERLINK("https://klasma.github.io/Logging_2482/tillsynsmail/A 29725-2021 tillsynsbegäran mail.docx", "A 29725-2021")</f>
        <v/>
      </c>
      <c r="Z83">
        <f>HYPERLINK("https://klasma.github.io/Logging_2482/fåglar/A 29725-2021 prioriterade fågelarter.docx", "A 29725-2021")</f>
        <v/>
      </c>
    </row>
    <row r="84" ht="15" customHeight="1">
      <c r="A84" t="inlineStr">
        <is>
          <t>A 56435-2023</t>
        </is>
      </c>
      <c r="B84" s="1" t="n">
        <v>45243</v>
      </c>
      <c r="C84" s="1" t="n">
        <v>45927</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41412-2022</t>
        </is>
      </c>
      <c r="B85" s="1" t="n">
        <v>44826</v>
      </c>
      <c r="C85" s="1" t="n">
        <v>45927</v>
      </c>
      <c r="D85" t="inlineStr">
        <is>
          <t>VÄSTERBOTTENS LÄN</t>
        </is>
      </c>
      <c r="E85" t="inlineStr">
        <is>
          <t>SKELLEFTEÅ</t>
        </is>
      </c>
      <c r="G85" t="n">
        <v>2.6</v>
      </c>
      <c r="H85" t="n">
        <v>0</v>
      </c>
      <c r="I85" t="n">
        <v>1</v>
      </c>
      <c r="J85" t="n">
        <v>2</v>
      </c>
      <c r="K85" t="n">
        <v>0</v>
      </c>
      <c r="L85" t="n">
        <v>0</v>
      </c>
      <c r="M85" t="n">
        <v>0</v>
      </c>
      <c r="N85" t="n">
        <v>0</v>
      </c>
      <c r="O85" t="n">
        <v>2</v>
      </c>
      <c r="P85" t="n">
        <v>0</v>
      </c>
      <c r="Q85" t="n">
        <v>3</v>
      </c>
      <c r="R85" s="2" t="inlineStr">
        <is>
          <t>Gränsticka
Ullticka
Vedticka</t>
        </is>
      </c>
      <c r="S85">
        <f>HYPERLINK("https://klasma.github.io/Logging_2482/artfynd/A 41412-2022 artfynd.xlsx", "A 41412-2022")</f>
        <v/>
      </c>
      <c r="T85">
        <f>HYPERLINK("https://klasma.github.io/Logging_2482/kartor/A 41412-2022 karta.png", "A 41412-2022")</f>
        <v/>
      </c>
      <c r="V85">
        <f>HYPERLINK("https://klasma.github.io/Logging_2482/klagomål/A 41412-2022 FSC-klagomål.docx", "A 41412-2022")</f>
        <v/>
      </c>
      <c r="W85">
        <f>HYPERLINK("https://klasma.github.io/Logging_2482/klagomålsmail/A 41412-2022 FSC-klagomål mail.docx", "A 41412-2022")</f>
        <v/>
      </c>
      <c r="X85">
        <f>HYPERLINK("https://klasma.github.io/Logging_2482/tillsyn/A 41412-2022 tillsynsbegäran.docx", "A 41412-2022")</f>
        <v/>
      </c>
      <c r="Y85">
        <f>HYPERLINK("https://klasma.github.io/Logging_2482/tillsynsmail/A 41412-2022 tillsynsbegäran mail.docx", "A 41412-2022")</f>
        <v/>
      </c>
    </row>
    <row r="86" ht="15" customHeight="1">
      <c r="A86" t="inlineStr">
        <is>
          <t>A 32937-2025</t>
        </is>
      </c>
      <c r="B86" s="1" t="n">
        <v>45839.67740740741</v>
      </c>
      <c r="C86" s="1" t="n">
        <v>45927</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62595-2023</t>
        </is>
      </c>
      <c r="B87" s="1" t="n">
        <v>45267</v>
      </c>
      <c r="C87" s="1" t="n">
        <v>45927</v>
      </c>
      <c r="D87" t="inlineStr">
        <is>
          <t>VÄSTERBOTTENS LÄN</t>
        </is>
      </c>
      <c r="E87" t="inlineStr">
        <is>
          <t>SKELLEFTEÅ</t>
        </is>
      </c>
      <c r="G87" t="n">
        <v>4.6</v>
      </c>
      <c r="H87" t="n">
        <v>2</v>
      </c>
      <c r="I87" t="n">
        <v>1</v>
      </c>
      <c r="J87" t="n">
        <v>1</v>
      </c>
      <c r="K87" t="n">
        <v>0</v>
      </c>
      <c r="L87" t="n">
        <v>0</v>
      </c>
      <c r="M87" t="n">
        <v>0</v>
      </c>
      <c r="N87" t="n">
        <v>0</v>
      </c>
      <c r="O87" t="n">
        <v>1</v>
      </c>
      <c r="P87" t="n">
        <v>0</v>
      </c>
      <c r="Q87" t="n">
        <v>3</v>
      </c>
      <c r="R87" s="2" t="inlineStr">
        <is>
          <t>Spillkråka
Vedticka
Fläcknycklar</t>
        </is>
      </c>
      <c r="S87">
        <f>HYPERLINK("https://klasma.github.io/Logging_2482/artfynd/A 62595-2023 artfynd.xlsx", "A 62595-2023")</f>
        <v/>
      </c>
      <c r="T87">
        <f>HYPERLINK("https://klasma.github.io/Logging_2482/kartor/A 62595-2023 karta.png", "A 62595-2023")</f>
        <v/>
      </c>
      <c r="V87">
        <f>HYPERLINK("https://klasma.github.io/Logging_2482/klagomål/A 62595-2023 FSC-klagomål.docx", "A 62595-2023")</f>
        <v/>
      </c>
      <c r="W87">
        <f>HYPERLINK("https://klasma.github.io/Logging_2482/klagomålsmail/A 62595-2023 FSC-klagomål mail.docx", "A 62595-2023")</f>
        <v/>
      </c>
      <c r="X87">
        <f>HYPERLINK("https://klasma.github.io/Logging_2482/tillsyn/A 62595-2023 tillsynsbegäran.docx", "A 62595-2023")</f>
        <v/>
      </c>
      <c r="Y87">
        <f>HYPERLINK("https://klasma.github.io/Logging_2482/tillsynsmail/A 62595-2023 tillsynsbegäran mail.docx", "A 62595-2023")</f>
        <v/>
      </c>
      <c r="Z87">
        <f>HYPERLINK("https://klasma.github.io/Logging_2482/fåglar/A 62595-2023 prioriterade fågelarter.docx", "A 62595-2023")</f>
        <v/>
      </c>
    </row>
    <row r="88" ht="15" customHeight="1">
      <c r="A88" t="inlineStr">
        <is>
          <t>A 35159-2025</t>
        </is>
      </c>
      <c r="B88" s="1" t="n">
        <v>45852</v>
      </c>
      <c r="C88" s="1" t="n">
        <v>45927</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14498-2022</t>
        </is>
      </c>
      <c r="B89" s="1" t="n">
        <v>44655</v>
      </c>
      <c r="C89" s="1" t="n">
        <v>45927</v>
      </c>
      <c r="D89" t="inlineStr">
        <is>
          <t>VÄSTERBOTTENS LÄN</t>
        </is>
      </c>
      <c r="E89" t="inlineStr">
        <is>
          <t>SKELLEFTEÅ</t>
        </is>
      </c>
      <c r="G89" t="n">
        <v>8.6</v>
      </c>
      <c r="H89" t="n">
        <v>0</v>
      </c>
      <c r="I89" t="n">
        <v>0</v>
      </c>
      <c r="J89" t="n">
        <v>3</v>
      </c>
      <c r="K89" t="n">
        <v>0</v>
      </c>
      <c r="L89" t="n">
        <v>0</v>
      </c>
      <c r="M89" t="n">
        <v>0</v>
      </c>
      <c r="N89" t="n">
        <v>0</v>
      </c>
      <c r="O89" t="n">
        <v>3</v>
      </c>
      <c r="P89" t="n">
        <v>0</v>
      </c>
      <c r="Q89" t="n">
        <v>3</v>
      </c>
      <c r="R89" s="2" t="inlineStr">
        <is>
          <t>Garnlav
Granticka
Ullticka</t>
        </is>
      </c>
      <c r="S89">
        <f>HYPERLINK("https://klasma.github.io/Logging_2482/artfynd/A 14498-2022 artfynd.xlsx", "A 14498-2022")</f>
        <v/>
      </c>
      <c r="T89">
        <f>HYPERLINK("https://klasma.github.io/Logging_2482/kartor/A 14498-2022 karta.png", "A 14498-2022")</f>
        <v/>
      </c>
      <c r="V89">
        <f>HYPERLINK("https://klasma.github.io/Logging_2482/klagomål/A 14498-2022 FSC-klagomål.docx", "A 14498-2022")</f>
        <v/>
      </c>
      <c r="W89">
        <f>HYPERLINK("https://klasma.github.io/Logging_2482/klagomålsmail/A 14498-2022 FSC-klagomål mail.docx", "A 14498-2022")</f>
        <v/>
      </c>
      <c r="X89">
        <f>HYPERLINK("https://klasma.github.io/Logging_2482/tillsyn/A 14498-2022 tillsynsbegäran.docx", "A 14498-2022")</f>
        <v/>
      </c>
      <c r="Y89">
        <f>HYPERLINK("https://klasma.github.io/Logging_2482/tillsynsmail/A 14498-2022 tillsynsbegäran mail.docx", "A 14498-2022")</f>
        <v/>
      </c>
    </row>
    <row r="90" ht="15" customHeight="1">
      <c r="A90" t="inlineStr">
        <is>
          <t>A 42687-2022</t>
        </is>
      </c>
      <c r="B90" s="1" t="n">
        <v>44831</v>
      </c>
      <c r="C90" s="1" t="n">
        <v>45927</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33858-2024</t>
        </is>
      </c>
      <c r="B91" s="1" t="n">
        <v>45520</v>
      </c>
      <c r="C91" s="1" t="n">
        <v>45927</v>
      </c>
      <c r="D91" t="inlineStr">
        <is>
          <t>VÄSTERBOTTENS LÄN</t>
        </is>
      </c>
      <c r="E91" t="inlineStr">
        <is>
          <t>SKELLEFTEÅ</t>
        </is>
      </c>
      <c r="F91" t="inlineStr">
        <is>
          <t>Holmen skog AB</t>
        </is>
      </c>
      <c r="G91" t="n">
        <v>1.5</v>
      </c>
      <c r="H91" t="n">
        <v>0</v>
      </c>
      <c r="I91" t="n">
        <v>1</v>
      </c>
      <c r="J91" t="n">
        <v>2</v>
      </c>
      <c r="K91" t="n">
        <v>0</v>
      </c>
      <c r="L91" t="n">
        <v>0</v>
      </c>
      <c r="M91" t="n">
        <v>0</v>
      </c>
      <c r="N91" t="n">
        <v>0</v>
      </c>
      <c r="O91" t="n">
        <v>2</v>
      </c>
      <c r="P91" t="n">
        <v>0</v>
      </c>
      <c r="Q91" t="n">
        <v>3</v>
      </c>
      <c r="R91" s="2" t="inlineStr">
        <is>
          <t>Gammelgransskål
Garnlav
Dropptaggsvamp</t>
        </is>
      </c>
      <c r="S91">
        <f>HYPERLINK("https://klasma.github.io/Logging_2482/artfynd/A 33858-2024 artfynd.xlsx", "A 33858-2024")</f>
        <v/>
      </c>
      <c r="T91">
        <f>HYPERLINK("https://klasma.github.io/Logging_2482/kartor/A 33858-2024 karta.png", "A 33858-2024")</f>
        <v/>
      </c>
      <c r="V91">
        <f>HYPERLINK("https://klasma.github.io/Logging_2482/klagomål/A 33858-2024 FSC-klagomål.docx", "A 33858-2024")</f>
        <v/>
      </c>
      <c r="W91">
        <f>HYPERLINK("https://klasma.github.io/Logging_2482/klagomålsmail/A 33858-2024 FSC-klagomål mail.docx", "A 33858-2024")</f>
        <v/>
      </c>
      <c r="X91">
        <f>HYPERLINK("https://klasma.github.io/Logging_2482/tillsyn/A 33858-2024 tillsynsbegäran.docx", "A 33858-2024")</f>
        <v/>
      </c>
      <c r="Y91">
        <f>HYPERLINK("https://klasma.github.io/Logging_2482/tillsynsmail/A 33858-2024 tillsynsbegäran mail.docx", "A 33858-2024")</f>
        <v/>
      </c>
    </row>
    <row r="92" ht="15" customHeight="1">
      <c r="A92" t="inlineStr">
        <is>
          <t>A 40987-2022</t>
        </is>
      </c>
      <c r="B92" s="1" t="n">
        <v>44823</v>
      </c>
      <c r="C92" s="1" t="n">
        <v>45927</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20379-2025</t>
        </is>
      </c>
      <c r="B93" s="1" t="n">
        <v>45775.42733796296</v>
      </c>
      <c r="C93" s="1" t="n">
        <v>45927</v>
      </c>
      <c r="D93" t="inlineStr">
        <is>
          <t>VÄSTERBOTTENS LÄN</t>
        </is>
      </c>
      <c r="E93" t="inlineStr">
        <is>
          <t>SKELLEFTEÅ</t>
        </is>
      </c>
      <c r="G93" t="n">
        <v>3.3</v>
      </c>
      <c r="H93" t="n">
        <v>0</v>
      </c>
      <c r="I93" t="n">
        <v>0</v>
      </c>
      <c r="J93" t="n">
        <v>3</v>
      </c>
      <c r="K93" t="n">
        <v>0</v>
      </c>
      <c r="L93" t="n">
        <v>0</v>
      </c>
      <c r="M93" t="n">
        <v>0</v>
      </c>
      <c r="N93" t="n">
        <v>0</v>
      </c>
      <c r="O93" t="n">
        <v>3</v>
      </c>
      <c r="P93" t="n">
        <v>0</v>
      </c>
      <c r="Q93" t="n">
        <v>3</v>
      </c>
      <c r="R93" s="2" t="inlineStr">
        <is>
          <t>Granticka
Orange taggsvamp
Violettgrå tagellav</t>
        </is>
      </c>
      <c r="S93">
        <f>HYPERLINK("https://klasma.github.io/Logging_2482/artfynd/A 20379-2025 artfynd.xlsx", "A 20379-2025")</f>
        <v/>
      </c>
      <c r="T93">
        <f>HYPERLINK("https://klasma.github.io/Logging_2482/kartor/A 20379-2025 karta.png", "A 20379-2025")</f>
        <v/>
      </c>
      <c r="V93">
        <f>HYPERLINK("https://klasma.github.io/Logging_2482/klagomål/A 20379-2025 FSC-klagomål.docx", "A 20379-2025")</f>
        <v/>
      </c>
      <c r="W93">
        <f>HYPERLINK("https://klasma.github.io/Logging_2482/klagomålsmail/A 20379-2025 FSC-klagomål mail.docx", "A 20379-2025")</f>
        <v/>
      </c>
      <c r="X93">
        <f>HYPERLINK("https://klasma.github.io/Logging_2482/tillsyn/A 20379-2025 tillsynsbegäran.docx", "A 20379-2025")</f>
        <v/>
      </c>
      <c r="Y93">
        <f>HYPERLINK("https://klasma.github.io/Logging_2482/tillsynsmail/A 20379-2025 tillsynsbegäran mail.docx", "A 20379-2025")</f>
        <v/>
      </c>
    </row>
    <row r="94" ht="15" customHeight="1">
      <c r="A94" t="inlineStr">
        <is>
          <t>A 38401-2025</t>
        </is>
      </c>
      <c r="B94" s="1" t="n">
        <v>45883.58827546296</v>
      </c>
      <c r="C94" s="1" t="n">
        <v>45927</v>
      </c>
      <c r="D94" t="inlineStr">
        <is>
          <t>VÄSTERBOTTENS LÄN</t>
        </is>
      </c>
      <c r="E94" t="inlineStr">
        <is>
          <t>SKELLEFTEÅ</t>
        </is>
      </c>
      <c r="F94" t="inlineStr">
        <is>
          <t>Holmen skog AB</t>
        </is>
      </c>
      <c r="G94" t="n">
        <v>9.5</v>
      </c>
      <c r="H94" t="n">
        <v>0</v>
      </c>
      <c r="I94" t="n">
        <v>1</v>
      </c>
      <c r="J94" t="n">
        <v>2</v>
      </c>
      <c r="K94" t="n">
        <v>0</v>
      </c>
      <c r="L94" t="n">
        <v>0</v>
      </c>
      <c r="M94" t="n">
        <v>0</v>
      </c>
      <c r="N94" t="n">
        <v>0</v>
      </c>
      <c r="O94" t="n">
        <v>2</v>
      </c>
      <c r="P94" t="n">
        <v>0</v>
      </c>
      <c r="Q94" t="n">
        <v>3</v>
      </c>
      <c r="R94" s="2" t="inlineStr">
        <is>
          <t>Ullticka
Violettgrå tagellav
Ögonpyrola</t>
        </is>
      </c>
      <c r="S94">
        <f>HYPERLINK("https://klasma.github.io/Logging_2482/artfynd/A 38401-2025 artfynd.xlsx", "A 38401-2025")</f>
        <v/>
      </c>
      <c r="T94">
        <f>HYPERLINK("https://klasma.github.io/Logging_2482/kartor/A 38401-2025 karta.png", "A 38401-2025")</f>
        <v/>
      </c>
      <c r="V94">
        <f>HYPERLINK("https://klasma.github.io/Logging_2482/klagomål/A 38401-2025 FSC-klagomål.docx", "A 38401-2025")</f>
        <v/>
      </c>
      <c r="W94">
        <f>HYPERLINK("https://klasma.github.io/Logging_2482/klagomålsmail/A 38401-2025 FSC-klagomål mail.docx", "A 38401-2025")</f>
        <v/>
      </c>
      <c r="X94">
        <f>HYPERLINK("https://klasma.github.io/Logging_2482/tillsyn/A 38401-2025 tillsynsbegäran.docx", "A 38401-2025")</f>
        <v/>
      </c>
      <c r="Y94">
        <f>HYPERLINK("https://klasma.github.io/Logging_2482/tillsynsmail/A 38401-2025 tillsynsbegäran mail.docx", "A 38401-2025")</f>
        <v/>
      </c>
    </row>
    <row r="95" ht="15" customHeight="1">
      <c r="A95" t="inlineStr">
        <is>
          <t>A 58661-2021</t>
        </is>
      </c>
      <c r="B95" s="1" t="n">
        <v>44489.40372685185</v>
      </c>
      <c r="C95" s="1" t="n">
        <v>45927</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45927</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45927</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58701-2023</t>
        </is>
      </c>
      <c r="B98" s="1" t="n">
        <v>45247</v>
      </c>
      <c r="C98" s="1" t="n">
        <v>45927</v>
      </c>
      <c r="D98" t="inlineStr">
        <is>
          <t>VÄSTERBOTTENS LÄN</t>
        </is>
      </c>
      <c r="E98" t="inlineStr">
        <is>
          <t>SKELLEFTEÅ</t>
        </is>
      </c>
      <c r="G98" t="n">
        <v>1.8</v>
      </c>
      <c r="H98" t="n">
        <v>1</v>
      </c>
      <c r="I98" t="n">
        <v>0</v>
      </c>
      <c r="J98" t="n">
        <v>2</v>
      </c>
      <c r="K98" t="n">
        <v>0</v>
      </c>
      <c r="L98" t="n">
        <v>0</v>
      </c>
      <c r="M98" t="n">
        <v>0</v>
      </c>
      <c r="N98" t="n">
        <v>0</v>
      </c>
      <c r="O98" t="n">
        <v>2</v>
      </c>
      <c r="P98" t="n">
        <v>0</v>
      </c>
      <c r="Q98" t="n">
        <v>2</v>
      </c>
      <c r="R98" s="2" t="inlineStr">
        <is>
          <t>Koralltaggsvamp
Talltita</t>
        </is>
      </c>
      <c r="S98">
        <f>HYPERLINK("https://klasma.github.io/Logging_2482/artfynd/A 58701-2023 artfynd.xlsx", "A 58701-2023")</f>
        <v/>
      </c>
      <c r="T98">
        <f>HYPERLINK("https://klasma.github.io/Logging_2482/kartor/A 58701-2023 karta.png", "A 58701-2023")</f>
        <v/>
      </c>
      <c r="V98">
        <f>HYPERLINK("https://klasma.github.io/Logging_2482/klagomål/A 58701-2023 FSC-klagomål.docx", "A 58701-2023")</f>
        <v/>
      </c>
      <c r="W98">
        <f>HYPERLINK("https://klasma.github.io/Logging_2482/klagomålsmail/A 58701-2023 FSC-klagomål mail.docx", "A 58701-2023")</f>
        <v/>
      </c>
      <c r="X98">
        <f>HYPERLINK("https://klasma.github.io/Logging_2482/tillsyn/A 58701-2023 tillsynsbegäran.docx", "A 58701-2023")</f>
        <v/>
      </c>
      <c r="Y98">
        <f>HYPERLINK("https://klasma.github.io/Logging_2482/tillsynsmail/A 58701-2023 tillsynsbegäran mail.docx", "A 58701-2023")</f>
        <v/>
      </c>
      <c r="Z98">
        <f>HYPERLINK("https://klasma.github.io/Logging_2482/fåglar/A 58701-2023 prioriterade fågelarter.docx", "A 58701-2023")</f>
        <v/>
      </c>
    </row>
    <row r="99" ht="15" customHeight="1">
      <c r="A99" t="inlineStr">
        <is>
          <t>A 55198-2024</t>
        </is>
      </c>
      <c r="B99" s="1" t="n">
        <v>45620</v>
      </c>
      <c r="C99" s="1" t="n">
        <v>45927</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43250-2023</t>
        </is>
      </c>
      <c r="B100" s="1" t="n">
        <v>45180</v>
      </c>
      <c r="C100" s="1" t="n">
        <v>45927</v>
      </c>
      <c r="D100" t="inlineStr">
        <is>
          <t>VÄSTERBOTTENS LÄN</t>
        </is>
      </c>
      <c r="E100" t="inlineStr">
        <is>
          <t>SKELLEFTEÅ</t>
        </is>
      </c>
      <c r="G100" t="n">
        <v>3.3</v>
      </c>
      <c r="H100" t="n">
        <v>1</v>
      </c>
      <c r="I100" t="n">
        <v>0</v>
      </c>
      <c r="J100" t="n">
        <v>1</v>
      </c>
      <c r="K100" t="n">
        <v>1</v>
      </c>
      <c r="L100" t="n">
        <v>0</v>
      </c>
      <c r="M100" t="n">
        <v>0</v>
      </c>
      <c r="N100" t="n">
        <v>0</v>
      </c>
      <c r="O100" t="n">
        <v>2</v>
      </c>
      <c r="P100" t="n">
        <v>1</v>
      </c>
      <c r="Q100" t="n">
        <v>2</v>
      </c>
      <c r="R100" s="2" t="inlineStr">
        <is>
          <t>Knärot
Gammelgransskål</t>
        </is>
      </c>
      <c r="S100">
        <f>HYPERLINK("https://klasma.github.io/Logging_2482/artfynd/A 43250-2023 artfynd.xlsx", "A 43250-2023")</f>
        <v/>
      </c>
      <c r="T100">
        <f>HYPERLINK("https://klasma.github.io/Logging_2482/kartor/A 43250-2023 karta.png", "A 43250-2023")</f>
        <v/>
      </c>
      <c r="U100">
        <f>HYPERLINK("https://klasma.github.io/Logging_2482/knärot/A 43250-2023 karta knärot.png", "A 43250-2023")</f>
        <v/>
      </c>
      <c r="V100">
        <f>HYPERLINK("https://klasma.github.io/Logging_2482/klagomål/A 43250-2023 FSC-klagomål.docx", "A 43250-2023")</f>
        <v/>
      </c>
      <c r="W100">
        <f>HYPERLINK("https://klasma.github.io/Logging_2482/klagomålsmail/A 43250-2023 FSC-klagomål mail.docx", "A 43250-2023")</f>
        <v/>
      </c>
      <c r="X100">
        <f>HYPERLINK("https://klasma.github.io/Logging_2482/tillsyn/A 43250-2023 tillsynsbegäran.docx", "A 43250-2023")</f>
        <v/>
      </c>
      <c r="Y100">
        <f>HYPERLINK("https://klasma.github.io/Logging_2482/tillsynsmail/A 43250-2023 tillsynsbegäran mail.docx", "A 43250-2023")</f>
        <v/>
      </c>
    </row>
    <row r="101" ht="15" customHeight="1">
      <c r="A101" t="inlineStr">
        <is>
          <t>A 43743-2024</t>
        </is>
      </c>
      <c r="B101" s="1" t="n">
        <v>45569.66039351852</v>
      </c>
      <c r="C101" s="1" t="n">
        <v>45927</v>
      </c>
      <c r="D101" t="inlineStr">
        <is>
          <t>VÄSTERBOTTENS LÄN</t>
        </is>
      </c>
      <c r="E101" t="inlineStr">
        <is>
          <t>SKELLEFTEÅ</t>
        </is>
      </c>
      <c r="G101" t="n">
        <v>2.6</v>
      </c>
      <c r="H101" t="n">
        <v>1</v>
      </c>
      <c r="I101" t="n">
        <v>1</v>
      </c>
      <c r="J101" t="n">
        <v>0</v>
      </c>
      <c r="K101" t="n">
        <v>0</v>
      </c>
      <c r="L101" t="n">
        <v>0</v>
      </c>
      <c r="M101" t="n">
        <v>0</v>
      </c>
      <c r="N101" t="n">
        <v>0</v>
      </c>
      <c r="O101" t="n">
        <v>0</v>
      </c>
      <c r="P101" t="n">
        <v>0</v>
      </c>
      <c r="Q101" t="n">
        <v>2</v>
      </c>
      <c r="R101" s="2" t="inlineStr">
        <is>
          <t>Stuplav
Fläcknycklar</t>
        </is>
      </c>
      <c r="S101">
        <f>HYPERLINK("https://klasma.github.io/Logging_2482/artfynd/A 43743-2024 artfynd.xlsx", "A 43743-2024")</f>
        <v/>
      </c>
      <c r="T101">
        <f>HYPERLINK("https://klasma.github.io/Logging_2482/kartor/A 43743-2024 karta.png", "A 43743-2024")</f>
        <v/>
      </c>
      <c r="V101">
        <f>HYPERLINK("https://klasma.github.io/Logging_2482/klagomål/A 43743-2024 FSC-klagomål.docx", "A 43743-2024")</f>
        <v/>
      </c>
      <c r="W101">
        <f>HYPERLINK("https://klasma.github.io/Logging_2482/klagomålsmail/A 43743-2024 FSC-klagomål mail.docx", "A 43743-2024")</f>
        <v/>
      </c>
      <c r="X101">
        <f>HYPERLINK("https://klasma.github.io/Logging_2482/tillsyn/A 43743-2024 tillsynsbegäran.docx", "A 43743-2024")</f>
        <v/>
      </c>
      <c r="Y101">
        <f>HYPERLINK("https://klasma.github.io/Logging_2482/tillsynsmail/A 43743-2024 tillsynsbegäran mail.docx", "A 43743-2024")</f>
        <v/>
      </c>
    </row>
    <row r="102" ht="15" customHeight="1">
      <c r="A102" t="inlineStr">
        <is>
          <t>A 23329-2025</t>
        </is>
      </c>
      <c r="B102" s="1" t="n">
        <v>45791.64069444445</v>
      </c>
      <c r="C102" s="1" t="n">
        <v>45927</v>
      </c>
      <c r="D102" t="inlineStr">
        <is>
          <t>VÄSTERBOTTENS LÄN</t>
        </is>
      </c>
      <c r="E102" t="inlineStr">
        <is>
          <t>SKELLEFTEÅ</t>
        </is>
      </c>
      <c r="F102" t="inlineStr">
        <is>
          <t>Holmen skog AB</t>
        </is>
      </c>
      <c r="G102" t="n">
        <v>3.3</v>
      </c>
      <c r="H102" t="n">
        <v>0</v>
      </c>
      <c r="I102" t="n">
        <v>1</v>
      </c>
      <c r="J102" t="n">
        <v>1</v>
      </c>
      <c r="K102" t="n">
        <v>0</v>
      </c>
      <c r="L102" t="n">
        <v>0</v>
      </c>
      <c r="M102" t="n">
        <v>0</v>
      </c>
      <c r="N102" t="n">
        <v>0</v>
      </c>
      <c r="O102" t="n">
        <v>1</v>
      </c>
      <c r="P102" t="n">
        <v>0</v>
      </c>
      <c r="Q102" t="n">
        <v>2</v>
      </c>
      <c r="R102" s="2" t="inlineStr">
        <is>
          <t>Garnlav
Dropptaggsvamp</t>
        </is>
      </c>
      <c r="S102">
        <f>HYPERLINK("https://klasma.github.io/Logging_2482/artfynd/A 23329-2025 artfynd.xlsx", "A 23329-2025")</f>
        <v/>
      </c>
      <c r="T102">
        <f>HYPERLINK("https://klasma.github.io/Logging_2482/kartor/A 23329-2025 karta.png", "A 23329-2025")</f>
        <v/>
      </c>
      <c r="V102">
        <f>HYPERLINK("https://klasma.github.io/Logging_2482/klagomål/A 23329-2025 FSC-klagomål.docx", "A 23329-2025")</f>
        <v/>
      </c>
      <c r="W102">
        <f>HYPERLINK("https://klasma.github.io/Logging_2482/klagomålsmail/A 23329-2025 FSC-klagomål mail.docx", "A 23329-2025")</f>
        <v/>
      </c>
      <c r="X102">
        <f>HYPERLINK("https://klasma.github.io/Logging_2482/tillsyn/A 23329-2025 tillsynsbegäran.docx", "A 23329-2025")</f>
        <v/>
      </c>
      <c r="Y102">
        <f>HYPERLINK("https://klasma.github.io/Logging_2482/tillsynsmail/A 23329-2025 tillsynsbegäran mail.docx", "A 23329-2025")</f>
        <v/>
      </c>
    </row>
    <row r="103" ht="15" customHeight="1">
      <c r="A103" t="inlineStr">
        <is>
          <t>A 14391-2025</t>
        </is>
      </c>
      <c r="B103" s="1" t="n">
        <v>45741.42979166667</v>
      </c>
      <c r="C103" s="1" t="n">
        <v>45927</v>
      </c>
      <c r="D103" t="inlineStr">
        <is>
          <t>VÄSTERBOTTENS LÄN</t>
        </is>
      </c>
      <c r="E103" t="inlineStr">
        <is>
          <t>SKELLEFTEÅ</t>
        </is>
      </c>
      <c r="G103" t="n">
        <v>3.2</v>
      </c>
      <c r="H103" t="n">
        <v>2</v>
      </c>
      <c r="I103" t="n">
        <v>0</v>
      </c>
      <c r="J103" t="n">
        <v>0</v>
      </c>
      <c r="K103" t="n">
        <v>0</v>
      </c>
      <c r="L103" t="n">
        <v>0</v>
      </c>
      <c r="M103" t="n">
        <v>0</v>
      </c>
      <c r="N103" t="n">
        <v>0</v>
      </c>
      <c r="O103" t="n">
        <v>0</v>
      </c>
      <c r="P103" t="n">
        <v>0</v>
      </c>
      <c r="Q103" t="n">
        <v>2</v>
      </c>
      <c r="R103" s="2" t="inlineStr">
        <is>
          <t>Enkelbeckasin
Grönsiska</t>
        </is>
      </c>
      <c r="S103">
        <f>HYPERLINK("https://klasma.github.io/Logging_2482/artfynd/A 14391-2025 artfynd.xlsx", "A 14391-2025")</f>
        <v/>
      </c>
      <c r="T103">
        <f>HYPERLINK("https://klasma.github.io/Logging_2482/kartor/A 14391-2025 karta.png", "A 14391-2025")</f>
        <v/>
      </c>
      <c r="V103">
        <f>HYPERLINK("https://klasma.github.io/Logging_2482/klagomål/A 14391-2025 FSC-klagomål.docx", "A 14391-2025")</f>
        <v/>
      </c>
      <c r="W103">
        <f>HYPERLINK("https://klasma.github.io/Logging_2482/klagomålsmail/A 14391-2025 FSC-klagomål mail.docx", "A 14391-2025")</f>
        <v/>
      </c>
      <c r="X103">
        <f>HYPERLINK("https://klasma.github.io/Logging_2482/tillsyn/A 14391-2025 tillsynsbegäran.docx", "A 14391-2025")</f>
        <v/>
      </c>
      <c r="Y103">
        <f>HYPERLINK("https://klasma.github.io/Logging_2482/tillsynsmail/A 14391-2025 tillsynsbegäran mail.docx", "A 14391-2025")</f>
        <v/>
      </c>
      <c r="Z103">
        <f>HYPERLINK("https://klasma.github.io/Logging_2482/fåglar/A 14391-2025 prioriterade fågelarter.docx", "A 14391-2025")</f>
        <v/>
      </c>
    </row>
    <row r="104" ht="15" customHeight="1">
      <c r="A104" t="inlineStr">
        <is>
          <t>A 787-2023</t>
        </is>
      </c>
      <c r="B104" s="1" t="n">
        <v>44931</v>
      </c>
      <c r="C104" s="1" t="n">
        <v>45927</v>
      </c>
      <c r="D104" t="inlineStr">
        <is>
          <t>VÄSTERBOTTENS LÄN</t>
        </is>
      </c>
      <c r="E104" t="inlineStr">
        <is>
          <t>SKELLEFTEÅ</t>
        </is>
      </c>
      <c r="G104" t="n">
        <v>13.9</v>
      </c>
      <c r="H104" t="n">
        <v>0</v>
      </c>
      <c r="I104" t="n">
        <v>1</v>
      </c>
      <c r="J104" t="n">
        <v>1</v>
      </c>
      <c r="K104" t="n">
        <v>0</v>
      </c>
      <c r="L104" t="n">
        <v>0</v>
      </c>
      <c r="M104" t="n">
        <v>0</v>
      </c>
      <c r="N104" t="n">
        <v>0</v>
      </c>
      <c r="O104" t="n">
        <v>1</v>
      </c>
      <c r="P104" t="n">
        <v>0</v>
      </c>
      <c r="Q104" t="n">
        <v>2</v>
      </c>
      <c r="R104" s="2" t="inlineStr">
        <is>
          <t>Storgröe
Ögonpyrola</t>
        </is>
      </c>
      <c r="S104">
        <f>HYPERLINK("https://klasma.github.io/Logging_2482/artfynd/A 787-2023 artfynd.xlsx", "A 787-2023")</f>
        <v/>
      </c>
      <c r="T104">
        <f>HYPERLINK("https://klasma.github.io/Logging_2482/kartor/A 787-2023 karta.png", "A 787-2023")</f>
        <v/>
      </c>
      <c r="V104">
        <f>HYPERLINK("https://klasma.github.io/Logging_2482/klagomål/A 787-2023 FSC-klagomål.docx", "A 787-2023")</f>
        <v/>
      </c>
      <c r="W104">
        <f>HYPERLINK("https://klasma.github.io/Logging_2482/klagomålsmail/A 787-2023 FSC-klagomål mail.docx", "A 787-2023")</f>
        <v/>
      </c>
      <c r="X104">
        <f>HYPERLINK("https://klasma.github.io/Logging_2482/tillsyn/A 787-2023 tillsynsbegäran.docx", "A 787-2023")</f>
        <v/>
      </c>
      <c r="Y104">
        <f>HYPERLINK("https://klasma.github.io/Logging_2482/tillsynsmail/A 787-2023 tillsynsbegäran mail.docx", "A 787-2023")</f>
        <v/>
      </c>
    </row>
    <row r="105" ht="15" customHeight="1">
      <c r="A105" t="inlineStr">
        <is>
          <t>A 5110-2025</t>
        </is>
      </c>
      <c r="B105" s="1" t="n">
        <v>45691</v>
      </c>
      <c r="C105" s="1" t="n">
        <v>45927</v>
      </c>
      <c r="D105" t="inlineStr">
        <is>
          <t>VÄSTERBOTTENS LÄN</t>
        </is>
      </c>
      <c r="E105" t="inlineStr">
        <is>
          <t>SKELLEFTEÅ</t>
        </is>
      </c>
      <c r="G105" t="n">
        <v>3.5</v>
      </c>
      <c r="H105" t="n">
        <v>0</v>
      </c>
      <c r="I105" t="n">
        <v>0</v>
      </c>
      <c r="J105" t="n">
        <v>2</v>
      </c>
      <c r="K105" t="n">
        <v>0</v>
      </c>
      <c r="L105" t="n">
        <v>0</v>
      </c>
      <c r="M105" t="n">
        <v>0</v>
      </c>
      <c r="N105" t="n">
        <v>0</v>
      </c>
      <c r="O105" t="n">
        <v>2</v>
      </c>
      <c r="P105" t="n">
        <v>0</v>
      </c>
      <c r="Q105" t="n">
        <v>2</v>
      </c>
      <c r="R105" s="2" t="inlineStr">
        <is>
          <t>Gammelgransskål
Harticka</t>
        </is>
      </c>
      <c r="S105">
        <f>HYPERLINK("https://klasma.github.io/Logging_2482/artfynd/A 5110-2025 artfynd.xlsx", "A 5110-2025")</f>
        <v/>
      </c>
      <c r="T105">
        <f>HYPERLINK("https://klasma.github.io/Logging_2482/kartor/A 5110-2025 karta.png", "A 5110-2025")</f>
        <v/>
      </c>
      <c r="V105">
        <f>HYPERLINK("https://klasma.github.io/Logging_2482/klagomål/A 5110-2025 FSC-klagomål.docx", "A 5110-2025")</f>
        <v/>
      </c>
      <c r="W105">
        <f>HYPERLINK("https://klasma.github.io/Logging_2482/klagomålsmail/A 5110-2025 FSC-klagomål mail.docx", "A 5110-2025")</f>
        <v/>
      </c>
      <c r="X105">
        <f>HYPERLINK("https://klasma.github.io/Logging_2482/tillsyn/A 5110-2025 tillsynsbegäran.docx", "A 5110-2025")</f>
        <v/>
      </c>
      <c r="Y105">
        <f>HYPERLINK("https://klasma.github.io/Logging_2482/tillsynsmail/A 5110-2025 tillsynsbegäran mail.docx", "A 5110-2025")</f>
        <v/>
      </c>
    </row>
    <row r="106" ht="15" customHeight="1">
      <c r="A106" t="inlineStr">
        <is>
          <t>A 57222-2024</t>
        </is>
      </c>
      <c r="B106" s="1" t="n">
        <v>45629.52625</v>
      </c>
      <c r="C106" s="1" t="n">
        <v>45927</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52525-2024</t>
        </is>
      </c>
      <c r="B107" s="1" t="n">
        <v>45609</v>
      </c>
      <c r="C107" s="1" t="n">
        <v>45927</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26962-2025</t>
        </is>
      </c>
      <c r="B108" s="1" t="n">
        <v>45811.46348379629</v>
      </c>
      <c r="C108" s="1" t="n">
        <v>45927</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11627-2023</t>
        </is>
      </c>
      <c r="B109" s="1" t="n">
        <v>44994</v>
      </c>
      <c r="C109" s="1" t="n">
        <v>45927</v>
      </c>
      <c r="D109" t="inlineStr">
        <is>
          <t>VÄSTERBOTTENS LÄN</t>
        </is>
      </c>
      <c r="E109" t="inlineStr">
        <is>
          <t>SKELLEFTEÅ</t>
        </is>
      </c>
      <c r="G109" t="n">
        <v>16.6</v>
      </c>
      <c r="H109" t="n">
        <v>1</v>
      </c>
      <c r="I109" t="n">
        <v>1</v>
      </c>
      <c r="J109" t="n">
        <v>0</v>
      </c>
      <c r="K109" t="n">
        <v>0</v>
      </c>
      <c r="L109" t="n">
        <v>0</v>
      </c>
      <c r="M109" t="n">
        <v>0</v>
      </c>
      <c r="N109" t="n">
        <v>0</v>
      </c>
      <c r="O109" t="n">
        <v>0</v>
      </c>
      <c r="P109" t="n">
        <v>0</v>
      </c>
      <c r="Q109" t="n">
        <v>2</v>
      </c>
      <c r="R109" s="2" t="inlineStr">
        <is>
          <t>Norrlandslav
Revlummer</t>
        </is>
      </c>
      <c r="S109">
        <f>HYPERLINK("https://klasma.github.io/Logging_2482/artfynd/A 11627-2023 artfynd.xlsx", "A 11627-2023")</f>
        <v/>
      </c>
      <c r="T109">
        <f>HYPERLINK("https://klasma.github.io/Logging_2482/kartor/A 11627-2023 karta.png", "A 11627-2023")</f>
        <v/>
      </c>
      <c r="V109">
        <f>HYPERLINK("https://klasma.github.io/Logging_2482/klagomål/A 11627-2023 FSC-klagomål.docx", "A 11627-2023")</f>
        <v/>
      </c>
      <c r="W109">
        <f>HYPERLINK("https://klasma.github.io/Logging_2482/klagomålsmail/A 11627-2023 FSC-klagomål mail.docx", "A 11627-2023")</f>
        <v/>
      </c>
      <c r="X109">
        <f>HYPERLINK("https://klasma.github.io/Logging_2482/tillsyn/A 11627-2023 tillsynsbegäran.docx", "A 11627-2023")</f>
        <v/>
      </c>
      <c r="Y109">
        <f>HYPERLINK("https://klasma.github.io/Logging_2482/tillsynsmail/A 11627-2023 tillsynsbegäran mail.docx", "A 11627-2023")</f>
        <v/>
      </c>
    </row>
    <row r="110" ht="15" customHeight="1">
      <c r="A110" t="inlineStr">
        <is>
          <t>A 28061-2025</t>
        </is>
      </c>
      <c r="B110" s="1" t="n">
        <v>45817.66739583333</v>
      </c>
      <c r="C110" s="1" t="n">
        <v>45927</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53422-2024</t>
        </is>
      </c>
      <c r="B111" s="1" t="n">
        <v>45614.51167824074</v>
      </c>
      <c r="C111" s="1" t="n">
        <v>45927</v>
      </c>
      <c r="D111" t="inlineStr">
        <is>
          <t>VÄSTERBOTTENS LÄN</t>
        </is>
      </c>
      <c r="E111" t="inlineStr">
        <is>
          <t>SKELLEFTEÅ</t>
        </is>
      </c>
      <c r="G111" t="n">
        <v>1.6</v>
      </c>
      <c r="H111" t="n">
        <v>1</v>
      </c>
      <c r="I111" t="n">
        <v>0</v>
      </c>
      <c r="J111" t="n">
        <v>2</v>
      </c>
      <c r="K111" t="n">
        <v>0</v>
      </c>
      <c r="L111" t="n">
        <v>0</v>
      </c>
      <c r="M111" t="n">
        <v>0</v>
      </c>
      <c r="N111" t="n">
        <v>0</v>
      </c>
      <c r="O111" t="n">
        <v>2</v>
      </c>
      <c r="P111" t="n">
        <v>0</v>
      </c>
      <c r="Q111" t="n">
        <v>2</v>
      </c>
      <c r="R111" s="2" t="inlineStr">
        <is>
          <t>Järpe
Talltaggsvamp</t>
        </is>
      </c>
      <c r="S111">
        <f>HYPERLINK("https://klasma.github.io/Logging_2482/artfynd/A 53422-2024 artfynd.xlsx", "A 53422-2024")</f>
        <v/>
      </c>
      <c r="T111">
        <f>HYPERLINK("https://klasma.github.io/Logging_2482/kartor/A 53422-2024 karta.png", "A 53422-2024")</f>
        <v/>
      </c>
      <c r="V111">
        <f>HYPERLINK("https://klasma.github.io/Logging_2482/klagomål/A 53422-2024 FSC-klagomål.docx", "A 53422-2024")</f>
        <v/>
      </c>
      <c r="W111">
        <f>HYPERLINK("https://klasma.github.io/Logging_2482/klagomålsmail/A 53422-2024 FSC-klagomål mail.docx", "A 53422-2024")</f>
        <v/>
      </c>
      <c r="X111">
        <f>HYPERLINK("https://klasma.github.io/Logging_2482/tillsyn/A 53422-2024 tillsynsbegäran.docx", "A 53422-2024")</f>
        <v/>
      </c>
      <c r="Y111">
        <f>HYPERLINK("https://klasma.github.io/Logging_2482/tillsynsmail/A 53422-2024 tillsynsbegäran mail.docx", "A 53422-2024")</f>
        <v/>
      </c>
      <c r="Z111">
        <f>HYPERLINK("https://klasma.github.io/Logging_2482/fåglar/A 53422-2024 prioriterade fågelarter.docx", "A 53422-2024")</f>
        <v/>
      </c>
    </row>
    <row r="112" ht="15" customHeight="1">
      <c r="A112" t="inlineStr">
        <is>
          <t>A 35733-2021</t>
        </is>
      </c>
      <c r="B112" s="1" t="n">
        <v>44385</v>
      </c>
      <c r="C112" s="1" t="n">
        <v>45927</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59706-2021</t>
        </is>
      </c>
      <c r="B113" s="1" t="n">
        <v>44494</v>
      </c>
      <c r="C113" s="1" t="n">
        <v>45927</v>
      </c>
      <c r="D113" t="inlineStr">
        <is>
          <t>VÄSTERBOTTENS LÄN</t>
        </is>
      </c>
      <c r="E113" t="inlineStr">
        <is>
          <t>SKELLEFTEÅ</t>
        </is>
      </c>
      <c r="F113" t="inlineStr">
        <is>
          <t>Sveaskog</t>
        </is>
      </c>
      <c r="G113" t="n">
        <v>2.5</v>
      </c>
      <c r="H113" t="n">
        <v>0</v>
      </c>
      <c r="I113" t="n">
        <v>0</v>
      </c>
      <c r="J113" t="n">
        <v>2</v>
      </c>
      <c r="K113" t="n">
        <v>0</v>
      </c>
      <c r="L113" t="n">
        <v>0</v>
      </c>
      <c r="M113" t="n">
        <v>0</v>
      </c>
      <c r="N113" t="n">
        <v>0</v>
      </c>
      <c r="O113" t="n">
        <v>2</v>
      </c>
      <c r="P113" t="n">
        <v>0</v>
      </c>
      <c r="Q113" t="n">
        <v>2</v>
      </c>
      <c r="R113" s="2" t="inlineStr">
        <is>
          <t>Garnlav
Violettgrå tagellav</t>
        </is>
      </c>
      <c r="S113">
        <f>HYPERLINK("https://klasma.github.io/Logging_2482/artfynd/A 59706-2021 artfynd.xlsx", "A 59706-2021")</f>
        <v/>
      </c>
      <c r="T113">
        <f>HYPERLINK("https://klasma.github.io/Logging_2482/kartor/A 59706-2021 karta.png", "A 59706-2021")</f>
        <v/>
      </c>
      <c r="V113">
        <f>HYPERLINK("https://klasma.github.io/Logging_2482/klagomål/A 59706-2021 FSC-klagomål.docx", "A 59706-2021")</f>
        <v/>
      </c>
      <c r="W113">
        <f>HYPERLINK("https://klasma.github.io/Logging_2482/klagomålsmail/A 59706-2021 FSC-klagomål mail.docx", "A 59706-2021")</f>
        <v/>
      </c>
      <c r="X113">
        <f>HYPERLINK("https://klasma.github.io/Logging_2482/tillsyn/A 59706-2021 tillsynsbegäran.docx", "A 59706-2021")</f>
        <v/>
      </c>
      <c r="Y113">
        <f>HYPERLINK("https://klasma.github.io/Logging_2482/tillsynsmail/A 59706-2021 tillsynsbegäran mail.docx", "A 59706-2021")</f>
        <v/>
      </c>
    </row>
    <row r="114" ht="15" customHeight="1">
      <c r="A114" t="inlineStr">
        <is>
          <t>A 29500-2025</t>
        </is>
      </c>
      <c r="B114" s="1" t="n">
        <v>45825.28601851852</v>
      </c>
      <c r="C114" s="1" t="n">
        <v>45927</v>
      </c>
      <c r="D114" t="inlineStr">
        <is>
          <t>VÄSTERBOTTENS LÄN</t>
        </is>
      </c>
      <c r="E114" t="inlineStr">
        <is>
          <t>SKELLEFTEÅ</t>
        </is>
      </c>
      <c r="G114" t="n">
        <v>19.6</v>
      </c>
      <c r="H114" t="n">
        <v>1</v>
      </c>
      <c r="I114" t="n">
        <v>0</v>
      </c>
      <c r="J114" t="n">
        <v>2</v>
      </c>
      <c r="K114" t="n">
        <v>0</v>
      </c>
      <c r="L114" t="n">
        <v>0</v>
      </c>
      <c r="M114" t="n">
        <v>0</v>
      </c>
      <c r="N114" t="n">
        <v>0</v>
      </c>
      <c r="O114" t="n">
        <v>2</v>
      </c>
      <c r="P114" t="n">
        <v>0</v>
      </c>
      <c r="Q114" t="n">
        <v>2</v>
      </c>
      <c r="R114" s="2" t="inlineStr">
        <is>
          <t>Duvhök
Garnlav</t>
        </is>
      </c>
      <c r="S114">
        <f>HYPERLINK("https://klasma.github.io/Logging_2482/artfynd/A 29500-2025 artfynd.xlsx", "A 29500-2025")</f>
        <v/>
      </c>
      <c r="T114">
        <f>HYPERLINK("https://klasma.github.io/Logging_2482/kartor/A 29500-2025 karta.png", "A 29500-2025")</f>
        <v/>
      </c>
      <c r="V114">
        <f>HYPERLINK("https://klasma.github.io/Logging_2482/klagomål/A 29500-2025 FSC-klagomål.docx", "A 29500-2025")</f>
        <v/>
      </c>
      <c r="W114">
        <f>HYPERLINK("https://klasma.github.io/Logging_2482/klagomålsmail/A 29500-2025 FSC-klagomål mail.docx", "A 29500-2025")</f>
        <v/>
      </c>
      <c r="X114">
        <f>HYPERLINK("https://klasma.github.io/Logging_2482/tillsyn/A 29500-2025 tillsynsbegäran.docx", "A 29500-2025")</f>
        <v/>
      </c>
      <c r="Y114">
        <f>HYPERLINK("https://klasma.github.io/Logging_2482/tillsynsmail/A 29500-2025 tillsynsbegäran mail.docx", "A 29500-2025")</f>
        <v/>
      </c>
      <c r="Z114">
        <f>HYPERLINK("https://klasma.github.io/Logging_2482/fåglar/A 29500-2025 prioriterade fågelarter.docx", "A 29500-2025")</f>
        <v/>
      </c>
    </row>
    <row r="115" ht="15" customHeight="1">
      <c r="A115" t="inlineStr">
        <is>
          <t>A 49440-2022</t>
        </is>
      </c>
      <c r="B115" s="1" t="n">
        <v>44859</v>
      </c>
      <c r="C115" s="1" t="n">
        <v>45927</v>
      </c>
      <c r="D115" t="inlineStr">
        <is>
          <t>VÄSTERBOTTENS LÄN</t>
        </is>
      </c>
      <c r="E115" t="inlineStr">
        <is>
          <t>SKELLEFTEÅ</t>
        </is>
      </c>
      <c r="G115" t="n">
        <v>1.5</v>
      </c>
      <c r="H115" t="n">
        <v>0</v>
      </c>
      <c r="I115" t="n">
        <v>0</v>
      </c>
      <c r="J115" t="n">
        <v>2</v>
      </c>
      <c r="K115" t="n">
        <v>0</v>
      </c>
      <c r="L115" t="n">
        <v>0</v>
      </c>
      <c r="M115" t="n">
        <v>0</v>
      </c>
      <c r="N115" t="n">
        <v>0</v>
      </c>
      <c r="O115" t="n">
        <v>2</v>
      </c>
      <c r="P115" t="n">
        <v>0</v>
      </c>
      <c r="Q115" t="n">
        <v>2</v>
      </c>
      <c r="R115" s="2" t="inlineStr">
        <is>
          <t>Gränsticka
Ullticka</t>
        </is>
      </c>
      <c r="S115">
        <f>HYPERLINK("https://klasma.github.io/Logging_2482/artfynd/A 49440-2022 artfynd.xlsx", "A 49440-2022")</f>
        <v/>
      </c>
      <c r="T115">
        <f>HYPERLINK("https://klasma.github.io/Logging_2482/kartor/A 49440-2022 karta.png", "A 49440-2022")</f>
        <v/>
      </c>
      <c r="V115">
        <f>HYPERLINK("https://klasma.github.io/Logging_2482/klagomål/A 49440-2022 FSC-klagomål.docx", "A 49440-2022")</f>
        <v/>
      </c>
      <c r="W115">
        <f>HYPERLINK("https://klasma.github.io/Logging_2482/klagomålsmail/A 49440-2022 FSC-klagomål mail.docx", "A 49440-2022")</f>
        <v/>
      </c>
      <c r="X115">
        <f>HYPERLINK("https://klasma.github.io/Logging_2482/tillsyn/A 49440-2022 tillsynsbegäran.docx", "A 49440-2022")</f>
        <v/>
      </c>
      <c r="Y115">
        <f>HYPERLINK("https://klasma.github.io/Logging_2482/tillsynsmail/A 49440-2022 tillsynsbegäran mail.docx", "A 49440-2022")</f>
        <v/>
      </c>
    </row>
    <row r="116" ht="15" customHeight="1">
      <c r="A116" t="inlineStr">
        <is>
          <t>A 1259-2024</t>
        </is>
      </c>
      <c r="B116" s="1" t="n">
        <v>45302</v>
      </c>
      <c r="C116" s="1" t="n">
        <v>45927</v>
      </c>
      <c r="D116" t="inlineStr">
        <is>
          <t>VÄSTERBOTTENS LÄN</t>
        </is>
      </c>
      <c r="E116" t="inlineStr">
        <is>
          <t>SKELLEFTEÅ</t>
        </is>
      </c>
      <c r="G116" t="n">
        <v>1.6</v>
      </c>
      <c r="H116" t="n">
        <v>0</v>
      </c>
      <c r="I116" t="n">
        <v>0</v>
      </c>
      <c r="J116" t="n">
        <v>2</v>
      </c>
      <c r="K116" t="n">
        <v>0</v>
      </c>
      <c r="L116" t="n">
        <v>0</v>
      </c>
      <c r="M116" t="n">
        <v>0</v>
      </c>
      <c r="N116" t="n">
        <v>0</v>
      </c>
      <c r="O116" t="n">
        <v>2</v>
      </c>
      <c r="P116" t="n">
        <v>0</v>
      </c>
      <c r="Q116" t="n">
        <v>2</v>
      </c>
      <c r="R116" s="2" t="inlineStr">
        <is>
          <t>Månlåsbräken
Nordlåsbräken</t>
        </is>
      </c>
      <c r="S116">
        <f>HYPERLINK("https://klasma.github.io/Logging_2482/artfynd/A 1259-2024 artfynd.xlsx", "A 1259-2024")</f>
        <v/>
      </c>
      <c r="T116">
        <f>HYPERLINK("https://klasma.github.io/Logging_2482/kartor/A 1259-2024 karta.png", "A 1259-2024")</f>
        <v/>
      </c>
      <c r="V116">
        <f>HYPERLINK("https://klasma.github.io/Logging_2482/klagomål/A 1259-2024 FSC-klagomål.docx", "A 1259-2024")</f>
        <v/>
      </c>
      <c r="W116">
        <f>HYPERLINK("https://klasma.github.io/Logging_2482/klagomålsmail/A 1259-2024 FSC-klagomål mail.docx", "A 1259-2024")</f>
        <v/>
      </c>
      <c r="X116">
        <f>HYPERLINK("https://klasma.github.io/Logging_2482/tillsyn/A 1259-2024 tillsynsbegäran.docx", "A 1259-2024")</f>
        <v/>
      </c>
      <c r="Y116">
        <f>HYPERLINK("https://klasma.github.io/Logging_2482/tillsynsmail/A 1259-2024 tillsynsbegäran mail.docx", "A 1259-2024")</f>
        <v/>
      </c>
    </row>
    <row r="117" ht="15" customHeight="1">
      <c r="A117" t="inlineStr">
        <is>
          <t>A 40742-2023</t>
        </is>
      </c>
      <c r="B117" s="1" t="n">
        <v>45170</v>
      </c>
      <c r="C117" s="1" t="n">
        <v>45927</v>
      </c>
      <c r="D117" t="inlineStr">
        <is>
          <t>VÄSTERBOTTENS LÄN</t>
        </is>
      </c>
      <c r="E117" t="inlineStr">
        <is>
          <t>SKELLEFTEÅ</t>
        </is>
      </c>
      <c r="F117" t="inlineStr">
        <is>
          <t>Sveaskog</t>
        </is>
      </c>
      <c r="G117" t="n">
        <v>13.6</v>
      </c>
      <c r="H117" t="n">
        <v>0</v>
      </c>
      <c r="I117" t="n">
        <v>1</v>
      </c>
      <c r="J117" t="n">
        <v>1</v>
      </c>
      <c r="K117" t="n">
        <v>0</v>
      </c>
      <c r="L117" t="n">
        <v>0</v>
      </c>
      <c r="M117" t="n">
        <v>0</v>
      </c>
      <c r="N117" t="n">
        <v>0</v>
      </c>
      <c r="O117" t="n">
        <v>1</v>
      </c>
      <c r="P117" t="n">
        <v>0</v>
      </c>
      <c r="Q117" t="n">
        <v>2</v>
      </c>
      <c r="R117" s="2" t="inlineStr">
        <is>
          <t>Kolflarnlav
Stuplav</t>
        </is>
      </c>
      <c r="S117">
        <f>HYPERLINK("https://klasma.github.io/Logging_2482/artfynd/A 40742-2023 artfynd.xlsx", "A 40742-2023")</f>
        <v/>
      </c>
      <c r="T117">
        <f>HYPERLINK("https://klasma.github.io/Logging_2482/kartor/A 40742-2023 karta.png", "A 40742-2023")</f>
        <v/>
      </c>
      <c r="V117">
        <f>HYPERLINK("https://klasma.github.io/Logging_2482/klagomål/A 40742-2023 FSC-klagomål.docx", "A 40742-2023")</f>
        <v/>
      </c>
      <c r="W117">
        <f>HYPERLINK("https://klasma.github.io/Logging_2482/klagomålsmail/A 40742-2023 FSC-klagomål mail.docx", "A 40742-2023")</f>
        <v/>
      </c>
      <c r="X117">
        <f>HYPERLINK("https://klasma.github.io/Logging_2482/tillsyn/A 40742-2023 tillsynsbegäran.docx", "A 40742-2023")</f>
        <v/>
      </c>
      <c r="Y117">
        <f>HYPERLINK("https://klasma.github.io/Logging_2482/tillsynsmail/A 40742-2023 tillsynsbegäran mail.docx", "A 40742-2023")</f>
        <v/>
      </c>
    </row>
    <row r="118" ht="15" customHeight="1">
      <c r="A118" t="inlineStr">
        <is>
          <t>A 40414-2025</t>
        </is>
      </c>
      <c r="B118" s="1" t="n">
        <v>45895.57538194444</v>
      </c>
      <c r="C118" s="1" t="n">
        <v>45927</v>
      </c>
      <c r="D118" t="inlineStr">
        <is>
          <t>VÄSTERBOTTENS LÄN</t>
        </is>
      </c>
      <c r="E118" t="inlineStr">
        <is>
          <t>SKELLEFTEÅ</t>
        </is>
      </c>
      <c r="F118" t="inlineStr">
        <is>
          <t>Holmen skog AB</t>
        </is>
      </c>
      <c r="G118" t="n">
        <v>5.1</v>
      </c>
      <c r="H118" t="n">
        <v>0</v>
      </c>
      <c r="I118" t="n">
        <v>0</v>
      </c>
      <c r="J118" t="n">
        <v>2</v>
      </c>
      <c r="K118" t="n">
        <v>0</v>
      </c>
      <c r="L118" t="n">
        <v>0</v>
      </c>
      <c r="M118" t="n">
        <v>0</v>
      </c>
      <c r="N118" t="n">
        <v>0</v>
      </c>
      <c r="O118" t="n">
        <v>2</v>
      </c>
      <c r="P118" t="n">
        <v>0</v>
      </c>
      <c r="Q118" t="n">
        <v>2</v>
      </c>
      <c r="R118" s="2" t="inlineStr">
        <is>
          <t>Gammelgransskål
Tallticka</t>
        </is>
      </c>
      <c r="S118">
        <f>HYPERLINK("https://klasma.github.io/Logging_2482/artfynd/A 40414-2025 artfynd.xlsx", "A 40414-2025")</f>
        <v/>
      </c>
      <c r="T118">
        <f>HYPERLINK("https://klasma.github.io/Logging_2482/kartor/A 40414-2025 karta.png", "A 40414-2025")</f>
        <v/>
      </c>
      <c r="V118">
        <f>HYPERLINK("https://klasma.github.io/Logging_2482/klagomål/A 40414-2025 FSC-klagomål.docx", "A 40414-2025")</f>
        <v/>
      </c>
      <c r="W118">
        <f>HYPERLINK("https://klasma.github.io/Logging_2482/klagomålsmail/A 40414-2025 FSC-klagomål mail.docx", "A 40414-2025")</f>
        <v/>
      </c>
      <c r="X118">
        <f>HYPERLINK("https://klasma.github.io/Logging_2482/tillsyn/A 40414-2025 tillsynsbegäran.docx", "A 40414-2025")</f>
        <v/>
      </c>
      <c r="Y118">
        <f>HYPERLINK("https://klasma.github.io/Logging_2482/tillsynsmail/A 40414-2025 tillsynsbegäran mail.docx", "A 40414-2025")</f>
        <v/>
      </c>
    </row>
    <row r="119" ht="15" customHeight="1">
      <c r="A119" t="inlineStr">
        <is>
          <t>A 57851-2024</t>
        </is>
      </c>
      <c r="B119" s="1" t="n">
        <v>45631</v>
      </c>
      <c r="C119" s="1" t="n">
        <v>45927</v>
      </c>
      <c r="D119" t="inlineStr">
        <is>
          <t>VÄSTERBOTTENS LÄN</t>
        </is>
      </c>
      <c r="E119" t="inlineStr">
        <is>
          <t>SKELLEFTEÅ</t>
        </is>
      </c>
      <c r="F119" t="inlineStr">
        <is>
          <t>Sveaskog</t>
        </is>
      </c>
      <c r="G119" t="n">
        <v>15.7</v>
      </c>
      <c r="H119" t="n">
        <v>2</v>
      </c>
      <c r="I119" t="n">
        <v>0</v>
      </c>
      <c r="J119" t="n">
        <v>0</v>
      </c>
      <c r="K119" t="n">
        <v>0</v>
      </c>
      <c r="L119" t="n">
        <v>0</v>
      </c>
      <c r="M119" t="n">
        <v>0</v>
      </c>
      <c r="N119" t="n">
        <v>0</v>
      </c>
      <c r="O119" t="n">
        <v>0</v>
      </c>
      <c r="P119" t="n">
        <v>0</v>
      </c>
      <c r="Q119" t="n">
        <v>2</v>
      </c>
      <c r="R119" s="2" t="inlineStr">
        <is>
          <t>Fläcknycklar
Revlummer</t>
        </is>
      </c>
      <c r="S119">
        <f>HYPERLINK("https://klasma.github.io/Logging_2482/artfynd/A 57851-2024 artfynd.xlsx", "A 57851-2024")</f>
        <v/>
      </c>
      <c r="T119">
        <f>HYPERLINK("https://klasma.github.io/Logging_2482/kartor/A 57851-2024 karta.png", "A 57851-2024")</f>
        <v/>
      </c>
      <c r="V119">
        <f>HYPERLINK("https://klasma.github.io/Logging_2482/klagomål/A 57851-2024 FSC-klagomål.docx", "A 57851-2024")</f>
        <v/>
      </c>
      <c r="W119">
        <f>HYPERLINK("https://klasma.github.io/Logging_2482/klagomålsmail/A 57851-2024 FSC-klagomål mail.docx", "A 57851-2024")</f>
        <v/>
      </c>
      <c r="X119">
        <f>HYPERLINK("https://klasma.github.io/Logging_2482/tillsyn/A 57851-2024 tillsynsbegäran.docx", "A 57851-2024")</f>
        <v/>
      </c>
      <c r="Y119">
        <f>HYPERLINK("https://klasma.github.io/Logging_2482/tillsynsmail/A 57851-2024 tillsynsbegäran mail.docx", "A 57851-2024")</f>
        <v/>
      </c>
    </row>
    <row r="120" ht="15" customHeight="1">
      <c r="A120" t="inlineStr">
        <is>
          <t>A 53271-2024</t>
        </is>
      </c>
      <c r="B120" s="1" t="n">
        <v>45614.36726851852</v>
      </c>
      <c r="C120" s="1" t="n">
        <v>45927</v>
      </c>
      <c r="D120" t="inlineStr">
        <is>
          <t>VÄSTERBOTTENS LÄN</t>
        </is>
      </c>
      <c r="E120" t="inlineStr">
        <is>
          <t>SKELLEFTEÅ</t>
        </is>
      </c>
      <c r="F120" t="inlineStr">
        <is>
          <t>Holmen skog AB</t>
        </is>
      </c>
      <c r="G120" t="n">
        <v>11.1</v>
      </c>
      <c r="H120" t="n">
        <v>0</v>
      </c>
      <c r="I120" t="n">
        <v>1</v>
      </c>
      <c r="J120" t="n">
        <v>1</v>
      </c>
      <c r="K120" t="n">
        <v>0</v>
      </c>
      <c r="L120" t="n">
        <v>0</v>
      </c>
      <c r="M120" t="n">
        <v>0</v>
      </c>
      <c r="N120" t="n">
        <v>0</v>
      </c>
      <c r="O120" t="n">
        <v>1</v>
      </c>
      <c r="P120" t="n">
        <v>0</v>
      </c>
      <c r="Q120" t="n">
        <v>2</v>
      </c>
      <c r="R120" s="2" t="inlineStr">
        <is>
          <t>Orange taggsvamp
Ögonpyrola</t>
        </is>
      </c>
      <c r="S120">
        <f>HYPERLINK("https://klasma.github.io/Logging_2482/artfynd/A 53271-2024 artfynd.xlsx", "A 53271-2024")</f>
        <v/>
      </c>
      <c r="T120">
        <f>HYPERLINK("https://klasma.github.io/Logging_2482/kartor/A 53271-2024 karta.png", "A 53271-2024")</f>
        <v/>
      </c>
      <c r="V120">
        <f>HYPERLINK("https://klasma.github.io/Logging_2482/klagomål/A 53271-2024 FSC-klagomål.docx", "A 53271-2024")</f>
        <v/>
      </c>
      <c r="W120">
        <f>HYPERLINK("https://klasma.github.io/Logging_2482/klagomålsmail/A 53271-2024 FSC-klagomål mail.docx", "A 53271-2024")</f>
        <v/>
      </c>
      <c r="X120">
        <f>HYPERLINK("https://klasma.github.io/Logging_2482/tillsyn/A 53271-2024 tillsynsbegäran.docx", "A 53271-2024")</f>
        <v/>
      </c>
      <c r="Y120">
        <f>HYPERLINK("https://klasma.github.io/Logging_2482/tillsynsmail/A 53271-2024 tillsynsbegäran mail.docx", "A 53271-2024")</f>
        <v/>
      </c>
    </row>
    <row r="121" ht="15" customHeight="1">
      <c r="A121" t="inlineStr">
        <is>
          <t>A 35956-2025</t>
        </is>
      </c>
      <c r="B121" s="1" t="n">
        <v>45863.32681712963</v>
      </c>
      <c r="C121" s="1" t="n">
        <v>45927</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901-2023</t>
        </is>
      </c>
      <c r="B122" s="1" t="n">
        <v>44931.92556712963</v>
      </c>
      <c r="C122" s="1" t="n">
        <v>45927</v>
      </c>
      <c r="D122" t="inlineStr">
        <is>
          <t>VÄSTERBOTTENS LÄN</t>
        </is>
      </c>
      <c r="E122" t="inlineStr">
        <is>
          <t>SKELLEFTEÅ</t>
        </is>
      </c>
      <c r="G122" t="n">
        <v>7.7</v>
      </c>
      <c r="H122" t="n">
        <v>0</v>
      </c>
      <c r="I122" t="n">
        <v>0</v>
      </c>
      <c r="J122" t="n">
        <v>2</v>
      </c>
      <c r="K122" t="n">
        <v>0</v>
      </c>
      <c r="L122" t="n">
        <v>0</v>
      </c>
      <c r="M122" t="n">
        <v>0</v>
      </c>
      <c r="N122" t="n">
        <v>0</v>
      </c>
      <c r="O122" t="n">
        <v>2</v>
      </c>
      <c r="P122" t="n">
        <v>0</v>
      </c>
      <c r="Q122" t="n">
        <v>2</v>
      </c>
      <c r="R122" s="2" t="inlineStr">
        <is>
          <t>Garnlav
Skogshare</t>
        </is>
      </c>
      <c r="S122">
        <f>HYPERLINK("https://klasma.github.io/Logging_2482/artfynd/A 901-2023 artfynd.xlsx", "A 901-2023")</f>
        <v/>
      </c>
      <c r="T122">
        <f>HYPERLINK("https://klasma.github.io/Logging_2482/kartor/A 901-2023 karta.png", "A 901-2023")</f>
        <v/>
      </c>
      <c r="V122">
        <f>HYPERLINK("https://klasma.github.io/Logging_2482/klagomål/A 901-2023 FSC-klagomål.docx", "A 901-2023")</f>
        <v/>
      </c>
      <c r="W122">
        <f>HYPERLINK("https://klasma.github.io/Logging_2482/klagomålsmail/A 901-2023 FSC-klagomål mail.docx", "A 901-2023")</f>
        <v/>
      </c>
      <c r="X122">
        <f>HYPERLINK("https://klasma.github.io/Logging_2482/tillsyn/A 901-2023 tillsynsbegäran.docx", "A 901-2023")</f>
        <v/>
      </c>
      <c r="Y122">
        <f>HYPERLINK("https://klasma.github.io/Logging_2482/tillsynsmail/A 901-2023 tillsynsbegäran mail.docx", "A 901-2023")</f>
        <v/>
      </c>
    </row>
    <row r="123" ht="15" customHeight="1">
      <c r="A123" t="inlineStr">
        <is>
          <t>A 20367-2025</t>
        </is>
      </c>
      <c r="B123" s="1" t="n">
        <v>45775.40958333333</v>
      </c>
      <c r="C123" s="1" t="n">
        <v>45927</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37985-2025</t>
        </is>
      </c>
      <c r="B124" s="1" t="n">
        <v>45881.70010416667</v>
      </c>
      <c r="C124" s="1" t="n">
        <v>45927</v>
      </c>
      <c r="D124" t="inlineStr">
        <is>
          <t>VÄSTERBOTTENS LÄN</t>
        </is>
      </c>
      <c r="E124" t="inlineStr">
        <is>
          <t>SKELLEFTEÅ</t>
        </is>
      </c>
      <c r="G124" t="n">
        <v>4.9</v>
      </c>
      <c r="H124" t="n">
        <v>1</v>
      </c>
      <c r="I124" t="n">
        <v>0</v>
      </c>
      <c r="J124" t="n">
        <v>1</v>
      </c>
      <c r="K124" t="n">
        <v>0</v>
      </c>
      <c r="L124" t="n">
        <v>0</v>
      </c>
      <c r="M124" t="n">
        <v>0</v>
      </c>
      <c r="N124" t="n">
        <v>0</v>
      </c>
      <c r="O124" t="n">
        <v>1</v>
      </c>
      <c r="P124" t="n">
        <v>0</v>
      </c>
      <c r="Q124" t="n">
        <v>2</v>
      </c>
      <c r="R124" s="2" t="inlineStr">
        <is>
          <t>Lunglav
Orre</t>
        </is>
      </c>
      <c r="S124">
        <f>HYPERLINK("https://klasma.github.io/Logging_2482/artfynd/A 37985-2025 artfynd.xlsx", "A 37985-2025")</f>
        <v/>
      </c>
      <c r="T124">
        <f>HYPERLINK("https://klasma.github.io/Logging_2482/kartor/A 37985-2025 karta.png", "A 37985-2025")</f>
        <v/>
      </c>
      <c r="V124">
        <f>HYPERLINK("https://klasma.github.io/Logging_2482/klagomål/A 37985-2025 FSC-klagomål.docx", "A 37985-2025")</f>
        <v/>
      </c>
      <c r="W124">
        <f>HYPERLINK("https://klasma.github.io/Logging_2482/klagomålsmail/A 37985-2025 FSC-klagomål mail.docx", "A 37985-2025")</f>
        <v/>
      </c>
      <c r="X124">
        <f>HYPERLINK("https://klasma.github.io/Logging_2482/tillsyn/A 37985-2025 tillsynsbegäran.docx", "A 37985-2025")</f>
        <v/>
      </c>
      <c r="Y124">
        <f>HYPERLINK("https://klasma.github.io/Logging_2482/tillsynsmail/A 37985-2025 tillsynsbegäran mail.docx", "A 37985-2025")</f>
        <v/>
      </c>
      <c r="Z124">
        <f>HYPERLINK("https://klasma.github.io/Logging_2482/fåglar/A 37985-2025 prioriterade fågelarter.docx", "A 37985-2025")</f>
        <v/>
      </c>
    </row>
    <row r="125" ht="15" customHeight="1">
      <c r="A125" t="inlineStr">
        <is>
          <t>A 42328-2025</t>
        </is>
      </c>
      <c r="B125" s="1" t="n">
        <v>45904</v>
      </c>
      <c r="C125" s="1" t="n">
        <v>45927</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14857-2021</t>
        </is>
      </c>
      <c r="B126" s="1" t="n">
        <v>44280</v>
      </c>
      <c r="C126" s="1" t="n">
        <v>45927</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45927</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57851-2022</t>
        </is>
      </c>
      <c r="B128" s="1" t="n">
        <v>44898</v>
      </c>
      <c r="C128" s="1" t="n">
        <v>45927</v>
      </c>
      <c r="D128" t="inlineStr">
        <is>
          <t>VÄSTERBOTTENS LÄN</t>
        </is>
      </c>
      <c r="E128" t="inlineStr">
        <is>
          <t>SKELLEFTEÅ</t>
        </is>
      </c>
      <c r="F128" t="inlineStr">
        <is>
          <t>Holmen skog AB</t>
        </is>
      </c>
      <c r="G128" t="n">
        <v>4.6</v>
      </c>
      <c r="H128" t="n">
        <v>1</v>
      </c>
      <c r="I128" t="n">
        <v>0</v>
      </c>
      <c r="J128" t="n">
        <v>1</v>
      </c>
      <c r="K128" t="n">
        <v>0</v>
      </c>
      <c r="L128" t="n">
        <v>0</v>
      </c>
      <c r="M128" t="n">
        <v>0</v>
      </c>
      <c r="N128" t="n">
        <v>0</v>
      </c>
      <c r="O128" t="n">
        <v>1</v>
      </c>
      <c r="P128" t="n">
        <v>0</v>
      </c>
      <c r="Q128" t="n">
        <v>1</v>
      </c>
      <c r="R128" s="2" t="inlineStr">
        <is>
          <t>Utter</t>
        </is>
      </c>
      <c r="S128">
        <f>HYPERLINK("https://klasma.github.io/Logging_2482/artfynd/A 57851-2022 artfynd.xlsx", "A 57851-2022")</f>
        <v/>
      </c>
      <c r="T128">
        <f>HYPERLINK("https://klasma.github.io/Logging_2482/kartor/A 57851-2022 karta.png", "A 57851-2022")</f>
        <v/>
      </c>
      <c r="V128">
        <f>HYPERLINK("https://klasma.github.io/Logging_2482/klagomål/A 57851-2022 FSC-klagomål.docx", "A 57851-2022")</f>
        <v/>
      </c>
      <c r="W128">
        <f>HYPERLINK("https://klasma.github.io/Logging_2482/klagomålsmail/A 57851-2022 FSC-klagomål mail.docx", "A 57851-2022")</f>
        <v/>
      </c>
      <c r="X128">
        <f>HYPERLINK("https://klasma.github.io/Logging_2482/tillsyn/A 57851-2022 tillsynsbegäran.docx", "A 57851-2022")</f>
        <v/>
      </c>
      <c r="Y128">
        <f>HYPERLINK("https://klasma.github.io/Logging_2482/tillsynsmail/A 57851-2022 tillsynsbegäran mail.docx", "A 57851-2022")</f>
        <v/>
      </c>
    </row>
    <row r="129" ht="15" customHeight="1">
      <c r="A129" t="inlineStr">
        <is>
          <t>A 32724-2024</t>
        </is>
      </c>
      <c r="B129" s="1" t="n">
        <v>45516.40765046296</v>
      </c>
      <c r="C129" s="1" t="n">
        <v>45927</v>
      </c>
      <c r="D129" t="inlineStr">
        <is>
          <t>VÄSTERBOTTENS LÄN</t>
        </is>
      </c>
      <c r="E129" t="inlineStr">
        <is>
          <t>SKELLEFTEÅ</t>
        </is>
      </c>
      <c r="F129" t="inlineStr">
        <is>
          <t>Holmen skog AB</t>
        </is>
      </c>
      <c r="G129" t="n">
        <v>4.4</v>
      </c>
      <c r="H129" t="n">
        <v>0</v>
      </c>
      <c r="I129" t="n">
        <v>0</v>
      </c>
      <c r="J129" t="n">
        <v>1</v>
      </c>
      <c r="K129" t="n">
        <v>0</v>
      </c>
      <c r="L129" t="n">
        <v>0</v>
      </c>
      <c r="M129" t="n">
        <v>0</v>
      </c>
      <c r="N129" t="n">
        <v>0</v>
      </c>
      <c r="O129" t="n">
        <v>1</v>
      </c>
      <c r="P129" t="n">
        <v>0</v>
      </c>
      <c r="Q129" t="n">
        <v>1</v>
      </c>
      <c r="R129" s="2" t="inlineStr">
        <is>
          <t>Lunglav</t>
        </is>
      </c>
      <c r="S129">
        <f>HYPERLINK("https://klasma.github.io/Logging_2482/artfynd/A 32724-2024 artfynd.xlsx", "A 32724-2024")</f>
        <v/>
      </c>
      <c r="T129">
        <f>HYPERLINK("https://klasma.github.io/Logging_2482/kartor/A 32724-2024 karta.png", "A 32724-2024")</f>
        <v/>
      </c>
      <c r="V129">
        <f>HYPERLINK("https://klasma.github.io/Logging_2482/klagomål/A 32724-2024 FSC-klagomål.docx", "A 32724-2024")</f>
        <v/>
      </c>
      <c r="W129">
        <f>HYPERLINK("https://klasma.github.io/Logging_2482/klagomålsmail/A 32724-2024 FSC-klagomål mail.docx", "A 32724-2024")</f>
        <v/>
      </c>
      <c r="X129">
        <f>HYPERLINK("https://klasma.github.io/Logging_2482/tillsyn/A 32724-2024 tillsynsbegäran.docx", "A 32724-2024")</f>
        <v/>
      </c>
      <c r="Y129">
        <f>HYPERLINK("https://klasma.github.io/Logging_2482/tillsynsmail/A 32724-2024 tillsynsbegäran mail.docx", "A 32724-2024")</f>
        <v/>
      </c>
    </row>
    <row r="130" ht="15" customHeight="1">
      <c r="A130" t="inlineStr">
        <is>
          <t>A 8729-2025</t>
        </is>
      </c>
      <c r="B130" s="1" t="n">
        <v>45712.53144675926</v>
      </c>
      <c r="C130" s="1" t="n">
        <v>45927</v>
      </c>
      <c r="D130" t="inlineStr">
        <is>
          <t>VÄSTERBOTTENS LÄN</t>
        </is>
      </c>
      <c r="E130" t="inlineStr">
        <is>
          <t>SKELLEFTEÅ</t>
        </is>
      </c>
      <c r="G130" t="n">
        <v>12.2</v>
      </c>
      <c r="H130" t="n">
        <v>0</v>
      </c>
      <c r="I130" t="n">
        <v>0</v>
      </c>
      <c r="J130" t="n">
        <v>1</v>
      </c>
      <c r="K130" t="n">
        <v>0</v>
      </c>
      <c r="L130" t="n">
        <v>0</v>
      </c>
      <c r="M130" t="n">
        <v>0</v>
      </c>
      <c r="N130" t="n">
        <v>0</v>
      </c>
      <c r="O130" t="n">
        <v>1</v>
      </c>
      <c r="P130" t="n">
        <v>0</v>
      </c>
      <c r="Q130" t="n">
        <v>1</v>
      </c>
      <c r="R130" s="2" t="inlineStr">
        <is>
          <t>Granticka</t>
        </is>
      </c>
      <c r="S130">
        <f>HYPERLINK("https://klasma.github.io/Logging_2482/artfynd/A 8729-2025 artfynd.xlsx", "A 8729-2025")</f>
        <v/>
      </c>
      <c r="T130">
        <f>HYPERLINK("https://klasma.github.io/Logging_2482/kartor/A 8729-2025 karta.png", "A 8729-2025")</f>
        <v/>
      </c>
      <c r="V130">
        <f>HYPERLINK("https://klasma.github.io/Logging_2482/klagomål/A 8729-2025 FSC-klagomål.docx", "A 8729-2025")</f>
        <v/>
      </c>
      <c r="W130">
        <f>HYPERLINK("https://klasma.github.io/Logging_2482/klagomålsmail/A 8729-2025 FSC-klagomål mail.docx", "A 8729-2025")</f>
        <v/>
      </c>
      <c r="X130">
        <f>HYPERLINK("https://klasma.github.io/Logging_2482/tillsyn/A 8729-2025 tillsynsbegäran.docx", "A 8729-2025")</f>
        <v/>
      </c>
      <c r="Y130">
        <f>HYPERLINK("https://klasma.github.io/Logging_2482/tillsynsmail/A 8729-2025 tillsynsbegäran mail.docx", "A 8729-2025")</f>
        <v/>
      </c>
    </row>
    <row r="131" ht="15" customHeight="1">
      <c r="A131" t="inlineStr">
        <is>
          <t>A 9446-2025</t>
        </is>
      </c>
      <c r="B131" s="1" t="n">
        <v>45715.42019675926</v>
      </c>
      <c r="C131" s="1" t="n">
        <v>45927</v>
      </c>
      <c r="D131" t="inlineStr">
        <is>
          <t>VÄSTERBOTTENS LÄN</t>
        </is>
      </c>
      <c r="E131" t="inlineStr">
        <is>
          <t>SKELLEFTEÅ</t>
        </is>
      </c>
      <c r="G131" t="n">
        <v>1.8</v>
      </c>
      <c r="H131" t="n">
        <v>0</v>
      </c>
      <c r="I131" t="n">
        <v>1</v>
      </c>
      <c r="J131" t="n">
        <v>0</v>
      </c>
      <c r="K131" t="n">
        <v>0</v>
      </c>
      <c r="L131" t="n">
        <v>0</v>
      </c>
      <c r="M131" t="n">
        <v>0</v>
      </c>
      <c r="N131" t="n">
        <v>0</v>
      </c>
      <c r="O131" t="n">
        <v>0</v>
      </c>
      <c r="P131" t="n">
        <v>0</v>
      </c>
      <c r="Q131" t="n">
        <v>1</v>
      </c>
      <c r="R131" s="2" t="inlineStr">
        <is>
          <t>Vedticka</t>
        </is>
      </c>
      <c r="S131">
        <f>HYPERLINK("https://klasma.github.io/Logging_2482/artfynd/A 9446-2025 artfynd.xlsx", "A 9446-2025")</f>
        <v/>
      </c>
      <c r="T131">
        <f>HYPERLINK("https://klasma.github.io/Logging_2482/kartor/A 9446-2025 karta.png", "A 9446-2025")</f>
        <v/>
      </c>
      <c r="V131">
        <f>HYPERLINK("https://klasma.github.io/Logging_2482/klagomål/A 9446-2025 FSC-klagomål.docx", "A 9446-2025")</f>
        <v/>
      </c>
      <c r="W131">
        <f>HYPERLINK("https://klasma.github.io/Logging_2482/klagomålsmail/A 9446-2025 FSC-klagomål mail.docx", "A 9446-2025")</f>
        <v/>
      </c>
      <c r="X131">
        <f>HYPERLINK("https://klasma.github.io/Logging_2482/tillsyn/A 9446-2025 tillsynsbegäran.docx", "A 9446-2025")</f>
        <v/>
      </c>
      <c r="Y131">
        <f>HYPERLINK("https://klasma.github.io/Logging_2482/tillsynsmail/A 9446-2025 tillsynsbegäran mail.docx", "A 9446-2025")</f>
        <v/>
      </c>
    </row>
    <row r="132" ht="15" customHeight="1">
      <c r="A132" t="inlineStr">
        <is>
          <t>A 53071-2022</t>
        </is>
      </c>
      <c r="B132" s="1" t="n">
        <v>44873</v>
      </c>
      <c r="C132" s="1" t="n">
        <v>45927</v>
      </c>
      <c r="D132" t="inlineStr">
        <is>
          <t>VÄSTERBOTTENS LÄN</t>
        </is>
      </c>
      <c r="E132" t="inlineStr">
        <is>
          <t>SKELLEFTEÅ</t>
        </is>
      </c>
      <c r="G132" t="n">
        <v>10.6</v>
      </c>
      <c r="H132" t="n">
        <v>0</v>
      </c>
      <c r="I132" t="n">
        <v>0</v>
      </c>
      <c r="J132" t="n">
        <v>1</v>
      </c>
      <c r="K132" t="n">
        <v>0</v>
      </c>
      <c r="L132" t="n">
        <v>0</v>
      </c>
      <c r="M132" t="n">
        <v>0</v>
      </c>
      <c r="N132" t="n">
        <v>0</v>
      </c>
      <c r="O132" t="n">
        <v>1</v>
      </c>
      <c r="P132" t="n">
        <v>0</v>
      </c>
      <c r="Q132" t="n">
        <v>1</v>
      </c>
      <c r="R132" s="2" t="inlineStr">
        <is>
          <t>Granticka</t>
        </is>
      </c>
      <c r="S132">
        <f>HYPERLINK("https://klasma.github.io/Logging_2482/artfynd/A 53071-2022 artfynd.xlsx", "A 53071-2022")</f>
        <v/>
      </c>
      <c r="T132">
        <f>HYPERLINK("https://klasma.github.io/Logging_2482/kartor/A 53071-2022 karta.png", "A 53071-2022")</f>
        <v/>
      </c>
      <c r="V132">
        <f>HYPERLINK("https://klasma.github.io/Logging_2482/klagomål/A 53071-2022 FSC-klagomål.docx", "A 53071-2022")</f>
        <v/>
      </c>
      <c r="W132">
        <f>HYPERLINK("https://klasma.github.io/Logging_2482/klagomålsmail/A 53071-2022 FSC-klagomål mail.docx", "A 53071-2022")</f>
        <v/>
      </c>
      <c r="X132">
        <f>HYPERLINK("https://klasma.github.io/Logging_2482/tillsyn/A 53071-2022 tillsynsbegäran.docx", "A 53071-2022")</f>
        <v/>
      </c>
      <c r="Y132">
        <f>HYPERLINK("https://klasma.github.io/Logging_2482/tillsynsmail/A 53071-2022 tillsynsbegäran mail.docx", "A 53071-2022")</f>
        <v/>
      </c>
    </row>
    <row r="133" ht="15" customHeight="1">
      <c r="A133" t="inlineStr">
        <is>
          <t>A 58766-2021</t>
        </is>
      </c>
      <c r="B133" s="1" t="n">
        <v>44489</v>
      </c>
      <c r="C133" s="1" t="n">
        <v>45927</v>
      </c>
      <c r="D133" t="inlineStr">
        <is>
          <t>VÄSTERBOTTENS LÄN</t>
        </is>
      </c>
      <c r="E133" t="inlineStr">
        <is>
          <t>SKELLEFTEÅ</t>
        </is>
      </c>
      <c r="G133" t="n">
        <v>5.5</v>
      </c>
      <c r="H133" t="n">
        <v>0</v>
      </c>
      <c r="I133" t="n">
        <v>0</v>
      </c>
      <c r="J133" t="n">
        <v>1</v>
      </c>
      <c r="K133" t="n">
        <v>0</v>
      </c>
      <c r="L133" t="n">
        <v>0</v>
      </c>
      <c r="M133" t="n">
        <v>0</v>
      </c>
      <c r="N133" t="n">
        <v>0</v>
      </c>
      <c r="O133" t="n">
        <v>1</v>
      </c>
      <c r="P133" t="n">
        <v>0</v>
      </c>
      <c r="Q133" t="n">
        <v>1</v>
      </c>
      <c r="R133" s="2" t="inlineStr">
        <is>
          <t>Stjärntagging</t>
        </is>
      </c>
      <c r="S133">
        <f>HYPERLINK("https://klasma.github.io/Logging_2482/artfynd/A 58766-2021 artfynd.xlsx", "A 58766-2021")</f>
        <v/>
      </c>
      <c r="T133">
        <f>HYPERLINK("https://klasma.github.io/Logging_2482/kartor/A 58766-2021 karta.png", "A 58766-2021")</f>
        <v/>
      </c>
      <c r="V133">
        <f>HYPERLINK("https://klasma.github.io/Logging_2482/klagomål/A 58766-2021 FSC-klagomål.docx", "A 58766-2021")</f>
        <v/>
      </c>
      <c r="W133">
        <f>HYPERLINK("https://klasma.github.io/Logging_2482/klagomålsmail/A 58766-2021 FSC-klagomål mail.docx", "A 58766-2021")</f>
        <v/>
      </c>
      <c r="X133">
        <f>HYPERLINK("https://klasma.github.io/Logging_2482/tillsyn/A 58766-2021 tillsynsbegäran.docx", "A 58766-2021")</f>
        <v/>
      </c>
      <c r="Y133">
        <f>HYPERLINK("https://klasma.github.io/Logging_2482/tillsynsmail/A 58766-2021 tillsynsbegäran mail.docx", "A 58766-2021")</f>
        <v/>
      </c>
    </row>
    <row r="134" ht="15" customHeight="1">
      <c r="A134" t="inlineStr">
        <is>
          <t>A 6156-2025</t>
        </is>
      </c>
      <c r="B134" s="1" t="n">
        <v>45695</v>
      </c>
      <c r="C134" s="1" t="n">
        <v>45927</v>
      </c>
      <c r="D134" t="inlineStr">
        <is>
          <t>VÄSTERBOTTENS LÄN</t>
        </is>
      </c>
      <c r="E134" t="inlineStr">
        <is>
          <t>SKELLEFTEÅ</t>
        </is>
      </c>
      <c r="G134" t="n">
        <v>5.1</v>
      </c>
      <c r="H134" t="n">
        <v>0</v>
      </c>
      <c r="I134" t="n">
        <v>0</v>
      </c>
      <c r="J134" t="n">
        <v>1</v>
      </c>
      <c r="K134" t="n">
        <v>0</v>
      </c>
      <c r="L134" t="n">
        <v>0</v>
      </c>
      <c r="M134" t="n">
        <v>0</v>
      </c>
      <c r="N134" t="n">
        <v>0</v>
      </c>
      <c r="O134" t="n">
        <v>1</v>
      </c>
      <c r="P134" t="n">
        <v>0</v>
      </c>
      <c r="Q134" t="n">
        <v>1</v>
      </c>
      <c r="R134" s="2" t="inlineStr">
        <is>
          <t>Gammelgransskål</t>
        </is>
      </c>
      <c r="S134">
        <f>HYPERLINK("https://klasma.github.io/Logging_2482/artfynd/A 6156-2025 artfynd.xlsx", "A 6156-2025")</f>
        <v/>
      </c>
      <c r="T134">
        <f>HYPERLINK("https://klasma.github.io/Logging_2482/kartor/A 6156-2025 karta.png", "A 6156-2025")</f>
        <v/>
      </c>
      <c r="V134">
        <f>HYPERLINK("https://klasma.github.io/Logging_2482/klagomål/A 6156-2025 FSC-klagomål.docx", "A 6156-2025")</f>
        <v/>
      </c>
      <c r="W134">
        <f>HYPERLINK("https://klasma.github.io/Logging_2482/klagomålsmail/A 6156-2025 FSC-klagomål mail.docx", "A 6156-2025")</f>
        <v/>
      </c>
      <c r="X134">
        <f>HYPERLINK("https://klasma.github.io/Logging_2482/tillsyn/A 6156-2025 tillsynsbegäran.docx", "A 6156-2025")</f>
        <v/>
      </c>
      <c r="Y134">
        <f>HYPERLINK("https://klasma.github.io/Logging_2482/tillsynsmail/A 6156-2025 tillsynsbegäran mail.docx", "A 6156-2025")</f>
        <v/>
      </c>
    </row>
    <row r="135" ht="15" customHeight="1">
      <c r="A135" t="inlineStr">
        <is>
          <t>A 41087-2023</t>
        </is>
      </c>
      <c r="B135" s="1" t="n">
        <v>45173</v>
      </c>
      <c r="C135" s="1" t="n">
        <v>45927</v>
      </c>
      <c r="D135" t="inlineStr">
        <is>
          <t>VÄSTERBOTTENS LÄN</t>
        </is>
      </c>
      <c r="E135" t="inlineStr">
        <is>
          <t>SKELLEFTEÅ</t>
        </is>
      </c>
      <c r="F135" t="inlineStr">
        <is>
          <t>Holmen skog AB</t>
        </is>
      </c>
      <c r="G135" t="n">
        <v>10</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41087-2023 artfynd.xlsx", "A 41087-2023")</f>
        <v/>
      </c>
      <c r="T135">
        <f>HYPERLINK("https://klasma.github.io/Logging_2482/kartor/A 41087-2023 karta.png", "A 41087-2023")</f>
        <v/>
      </c>
      <c r="V135">
        <f>HYPERLINK("https://klasma.github.io/Logging_2482/klagomål/A 41087-2023 FSC-klagomål.docx", "A 41087-2023")</f>
        <v/>
      </c>
      <c r="W135">
        <f>HYPERLINK("https://klasma.github.io/Logging_2482/klagomålsmail/A 41087-2023 FSC-klagomål mail.docx", "A 41087-2023")</f>
        <v/>
      </c>
      <c r="X135">
        <f>HYPERLINK("https://klasma.github.io/Logging_2482/tillsyn/A 41087-2023 tillsynsbegäran.docx", "A 41087-2023")</f>
        <v/>
      </c>
      <c r="Y135">
        <f>HYPERLINK("https://klasma.github.io/Logging_2482/tillsynsmail/A 41087-2023 tillsynsbegäran mail.docx", "A 41087-2023")</f>
        <v/>
      </c>
    </row>
    <row r="136" ht="15" customHeight="1">
      <c r="A136" t="inlineStr">
        <is>
          <t>A 19924-2025</t>
        </is>
      </c>
      <c r="B136" s="1" t="n">
        <v>45771</v>
      </c>
      <c r="C136" s="1" t="n">
        <v>45927</v>
      </c>
      <c r="D136" t="inlineStr">
        <is>
          <t>VÄSTERBOTTENS LÄN</t>
        </is>
      </c>
      <c r="E136" t="inlineStr">
        <is>
          <t>SKELLEFTEÅ</t>
        </is>
      </c>
      <c r="F136" t="inlineStr">
        <is>
          <t>Holmen skog AB</t>
        </is>
      </c>
      <c r="G136" t="n">
        <v>2.1</v>
      </c>
      <c r="H136" t="n">
        <v>0</v>
      </c>
      <c r="I136" t="n">
        <v>1</v>
      </c>
      <c r="J136" t="n">
        <v>0</v>
      </c>
      <c r="K136" t="n">
        <v>0</v>
      </c>
      <c r="L136" t="n">
        <v>0</v>
      </c>
      <c r="M136" t="n">
        <v>0</v>
      </c>
      <c r="N136" t="n">
        <v>0</v>
      </c>
      <c r="O136" t="n">
        <v>0</v>
      </c>
      <c r="P136" t="n">
        <v>0</v>
      </c>
      <c r="Q136" t="n">
        <v>1</v>
      </c>
      <c r="R136" s="2" t="inlineStr">
        <is>
          <t>Tibast</t>
        </is>
      </c>
      <c r="S136">
        <f>HYPERLINK("https://klasma.github.io/Logging_2482/artfynd/A 19924-2025 artfynd.xlsx", "A 19924-2025")</f>
        <v/>
      </c>
      <c r="T136">
        <f>HYPERLINK("https://klasma.github.io/Logging_2482/kartor/A 19924-2025 karta.png", "A 19924-2025")</f>
        <v/>
      </c>
      <c r="V136">
        <f>HYPERLINK("https://klasma.github.io/Logging_2482/klagomål/A 19924-2025 FSC-klagomål.docx", "A 19924-2025")</f>
        <v/>
      </c>
      <c r="W136">
        <f>HYPERLINK("https://klasma.github.io/Logging_2482/klagomålsmail/A 19924-2025 FSC-klagomål mail.docx", "A 19924-2025")</f>
        <v/>
      </c>
      <c r="X136">
        <f>HYPERLINK("https://klasma.github.io/Logging_2482/tillsyn/A 19924-2025 tillsynsbegäran.docx", "A 19924-2025")</f>
        <v/>
      </c>
      <c r="Y136">
        <f>HYPERLINK("https://klasma.github.io/Logging_2482/tillsynsmail/A 19924-2025 tillsynsbegäran mail.docx", "A 19924-2025")</f>
        <v/>
      </c>
    </row>
    <row r="137" ht="15" customHeight="1">
      <c r="A137" t="inlineStr">
        <is>
          <t>A 28860-2025</t>
        </is>
      </c>
      <c r="B137" s="1" t="n">
        <v>45820.59178240741</v>
      </c>
      <c r="C137" s="1" t="n">
        <v>45927</v>
      </c>
      <c r="D137" t="inlineStr">
        <is>
          <t>VÄSTERBOTTENS LÄN</t>
        </is>
      </c>
      <c r="E137" t="inlineStr">
        <is>
          <t>SKELLEFTEÅ</t>
        </is>
      </c>
      <c r="F137" t="inlineStr">
        <is>
          <t>Holmen skog AB</t>
        </is>
      </c>
      <c r="G137" t="n">
        <v>3.2</v>
      </c>
      <c r="H137" t="n">
        <v>0</v>
      </c>
      <c r="I137" t="n">
        <v>0</v>
      </c>
      <c r="J137" t="n">
        <v>1</v>
      </c>
      <c r="K137" t="n">
        <v>0</v>
      </c>
      <c r="L137" t="n">
        <v>0</v>
      </c>
      <c r="M137" t="n">
        <v>0</v>
      </c>
      <c r="N137" t="n">
        <v>0</v>
      </c>
      <c r="O137" t="n">
        <v>1</v>
      </c>
      <c r="P137" t="n">
        <v>0</v>
      </c>
      <c r="Q137" t="n">
        <v>1</v>
      </c>
      <c r="R137" s="2" t="inlineStr">
        <is>
          <t>Vedskivlav</t>
        </is>
      </c>
      <c r="S137">
        <f>HYPERLINK("https://klasma.github.io/Logging_2482/artfynd/A 28860-2025 artfynd.xlsx", "A 28860-2025")</f>
        <v/>
      </c>
      <c r="T137">
        <f>HYPERLINK("https://klasma.github.io/Logging_2482/kartor/A 28860-2025 karta.png", "A 28860-2025")</f>
        <v/>
      </c>
      <c r="V137">
        <f>HYPERLINK("https://klasma.github.io/Logging_2482/klagomål/A 28860-2025 FSC-klagomål.docx", "A 28860-2025")</f>
        <v/>
      </c>
      <c r="W137">
        <f>HYPERLINK("https://klasma.github.io/Logging_2482/klagomålsmail/A 28860-2025 FSC-klagomål mail.docx", "A 28860-2025")</f>
        <v/>
      </c>
      <c r="X137">
        <f>HYPERLINK("https://klasma.github.io/Logging_2482/tillsyn/A 28860-2025 tillsynsbegäran.docx", "A 28860-2025")</f>
        <v/>
      </c>
      <c r="Y137">
        <f>HYPERLINK("https://klasma.github.io/Logging_2482/tillsynsmail/A 28860-2025 tillsynsbegäran mail.docx", "A 28860-2025")</f>
        <v/>
      </c>
    </row>
    <row r="138" ht="15" customHeight="1">
      <c r="A138" t="inlineStr">
        <is>
          <t>A 36531-2022</t>
        </is>
      </c>
      <c r="B138" s="1" t="n">
        <v>44804</v>
      </c>
      <c r="C138" s="1" t="n">
        <v>45927</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24885-2022</t>
        </is>
      </c>
      <c r="B139" s="1" t="n">
        <v>44728</v>
      </c>
      <c r="C139" s="1" t="n">
        <v>45927</v>
      </c>
      <c r="D139" t="inlineStr">
        <is>
          <t>VÄSTERBOTTENS LÄN</t>
        </is>
      </c>
      <c r="E139" t="inlineStr">
        <is>
          <t>SKELLEFTEÅ</t>
        </is>
      </c>
      <c r="F139" t="inlineStr">
        <is>
          <t>Holmen skog AB</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HYPERLINK("https://klasma.github.io/Logging_2482/artfynd/A 24885-2022 artfynd.xlsx", "A 24885-2022")</f>
        <v/>
      </c>
      <c r="T139">
        <f>HYPERLINK("https://klasma.github.io/Logging_2482/kartor/A 24885-2022 karta.png", "A 24885-2022")</f>
        <v/>
      </c>
      <c r="V139">
        <f>HYPERLINK("https://klasma.github.io/Logging_2482/klagomål/A 24885-2022 FSC-klagomål.docx", "A 24885-2022")</f>
        <v/>
      </c>
      <c r="W139">
        <f>HYPERLINK("https://klasma.github.io/Logging_2482/klagomålsmail/A 24885-2022 FSC-klagomål mail.docx", "A 24885-2022")</f>
        <v/>
      </c>
      <c r="X139">
        <f>HYPERLINK("https://klasma.github.io/Logging_2482/tillsyn/A 24885-2022 tillsynsbegäran.docx", "A 24885-2022")</f>
        <v/>
      </c>
      <c r="Y139">
        <f>HYPERLINK("https://klasma.github.io/Logging_2482/tillsynsmail/A 24885-2022 tillsynsbegäran mail.docx", "A 24885-2022")</f>
        <v/>
      </c>
    </row>
    <row r="140" ht="15" customHeight="1">
      <c r="A140" t="inlineStr">
        <is>
          <t>A 32964-2021</t>
        </is>
      </c>
      <c r="B140" s="1" t="n">
        <v>44376</v>
      </c>
      <c r="C140" s="1" t="n">
        <v>45927</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8302-2025</t>
        </is>
      </c>
      <c r="B141" s="1" t="n">
        <v>45708</v>
      </c>
      <c r="C141" s="1" t="n">
        <v>45927</v>
      </c>
      <c r="D141" t="inlineStr">
        <is>
          <t>VÄSTERBOTTENS LÄN</t>
        </is>
      </c>
      <c r="E141" t="inlineStr">
        <is>
          <t>SKELLEFTEÅ</t>
        </is>
      </c>
      <c r="G141" t="n">
        <v>9.800000000000001</v>
      </c>
      <c r="H141" t="n">
        <v>1</v>
      </c>
      <c r="I141" t="n">
        <v>0</v>
      </c>
      <c r="J141" t="n">
        <v>0</v>
      </c>
      <c r="K141" t="n">
        <v>0</v>
      </c>
      <c r="L141" t="n">
        <v>0</v>
      </c>
      <c r="M141" t="n">
        <v>0</v>
      </c>
      <c r="N141" t="n">
        <v>0</v>
      </c>
      <c r="O141" t="n">
        <v>0</v>
      </c>
      <c r="P141" t="n">
        <v>0</v>
      </c>
      <c r="Q141" t="n">
        <v>1</v>
      </c>
      <c r="R141" s="2" t="inlineStr">
        <is>
          <t>Mattlummer</t>
        </is>
      </c>
      <c r="S141">
        <f>HYPERLINK("https://klasma.github.io/Logging_2482/artfynd/A 8302-2025 artfynd.xlsx", "A 8302-2025")</f>
        <v/>
      </c>
      <c r="T141">
        <f>HYPERLINK("https://klasma.github.io/Logging_2482/kartor/A 8302-2025 karta.png", "A 8302-2025")</f>
        <v/>
      </c>
      <c r="V141">
        <f>HYPERLINK("https://klasma.github.io/Logging_2482/klagomål/A 8302-2025 FSC-klagomål.docx", "A 8302-2025")</f>
        <v/>
      </c>
      <c r="W141">
        <f>HYPERLINK("https://klasma.github.io/Logging_2482/klagomålsmail/A 8302-2025 FSC-klagomål mail.docx", "A 8302-2025")</f>
        <v/>
      </c>
      <c r="X141">
        <f>HYPERLINK("https://klasma.github.io/Logging_2482/tillsyn/A 8302-2025 tillsynsbegäran.docx", "A 8302-2025")</f>
        <v/>
      </c>
      <c r="Y141">
        <f>HYPERLINK("https://klasma.github.io/Logging_2482/tillsynsmail/A 8302-2025 tillsynsbegäran mail.docx", "A 8302-2025")</f>
        <v/>
      </c>
    </row>
    <row r="142" ht="15" customHeight="1">
      <c r="A142" t="inlineStr">
        <is>
          <t>A 54058-2022</t>
        </is>
      </c>
      <c r="B142" s="1" t="n">
        <v>44881</v>
      </c>
      <c r="C142" s="1" t="n">
        <v>45927</v>
      </c>
      <c r="D142" t="inlineStr">
        <is>
          <t>VÄSTERBOTTENS LÄN</t>
        </is>
      </c>
      <c r="E142" t="inlineStr">
        <is>
          <t>SKELLEFTEÅ</t>
        </is>
      </c>
      <c r="F142" t="inlineStr">
        <is>
          <t>Sveaskog</t>
        </is>
      </c>
      <c r="G142" t="n">
        <v>1.2</v>
      </c>
      <c r="H142" t="n">
        <v>0</v>
      </c>
      <c r="I142" t="n">
        <v>1</v>
      </c>
      <c r="J142" t="n">
        <v>0</v>
      </c>
      <c r="K142" t="n">
        <v>0</v>
      </c>
      <c r="L142" t="n">
        <v>0</v>
      </c>
      <c r="M142" t="n">
        <v>0</v>
      </c>
      <c r="N142" t="n">
        <v>0</v>
      </c>
      <c r="O142" t="n">
        <v>0</v>
      </c>
      <c r="P142" t="n">
        <v>0</v>
      </c>
      <c r="Q142" t="n">
        <v>1</v>
      </c>
      <c r="R142" s="2" t="inlineStr">
        <is>
          <t>Luddlav</t>
        </is>
      </c>
      <c r="S142">
        <f>HYPERLINK("https://klasma.github.io/Logging_2482/artfynd/A 54058-2022 artfynd.xlsx", "A 54058-2022")</f>
        <v/>
      </c>
      <c r="T142">
        <f>HYPERLINK("https://klasma.github.io/Logging_2482/kartor/A 54058-2022 karta.png", "A 54058-2022")</f>
        <v/>
      </c>
      <c r="V142">
        <f>HYPERLINK("https://klasma.github.io/Logging_2482/klagomål/A 54058-2022 FSC-klagomål.docx", "A 54058-2022")</f>
        <v/>
      </c>
      <c r="W142">
        <f>HYPERLINK("https://klasma.github.io/Logging_2482/klagomålsmail/A 54058-2022 FSC-klagomål mail.docx", "A 54058-2022")</f>
        <v/>
      </c>
      <c r="X142">
        <f>HYPERLINK("https://klasma.github.io/Logging_2482/tillsyn/A 54058-2022 tillsynsbegäran.docx", "A 54058-2022")</f>
        <v/>
      </c>
      <c r="Y142">
        <f>HYPERLINK("https://klasma.github.io/Logging_2482/tillsynsmail/A 54058-2022 tillsynsbegäran mail.docx", "A 54058-2022")</f>
        <v/>
      </c>
    </row>
    <row r="143" ht="15" customHeight="1">
      <c r="A143" t="inlineStr">
        <is>
          <t>A 41055-2023</t>
        </is>
      </c>
      <c r="B143" s="1" t="n">
        <v>45173</v>
      </c>
      <c r="C143" s="1" t="n">
        <v>45927</v>
      </c>
      <c r="D143" t="inlineStr">
        <is>
          <t>VÄSTERBOTTENS LÄN</t>
        </is>
      </c>
      <c r="E143" t="inlineStr">
        <is>
          <t>SKELLEFTEÅ</t>
        </is>
      </c>
      <c r="F143" t="inlineStr">
        <is>
          <t>Holmen skog AB</t>
        </is>
      </c>
      <c r="G143" t="n">
        <v>4.4</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41055-2023 artfynd.xlsx", "A 41055-2023")</f>
        <v/>
      </c>
      <c r="T143">
        <f>HYPERLINK("https://klasma.github.io/Logging_2482/kartor/A 41055-2023 karta.png", "A 41055-2023")</f>
        <v/>
      </c>
      <c r="V143">
        <f>HYPERLINK("https://klasma.github.io/Logging_2482/klagomål/A 41055-2023 FSC-klagomål.docx", "A 41055-2023")</f>
        <v/>
      </c>
      <c r="W143">
        <f>HYPERLINK("https://klasma.github.io/Logging_2482/klagomålsmail/A 41055-2023 FSC-klagomål mail.docx", "A 41055-2023")</f>
        <v/>
      </c>
      <c r="X143">
        <f>HYPERLINK("https://klasma.github.io/Logging_2482/tillsyn/A 41055-2023 tillsynsbegäran.docx", "A 41055-2023")</f>
        <v/>
      </c>
      <c r="Y143">
        <f>HYPERLINK("https://klasma.github.io/Logging_2482/tillsynsmail/A 41055-2023 tillsynsbegäran mail.docx", "A 41055-2023")</f>
        <v/>
      </c>
    </row>
    <row r="144" ht="15" customHeight="1">
      <c r="A144" t="inlineStr">
        <is>
          <t>A 60231-2022</t>
        </is>
      </c>
      <c r="B144" s="1" t="n">
        <v>44910</v>
      </c>
      <c r="C144" s="1" t="n">
        <v>45927</v>
      </c>
      <c r="D144" t="inlineStr">
        <is>
          <t>VÄSTERBOTTENS LÄN</t>
        </is>
      </c>
      <c r="E144" t="inlineStr">
        <is>
          <t>SKELLEFTEÅ</t>
        </is>
      </c>
      <c r="F144" t="inlineStr">
        <is>
          <t>Holmen skog AB</t>
        </is>
      </c>
      <c r="G144" t="n">
        <v>6.4</v>
      </c>
      <c r="H144" t="n">
        <v>1</v>
      </c>
      <c r="I144" t="n">
        <v>0</v>
      </c>
      <c r="J144" t="n">
        <v>0</v>
      </c>
      <c r="K144" t="n">
        <v>0</v>
      </c>
      <c r="L144" t="n">
        <v>0</v>
      </c>
      <c r="M144" t="n">
        <v>0</v>
      </c>
      <c r="N144" t="n">
        <v>0</v>
      </c>
      <c r="O144" t="n">
        <v>0</v>
      </c>
      <c r="P144" t="n">
        <v>0</v>
      </c>
      <c r="Q144" t="n">
        <v>1</v>
      </c>
      <c r="R144" s="2" t="inlineStr">
        <is>
          <t>Fläcknycklar</t>
        </is>
      </c>
      <c r="S144">
        <f>HYPERLINK("https://klasma.github.io/Logging_2482/artfynd/A 60231-2022 artfynd.xlsx", "A 60231-2022")</f>
        <v/>
      </c>
      <c r="T144">
        <f>HYPERLINK("https://klasma.github.io/Logging_2482/kartor/A 60231-2022 karta.png", "A 60231-2022")</f>
        <v/>
      </c>
      <c r="V144">
        <f>HYPERLINK("https://klasma.github.io/Logging_2482/klagomål/A 60231-2022 FSC-klagomål.docx", "A 60231-2022")</f>
        <v/>
      </c>
      <c r="W144">
        <f>HYPERLINK("https://klasma.github.io/Logging_2482/klagomålsmail/A 60231-2022 FSC-klagomål mail.docx", "A 60231-2022")</f>
        <v/>
      </c>
      <c r="X144">
        <f>HYPERLINK("https://klasma.github.io/Logging_2482/tillsyn/A 60231-2022 tillsynsbegäran.docx", "A 60231-2022")</f>
        <v/>
      </c>
      <c r="Y144">
        <f>HYPERLINK("https://klasma.github.io/Logging_2482/tillsynsmail/A 60231-2022 tillsynsbegäran mail.docx", "A 60231-2022")</f>
        <v/>
      </c>
    </row>
    <row r="145" ht="15" customHeight="1">
      <c r="A145" t="inlineStr">
        <is>
          <t>A 60586-2022</t>
        </is>
      </c>
      <c r="B145" s="1" t="n">
        <v>44911</v>
      </c>
      <c r="C145" s="1" t="n">
        <v>45927</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28448-2023</t>
        </is>
      </c>
      <c r="B146" s="1" t="n">
        <v>45103</v>
      </c>
      <c r="C146" s="1" t="n">
        <v>45927</v>
      </c>
      <c r="D146" t="inlineStr">
        <is>
          <t>VÄSTERBOTTENS LÄN</t>
        </is>
      </c>
      <c r="E146" t="inlineStr">
        <is>
          <t>SKELLEFTEÅ</t>
        </is>
      </c>
      <c r="F146" t="inlineStr">
        <is>
          <t>Kyrkan</t>
        </is>
      </c>
      <c r="G146" t="n">
        <v>9.4</v>
      </c>
      <c r="H146" t="n">
        <v>0</v>
      </c>
      <c r="I146" t="n">
        <v>0</v>
      </c>
      <c r="J146" t="n">
        <v>1</v>
      </c>
      <c r="K146" t="n">
        <v>0</v>
      </c>
      <c r="L146" t="n">
        <v>0</v>
      </c>
      <c r="M146" t="n">
        <v>0</v>
      </c>
      <c r="N146" t="n">
        <v>0</v>
      </c>
      <c r="O146" t="n">
        <v>1</v>
      </c>
      <c r="P146" t="n">
        <v>0</v>
      </c>
      <c r="Q146" t="n">
        <v>1</v>
      </c>
      <c r="R146" s="2" t="inlineStr">
        <is>
          <t>Tallriska</t>
        </is>
      </c>
      <c r="S146">
        <f>HYPERLINK("https://klasma.github.io/Logging_2482/artfynd/A 28448-2023 artfynd.xlsx", "A 28448-2023")</f>
        <v/>
      </c>
      <c r="T146">
        <f>HYPERLINK("https://klasma.github.io/Logging_2482/kartor/A 28448-2023 karta.png", "A 28448-2023")</f>
        <v/>
      </c>
      <c r="V146">
        <f>HYPERLINK("https://klasma.github.io/Logging_2482/klagomål/A 28448-2023 FSC-klagomål.docx", "A 28448-2023")</f>
        <v/>
      </c>
      <c r="W146">
        <f>HYPERLINK("https://klasma.github.io/Logging_2482/klagomålsmail/A 28448-2023 FSC-klagomål mail.docx", "A 28448-2023")</f>
        <v/>
      </c>
      <c r="X146">
        <f>HYPERLINK("https://klasma.github.io/Logging_2482/tillsyn/A 28448-2023 tillsynsbegäran.docx", "A 28448-2023")</f>
        <v/>
      </c>
      <c r="Y146">
        <f>HYPERLINK("https://klasma.github.io/Logging_2482/tillsynsmail/A 28448-2023 tillsynsbegäran mail.docx", "A 28448-2023")</f>
        <v/>
      </c>
    </row>
    <row r="147" ht="15" customHeight="1">
      <c r="A147" t="inlineStr">
        <is>
          <t>A 45376-2024</t>
        </is>
      </c>
      <c r="B147" s="1" t="n">
        <v>45576.51907407407</v>
      </c>
      <c r="C147" s="1" t="n">
        <v>45927</v>
      </c>
      <c r="D147" t="inlineStr">
        <is>
          <t>VÄSTERBOTTENS LÄN</t>
        </is>
      </c>
      <c r="E147" t="inlineStr">
        <is>
          <t>SKELLEFTEÅ</t>
        </is>
      </c>
      <c r="G147" t="n">
        <v>1.2</v>
      </c>
      <c r="H147" t="n">
        <v>1</v>
      </c>
      <c r="I147" t="n">
        <v>0</v>
      </c>
      <c r="J147" t="n">
        <v>0</v>
      </c>
      <c r="K147" t="n">
        <v>0</v>
      </c>
      <c r="L147" t="n">
        <v>0</v>
      </c>
      <c r="M147" t="n">
        <v>0</v>
      </c>
      <c r="N147" t="n">
        <v>0</v>
      </c>
      <c r="O147" t="n">
        <v>0</v>
      </c>
      <c r="P147" t="n">
        <v>0</v>
      </c>
      <c r="Q147" t="n">
        <v>1</v>
      </c>
      <c r="R147" s="2" t="inlineStr">
        <is>
          <t>Fläcknycklar</t>
        </is>
      </c>
      <c r="S147">
        <f>HYPERLINK("https://klasma.github.io/Logging_2482/artfynd/A 45376-2024 artfynd.xlsx", "A 45376-2024")</f>
        <v/>
      </c>
      <c r="T147">
        <f>HYPERLINK("https://klasma.github.io/Logging_2482/kartor/A 45376-2024 karta.png", "A 45376-2024")</f>
        <v/>
      </c>
      <c r="V147">
        <f>HYPERLINK("https://klasma.github.io/Logging_2482/klagomål/A 45376-2024 FSC-klagomål.docx", "A 45376-2024")</f>
        <v/>
      </c>
      <c r="W147">
        <f>HYPERLINK("https://klasma.github.io/Logging_2482/klagomålsmail/A 45376-2024 FSC-klagomål mail.docx", "A 45376-2024")</f>
        <v/>
      </c>
      <c r="X147">
        <f>HYPERLINK("https://klasma.github.io/Logging_2482/tillsyn/A 45376-2024 tillsynsbegäran.docx", "A 45376-2024")</f>
        <v/>
      </c>
      <c r="Y147">
        <f>HYPERLINK("https://klasma.github.io/Logging_2482/tillsynsmail/A 45376-2024 tillsynsbegäran mail.docx", "A 45376-2024")</f>
        <v/>
      </c>
    </row>
    <row r="148" ht="15" customHeight="1">
      <c r="A148" t="inlineStr">
        <is>
          <t>A 64409-2021</t>
        </is>
      </c>
      <c r="B148" s="1" t="n">
        <v>44510</v>
      </c>
      <c r="C148" s="1" t="n">
        <v>45927</v>
      </c>
      <c r="D148" t="inlineStr">
        <is>
          <t>VÄSTERBOTTENS LÄN</t>
        </is>
      </c>
      <c r="E148" t="inlineStr">
        <is>
          <t>SKELLEFTEÅ</t>
        </is>
      </c>
      <c r="G148" t="n">
        <v>1.3</v>
      </c>
      <c r="H148" t="n">
        <v>0</v>
      </c>
      <c r="I148" t="n">
        <v>0</v>
      </c>
      <c r="J148" t="n">
        <v>1</v>
      </c>
      <c r="K148" t="n">
        <v>0</v>
      </c>
      <c r="L148" t="n">
        <v>0</v>
      </c>
      <c r="M148" t="n">
        <v>0</v>
      </c>
      <c r="N148" t="n">
        <v>0</v>
      </c>
      <c r="O148" t="n">
        <v>1</v>
      </c>
      <c r="P148" t="n">
        <v>0</v>
      </c>
      <c r="Q148" t="n">
        <v>1</v>
      </c>
      <c r="R148" s="2" t="inlineStr">
        <is>
          <t>Igelkott</t>
        </is>
      </c>
      <c r="S148">
        <f>HYPERLINK("https://klasma.github.io/Logging_2482/artfynd/A 64409-2021 artfynd.xlsx", "A 64409-2021")</f>
        <v/>
      </c>
      <c r="T148">
        <f>HYPERLINK("https://klasma.github.io/Logging_2482/kartor/A 64409-2021 karta.png", "A 64409-2021")</f>
        <v/>
      </c>
      <c r="V148">
        <f>HYPERLINK("https://klasma.github.io/Logging_2482/klagomål/A 64409-2021 FSC-klagomål.docx", "A 64409-2021")</f>
        <v/>
      </c>
      <c r="W148">
        <f>HYPERLINK("https://klasma.github.io/Logging_2482/klagomålsmail/A 64409-2021 FSC-klagomål mail.docx", "A 64409-2021")</f>
        <v/>
      </c>
      <c r="X148">
        <f>HYPERLINK("https://klasma.github.io/Logging_2482/tillsyn/A 64409-2021 tillsynsbegäran.docx", "A 64409-2021")</f>
        <v/>
      </c>
      <c r="Y148">
        <f>HYPERLINK("https://klasma.github.io/Logging_2482/tillsynsmail/A 64409-2021 tillsynsbegäran mail.docx", "A 64409-2021")</f>
        <v/>
      </c>
    </row>
    <row r="149" ht="15" customHeight="1">
      <c r="A149" t="inlineStr">
        <is>
          <t>A 36628-2023</t>
        </is>
      </c>
      <c r="B149" s="1" t="n">
        <v>45153</v>
      </c>
      <c r="C149" s="1" t="n">
        <v>45927</v>
      </c>
      <c r="D149" t="inlineStr">
        <is>
          <t>VÄSTERBOTTENS LÄN</t>
        </is>
      </c>
      <c r="E149" t="inlineStr">
        <is>
          <t>SKELLEFTEÅ</t>
        </is>
      </c>
      <c r="F149" t="inlineStr">
        <is>
          <t>Holmen skog AB</t>
        </is>
      </c>
      <c r="G149" t="n">
        <v>4.6</v>
      </c>
      <c r="H149" t="n">
        <v>0</v>
      </c>
      <c r="I149" t="n">
        <v>0</v>
      </c>
      <c r="J149" t="n">
        <v>1</v>
      </c>
      <c r="K149" t="n">
        <v>0</v>
      </c>
      <c r="L149" t="n">
        <v>0</v>
      </c>
      <c r="M149" t="n">
        <v>0</v>
      </c>
      <c r="N149" t="n">
        <v>0</v>
      </c>
      <c r="O149" t="n">
        <v>1</v>
      </c>
      <c r="P149" t="n">
        <v>0</v>
      </c>
      <c r="Q149" t="n">
        <v>1</v>
      </c>
      <c r="R149" s="2" t="inlineStr">
        <is>
          <t>Gultoppig fingersvamp</t>
        </is>
      </c>
      <c r="S149">
        <f>HYPERLINK("https://klasma.github.io/Logging_2482/artfynd/A 36628-2023 artfynd.xlsx", "A 36628-2023")</f>
        <v/>
      </c>
      <c r="T149">
        <f>HYPERLINK("https://klasma.github.io/Logging_2482/kartor/A 36628-2023 karta.png", "A 36628-2023")</f>
        <v/>
      </c>
      <c r="V149">
        <f>HYPERLINK("https://klasma.github.io/Logging_2482/klagomål/A 36628-2023 FSC-klagomål.docx", "A 36628-2023")</f>
        <v/>
      </c>
      <c r="W149">
        <f>HYPERLINK("https://klasma.github.io/Logging_2482/klagomålsmail/A 36628-2023 FSC-klagomål mail.docx", "A 36628-2023")</f>
        <v/>
      </c>
      <c r="X149">
        <f>HYPERLINK("https://klasma.github.io/Logging_2482/tillsyn/A 36628-2023 tillsynsbegäran.docx", "A 36628-2023")</f>
        <v/>
      </c>
      <c r="Y149">
        <f>HYPERLINK("https://klasma.github.io/Logging_2482/tillsynsmail/A 36628-2023 tillsynsbegäran mail.docx", "A 36628-2023")</f>
        <v/>
      </c>
    </row>
    <row r="150" ht="15" customHeight="1">
      <c r="A150" t="inlineStr">
        <is>
          <t>A 1694-2025</t>
        </is>
      </c>
      <c r="B150" s="1" t="n">
        <v>45670</v>
      </c>
      <c r="C150" s="1" t="n">
        <v>45927</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45927</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45927</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45927</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35910-2025</t>
        </is>
      </c>
      <c r="B154" s="1" t="n">
        <v>45862.5197800926</v>
      </c>
      <c r="C154" s="1" t="n">
        <v>45927</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45927</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737-2025</t>
        </is>
      </c>
      <c r="B156" s="1" t="n">
        <v>45665</v>
      </c>
      <c r="C156" s="1" t="n">
        <v>45927</v>
      </c>
      <c r="D156" t="inlineStr">
        <is>
          <t>VÄSTERBOTTENS LÄN</t>
        </is>
      </c>
      <c r="E156" t="inlineStr">
        <is>
          <t>SKELLEFTEÅ</t>
        </is>
      </c>
      <c r="G156" t="n">
        <v>14.8</v>
      </c>
      <c r="H156" t="n">
        <v>0</v>
      </c>
      <c r="I156" t="n">
        <v>0</v>
      </c>
      <c r="J156" t="n">
        <v>0</v>
      </c>
      <c r="K156" t="n">
        <v>1</v>
      </c>
      <c r="L156" t="n">
        <v>0</v>
      </c>
      <c r="M156" t="n">
        <v>0</v>
      </c>
      <c r="N156" t="n">
        <v>0</v>
      </c>
      <c r="O156" t="n">
        <v>1</v>
      </c>
      <c r="P156" t="n">
        <v>1</v>
      </c>
      <c r="Q156" t="n">
        <v>1</v>
      </c>
      <c r="R156" s="2" t="inlineStr">
        <is>
          <t>Goliatmusseron</t>
        </is>
      </c>
      <c r="S156">
        <f>HYPERLINK("https://klasma.github.io/Logging_2482/artfynd/A 737-2025 artfynd.xlsx", "A 737-2025")</f>
        <v/>
      </c>
      <c r="T156">
        <f>HYPERLINK("https://klasma.github.io/Logging_2482/kartor/A 737-2025 karta.png", "A 737-2025")</f>
        <v/>
      </c>
      <c r="V156">
        <f>HYPERLINK("https://klasma.github.io/Logging_2482/klagomål/A 737-2025 FSC-klagomål.docx", "A 737-2025")</f>
        <v/>
      </c>
      <c r="W156">
        <f>HYPERLINK("https://klasma.github.io/Logging_2482/klagomålsmail/A 737-2025 FSC-klagomål mail.docx", "A 737-2025")</f>
        <v/>
      </c>
      <c r="X156">
        <f>HYPERLINK("https://klasma.github.io/Logging_2482/tillsyn/A 737-2025 tillsynsbegäran.docx", "A 737-2025")</f>
        <v/>
      </c>
      <c r="Y156">
        <f>HYPERLINK("https://klasma.github.io/Logging_2482/tillsynsmail/A 737-2025 tillsynsbegäran mail.docx", "A 737-2025")</f>
        <v/>
      </c>
    </row>
    <row r="157" ht="15" customHeight="1">
      <c r="A157" t="inlineStr">
        <is>
          <t>A 43228-2025</t>
        </is>
      </c>
      <c r="B157" s="1" t="n">
        <v>45910.49400462963</v>
      </c>
      <c r="C157" s="1" t="n">
        <v>45927</v>
      </c>
      <c r="D157" t="inlineStr">
        <is>
          <t>VÄSTERBOTTENS LÄN</t>
        </is>
      </c>
      <c r="E157" t="inlineStr">
        <is>
          <t>SKELLEFTEÅ</t>
        </is>
      </c>
      <c r="G157" t="n">
        <v>2.9</v>
      </c>
      <c r="H157" t="n">
        <v>0</v>
      </c>
      <c r="I157" t="n">
        <v>0</v>
      </c>
      <c r="J157" t="n">
        <v>1</v>
      </c>
      <c r="K157" t="n">
        <v>0</v>
      </c>
      <c r="L157" t="n">
        <v>0</v>
      </c>
      <c r="M157" t="n">
        <v>0</v>
      </c>
      <c r="N157" t="n">
        <v>0</v>
      </c>
      <c r="O157" t="n">
        <v>1</v>
      </c>
      <c r="P157" t="n">
        <v>0</v>
      </c>
      <c r="Q157" t="n">
        <v>1</v>
      </c>
      <c r="R157" s="2" t="inlineStr">
        <is>
          <t>Ullticka</t>
        </is>
      </c>
      <c r="S157">
        <f>HYPERLINK("https://klasma.github.io/Logging_2482/artfynd/A 43228-2025 artfynd.xlsx", "A 43228-2025")</f>
        <v/>
      </c>
      <c r="T157">
        <f>HYPERLINK("https://klasma.github.io/Logging_2482/kartor/A 43228-2025 karta.png", "A 43228-2025")</f>
        <v/>
      </c>
      <c r="V157">
        <f>HYPERLINK("https://klasma.github.io/Logging_2482/klagomål/A 43228-2025 FSC-klagomål.docx", "A 43228-2025")</f>
        <v/>
      </c>
      <c r="W157">
        <f>HYPERLINK("https://klasma.github.io/Logging_2482/klagomålsmail/A 43228-2025 FSC-klagomål mail.docx", "A 43228-2025")</f>
        <v/>
      </c>
      <c r="X157">
        <f>HYPERLINK("https://klasma.github.io/Logging_2482/tillsyn/A 43228-2025 tillsynsbegäran.docx", "A 43228-2025")</f>
        <v/>
      </c>
      <c r="Y157">
        <f>HYPERLINK("https://klasma.github.io/Logging_2482/tillsynsmail/A 43228-2025 tillsynsbegäran mail.docx", "A 43228-2025")</f>
        <v/>
      </c>
    </row>
    <row r="158" ht="15" customHeight="1">
      <c r="A158" t="inlineStr">
        <is>
          <t>A 37254-2025</t>
        </is>
      </c>
      <c r="B158" s="1" t="n">
        <v>45875</v>
      </c>
      <c r="C158" s="1" t="n">
        <v>45927</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44809-2025</t>
        </is>
      </c>
      <c r="B159" s="1" t="n">
        <v>45918.36953703704</v>
      </c>
      <c r="C159" s="1" t="n">
        <v>45927</v>
      </c>
      <c r="D159" t="inlineStr">
        <is>
          <t>VÄSTERBOTTENS LÄN</t>
        </is>
      </c>
      <c r="E159" t="inlineStr">
        <is>
          <t>SKELLEFTEÅ</t>
        </is>
      </c>
      <c r="F159" t="inlineStr">
        <is>
          <t>Holmen skog AB</t>
        </is>
      </c>
      <c r="G159" t="n">
        <v>1.9</v>
      </c>
      <c r="H159" t="n">
        <v>1</v>
      </c>
      <c r="I159" t="n">
        <v>0</v>
      </c>
      <c r="J159" t="n">
        <v>1</v>
      </c>
      <c r="K159" t="n">
        <v>0</v>
      </c>
      <c r="L159" t="n">
        <v>0</v>
      </c>
      <c r="M159" t="n">
        <v>0</v>
      </c>
      <c r="N159" t="n">
        <v>0</v>
      </c>
      <c r="O159" t="n">
        <v>1</v>
      </c>
      <c r="P159" t="n">
        <v>0</v>
      </c>
      <c r="Q159" t="n">
        <v>1</v>
      </c>
      <c r="R159" s="2" t="inlineStr">
        <is>
          <t>Utter</t>
        </is>
      </c>
      <c r="S159">
        <f>HYPERLINK("https://klasma.github.io/Logging_2482/artfynd/A 44809-2025 artfynd.xlsx", "A 44809-2025")</f>
        <v/>
      </c>
      <c r="T159">
        <f>HYPERLINK("https://klasma.github.io/Logging_2482/kartor/A 44809-2025 karta.png", "A 44809-2025")</f>
        <v/>
      </c>
      <c r="V159">
        <f>HYPERLINK("https://klasma.github.io/Logging_2482/klagomål/A 44809-2025 FSC-klagomål.docx", "A 44809-2025")</f>
        <v/>
      </c>
      <c r="W159">
        <f>HYPERLINK("https://klasma.github.io/Logging_2482/klagomålsmail/A 44809-2025 FSC-klagomål mail.docx", "A 44809-2025")</f>
        <v/>
      </c>
      <c r="X159">
        <f>HYPERLINK("https://klasma.github.io/Logging_2482/tillsyn/A 44809-2025 tillsynsbegäran.docx", "A 44809-2025")</f>
        <v/>
      </c>
      <c r="Y159">
        <f>HYPERLINK("https://klasma.github.io/Logging_2482/tillsynsmail/A 44809-2025 tillsynsbegäran mail.docx", "A 44809-2025")</f>
        <v/>
      </c>
    </row>
    <row r="160" ht="15" customHeight="1">
      <c r="A160" t="inlineStr">
        <is>
          <t>A 32566-2023</t>
        </is>
      </c>
      <c r="B160" s="1" t="n">
        <v>45121</v>
      </c>
      <c r="C160" s="1" t="n">
        <v>45927</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8820-2025</t>
        </is>
      </c>
      <c r="B161" s="1" t="n">
        <v>45712.77329861111</v>
      </c>
      <c r="C161" s="1" t="n">
        <v>45927</v>
      </c>
      <c r="D161" t="inlineStr">
        <is>
          <t>VÄSTERBOTTENS LÄN</t>
        </is>
      </c>
      <c r="E161" t="inlineStr">
        <is>
          <t>SKELLEFTEÅ</t>
        </is>
      </c>
      <c r="G161" t="n">
        <v>2.5</v>
      </c>
      <c r="H161" t="n">
        <v>1</v>
      </c>
      <c r="I161" t="n">
        <v>0</v>
      </c>
      <c r="J161" t="n">
        <v>0</v>
      </c>
      <c r="K161" t="n">
        <v>1</v>
      </c>
      <c r="L161" t="n">
        <v>0</v>
      </c>
      <c r="M161" t="n">
        <v>0</v>
      </c>
      <c r="N161" t="n">
        <v>0</v>
      </c>
      <c r="O161" t="n">
        <v>1</v>
      </c>
      <c r="P161" t="n">
        <v>1</v>
      </c>
      <c r="Q161" t="n">
        <v>1</v>
      </c>
      <c r="R161" s="2" t="inlineStr">
        <is>
          <t>Knärot</t>
        </is>
      </c>
      <c r="S161">
        <f>HYPERLINK("https://klasma.github.io/Logging_2482/artfynd/A 8820-2025 artfynd.xlsx", "A 8820-2025")</f>
        <v/>
      </c>
      <c r="T161">
        <f>HYPERLINK("https://klasma.github.io/Logging_2482/kartor/A 8820-2025 karta.png", "A 8820-2025")</f>
        <v/>
      </c>
      <c r="U161">
        <f>HYPERLINK("https://klasma.github.io/Logging_2482/knärot/A 8820-2025 karta knärot.png", "A 8820-2025")</f>
        <v/>
      </c>
      <c r="V161">
        <f>HYPERLINK("https://klasma.github.io/Logging_2482/klagomål/A 8820-2025 FSC-klagomål.docx", "A 8820-2025")</f>
        <v/>
      </c>
      <c r="W161">
        <f>HYPERLINK("https://klasma.github.io/Logging_2482/klagomålsmail/A 8820-2025 FSC-klagomål mail.docx", "A 8820-2025")</f>
        <v/>
      </c>
      <c r="X161">
        <f>HYPERLINK("https://klasma.github.io/Logging_2482/tillsyn/A 8820-2025 tillsynsbegäran.docx", "A 8820-2025")</f>
        <v/>
      </c>
      <c r="Y161">
        <f>HYPERLINK("https://klasma.github.io/Logging_2482/tillsynsmail/A 8820-2025 tillsynsbegäran mail.docx", "A 8820-2025")</f>
        <v/>
      </c>
    </row>
    <row r="162" ht="15" customHeight="1">
      <c r="A162" t="inlineStr">
        <is>
          <t>A 56879-2020</t>
        </is>
      </c>
      <c r="B162" s="1" t="n">
        <v>44134</v>
      </c>
      <c r="C162" s="1" t="n">
        <v>45927</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45927</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45927</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45927</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45927</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45927</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45927</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31185-2021</t>
        </is>
      </c>
      <c r="B169" s="1" t="n">
        <v>44367</v>
      </c>
      <c r="C169" s="1" t="n">
        <v>45927</v>
      </c>
      <c r="D169" t="inlineStr">
        <is>
          <t>VÄSTERBOTTENS LÄN</t>
        </is>
      </c>
      <c r="E169" t="inlineStr">
        <is>
          <t>SKELLEFTEÅ</t>
        </is>
      </c>
      <c r="G169" t="n">
        <v>1.6</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45927</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45927</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45927</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45927</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45927</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21539-2022</t>
        </is>
      </c>
      <c r="B175" s="1" t="n">
        <v>44706</v>
      </c>
      <c r="C175" s="1" t="n">
        <v>45927</v>
      </c>
      <c r="D175" t="inlineStr">
        <is>
          <t>VÄSTERBOTTENS LÄN</t>
        </is>
      </c>
      <c r="E175" t="inlineStr">
        <is>
          <t>SKELLEFTEÅ</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45927</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45927</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45927</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45927</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45927</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45927</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45927</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45927</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45927</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46006-2021</t>
        </is>
      </c>
      <c r="B185" s="1" t="n">
        <v>44441</v>
      </c>
      <c r="C185" s="1" t="n">
        <v>45927</v>
      </c>
      <c r="D185" t="inlineStr">
        <is>
          <t>VÄSTERBOTTENS LÄN</t>
        </is>
      </c>
      <c r="E185" t="inlineStr">
        <is>
          <t>SKELLEFTEÅ</t>
        </is>
      </c>
      <c r="G185" t="n">
        <v>6.1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45927</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45927</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45927</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45927</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45927</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45927</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45927</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45927</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45927</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45927</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27265-2022</t>
        </is>
      </c>
      <c r="B196" s="1" t="n">
        <v>44741.85099537037</v>
      </c>
      <c r="C196" s="1" t="n">
        <v>45927</v>
      </c>
      <c r="D196" t="inlineStr">
        <is>
          <t>VÄSTERBOTTENS LÄN</t>
        </is>
      </c>
      <c r="E196" t="inlineStr">
        <is>
          <t>SKELLEFTEÅ</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45927</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30389-2022</t>
        </is>
      </c>
      <c r="B198" s="1" t="n">
        <v>44760</v>
      </c>
      <c r="C198" s="1" t="n">
        <v>45927</v>
      </c>
      <c r="D198" t="inlineStr">
        <is>
          <t>VÄSTERBOTTENS LÄN</t>
        </is>
      </c>
      <c r="E198" t="inlineStr">
        <is>
          <t>SKELLEFTEÅ</t>
        </is>
      </c>
      <c r="G198" t="n">
        <v>3.1</v>
      </c>
      <c r="H198" t="n">
        <v>0</v>
      </c>
      <c r="I198" t="n">
        <v>0</v>
      </c>
      <c r="J198" t="n">
        <v>0</v>
      </c>
      <c r="K198" t="n">
        <v>0</v>
      </c>
      <c r="L198" t="n">
        <v>0</v>
      </c>
      <c r="M198" t="n">
        <v>0</v>
      </c>
      <c r="N198" t="n">
        <v>0</v>
      </c>
      <c r="O198" t="n">
        <v>0</v>
      </c>
      <c r="P198" t="n">
        <v>0</v>
      </c>
      <c r="Q198" t="n">
        <v>0</v>
      </c>
      <c r="R198" s="2" t="inlineStr"/>
    </row>
    <row r="199" ht="15" customHeight="1">
      <c r="A199" t="inlineStr">
        <is>
          <t>A 52482-2022</t>
        </is>
      </c>
      <c r="B199" s="1" t="n">
        <v>44869</v>
      </c>
      <c r="C199" s="1" t="n">
        <v>45927</v>
      </c>
      <c r="D199" t="inlineStr">
        <is>
          <t>VÄSTERBOTTENS LÄN</t>
        </is>
      </c>
      <c r="E199" t="inlineStr">
        <is>
          <t>SKELLEFTEÅ</t>
        </is>
      </c>
      <c r="G199" t="n">
        <v>0.6</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45927</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45927</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45927</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45927</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45927</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45927</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45927</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45927</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45927</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45927</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45927</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66756-2021</t>
        </is>
      </c>
      <c r="B211" s="1" t="n">
        <v>44521.76505787037</v>
      </c>
      <c r="C211" s="1" t="n">
        <v>45927</v>
      </c>
      <c r="D211" t="inlineStr">
        <is>
          <t>VÄSTERBOTTENS LÄN</t>
        </is>
      </c>
      <c r="E211" t="inlineStr">
        <is>
          <t>SKELLEFTEÅ</t>
        </is>
      </c>
      <c r="G211" t="n">
        <v>5.3</v>
      </c>
      <c r="H211" t="n">
        <v>0</v>
      </c>
      <c r="I211" t="n">
        <v>0</v>
      </c>
      <c r="J211" t="n">
        <v>0</v>
      </c>
      <c r="K211" t="n">
        <v>0</v>
      </c>
      <c r="L211" t="n">
        <v>0</v>
      </c>
      <c r="M211" t="n">
        <v>0</v>
      </c>
      <c r="N211" t="n">
        <v>0</v>
      </c>
      <c r="O211" t="n">
        <v>0</v>
      </c>
      <c r="P211" t="n">
        <v>0</v>
      </c>
      <c r="Q211" t="n">
        <v>0</v>
      </c>
      <c r="R211" s="2" t="inlineStr"/>
    </row>
    <row r="212" ht="15" customHeight="1">
      <c r="A212" t="inlineStr">
        <is>
          <t>A 36609-2021</t>
        </is>
      </c>
      <c r="B212" s="1" t="n">
        <v>44391</v>
      </c>
      <c r="C212" s="1" t="n">
        <v>45927</v>
      </c>
      <c r="D212" t="inlineStr">
        <is>
          <t>VÄSTERBOTTENS LÄN</t>
        </is>
      </c>
      <c r="E212" t="inlineStr">
        <is>
          <t>SKELLEFTEÅ</t>
        </is>
      </c>
      <c r="G212" t="n">
        <v>10.6</v>
      </c>
      <c r="H212" t="n">
        <v>0</v>
      </c>
      <c r="I212" t="n">
        <v>0</v>
      </c>
      <c r="J212" t="n">
        <v>0</v>
      </c>
      <c r="K212" t="n">
        <v>0</v>
      </c>
      <c r="L212" t="n">
        <v>0</v>
      </c>
      <c r="M212" t="n">
        <v>0</v>
      </c>
      <c r="N212" t="n">
        <v>0</v>
      </c>
      <c r="O212" t="n">
        <v>0</v>
      </c>
      <c r="P212" t="n">
        <v>0</v>
      </c>
      <c r="Q212" t="n">
        <v>0</v>
      </c>
      <c r="R212" s="2" t="inlineStr"/>
    </row>
    <row r="213" ht="15" customHeight="1">
      <c r="A213" t="inlineStr">
        <is>
          <t>A 44621-2022</t>
        </is>
      </c>
      <c r="B213" s="1" t="n">
        <v>44838</v>
      </c>
      <c r="C213" s="1" t="n">
        <v>45927</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45927</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45927</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45927</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45927</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45927</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45927</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45927</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45927</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45927</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45927</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45927</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45927</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32434-2022</t>
        </is>
      </c>
      <c r="B226" s="1" t="n">
        <v>44782</v>
      </c>
      <c r="C226" s="1" t="n">
        <v>45927</v>
      </c>
      <c r="D226" t="inlineStr">
        <is>
          <t>VÄSTERBOTTENS LÄN</t>
        </is>
      </c>
      <c r="E226" t="inlineStr">
        <is>
          <t>SKELLEFTEÅ</t>
        </is>
      </c>
      <c r="G226" t="n">
        <v>12.3</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45927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45927</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45927</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8456-2022</t>
        </is>
      </c>
      <c r="B230" s="1" t="n">
        <v>44612.92121527778</v>
      </c>
      <c r="C230" s="1" t="n">
        <v>45927</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45927</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45927</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32415-2022</t>
        </is>
      </c>
      <c r="B233" s="1" t="n">
        <v>44782</v>
      </c>
      <c r="C233" s="1" t="n">
        <v>45927</v>
      </c>
      <c r="D233" t="inlineStr">
        <is>
          <t>VÄSTERBOTTENS LÄN</t>
        </is>
      </c>
      <c r="E233" t="inlineStr">
        <is>
          <t>SKELLEFTEÅ</t>
        </is>
      </c>
      <c r="F233" t="inlineStr">
        <is>
          <t>Kommuner</t>
        </is>
      </c>
      <c r="G233" t="n">
        <v>4.5</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45927</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45927</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45927</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45927</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45927</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49183-2020</t>
        </is>
      </c>
      <c r="B239" s="1" t="n">
        <v>44105</v>
      </c>
      <c r="C239" s="1" t="n">
        <v>45927</v>
      </c>
      <c r="D239" t="inlineStr">
        <is>
          <t>VÄSTERBOTTENS LÄN</t>
        </is>
      </c>
      <c r="E239" t="inlineStr">
        <is>
          <t>SKELLEFTEÅ</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45927</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45927</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45927</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7034-2021</t>
        </is>
      </c>
      <c r="B243" s="1" t="n">
        <v>44237</v>
      </c>
      <c r="C243" s="1" t="n">
        <v>45927</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45927</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42348-2022</t>
        </is>
      </c>
      <c r="B245" s="1" t="n">
        <v>44827</v>
      </c>
      <c r="C245" s="1" t="n">
        <v>45927</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58861-2020</t>
        </is>
      </c>
      <c r="B246" s="1" t="n">
        <v>44146</v>
      </c>
      <c r="C246" s="1" t="n">
        <v>45927</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45927</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45927</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45927</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45927</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43069-2022</t>
        </is>
      </c>
      <c r="B251" s="1" t="n">
        <v>44833.63614583333</v>
      </c>
      <c r="C251" s="1" t="n">
        <v>45927</v>
      </c>
      <c r="D251" t="inlineStr">
        <is>
          <t>VÄSTERBOTTENS LÄN</t>
        </is>
      </c>
      <c r="E251" t="inlineStr">
        <is>
          <t>SKELLEFTEÅ</t>
        </is>
      </c>
      <c r="F251" t="inlineStr">
        <is>
          <t>Sveaskog</t>
        </is>
      </c>
      <c r="G251" t="n">
        <v>19.6</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45927</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45927</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45927</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45927</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45927</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45927</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45927</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45927</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45927</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45927</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45927</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45927</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45927</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61958-2020</t>
        </is>
      </c>
      <c r="B265" s="1" t="n">
        <v>44155</v>
      </c>
      <c r="C265" s="1" t="n">
        <v>45927</v>
      </c>
      <c r="D265" t="inlineStr">
        <is>
          <t>VÄSTERBOTTENS LÄN</t>
        </is>
      </c>
      <c r="E265" t="inlineStr">
        <is>
          <t>SKELLEFTEÅ</t>
        </is>
      </c>
      <c r="G265" t="n">
        <v>2.2</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45927</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45927</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39827-2021</t>
        </is>
      </c>
      <c r="B268" s="1" t="n">
        <v>44417</v>
      </c>
      <c r="C268" s="1" t="n">
        <v>45927</v>
      </c>
      <c r="D268" t="inlineStr">
        <is>
          <t>VÄSTERBOTTENS LÄN</t>
        </is>
      </c>
      <c r="E268" t="inlineStr">
        <is>
          <t>SKELLEFTEÅ</t>
        </is>
      </c>
      <c r="G268" t="n">
        <v>3.8</v>
      </c>
      <c r="H268" t="n">
        <v>0</v>
      </c>
      <c r="I268" t="n">
        <v>0</v>
      </c>
      <c r="J268" t="n">
        <v>0</v>
      </c>
      <c r="K268" t="n">
        <v>0</v>
      </c>
      <c r="L268" t="n">
        <v>0</v>
      </c>
      <c r="M268" t="n">
        <v>0</v>
      </c>
      <c r="N268" t="n">
        <v>0</v>
      </c>
      <c r="O268" t="n">
        <v>0</v>
      </c>
      <c r="P268" t="n">
        <v>0</v>
      </c>
      <c r="Q268" t="n">
        <v>0</v>
      </c>
      <c r="R268" s="2" t="inlineStr"/>
    </row>
    <row r="269" ht="15" customHeight="1">
      <c r="A269" t="inlineStr">
        <is>
          <t>A 59171-2021</t>
        </is>
      </c>
      <c r="B269" s="1" t="n">
        <v>44489</v>
      </c>
      <c r="C269" s="1" t="n">
        <v>45927</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34633-2021</t>
        </is>
      </c>
      <c r="B270" s="1" t="n">
        <v>44382</v>
      </c>
      <c r="C270" s="1" t="n">
        <v>45927</v>
      </c>
      <c r="D270" t="inlineStr">
        <is>
          <t>VÄSTERBOTTENS LÄN</t>
        </is>
      </c>
      <c r="E270" t="inlineStr">
        <is>
          <t>SKELLEFTEÅ</t>
        </is>
      </c>
      <c r="G270" t="n">
        <v>4.2</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45927</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45927</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36564-2021</t>
        </is>
      </c>
      <c r="B273" s="1" t="n">
        <v>44391</v>
      </c>
      <c r="C273" s="1" t="n">
        <v>45927</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53373-2020</t>
        </is>
      </c>
      <c r="B274" s="1" t="n">
        <v>44123</v>
      </c>
      <c r="C274" s="1" t="n">
        <v>45927</v>
      </c>
      <c r="D274" t="inlineStr">
        <is>
          <t>VÄSTERBOTTENS LÄN</t>
        </is>
      </c>
      <c r="E274" t="inlineStr">
        <is>
          <t>SKELLEFTEÅ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45927</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45927</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45927</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45927</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30194-2021</t>
        </is>
      </c>
      <c r="B279" s="1" t="n">
        <v>44363</v>
      </c>
      <c r="C279" s="1" t="n">
        <v>45927</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45927</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45927</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45927</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65254-2020</t>
        </is>
      </c>
      <c r="B283" s="1" t="n">
        <v>44172</v>
      </c>
      <c r="C283" s="1" t="n">
        <v>45927</v>
      </c>
      <c r="D283" t="inlineStr">
        <is>
          <t>VÄSTERBOTTENS LÄN</t>
        </is>
      </c>
      <c r="E283" t="inlineStr">
        <is>
          <t>SKELLEFTEÅ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65081-2020</t>
        </is>
      </c>
      <c r="B284" s="1" t="n">
        <v>44167</v>
      </c>
      <c r="C284" s="1" t="n">
        <v>45927</v>
      </c>
      <c r="D284" t="inlineStr">
        <is>
          <t>VÄSTERBOTTENS LÄN</t>
        </is>
      </c>
      <c r="E284" t="inlineStr">
        <is>
          <t>SKELLEFTEÅ</t>
        </is>
      </c>
      <c r="G284" t="n">
        <v>0.7</v>
      </c>
      <c r="H284" t="n">
        <v>0</v>
      </c>
      <c r="I284" t="n">
        <v>0</v>
      </c>
      <c r="J284" t="n">
        <v>0</v>
      </c>
      <c r="K284" t="n">
        <v>0</v>
      </c>
      <c r="L284" t="n">
        <v>0</v>
      </c>
      <c r="M284" t="n">
        <v>0</v>
      </c>
      <c r="N284" t="n">
        <v>0</v>
      </c>
      <c r="O284" t="n">
        <v>0</v>
      </c>
      <c r="P284" t="n">
        <v>0</v>
      </c>
      <c r="Q284" t="n">
        <v>0</v>
      </c>
      <c r="R284" s="2" t="inlineStr"/>
    </row>
    <row r="285" ht="15" customHeight="1">
      <c r="A285" t="inlineStr">
        <is>
          <t>A 65103-2020</t>
        </is>
      </c>
      <c r="B285" s="1" t="n">
        <v>44167</v>
      </c>
      <c r="C285" s="1" t="n">
        <v>45927</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65486-2020</t>
        </is>
      </c>
      <c r="B286" s="1" t="n">
        <v>44172</v>
      </c>
      <c r="C286" s="1" t="n">
        <v>45927</v>
      </c>
      <c r="D286" t="inlineStr">
        <is>
          <t>VÄSTERBOTTENS LÄN</t>
        </is>
      </c>
      <c r="E286" t="inlineStr">
        <is>
          <t>SKELLEFTEÅ</t>
        </is>
      </c>
      <c r="G286" t="n">
        <v>2.8</v>
      </c>
      <c r="H286" t="n">
        <v>0</v>
      </c>
      <c r="I286" t="n">
        <v>0</v>
      </c>
      <c r="J286" t="n">
        <v>0</v>
      </c>
      <c r="K286" t="n">
        <v>0</v>
      </c>
      <c r="L286" t="n">
        <v>0</v>
      </c>
      <c r="M286" t="n">
        <v>0</v>
      </c>
      <c r="N286" t="n">
        <v>0</v>
      </c>
      <c r="O286" t="n">
        <v>0</v>
      </c>
      <c r="P286" t="n">
        <v>0</v>
      </c>
      <c r="Q286" t="n">
        <v>0</v>
      </c>
      <c r="R286" s="2" t="inlineStr"/>
    </row>
    <row r="287" ht="15" customHeight="1">
      <c r="A287" t="inlineStr">
        <is>
          <t>A 65567-2020</t>
        </is>
      </c>
      <c r="B287" s="1" t="n">
        <v>44173</v>
      </c>
      <c r="C287" s="1" t="n">
        <v>45927</v>
      </c>
      <c r="D287" t="inlineStr">
        <is>
          <t>VÄSTERBOTTENS LÄN</t>
        </is>
      </c>
      <c r="E287" t="inlineStr">
        <is>
          <t>SKELLEFTEÅ</t>
        </is>
      </c>
      <c r="F287" t="inlineStr">
        <is>
          <t>Sveaskog</t>
        </is>
      </c>
      <c r="G287" t="n">
        <v>17.7</v>
      </c>
      <c r="H287" t="n">
        <v>0</v>
      </c>
      <c r="I287" t="n">
        <v>0</v>
      </c>
      <c r="J287" t="n">
        <v>0</v>
      </c>
      <c r="K287" t="n">
        <v>0</v>
      </c>
      <c r="L287" t="n">
        <v>0</v>
      </c>
      <c r="M287" t="n">
        <v>0</v>
      </c>
      <c r="N287" t="n">
        <v>0</v>
      </c>
      <c r="O287" t="n">
        <v>0</v>
      </c>
      <c r="P287" t="n">
        <v>0</v>
      </c>
      <c r="Q287" t="n">
        <v>0</v>
      </c>
      <c r="R287" s="2" t="inlineStr"/>
    </row>
    <row r="288" ht="15" customHeight="1">
      <c r="A288" t="inlineStr">
        <is>
          <t>A 49986-2020</t>
        </is>
      </c>
      <c r="B288" s="1" t="n">
        <v>44104</v>
      </c>
      <c r="C288" s="1" t="n">
        <v>45927</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45927</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45927</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45927</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45927</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45927</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45927</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45927</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39035-2021</t>
        </is>
      </c>
      <c r="B296" s="1" t="n">
        <v>44411</v>
      </c>
      <c r="C296" s="1" t="n">
        <v>45927</v>
      </c>
      <c r="D296" t="inlineStr">
        <is>
          <t>VÄSTERBOTTENS LÄN</t>
        </is>
      </c>
      <c r="E296" t="inlineStr">
        <is>
          <t>SKELLEFTEÅ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45927</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45927</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37823-2022</t>
        </is>
      </c>
      <c r="B299" s="1" t="n">
        <v>44810.92642361111</v>
      </c>
      <c r="C299" s="1" t="n">
        <v>45927</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45927</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45927</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45927</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24242-2022</t>
        </is>
      </c>
      <c r="B303" s="1" t="n">
        <v>44725.66059027778</v>
      </c>
      <c r="C303" s="1" t="n">
        <v>45927</v>
      </c>
      <c r="D303" t="inlineStr">
        <is>
          <t>VÄSTERBOTTENS LÄN</t>
        </is>
      </c>
      <c r="E303" t="inlineStr">
        <is>
          <t>SKELLEFTEÅ</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51919-2022</t>
        </is>
      </c>
      <c r="B304" s="1" t="n">
        <v>44872.63363425926</v>
      </c>
      <c r="C304" s="1" t="n">
        <v>45927</v>
      </c>
      <c r="D304" t="inlineStr">
        <is>
          <t>VÄSTERBOTTENS LÄN</t>
        </is>
      </c>
      <c r="E304" t="inlineStr">
        <is>
          <t>SKELLEFTEÅ</t>
        </is>
      </c>
      <c r="F304" t="inlineStr">
        <is>
          <t>Holmen skog AB</t>
        </is>
      </c>
      <c r="G304" t="n">
        <v>5.2</v>
      </c>
      <c r="H304" t="n">
        <v>0</v>
      </c>
      <c r="I304" t="n">
        <v>0</v>
      </c>
      <c r="J304" t="n">
        <v>0</v>
      </c>
      <c r="K304" t="n">
        <v>0</v>
      </c>
      <c r="L304" t="n">
        <v>0</v>
      </c>
      <c r="M304" t="n">
        <v>0</v>
      </c>
      <c r="N304" t="n">
        <v>0</v>
      </c>
      <c r="O304" t="n">
        <v>0</v>
      </c>
      <c r="P304" t="n">
        <v>0</v>
      </c>
      <c r="Q304" t="n">
        <v>0</v>
      </c>
      <c r="R304" s="2" t="inlineStr"/>
    </row>
    <row r="305" ht="15" customHeight="1">
      <c r="A305" t="inlineStr">
        <is>
          <t>A 22661-2022</t>
        </is>
      </c>
      <c r="B305" s="1" t="n">
        <v>44714</v>
      </c>
      <c r="C305" s="1" t="n">
        <v>45927</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31197-2021</t>
        </is>
      </c>
      <c r="B306" s="1" t="n">
        <v>44368</v>
      </c>
      <c r="C306" s="1" t="n">
        <v>45927</v>
      </c>
      <c r="D306" t="inlineStr">
        <is>
          <t>VÄSTERBOTTENS LÄN</t>
        </is>
      </c>
      <c r="E306" t="inlineStr">
        <is>
          <t>SKELLEFTEÅ</t>
        </is>
      </c>
      <c r="G306" t="n">
        <v>2.2</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45927</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21843-2022</t>
        </is>
      </c>
      <c r="B308" s="1" t="n">
        <v>44711</v>
      </c>
      <c r="C308" s="1" t="n">
        <v>45927</v>
      </c>
      <c r="D308" t="inlineStr">
        <is>
          <t>VÄSTERBOTTENS LÄN</t>
        </is>
      </c>
      <c r="E308" t="inlineStr">
        <is>
          <t>SKELLEFTEÅ</t>
        </is>
      </c>
      <c r="G308" t="n">
        <v>4.7</v>
      </c>
      <c r="H308" t="n">
        <v>0</v>
      </c>
      <c r="I308" t="n">
        <v>0</v>
      </c>
      <c r="J308" t="n">
        <v>0</v>
      </c>
      <c r="K308" t="n">
        <v>0</v>
      </c>
      <c r="L308" t="n">
        <v>0</v>
      </c>
      <c r="M308" t="n">
        <v>0</v>
      </c>
      <c r="N308" t="n">
        <v>0</v>
      </c>
      <c r="O308" t="n">
        <v>0</v>
      </c>
      <c r="P308" t="n">
        <v>0</v>
      </c>
      <c r="Q308" t="n">
        <v>0</v>
      </c>
      <c r="R308" s="2" t="inlineStr"/>
    </row>
    <row r="309" ht="15" customHeight="1">
      <c r="A309" t="inlineStr">
        <is>
          <t>A 32438-2021</t>
        </is>
      </c>
      <c r="B309" s="1" t="n">
        <v>44371</v>
      </c>
      <c r="C309" s="1" t="n">
        <v>45927</v>
      </c>
      <c r="D309" t="inlineStr">
        <is>
          <t>VÄSTERBOTTENS LÄN</t>
        </is>
      </c>
      <c r="E309" t="inlineStr">
        <is>
          <t>SKELLEFTEÅ</t>
        </is>
      </c>
      <c r="G309" t="n">
        <v>4.7</v>
      </c>
      <c r="H309" t="n">
        <v>0</v>
      </c>
      <c r="I309" t="n">
        <v>0</v>
      </c>
      <c r="J309" t="n">
        <v>0</v>
      </c>
      <c r="K309" t="n">
        <v>0</v>
      </c>
      <c r="L309" t="n">
        <v>0</v>
      </c>
      <c r="M309" t="n">
        <v>0</v>
      </c>
      <c r="N309" t="n">
        <v>0</v>
      </c>
      <c r="O309" t="n">
        <v>0</v>
      </c>
      <c r="P309" t="n">
        <v>0</v>
      </c>
      <c r="Q309" t="n">
        <v>0</v>
      </c>
      <c r="R309" s="2" t="inlineStr"/>
    </row>
    <row r="310" ht="15" customHeight="1">
      <c r="A310" t="inlineStr">
        <is>
          <t>A 60152-2020</t>
        </is>
      </c>
      <c r="B310" s="1" t="n">
        <v>44151</v>
      </c>
      <c r="C310" s="1" t="n">
        <v>45927</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18073-2021</t>
        </is>
      </c>
      <c r="B311" s="1" t="n">
        <v>44302.44858796296</v>
      </c>
      <c r="C311" s="1" t="n">
        <v>45927</v>
      </c>
      <c r="D311" t="inlineStr">
        <is>
          <t>VÄSTERBOTTENS LÄN</t>
        </is>
      </c>
      <c r="E311" t="inlineStr">
        <is>
          <t>SKELLEFTEÅ</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18182-2021</t>
        </is>
      </c>
      <c r="B312" s="1" t="n">
        <v>44302</v>
      </c>
      <c r="C312" s="1" t="n">
        <v>45927</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58808-2021</t>
        </is>
      </c>
      <c r="B313" s="1" t="n">
        <v>44489</v>
      </c>
      <c r="C313" s="1" t="n">
        <v>45927</v>
      </c>
      <c r="D313" t="inlineStr">
        <is>
          <t>VÄSTERBOTTENS LÄN</t>
        </is>
      </c>
      <c r="E313" t="inlineStr">
        <is>
          <t>SKELLEFTEÅ</t>
        </is>
      </c>
      <c r="F313" t="inlineStr">
        <is>
          <t>Sveaskog</t>
        </is>
      </c>
      <c r="G313" t="n">
        <v>15.5</v>
      </c>
      <c r="H313" t="n">
        <v>0</v>
      </c>
      <c r="I313" t="n">
        <v>0</v>
      </c>
      <c r="J313" t="n">
        <v>0</v>
      </c>
      <c r="K313" t="n">
        <v>0</v>
      </c>
      <c r="L313" t="n">
        <v>0</v>
      </c>
      <c r="M313" t="n">
        <v>0</v>
      </c>
      <c r="N313" t="n">
        <v>0</v>
      </c>
      <c r="O313" t="n">
        <v>0</v>
      </c>
      <c r="P313" t="n">
        <v>0</v>
      </c>
      <c r="Q313" t="n">
        <v>0</v>
      </c>
      <c r="R313" s="2" t="inlineStr"/>
    </row>
    <row r="314" ht="15" customHeight="1">
      <c r="A314" t="inlineStr">
        <is>
          <t>A 58811-2021</t>
        </is>
      </c>
      <c r="B314" s="1" t="n">
        <v>44489</v>
      </c>
      <c r="C314" s="1" t="n">
        <v>45927</v>
      </c>
      <c r="D314" t="inlineStr">
        <is>
          <t>VÄSTERBOTTENS LÄN</t>
        </is>
      </c>
      <c r="E314" t="inlineStr">
        <is>
          <t>SKELLEFTEÅ</t>
        </is>
      </c>
      <c r="F314" t="inlineStr">
        <is>
          <t>Holmen skog AB</t>
        </is>
      </c>
      <c r="G314" t="n">
        <v>0.4</v>
      </c>
      <c r="H314" t="n">
        <v>0</v>
      </c>
      <c r="I314" t="n">
        <v>0</v>
      </c>
      <c r="J314" t="n">
        <v>0</v>
      </c>
      <c r="K314" t="n">
        <v>0</v>
      </c>
      <c r="L314" t="n">
        <v>0</v>
      </c>
      <c r="M314" t="n">
        <v>0</v>
      </c>
      <c r="N314" t="n">
        <v>0</v>
      </c>
      <c r="O314" t="n">
        <v>0</v>
      </c>
      <c r="P314" t="n">
        <v>0</v>
      </c>
      <c r="Q314" t="n">
        <v>0</v>
      </c>
      <c r="R314" s="2" t="inlineStr"/>
    </row>
    <row r="315" ht="15" customHeight="1">
      <c r="A315" t="inlineStr">
        <is>
          <t>A 27637-2022</t>
        </is>
      </c>
      <c r="B315" s="1" t="n">
        <v>44743</v>
      </c>
      <c r="C315" s="1" t="n">
        <v>45927</v>
      </c>
      <c r="D315" t="inlineStr">
        <is>
          <t>VÄSTERBOTTENS LÄN</t>
        </is>
      </c>
      <c r="E315" t="inlineStr">
        <is>
          <t>SKELLEFTEÅ</t>
        </is>
      </c>
      <c r="G315" t="n">
        <v>5.4</v>
      </c>
      <c r="H315" t="n">
        <v>0</v>
      </c>
      <c r="I315" t="n">
        <v>0</v>
      </c>
      <c r="J315" t="n">
        <v>0</v>
      </c>
      <c r="K315" t="n">
        <v>0</v>
      </c>
      <c r="L315" t="n">
        <v>0</v>
      </c>
      <c r="M315" t="n">
        <v>0</v>
      </c>
      <c r="N315" t="n">
        <v>0</v>
      </c>
      <c r="O315" t="n">
        <v>0</v>
      </c>
      <c r="P315" t="n">
        <v>0</v>
      </c>
      <c r="Q315" t="n">
        <v>0</v>
      </c>
      <c r="R315" s="2" t="inlineStr"/>
    </row>
    <row r="316" ht="15" customHeight="1">
      <c r="A316" t="inlineStr">
        <is>
          <t>A 22828-2022</t>
        </is>
      </c>
      <c r="B316" s="1" t="n">
        <v>44714</v>
      </c>
      <c r="C316" s="1" t="n">
        <v>45927</v>
      </c>
      <c r="D316" t="inlineStr">
        <is>
          <t>VÄSTERBOTTENS LÄN</t>
        </is>
      </c>
      <c r="E316" t="inlineStr">
        <is>
          <t>SKELLEFTEÅ</t>
        </is>
      </c>
      <c r="G316" t="n">
        <v>0.6</v>
      </c>
      <c r="H316" t="n">
        <v>0</v>
      </c>
      <c r="I316" t="n">
        <v>0</v>
      </c>
      <c r="J316" t="n">
        <v>0</v>
      </c>
      <c r="K316" t="n">
        <v>0</v>
      </c>
      <c r="L316" t="n">
        <v>0</v>
      </c>
      <c r="M316" t="n">
        <v>0</v>
      </c>
      <c r="N316" t="n">
        <v>0</v>
      </c>
      <c r="O316" t="n">
        <v>0</v>
      </c>
      <c r="P316" t="n">
        <v>0</v>
      </c>
      <c r="Q316" t="n">
        <v>0</v>
      </c>
      <c r="R316" s="2" t="inlineStr"/>
    </row>
    <row r="317" ht="15" customHeight="1">
      <c r="A317" t="inlineStr">
        <is>
          <t>A 23513-2022</t>
        </is>
      </c>
      <c r="B317" s="1" t="n">
        <v>44721.39010416667</v>
      </c>
      <c r="C317" s="1" t="n">
        <v>45927</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45554-2022</t>
        </is>
      </c>
      <c r="B318" s="1" t="n">
        <v>44845</v>
      </c>
      <c r="C318" s="1" t="n">
        <v>45927</v>
      </c>
      <c r="D318" t="inlineStr">
        <is>
          <t>VÄSTERBOTTENS LÄN</t>
        </is>
      </c>
      <c r="E318" t="inlineStr">
        <is>
          <t>SKELLEFTEÅ</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30754-2021</t>
        </is>
      </c>
      <c r="B319" s="1" t="n">
        <v>44365.46270833333</v>
      </c>
      <c r="C319" s="1" t="n">
        <v>45927</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50055-2022</t>
        </is>
      </c>
      <c r="B320" s="1" t="n">
        <v>44865.47516203704</v>
      </c>
      <c r="C320" s="1" t="n">
        <v>45927</v>
      </c>
      <c r="D320" t="inlineStr">
        <is>
          <t>VÄSTERBOTTENS LÄN</t>
        </is>
      </c>
      <c r="E320" t="inlineStr">
        <is>
          <t>SKELLEFTEÅ</t>
        </is>
      </c>
      <c r="F320" t="inlineStr">
        <is>
          <t>Holmen skog AB</t>
        </is>
      </c>
      <c r="G320" t="n">
        <v>1.7</v>
      </c>
      <c r="H320" t="n">
        <v>0</v>
      </c>
      <c r="I320" t="n">
        <v>0</v>
      </c>
      <c r="J320" t="n">
        <v>0</v>
      </c>
      <c r="K320" t="n">
        <v>0</v>
      </c>
      <c r="L320" t="n">
        <v>0</v>
      </c>
      <c r="M320" t="n">
        <v>0</v>
      </c>
      <c r="N320" t="n">
        <v>0</v>
      </c>
      <c r="O320" t="n">
        <v>0</v>
      </c>
      <c r="P320" t="n">
        <v>0</v>
      </c>
      <c r="Q320" t="n">
        <v>0</v>
      </c>
      <c r="R320" s="2" t="inlineStr"/>
    </row>
    <row r="321" ht="15" customHeight="1">
      <c r="A321" t="inlineStr">
        <is>
          <t>A 73614-2021</t>
        </is>
      </c>
      <c r="B321" s="1" t="n">
        <v>44551</v>
      </c>
      <c r="C321" s="1" t="n">
        <v>45927</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65455-2021</t>
        </is>
      </c>
      <c r="B322" s="1" t="n">
        <v>44516.28991898148</v>
      </c>
      <c r="C322" s="1" t="n">
        <v>45927</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51547-2020</t>
        </is>
      </c>
      <c r="B323" s="1" t="n">
        <v>44113</v>
      </c>
      <c r="C323" s="1" t="n">
        <v>45927</v>
      </c>
      <c r="D323" t="inlineStr">
        <is>
          <t>VÄSTERBOTTENS LÄN</t>
        </is>
      </c>
      <c r="E323" t="inlineStr">
        <is>
          <t>SKELLEFTEÅ</t>
        </is>
      </c>
      <c r="F323" t="inlineStr">
        <is>
          <t>Holmen skog AB</t>
        </is>
      </c>
      <c r="G323" t="n">
        <v>0.5</v>
      </c>
      <c r="H323" t="n">
        <v>0</v>
      </c>
      <c r="I323" t="n">
        <v>0</v>
      </c>
      <c r="J323" t="n">
        <v>0</v>
      </c>
      <c r="K323" t="n">
        <v>0</v>
      </c>
      <c r="L323" t="n">
        <v>0</v>
      </c>
      <c r="M323" t="n">
        <v>0</v>
      </c>
      <c r="N323" t="n">
        <v>0</v>
      </c>
      <c r="O323" t="n">
        <v>0</v>
      </c>
      <c r="P323" t="n">
        <v>0</v>
      </c>
      <c r="Q323" t="n">
        <v>0</v>
      </c>
      <c r="R323" s="2" t="inlineStr"/>
    </row>
    <row r="324" ht="15" customHeight="1">
      <c r="A324" t="inlineStr">
        <is>
          <t>A 66250-2021</t>
        </is>
      </c>
      <c r="B324" s="1" t="n">
        <v>44518.42975694445</v>
      </c>
      <c r="C324" s="1" t="n">
        <v>45927</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39985-2022</t>
        </is>
      </c>
      <c r="B325" s="1" t="n">
        <v>44820.34109953704</v>
      </c>
      <c r="C325" s="1" t="n">
        <v>45927</v>
      </c>
      <c r="D325" t="inlineStr">
        <is>
          <t>VÄSTERBOTTENS LÄN</t>
        </is>
      </c>
      <c r="E325" t="inlineStr">
        <is>
          <t>SKELLEFTEÅ</t>
        </is>
      </c>
      <c r="G325" t="n">
        <v>2</v>
      </c>
      <c r="H325" t="n">
        <v>0</v>
      </c>
      <c r="I325" t="n">
        <v>0</v>
      </c>
      <c r="J325" t="n">
        <v>0</v>
      </c>
      <c r="K325" t="n">
        <v>0</v>
      </c>
      <c r="L325" t="n">
        <v>0</v>
      </c>
      <c r="M325" t="n">
        <v>0</v>
      </c>
      <c r="N325" t="n">
        <v>0</v>
      </c>
      <c r="O325" t="n">
        <v>0</v>
      </c>
      <c r="P325" t="n">
        <v>0</v>
      </c>
      <c r="Q325" t="n">
        <v>0</v>
      </c>
      <c r="R325" s="2" t="inlineStr"/>
    </row>
    <row r="326" ht="15" customHeight="1">
      <c r="A326" t="inlineStr">
        <is>
          <t>A 64485-2020</t>
        </is>
      </c>
      <c r="B326" s="1" t="n">
        <v>44168</v>
      </c>
      <c r="C326" s="1" t="n">
        <v>45927</v>
      </c>
      <c r="D326" t="inlineStr">
        <is>
          <t>VÄSTERBOTTENS LÄN</t>
        </is>
      </c>
      <c r="E326" t="inlineStr">
        <is>
          <t>SKELLEFTEÅ</t>
        </is>
      </c>
      <c r="G326" t="n">
        <v>35.4</v>
      </c>
      <c r="H326" t="n">
        <v>0</v>
      </c>
      <c r="I326" t="n">
        <v>0</v>
      </c>
      <c r="J326" t="n">
        <v>0</v>
      </c>
      <c r="K326" t="n">
        <v>0</v>
      </c>
      <c r="L326" t="n">
        <v>0</v>
      </c>
      <c r="M326" t="n">
        <v>0</v>
      </c>
      <c r="N326" t="n">
        <v>0</v>
      </c>
      <c r="O326" t="n">
        <v>0</v>
      </c>
      <c r="P326" t="n">
        <v>0</v>
      </c>
      <c r="Q326" t="n">
        <v>0</v>
      </c>
      <c r="R326" s="2" t="inlineStr"/>
    </row>
    <row r="327" ht="15" customHeight="1">
      <c r="A327" t="inlineStr">
        <is>
          <t>A 10471-2021</t>
        </is>
      </c>
      <c r="B327" s="1" t="n">
        <v>44257</v>
      </c>
      <c r="C327" s="1" t="n">
        <v>45927</v>
      </c>
      <c r="D327" t="inlineStr">
        <is>
          <t>VÄSTERBOTTENS LÄN</t>
        </is>
      </c>
      <c r="E327" t="inlineStr">
        <is>
          <t>SKELLEFTEÅ</t>
        </is>
      </c>
      <c r="G327" t="n">
        <v>1.7</v>
      </c>
      <c r="H327" t="n">
        <v>0</v>
      </c>
      <c r="I327" t="n">
        <v>0</v>
      </c>
      <c r="J327" t="n">
        <v>0</v>
      </c>
      <c r="K327" t="n">
        <v>0</v>
      </c>
      <c r="L327" t="n">
        <v>0</v>
      </c>
      <c r="M327" t="n">
        <v>0</v>
      </c>
      <c r="N327" t="n">
        <v>0</v>
      </c>
      <c r="O327" t="n">
        <v>0</v>
      </c>
      <c r="P327" t="n">
        <v>0</v>
      </c>
      <c r="Q327" t="n">
        <v>0</v>
      </c>
      <c r="R327" s="2" t="inlineStr"/>
    </row>
    <row r="328" ht="15" customHeight="1">
      <c r="A328" t="inlineStr">
        <is>
          <t>A 37498-2021</t>
        </is>
      </c>
      <c r="B328" s="1" t="n">
        <v>44399</v>
      </c>
      <c r="C328" s="1" t="n">
        <v>45927</v>
      </c>
      <c r="D328" t="inlineStr">
        <is>
          <t>VÄSTERBOTTENS LÄN</t>
        </is>
      </c>
      <c r="E328" t="inlineStr">
        <is>
          <t>SKELLEFTEÅ</t>
        </is>
      </c>
      <c r="G328" t="n">
        <v>12.8</v>
      </c>
      <c r="H328" t="n">
        <v>0</v>
      </c>
      <c r="I328" t="n">
        <v>0</v>
      </c>
      <c r="J328" t="n">
        <v>0</v>
      </c>
      <c r="K328" t="n">
        <v>0</v>
      </c>
      <c r="L328" t="n">
        <v>0</v>
      </c>
      <c r="M328" t="n">
        <v>0</v>
      </c>
      <c r="N328" t="n">
        <v>0</v>
      </c>
      <c r="O328" t="n">
        <v>0</v>
      </c>
      <c r="P328" t="n">
        <v>0</v>
      </c>
      <c r="Q328" t="n">
        <v>0</v>
      </c>
      <c r="R328" s="2" t="inlineStr"/>
    </row>
    <row r="329" ht="15" customHeight="1">
      <c r="A329" t="inlineStr">
        <is>
          <t>A 25674-2022</t>
        </is>
      </c>
      <c r="B329" s="1" t="n">
        <v>44732</v>
      </c>
      <c r="C329" s="1" t="n">
        <v>45927</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48082-2022</t>
        </is>
      </c>
      <c r="B330" s="1" t="n">
        <v>44855.94578703704</v>
      </c>
      <c r="C330" s="1" t="n">
        <v>45927</v>
      </c>
      <c r="D330" t="inlineStr">
        <is>
          <t>VÄSTERBOTTENS LÄN</t>
        </is>
      </c>
      <c r="E330" t="inlineStr">
        <is>
          <t>SKELLEFTEÅ</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29092-2022</t>
        </is>
      </c>
      <c r="B331" s="1" t="n">
        <v>44750</v>
      </c>
      <c r="C331" s="1" t="n">
        <v>45927</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3844-2021</t>
        </is>
      </c>
      <c r="B332" s="1" t="n">
        <v>44216</v>
      </c>
      <c r="C332" s="1" t="n">
        <v>45927</v>
      </c>
      <c r="D332" t="inlineStr">
        <is>
          <t>VÄSTERBOTTENS LÄN</t>
        </is>
      </c>
      <c r="E332" t="inlineStr">
        <is>
          <t>SKELLEFTEÅ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40851-2022</t>
        </is>
      </c>
      <c r="B333" s="1" t="n">
        <v>44825.26050925926</v>
      </c>
      <c r="C333" s="1" t="n">
        <v>45927</v>
      </c>
      <c r="D333" t="inlineStr">
        <is>
          <t>VÄSTERBOTTENS LÄN</t>
        </is>
      </c>
      <c r="E333" t="inlineStr">
        <is>
          <t>SKELLEFTEÅ</t>
        </is>
      </c>
      <c r="G333" t="n">
        <v>2.6</v>
      </c>
      <c r="H333" t="n">
        <v>0</v>
      </c>
      <c r="I333" t="n">
        <v>0</v>
      </c>
      <c r="J333" t="n">
        <v>0</v>
      </c>
      <c r="K333" t="n">
        <v>0</v>
      </c>
      <c r="L333" t="n">
        <v>0</v>
      </c>
      <c r="M333" t="n">
        <v>0</v>
      </c>
      <c r="N333" t="n">
        <v>0</v>
      </c>
      <c r="O333" t="n">
        <v>0</v>
      </c>
      <c r="P333" t="n">
        <v>0</v>
      </c>
      <c r="Q333" t="n">
        <v>0</v>
      </c>
      <c r="R333" s="2" t="inlineStr"/>
    </row>
    <row r="334" ht="15" customHeight="1">
      <c r="A334" t="inlineStr">
        <is>
          <t>A 51982-2022</t>
        </is>
      </c>
      <c r="B334" s="1" t="n">
        <v>44872.82622685185</v>
      </c>
      <c r="C334" s="1" t="n">
        <v>45927</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11102-2021</t>
        </is>
      </c>
      <c r="B335" s="1" t="n">
        <v>44259</v>
      </c>
      <c r="C335" s="1" t="n">
        <v>45927</v>
      </c>
      <c r="D335" t="inlineStr">
        <is>
          <t>VÄSTERBOTTENS LÄN</t>
        </is>
      </c>
      <c r="E335" t="inlineStr">
        <is>
          <t>SKELLEFTEÅ</t>
        </is>
      </c>
      <c r="G335" t="n">
        <v>2.1</v>
      </c>
      <c r="H335" t="n">
        <v>0</v>
      </c>
      <c r="I335" t="n">
        <v>0</v>
      </c>
      <c r="J335" t="n">
        <v>0</v>
      </c>
      <c r="K335" t="n">
        <v>0</v>
      </c>
      <c r="L335" t="n">
        <v>0</v>
      </c>
      <c r="M335" t="n">
        <v>0</v>
      </c>
      <c r="N335" t="n">
        <v>0</v>
      </c>
      <c r="O335" t="n">
        <v>0</v>
      </c>
      <c r="P335" t="n">
        <v>0</v>
      </c>
      <c r="Q335" t="n">
        <v>0</v>
      </c>
      <c r="R335" s="2" t="inlineStr"/>
    </row>
    <row r="336" ht="15" customHeight="1">
      <c r="A336" t="inlineStr">
        <is>
          <t>A 2607-2022</t>
        </is>
      </c>
      <c r="B336" s="1" t="n">
        <v>44580</v>
      </c>
      <c r="C336" s="1" t="n">
        <v>45927</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49757-2022</t>
        </is>
      </c>
      <c r="B337" s="1" t="n">
        <v>44862.59038194444</v>
      </c>
      <c r="C337" s="1" t="n">
        <v>45927</v>
      </c>
      <c r="D337" t="inlineStr">
        <is>
          <t>VÄSTERBOTTENS LÄN</t>
        </is>
      </c>
      <c r="E337" t="inlineStr">
        <is>
          <t>SKELLEFTEÅ</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1834-2022</t>
        </is>
      </c>
      <c r="B338" s="1" t="n">
        <v>44574.67953703704</v>
      </c>
      <c r="C338" s="1" t="n">
        <v>45927</v>
      </c>
      <c r="D338" t="inlineStr">
        <is>
          <t>VÄSTERBOTTENS LÄN</t>
        </is>
      </c>
      <c r="E338" t="inlineStr">
        <is>
          <t>SKELLEFTEÅ</t>
        </is>
      </c>
      <c r="G338" t="n">
        <v>9.9</v>
      </c>
      <c r="H338" t="n">
        <v>0</v>
      </c>
      <c r="I338" t="n">
        <v>0</v>
      </c>
      <c r="J338" t="n">
        <v>0</v>
      </c>
      <c r="K338" t="n">
        <v>0</v>
      </c>
      <c r="L338" t="n">
        <v>0</v>
      </c>
      <c r="M338" t="n">
        <v>0</v>
      </c>
      <c r="N338" t="n">
        <v>0</v>
      </c>
      <c r="O338" t="n">
        <v>0</v>
      </c>
      <c r="P338" t="n">
        <v>0</v>
      </c>
      <c r="Q338" t="n">
        <v>0</v>
      </c>
      <c r="R338" s="2" t="inlineStr"/>
    </row>
    <row r="339" ht="15" customHeight="1">
      <c r="A339" t="inlineStr">
        <is>
          <t>A 42609-2021</t>
        </is>
      </c>
      <c r="B339" s="1" t="n">
        <v>44428.39925925926</v>
      </c>
      <c r="C339" s="1" t="n">
        <v>45927</v>
      </c>
      <c r="D339" t="inlineStr">
        <is>
          <t>VÄSTERBOTTENS LÄN</t>
        </is>
      </c>
      <c r="E339" t="inlineStr">
        <is>
          <t>SKELLEFTEÅ</t>
        </is>
      </c>
      <c r="G339" t="n">
        <v>0.7</v>
      </c>
      <c r="H339" t="n">
        <v>0</v>
      </c>
      <c r="I339" t="n">
        <v>0</v>
      </c>
      <c r="J339" t="n">
        <v>0</v>
      </c>
      <c r="K339" t="n">
        <v>0</v>
      </c>
      <c r="L339" t="n">
        <v>0</v>
      </c>
      <c r="M339" t="n">
        <v>0</v>
      </c>
      <c r="N339" t="n">
        <v>0</v>
      </c>
      <c r="O339" t="n">
        <v>0</v>
      </c>
      <c r="P339" t="n">
        <v>0</v>
      </c>
      <c r="Q339" t="n">
        <v>0</v>
      </c>
      <c r="R339" s="2" t="inlineStr"/>
    </row>
    <row r="340" ht="15" customHeight="1">
      <c r="A340" t="inlineStr">
        <is>
          <t>A 54872-2020</t>
        </is>
      </c>
      <c r="B340" s="1" t="n">
        <v>44126</v>
      </c>
      <c r="C340" s="1" t="n">
        <v>45927</v>
      </c>
      <c r="D340" t="inlineStr">
        <is>
          <t>VÄSTERBOTTENS LÄN</t>
        </is>
      </c>
      <c r="E340" t="inlineStr">
        <is>
          <t>SKELLEFTEÅ</t>
        </is>
      </c>
      <c r="G340" t="n">
        <v>0.7</v>
      </c>
      <c r="H340" t="n">
        <v>0</v>
      </c>
      <c r="I340" t="n">
        <v>0</v>
      </c>
      <c r="J340" t="n">
        <v>0</v>
      </c>
      <c r="K340" t="n">
        <v>0</v>
      </c>
      <c r="L340" t="n">
        <v>0</v>
      </c>
      <c r="M340" t="n">
        <v>0</v>
      </c>
      <c r="N340" t="n">
        <v>0</v>
      </c>
      <c r="O340" t="n">
        <v>0</v>
      </c>
      <c r="P340" t="n">
        <v>0</v>
      </c>
      <c r="Q340" t="n">
        <v>0</v>
      </c>
      <c r="R340" s="2" t="inlineStr"/>
    </row>
    <row r="341" ht="15" customHeight="1">
      <c r="A341" t="inlineStr">
        <is>
          <t>A 43917-2022</t>
        </is>
      </c>
      <c r="B341" s="1" t="n">
        <v>44838.51583333333</v>
      </c>
      <c r="C341" s="1" t="n">
        <v>45927</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4844-2022</t>
        </is>
      </c>
      <c r="B342" s="1" t="n">
        <v>44592</v>
      </c>
      <c r="C342" s="1" t="n">
        <v>45927</v>
      </c>
      <c r="D342" t="inlineStr">
        <is>
          <t>VÄSTERBOTTENS LÄN</t>
        </is>
      </c>
      <c r="E342" t="inlineStr">
        <is>
          <t>SKELLEFTEÅ</t>
        </is>
      </c>
      <c r="G342" t="n">
        <v>0.3</v>
      </c>
      <c r="H342" t="n">
        <v>0</v>
      </c>
      <c r="I342" t="n">
        <v>0</v>
      </c>
      <c r="J342" t="n">
        <v>0</v>
      </c>
      <c r="K342" t="n">
        <v>0</v>
      </c>
      <c r="L342" t="n">
        <v>0</v>
      </c>
      <c r="M342" t="n">
        <v>0</v>
      </c>
      <c r="N342" t="n">
        <v>0</v>
      </c>
      <c r="O342" t="n">
        <v>0</v>
      </c>
      <c r="P342" t="n">
        <v>0</v>
      </c>
      <c r="Q342" t="n">
        <v>0</v>
      </c>
      <c r="R342" s="2" t="inlineStr"/>
    </row>
    <row r="343" ht="15" customHeight="1">
      <c r="A343" t="inlineStr">
        <is>
          <t>A 59659-2021</t>
        </is>
      </c>
      <c r="B343" s="1" t="n">
        <v>44491</v>
      </c>
      <c r="C343" s="1" t="n">
        <v>45927</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7038-2021</t>
        </is>
      </c>
      <c r="B344" s="1" t="n">
        <v>44237</v>
      </c>
      <c r="C344" s="1" t="n">
        <v>45927</v>
      </c>
      <c r="D344" t="inlineStr">
        <is>
          <t>VÄSTERBOTTENS LÄN</t>
        </is>
      </c>
      <c r="E344" t="inlineStr">
        <is>
          <t>SKELLEFTEÅ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55568-2021</t>
        </is>
      </c>
      <c r="B345" s="1" t="n">
        <v>44475.72190972222</v>
      </c>
      <c r="C345" s="1" t="n">
        <v>45927</v>
      </c>
      <c r="D345" t="inlineStr">
        <is>
          <t>VÄSTERBOTTENS LÄN</t>
        </is>
      </c>
      <c r="E345" t="inlineStr">
        <is>
          <t>SKELLEFTEÅ</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58544-2020</t>
        </is>
      </c>
      <c r="B346" s="1" t="n">
        <v>44145</v>
      </c>
      <c r="C346" s="1" t="n">
        <v>45927</v>
      </c>
      <c r="D346" t="inlineStr">
        <is>
          <t>VÄSTERBOTTENS LÄN</t>
        </is>
      </c>
      <c r="E346" t="inlineStr">
        <is>
          <t>SKELLEFTEÅ</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55814-2021</t>
        </is>
      </c>
      <c r="B347" s="1" t="n">
        <v>44476.59821759259</v>
      </c>
      <c r="C347" s="1" t="n">
        <v>45927</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1076-2021</t>
        </is>
      </c>
      <c r="B348" s="1" t="n">
        <v>44207</v>
      </c>
      <c r="C348" s="1" t="n">
        <v>45927</v>
      </c>
      <c r="D348" t="inlineStr">
        <is>
          <t>VÄSTERBOTTENS LÄN</t>
        </is>
      </c>
      <c r="E348" t="inlineStr">
        <is>
          <t>SKELLEFTEÅ</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19679-2021</t>
        </is>
      </c>
      <c r="B349" s="1" t="n">
        <v>44312</v>
      </c>
      <c r="C349" s="1" t="n">
        <v>45927</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17251-2022</t>
        </is>
      </c>
      <c r="B350" s="1" t="n">
        <v>44678</v>
      </c>
      <c r="C350" s="1" t="n">
        <v>45927</v>
      </c>
      <c r="D350" t="inlineStr">
        <is>
          <t>VÄSTERBOTTENS LÄN</t>
        </is>
      </c>
      <c r="E350" t="inlineStr">
        <is>
          <t>SKELLEFTEÅ</t>
        </is>
      </c>
      <c r="G350" t="n">
        <v>5.4</v>
      </c>
      <c r="H350" t="n">
        <v>0</v>
      </c>
      <c r="I350" t="n">
        <v>0</v>
      </c>
      <c r="J350" t="n">
        <v>0</v>
      </c>
      <c r="K350" t="n">
        <v>0</v>
      </c>
      <c r="L350" t="n">
        <v>0</v>
      </c>
      <c r="M350" t="n">
        <v>0</v>
      </c>
      <c r="N350" t="n">
        <v>0</v>
      </c>
      <c r="O350" t="n">
        <v>0</v>
      </c>
      <c r="P350" t="n">
        <v>0</v>
      </c>
      <c r="Q350" t="n">
        <v>0</v>
      </c>
      <c r="R350" s="2" t="inlineStr"/>
    </row>
    <row r="351" ht="15" customHeight="1">
      <c r="A351" t="inlineStr">
        <is>
          <t>A 58847-2021</t>
        </is>
      </c>
      <c r="B351" s="1" t="n">
        <v>44489.62116898148</v>
      </c>
      <c r="C351" s="1" t="n">
        <v>45927</v>
      </c>
      <c r="D351" t="inlineStr">
        <is>
          <t>VÄSTERBOTTENS LÄN</t>
        </is>
      </c>
      <c r="E351" t="inlineStr">
        <is>
          <t>SKELLEFTEÅ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71445-2021</t>
        </is>
      </c>
      <c r="B352" s="1" t="n">
        <v>44540.45789351852</v>
      </c>
      <c r="C352" s="1" t="n">
        <v>45927</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71434-2021</t>
        </is>
      </c>
      <c r="B353" s="1" t="n">
        <v>44540.44325231481</v>
      </c>
      <c r="C353" s="1" t="n">
        <v>45927</v>
      </c>
      <c r="D353" t="inlineStr">
        <is>
          <t>VÄSTERBOTTENS LÄN</t>
        </is>
      </c>
      <c r="E353" t="inlineStr">
        <is>
          <t>SKELLEFTEÅ</t>
        </is>
      </c>
      <c r="F353" t="inlineStr">
        <is>
          <t>Sveaskog</t>
        </is>
      </c>
      <c r="G353" t="n">
        <v>13.2</v>
      </c>
      <c r="H353" t="n">
        <v>0</v>
      </c>
      <c r="I353" t="n">
        <v>0</v>
      </c>
      <c r="J353" t="n">
        <v>0</v>
      </c>
      <c r="K353" t="n">
        <v>0</v>
      </c>
      <c r="L353" t="n">
        <v>0</v>
      </c>
      <c r="M353" t="n">
        <v>0</v>
      </c>
      <c r="N353" t="n">
        <v>0</v>
      </c>
      <c r="O353" t="n">
        <v>0</v>
      </c>
      <c r="P353" t="n">
        <v>0</v>
      </c>
      <c r="Q353" t="n">
        <v>0</v>
      </c>
      <c r="R353" s="2" t="inlineStr"/>
    </row>
    <row r="354" ht="15" customHeight="1">
      <c r="A354" t="inlineStr">
        <is>
          <t>A 3575-2021</t>
        </is>
      </c>
      <c r="B354" s="1" t="n">
        <v>44218</v>
      </c>
      <c r="C354" s="1" t="n">
        <v>45927</v>
      </c>
      <c r="D354" t="inlineStr">
        <is>
          <t>VÄSTERBOTTENS LÄN</t>
        </is>
      </c>
      <c r="E354" t="inlineStr">
        <is>
          <t>SKELLEFTEÅ</t>
        </is>
      </c>
      <c r="G354" t="n">
        <v>1</v>
      </c>
      <c r="H354" t="n">
        <v>0</v>
      </c>
      <c r="I354" t="n">
        <v>0</v>
      </c>
      <c r="J354" t="n">
        <v>0</v>
      </c>
      <c r="K354" t="n">
        <v>0</v>
      </c>
      <c r="L354" t="n">
        <v>0</v>
      </c>
      <c r="M354" t="n">
        <v>0</v>
      </c>
      <c r="N354" t="n">
        <v>0</v>
      </c>
      <c r="O354" t="n">
        <v>0</v>
      </c>
      <c r="P354" t="n">
        <v>0</v>
      </c>
      <c r="Q354" t="n">
        <v>0</v>
      </c>
      <c r="R354" s="2" t="inlineStr"/>
    </row>
    <row r="355" ht="15" customHeight="1">
      <c r="A355" t="inlineStr">
        <is>
          <t>A 35608-2022</t>
        </is>
      </c>
      <c r="B355" s="1" t="n">
        <v>44799</v>
      </c>
      <c r="C355" s="1" t="n">
        <v>45927</v>
      </c>
      <c r="D355" t="inlineStr">
        <is>
          <t>VÄSTERBOTTENS LÄN</t>
        </is>
      </c>
      <c r="E355" t="inlineStr">
        <is>
          <t>SKELLEFTEÅ</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37938-2021</t>
        </is>
      </c>
      <c r="B356" s="1" t="n">
        <v>44403</v>
      </c>
      <c r="C356" s="1" t="n">
        <v>45927</v>
      </c>
      <c r="D356" t="inlineStr">
        <is>
          <t>VÄSTERBOTTENS LÄN</t>
        </is>
      </c>
      <c r="E356" t="inlineStr">
        <is>
          <t>SKELLEFTEÅ</t>
        </is>
      </c>
      <c r="G356" t="n">
        <v>3</v>
      </c>
      <c r="H356" t="n">
        <v>0</v>
      </c>
      <c r="I356" t="n">
        <v>0</v>
      </c>
      <c r="J356" t="n">
        <v>0</v>
      </c>
      <c r="K356" t="n">
        <v>0</v>
      </c>
      <c r="L356" t="n">
        <v>0</v>
      </c>
      <c r="M356" t="n">
        <v>0</v>
      </c>
      <c r="N356" t="n">
        <v>0</v>
      </c>
      <c r="O356" t="n">
        <v>0</v>
      </c>
      <c r="P356" t="n">
        <v>0</v>
      </c>
      <c r="Q356" t="n">
        <v>0</v>
      </c>
      <c r="R356" s="2" t="inlineStr"/>
    </row>
    <row r="357" ht="15" customHeight="1">
      <c r="A357" t="inlineStr">
        <is>
          <t>A 22364-2022</t>
        </is>
      </c>
      <c r="B357" s="1" t="n">
        <v>44713</v>
      </c>
      <c r="C357" s="1" t="n">
        <v>45927</v>
      </c>
      <c r="D357" t="inlineStr">
        <is>
          <t>VÄSTERBOTTENS LÄN</t>
        </is>
      </c>
      <c r="E357" t="inlineStr">
        <is>
          <t>SKELLEFTEÅ</t>
        </is>
      </c>
      <c r="G357" t="n">
        <v>3.7</v>
      </c>
      <c r="H357" t="n">
        <v>0</v>
      </c>
      <c r="I357" t="n">
        <v>0</v>
      </c>
      <c r="J357" t="n">
        <v>0</v>
      </c>
      <c r="K357" t="n">
        <v>0</v>
      </c>
      <c r="L357" t="n">
        <v>0</v>
      </c>
      <c r="M357" t="n">
        <v>0</v>
      </c>
      <c r="N357" t="n">
        <v>0</v>
      </c>
      <c r="O357" t="n">
        <v>0</v>
      </c>
      <c r="P357" t="n">
        <v>0</v>
      </c>
      <c r="Q357" t="n">
        <v>0</v>
      </c>
      <c r="R357" s="2" t="inlineStr"/>
    </row>
    <row r="358" ht="15" customHeight="1">
      <c r="A358" t="inlineStr">
        <is>
          <t>A 35442-2021</t>
        </is>
      </c>
      <c r="B358" s="1" t="n">
        <v>44384</v>
      </c>
      <c r="C358" s="1" t="n">
        <v>45927</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31251-2021</t>
        </is>
      </c>
      <c r="B359" s="1" t="n">
        <v>44368</v>
      </c>
      <c r="C359" s="1" t="n">
        <v>45927</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2575-2021</t>
        </is>
      </c>
      <c r="B360" s="1" t="n">
        <v>44214</v>
      </c>
      <c r="C360" s="1" t="n">
        <v>45927</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29276-2021</t>
        </is>
      </c>
      <c r="B361" s="1" t="n">
        <v>44361</v>
      </c>
      <c r="C361" s="1" t="n">
        <v>45927</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73956-2021</t>
        </is>
      </c>
      <c r="B362" s="1" t="n">
        <v>44553</v>
      </c>
      <c r="C362" s="1" t="n">
        <v>45927</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5095-2021</t>
        </is>
      </c>
      <c r="B363" s="1" t="n">
        <v>44224</v>
      </c>
      <c r="C363" s="1" t="n">
        <v>45927</v>
      </c>
      <c r="D363" t="inlineStr">
        <is>
          <t>VÄSTERBOTTENS LÄN</t>
        </is>
      </c>
      <c r="E363" t="inlineStr">
        <is>
          <t>SKELLEFTEÅ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45927</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35888-2022</t>
        </is>
      </c>
      <c r="B365" s="1" t="n">
        <v>44803</v>
      </c>
      <c r="C365" s="1" t="n">
        <v>45927</v>
      </c>
      <c r="D365" t="inlineStr">
        <is>
          <t>VÄSTERBOTTENS LÄN</t>
        </is>
      </c>
      <c r="E365" t="inlineStr">
        <is>
          <t>SKELLEFTEÅ</t>
        </is>
      </c>
      <c r="G365" t="n">
        <v>4.7</v>
      </c>
      <c r="H365" t="n">
        <v>0</v>
      </c>
      <c r="I365" t="n">
        <v>0</v>
      </c>
      <c r="J365" t="n">
        <v>0</v>
      </c>
      <c r="K365" t="n">
        <v>0</v>
      </c>
      <c r="L365" t="n">
        <v>0</v>
      </c>
      <c r="M365" t="n">
        <v>0</v>
      </c>
      <c r="N365" t="n">
        <v>0</v>
      </c>
      <c r="O365" t="n">
        <v>0</v>
      </c>
      <c r="P365" t="n">
        <v>0</v>
      </c>
      <c r="Q365" t="n">
        <v>0</v>
      </c>
      <c r="R365" s="2" t="inlineStr"/>
    </row>
    <row r="366" ht="15" customHeight="1">
      <c r="A366" t="inlineStr">
        <is>
          <t>A 23885-2021</t>
        </is>
      </c>
      <c r="B366" s="1" t="n">
        <v>44335</v>
      </c>
      <c r="C366" s="1" t="n">
        <v>45927</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23801-2021</t>
        </is>
      </c>
      <c r="B367" s="1" t="n">
        <v>44334</v>
      </c>
      <c r="C367" s="1" t="n">
        <v>45927</v>
      </c>
      <c r="D367" t="inlineStr">
        <is>
          <t>VÄSTERBOTTENS LÄN</t>
        </is>
      </c>
      <c r="E367" t="inlineStr">
        <is>
          <t>SKELLEFTEÅ</t>
        </is>
      </c>
      <c r="G367" t="n">
        <v>2.8</v>
      </c>
      <c r="H367" t="n">
        <v>0</v>
      </c>
      <c r="I367" t="n">
        <v>0</v>
      </c>
      <c r="J367" t="n">
        <v>0</v>
      </c>
      <c r="K367" t="n">
        <v>0</v>
      </c>
      <c r="L367" t="n">
        <v>0</v>
      </c>
      <c r="M367" t="n">
        <v>0</v>
      </c>
      <c r="N367" t="n">
        <v>0</v>
      </c>
      <c r="O367" t="n">
        <v>0</v>
      </c>
      <c r="P367" t="n">
        <v>0</v>
      </c>
      <c r="Q367" t="n">
        <v>0</v>
      </c>
      <c r="R367" s="2" t="inlineStr"/>
    </row>
    <row r="368" ht="15" customHeight="1">
      <c r="A368" t="inlineStr">
        <is>
          <t>A 19538-2021</t>
        </is>
      </c>
      <c r="B368" s="1" t="n">
        <v>44309</v>
      </c>
      <c r="C368" s="1" t="n">
        <v>45927</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26130-2021</t>
        </is>
      </c>
      <c r="B369" s="1" t="n">
        <v>44345.93436342593</v>
      </c>
      <c r="C369" s="1" t="n">
        <v>45927</v>
      </c>
      <c r="D369" t="inlineStr">
        <is>
          <t>VÄSTERBOTTENS LÄN</t>
        </is>
      </c>
      <c r="E369" t="inlineStr">
        <is>
          <t>SKELLEFTEÅ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39192-2021</t>
        </is>
      </c>
      <c r="B370" s="1" t="n">
        <v>44413.34373842592</v>
      </c>
      <c r="C370" s="1" t="n">
        <v>45927</v>
      </c>
      <c r="D370" t="inlineStr">
        <is>
          <t>VÄSTERBOTTENS LÄN</t>
        </is>
      </c>
      <c r="E370" t="inlineStr">
        <is>
          <t>SKELLEFTEÅ</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41993-2021</t>
        </is>
      </c>
      <c r="B371" s="1" t="n">
        <v>44426.47770833333</v>
      </c>
      <c r="C371" s="1" t="n">
        <v>45927</v>
      </c>
      <c r="D371" t="inlineStr">
        <is>
          <t>VÄSTERBOTTENS LÄN</t>
        </is>
      </c>
      <c r="E371" t="inlineStr">
        <is>
          <t>SKELLEFTEÅ</t>
        </is>
      </c>
      <c r="F371" t="inlineStr">
        <is>
          <t>Sveaskog</t>
        </is>
      </c>
      <c r="G371" t="n">
        <v>14.3</v>
      </c>
      <c r="H371" t="n">
        <v>0</v>
      </c>
      <c r="I371" t="n">
        <v>0</v>
      </c>
      <c r="J371" t="n">
        <v>0</v>
      </c>
      <c r="K371" t="n">
        <v>0</v>
      </c>
      <c r="L371" t="n">
        <v>0</v>
      </c>
      <c r="M371" t="n">
        <v>0</v>
      </c>
      <c r="N371" t="n">
        <v>0</v>
      </c>
      <c r="O371" t="n">
        <v>0</v>
      </c>
      <c r="P371" t="n">
        <v>0</v>
      </c>
      <c r="Q371" t="n">
        <v>0</v>
      </c>
      <c r="R371" s="2" t="inlineStr"/>
    </row>
    <row r="372" ht="15" customHeight="1">
      <c r="A372" t="inlineStr">
        <is>
          <t>A 13693-2022</t>
        </is>
      </c>
      <c r="B372" s="1" t="n">
        <v>44648</v>
      </c>
      <c r="C372" s="1" t="n">
        <v>45927</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3362-2022</t>
        </is>
      </c>
      <c r="B373" s="1" t="n">
        <v>44585</v>
      </c>
      <c r="C373" s="1" t="n">
        <v>45927</v>
      </c>
      <c r="D373" t="inlineStr">
        <is>
          <t>VÄSTERBOTTENS LÄN</t>
        </is>
      </c>
      <c r="E373" t="inlineStr">
        <is>
          <t>SKELLEFTEÅ</t>
        </is>
      </c>
      <c r="G373" t="n">
        <v>0.2</v>
      </c>
      <c r="H373" t="n">
        <v>0</v>
      </c>
      <c r="I373" t="n">
        <v>0</v>
      </c>
      <c r="J373" t="n">
        <v>0</v>
      </c>
      <c r="K373" t="n">
        <v>0</v>
      </c>
      <c r="L373" t="n">
        <v>0</v>
      </c>
      <c r="M373" t="n">
        <v>0</v>
      </c>
      <c r="N373" t="n">
        <v>0</v>
      </c>
      <c r="O373" t="n">
        <v>0</v>
      </c>
      <c r="P373" t="n">
        <v>0</v>
      </c>
      <c r="Q373" t="n">
        <v>0</v>
      </c>
      <c r="R373" s="2" t="inlineStr"/>
    </row>
    <row r="374" ht="15" customHeight="1">
      <c r="A374" t="inlineStr">
        <is>
          <t>A 70703-2021</t>
        </is>
      </c>
      <c r="B374" s="1" t="n">
        <v>44536</v>
      </c>
      <c r="C374" s="1" t="n">
        <v>45927</v>
      </c>
      <c r="D374" t="inlineStr">
        <is>
          <t>VÄSTERBOTTENS LÄN</t>
        </is>
      </c>
      <c r="E374" t="inlineStr">
        <is>
          <t>SKELLEFTEÅ</t>
        </is>
      </c>
      <c r="G374" t="n">
        <v>0.6</v>
      </c>
      <c r="H374" t="n">
        <v>0</v>
      </c>
      <c r="I374" t="n">
        <v>0</v>
      </c>
      <c r="J374" t="n">
        <v>0</v>
      </c>
      <c r="K374" t="n">
        <v>0</v>
      </c>
      <c r="L374" t="n">
        <v>0</v>
      </c>
      <c r="M374" t="n">
        <v>0</v>
      </c>
      <c r="N374" t="n">
        <v>0</v>
      </c>
      <c r="O374" t="n">
        <v>0</v>
      </c>
      <c r="P374" t="n">
        <v>0</v>
      </c>
      <c r="Q374" t="n">
        <v>0</v>
      </c>
      <c r="R374" s="2" t="inlineStr"/>
    </row>
    <row r="375" ht="15" customHeight="1">
      <c r="A375" t="inlineStr">
        <is>
          <t>A 6666-2022</t>
        </is>
      </c>
      <c r="B375" s="1" t="n">
        <v>44602.37965277778</v>
      </c>
      <c r="C375" s="1" t="n">
        <v>45927</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62486-2021</t>
        </is>
      </c>
      <c r="B376" s="1" t="n">
        <v>44503</v>
      </c>
      <c r="C376" s="1" t="n">
        <v>45927</v>
      </c>
      <c r="D376" t="inlineStr">
        <is>
          <t>VÄSTERBOTTENS LÄN</t>
        </is>
      </c>
      <c r="E376" t="inlineStr">
        <is>
          <t>SKELLEFTEÅ</t>
        </is>
      </c>
      <c r="G376" t="n">
        <v>2.4</v>
      </c>
      <c r="H376" t="n">
        <v>0</v>
      </c>
      <c r="I376" t="n">
        <v>0</v>
      </c>
      <c r="J376" t="n">
        <v>0</v>
      </c>
      <c r="K376" t="n">
        <v>0</v>
      </c>
      <c r="L376" t="n">
        <v>0</v>
      </c>
      <c r="M376" t="n">
        <v>0</v>
      </c>
      <c r="N376" t="n">
        <v>0</v>
      </c>
      <c r="O376" t="n">
        <v>0</v>
      </c>
      <c r="P376" t="n">
        <v>0</v>
      </c>
      <c r="Q376" t="n">
        <v>0</v>
      </c>
      <c r="R376" s="2" t="inlineStr"/>
    </row>
    <row r="377" ht="15" customHeight="1">
      <c r="A377" t="inlineStr">
        <is>
          <t>A 52080-2021</t>
        </is>
      </c>
      <c r="B377" s="1" t="n">
        <v>44463</v>
      </c>
      <c r="C377" s="1" t="n">
        <v>45927</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3266-2022</t>
        </is>
      </c>
      <c r="B378" s="1" t="n">
        <v>44583.87421296296</v>
      </c>
      <c r="C378" s="1" t="n">
        <v>45927</v>
      </c>
      <c r="D378" t="inlineStr">
        <is>
          <t>VÄSTERBOTTENS LÄN</t>
        </is>
      </c>
      <c r="E378" t="inlineStr">
        <is>
          <t>SKELLEFTEÅ</t>
        </is>
      </c>
      <c r="G378" t="n">
        <v>2</v>
      </c>
      <c r="H378" t="n">
        <v>0</v>
      </c>
      <c r="I378" t="n">
        <v>0</v>
      </c>
      <c r="J378" t="n">
        <v>0</v>
      </c>
      <c r="K378" t="n">
        <v>0</v>
      </c>
      <c r="L378" t="n">
        <v>0</v>
      </c>
      <c r="M378" t="n">
        <v>0</v>
      </c>
      <c r="N378" t="n">
        <v>0</v>
      </c>
      <c r="O378" t="n">
        <v>0</v>
      </c>
      <c r="P378" t="n">
        <v>0</v>
      </c>
      <c r="Q378" t="n">
        <v>0</v>
      </c>
      <c r="R378" s="2" t="inlineStr"/>
    </row>
    <row r="379" ht="15" customHeight="1">
      <c r="A379" t="inlineStr">
        <is>
          <t>A 22568-2021</t>
        </is>
      </c>
      <c r="B379" s="1" t="n">
        <v>44322</v>
      </c>
      <c r="C379" s="1" t="n">
        <v>45927</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31954-2022</t>
        </is>
      </c>
      <c r="B380" s="1" t="n">
        <v>44777.92450231482</v>
      </c>
      <c r="C380" s="1" t="n">
        <v>45927</v>
      </c>
      <c r="D380" t="inlineStr">
        <is>
          <t>VÄSTERBOTTENS LÄN</t>
        </is>
      </c>
      <c r="E380" t="inlineStr">
        <is>
          <t>SKELLEFTEÅ</t>
        </is>
      </c>
      <c r="G380" t="n">
        <v>0.4</v>
      </c>
      <c r="H380" t="n">
        <v>0</v>
      </c>
      <c r="I380" t="n">
        <v>0</v>
      </c>
      <c r="J380" t="n">
        <v>0</v>
      </c>
      <c r="K380" t="n">
        <v>0</v>
      </c>
      <c r="L380" t="n">
        <v>0</v>
      </c>
      <c r="M380" t="n">
        <v>0</v>
      </c>
      <c r="N380" t="n">
        <v>0</v>
      </c>
      <c r="O380" t="n">
        <v>0</v>
      </c>
      <c r="P380" t="n">
        <v>0</v>
      </c>
      <c r="Q380" t="n">
        <v>0</v>
      </c>
      <c r="R380" s="2" t="inlineStr"/>
    </row>
    <row r="381" ht="15" customHeight="1">
      <c r="A381" t="inlineStr">
        <is>
          <t>A 9045-2021</t>
        </is>
      </c>
      <c r="B381" s="1" t="n">
        <v>44249</v>
      </c>
      <c r="C381" s="1" t="n">
        <v>45927</v>
      </c>
      <c r="D381" t="inlineStr">
        <is>
          <t>VÄSTERBOTTENS LÄN</t>
        </is>
      </c>
      <c r="E381" t="inlineStr">
        <is>
          <t>SKELLEFTEÅ</t>
        </is>
      </c>
      <c r="G381" t="n">
        <v>3.8</v>
      </c>
      <c r="H381" t="n">
        <v>0</v>
      </c>
      <c r="I381" t="n">
        <v>0</v>
      </c>
      <c r="J381" t="n">
        <v>0</v>
      </c>
      <c r="K381" t="n">
        <v>0</v>
      </c>
      <c r="L381" t="n">
        <v>0</v>
      </c>
      <c r="M381" t="n">
        <v>0</v>
      </c>
      <c r="N381" t="n">
        <v>0</v>
      </c>
      <c r="O381" t="n">
        <v>0</v>
      </c>
      <c r="P381" t="n">
        <v>0</v>
      </c>
      <c r="Q381" t="n">
        <v>0</v>
      </c>
      <c r="R381" s="2" t="inlineStr"/>
    </row>
    <row r="382" ht="15" customHeight="1">
      <c r="A382" t="inlineStr">
        <is>
          <t>A 71410-2021</t>
        </is>
      </c>
      <c r="B382" s="1" t="n">
        <v>44540.36674768518</v>
      </c>
      <c r="C382" s="1" t="n">
        <v>45927</v>
      </c>
      <c r="D382" t="inlineStr">
        <is>
          <t>VÄSTERBOTTENS LÄN</t>
        </is>
      </c>
      <c r="E382" t="inlineStr">
        <is>
          <t>SKELLEFTEÅ</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32436-2022</t>
        </is>
      </c>
      <c r="B383" s="1" t="n">
        <v>44782</v>
      </c>
      <c r="C383" s="1" t="n">
        <v>45927</v>
      </c>
      <c r="D383" t="inlineStr">
        <is>
          <t>VÄSTERBOTTENS LÄN</t>
        </is>
      </c>
      <c r="E383" t="inlineStr">
        <is>
          <t>SKELLEFTEÅ</t>
        </is>
      </c>
      <c r="G383" t="n">
        <v>2.3</v>
      </c>
      <c r="H383" t="n">
        <v>0</v>
      </c>
      <c r="I383" t="n">
        <v>0</v>
      </c>
      <c r="J383" t="n">
        <v>0</v>
      </c>
      <c r="K383" t="n">
        <v>0</v>
      </c>
      <c r="L383" t="n">
        <v>0</v>
      </c>
      <c r="M383" t="n">
        <v>0</v>
      </c>
      <c r="N383" t="n">
        <v>0</v>
      </c>
      <c r="O383" t="n">
        <v>0</v>
      </c>
      <c r="P383" t="n">
        <v>0</v>
      </c>
      <c r="Q383" t="n">
        <v>0</v>
      </c>
      <c r="R383" s="2" t="inlineStr"/>
    </row>
    <row r="384" ht="15" customHeight="1">
      <c r="A384" t="inlineStr">
        <is>
          <t>A 17197-2022</t>
        </is>
      </c>
      <c r="B384" s="1" t="n">
        <v>44677.75340277778</v>
      </c>
      <c r="C384" s="1" t="n">
        <v>45927</v>
      </c>
      <c r="D384" t="inlineStr">
        <is>
          <t>VÄSTERBOTTENS LÄN</t>
        </is>
      </c>
      <c r="E384" t="inlineStr">
        <is>
          <t>SKELLEFTEÅ</t>
        </is>
      </c>
      <c r="G384" t="n">
        <v>5.8</v>
      </c>
      <c r="H384" t="n">
        <v>0</v>
      </c>
      <c r="I384" t="n">
        <v>0</v>
      </c>
      <c r="J384" t="n">
        <v>0</v>
      </c>
      <c r="K384" t="n">
        <v>0</v>
      </c>
      <c r="L384" t="n">
        <v>0</v>
      </c>
      <c r="M384" t="n">
        <v>0</v>
      </c>
      <c r="N384" t="n">
        <v>0</v>
      </c>
      <c r="O384" t="n">
        <v>0</v>
      </c>
      <c r="P384" t="n">
        <v>0</v>
      </c>
      <c r="Q384" t="n">
        <v>0</v>
      </c>
      <c r="R384" s="2" t="inlineStr"/>
    </row>
    <row r="385" ht="15" customHeight="1">
      <c r="A385" t="inlineStr">
        <is>
          <t>A 39732-2022</t>
        </is>
      </c>
      <c r="B385" s="1" t="n">
        <v>44819.34829861111</v>
      </c>
      <c r="C385" s="1" t="n">
        <v>45927</v>
      </c>
      <c r="D385" t="inlineStr">
        <is>
          <t>VÄSTERBOTTENS LÄN</t>
        </is>
      </c>
      <c r="E385" t="inlineStr">
        <is>
          <t>SKELLEFTEÅ</t>
        </is>
      </c>
      <c r="F385" t="inlineStr">
        <is>
          <t>Holmen skog AB</t>
        </is>
      </c>
      <c r="G385" t="n">
        <v>3.1</v>
      </c>
      <c r="H385" t="n">
        <v>0</v>
      </c>
      <c r="I385" t="n">
        <v>0</v>
      </c>
      <c r="J385" t="n">
        <v>0</v>
      </c>
      <c r="K385" t="n">
        <v>0</v>
      </c>
      <c r="L385" t="n">
        <v>0</v>
      </c>
      <c r="M385" t="n">
        <v>0</v>
      </c>
      <c r="N385" t="n">
        <v>0</v>
      </c>
      <c r="O385" t="n">
        <v>0</v>
      </c>
      <c r="P385" t="n">
        <v>0</v>
      </c>
      <c r="Q385" t="n">
        <v>0</v>
      </c>
      <c r="R385" s="2" t="inlineStr"/>
    </row>
    <row r="386" ht="15" customHeight="1">
      <c r="A386" t="inlineStr">
        <is>
          <t>A 45985-2022</t>
        </is>
      </c>
      <c r="B386" s="1" t="n">
        <v>44844</v>
      </c>
      <c r="C386" s="1" t="n">
        <v>45927</v>
      </c>
      <c r="D386" t="inlineStr">
        <is>
          <t>VÄSTERBOTTENS LÄN</t>
        </is>
      </c>
      <c r="E386" t="inlineStr">
        <is>
          <t>SKELLEFTEÅ</t>
        </is>
      </c>
      <c r="G386" t="n">
        <v>0.7</v>
      </c>
      <c r="H386" t="n">
        <v>0</v>
      </c>
      <c r="I386" t="n">
        <v>0</v>
      </c>
      <c r="J386" t="n">
        <v>0</v>
      </c>
      <c r="K386" t="n">
        <v>0</v>
      </c>
      <c r="L386" t="n">
        <v>0</v>
      </c>
      <c r="M386" t="n">
        <v>0</v>
      </c>
      <c r="N386" t="n">
        <v>0</v>
      </c>
      <c r="O386" t="n">
        <v>0</v>
      </c>
      <c r="P386" t="n">
        <v>0</v>
      </c>
      <c r="Q386" t="n">
        <v>0</v>
      </c>
      <c r="R386" s="2" t="inlineStr"/>
    </row>
    <row r="387" ht="15" customHeight="1">
      <c r="A387" t="inlineStr">
        <is>
          <t>A 39019-2022</t>
        </is>
      </c>
      <c r="B387" s="1" t="n">
        <v>44817</v>
      </c>
      <c r="C387" s="1" t="n">
        <v>45927</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57370-2021</t>
        </is>
      </c>
      <c r="B388" s="1" t="n">
        <v>44483</v>
      </c>
      <c r="C388" s="1" t="n">
        <v>45927</v>
      </c>
      <c r="D388" t="inlineStr">
        <is>
          <t>VÄSTERBOTTENS LÄN</t>
        </is>
      </c>
      <c r="E388" t="inlineStr">
        <is>
          <t>SKELLEFTEÅ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40219-2022</t>
        </is>
      </c>
      <c r="B389" s="1" t="n">
        <v>44820</v>
      </c>
      <c r="C389" s="1" t="n">
        <v>45927</v>
      </c>
      <c r="D389" t="inlineStr">
        <is>
          <t>VÄSTERBOTTENS LÄN</t>
        </is>
      </c>
      <c r="E389" t="inlineStr">
        <is>
          <t>SKELLEFTEÅ</t>
        </is>
      </c>
      <c r="F389" t="inlineStr">
        <is>
          <t>Sveaskog</t>
        </is>
      </c>
      <c r="G389" t="n">
        <v>12.7</v>
      </c>
      <c r="H389" t="n">
        <v>0</v>
      </c>
      <c r="I389" t="n">
        <v>0</v>
      </c>
      <c r="J389" t="n">
        <v>0</v>
      </c>
      <c r="K389" t="n">
        <v>0</v>
      </c>
      <c r="L389" t="n">
        <v>0</v>
      </c>
      <c r="M389" t="n">
        <v>0</v>
      </c>
      <c r="N389" t="n">
        <v>0</v>
      </c>
      <c r="O389" t="n">
        <v>0</v>
      </c>
      <c r="P389" t="n">
        <v>0</v>
      </c>
      <c r="Q389" t="n">
        <v>0</v>
      </c>
      <c r="R389" s="2" t="inlineStr"/>
    </row>
    <row r="390" ht="15" customHeight="1">
      <c r="A390" t="inlineStr">
        <is>
          <t>A 53725-2024</t>
        </is>
      </c>
      <c r="B390" s="1" t="n">
        <v>45615.45043981481</v>
      </c>
      <c r="C390" s="1" t="n">
        <v>45927</v>
      </c>
      <c r="D390" t="inlineStr">
        <is>
          <t>VÄSTERBOTTENS LÄN</t>
        </is>
      </c>
      <c r="E390" t="inlineStr">
        <is>
          <t>SKELLEFTEÅ</t>
        </is>
      </c>
      <c r="G390" t="n">
        <v>6</v>
      </c>
      <c r="H390" t="n">
        <v>0</v>
      </c>
      <c r="I390" t="n">
        <v>0</v>
      </c>
      <c r="J390" t="n">
        <v>0</v>
      </c>
      <c r="K390" t="n">
        <v>0</v>
      </c>
      <c r="L390" t="n">
        <v>0</v>
      </c>
      <c r="M390" t="n">
        <v>0</v>
      </c>
      <c r="N390" t="n">
        <v>0</v>
      </c>
      <c r="O390" t="n">
        <v>0</v>
      </c>
      <c r="P390" t="n">
        <v>0</v>
      </c>
      <c r="Q390" t="n">
        <v>0</v>
      </c>
      <c r="R390" s="2" t="inlineStr"/>
    </row>
    <row r="391" ht="15" customHeight="1">
      <c r="A391" t="inlineStr">
        <is>
          <t>A 44025-2023</t>
        </is>
      </c>
      <c r="B391" s="1" t="n">
        <v>45182</v>
      </c>
      <c r="C391" s="1" t="n">
        <v>45927</v>
      </c>
      <c r="D391" t="inlineStr">
        <is>
          <t>VÄSTERBOTTENS LÄN</t>
        </is>
      </c>
      <c r="E391" t="inlineStr">
        <is>
          <t>SKELLEFTEÅ</t>
        </is>
      </c>
      <c r="G391" t="n">
        <v>1</v>
      </c>
      <c r="H391" t="n">
        <v>0</v>
      </c>
      <c r="I391" t="n">
        <v>0</v>
      </c>
      <c r="J391" t="n">
        <v>0</v>
      </c>
      <c r="K391" t="n">
        <v>0</v>
      </c>
      <c r="L391" t="n">
        <v>0</v>
      </c>
      <c r="M391" t="n">
        <v>0</v>
      </c>
      <c r="N391" t="n">
        <v>0</v>
      </c>
      <c r="O391" t="n">
        <v>0</v>
      </c>
      <c r="P391" t="n">
        <v>0</v>
      </c>
      <c r="Q391" t="n">
        <v>0</v>
      </c>
      <c r="R391" s="2" t="inlineStr"/>
    </row>
    <row r="392" ht="15" customHeight="1">
      <c r="A392" t="inlineStr">
        <is>
          <t>A 29932-2023</t>
        </is>
      </c>
      <c r="B392" s="1" t="n">
        <v>45107</v>
      </c>
      <c r="C392" s="1" t="n">
        <v>45927</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62708-2023</t>
        </is>
      </c>
      <c r="B393" s="1" t="n">
        <v>45271.55337962963</v>
      </c>
      <c r="C393" s="1" t="n">
        <v>45927</v>
      </c>
      <c r="D393" t="inlineStr">
        <is>
          <t>VÄSTERBOTTENS LÄN</t>
        </is>
      </c>
      <c r="E393" t="inlineStr">
        <is>
          <t>SKELLEFTEÅ</t>
        </is>
      </c>
      <c r="G393" t="n">
        <v>1.9</v>
      </c>
      <c r="H393" t="n">
        <v>0</v>
      </c>
      <c r="I393" t="n">
        <v>0</v>
      </c>
      <c r="J393" t="n">
        <v>0</v>
      </c>
      <c r="K393" t="n">
        <v>0</v>
      </c>
      <c r="L393" t="n">
        <v>0</v>
      </c>
      <c r="M393" t="n">
        <v>0</v>
      </c>
      <c r="N393" t="n">
        <v>0</v>
      </c>
      <c r="O393" t="n">
        <v>0</v>
      </c>
      <c r="P393" t="n">
        <v>0</v>
      </c>
      <c r="Q393" t="n">
        <v>0</v>
      </c>
      <c r="R393" s="2" t="inlineStr"/>
    </row>
    <row r="394" ht="15" customHeight="1">
      <c r="A394" t="inlineStr">
        <is>
          <t>A 15138-2025</t>
        </is>
      </c>
      <c r="B394" s="1" t="n">
        <v>45744.38621527778</v>
      </c>
      <c r="C394" s="1" t="n">
        <v>45927</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50276-2024</t>
        </is>
      </c>
      <c r="B395" s="1" t="n">
        <v>45600.60181712963</v>
      </c>
      <c r="C395" s="1" t="n">
        <v>45927</v>
      </c>
      <c r="D395" t="inlineStr">
        <is>
          <t>VÄSTERBOTTENS LÄN</t>
        </is>
      </c>
      <c r="E395" t="inlineStr">
        <is>
          <t>SKELLEFTEÅ</t>
        </is>
      </c>
      <c r="G395" t="n">
        <v>9</v>
      </c>
      <c r="H395" t="n">
        <v>0</v>
      </c>
      <c r="I395" t="n">
        <v>0</v>
      </c>
      <c r="J395" t="n">
        <v>0</v>
      </c>
      <c r="K395" t="n">
        <v>0</v>
      </c>
      <c r="L395" t="n">
        <v>0</v>
      </c>
      <c r="M395" t="n">
        <v>0</v>
      </c>
      <c r="N395" t="n">
        <v>0</v>
      </c>
      <c r="O395" t="n">
        <v>0</v>
      </c>
      <c r="P395" t="n">
        <v>0</v>
      </c>
      <c r="Q395" t="n">
        <v>0</v>
      </c>
      <c r="R395" s="2" t="inlineStr"/>
    </row>
    <row r="396" ht="15" customHeight="1">
      <c r="A396" t="inlineStr">
        <is>
          <t>A 5603-2024</t>
        </is>
      </c>
      <c r="B396" s="1" t="n">
        <v>45334</v>
      </c>
      <c r="C396" s="1" t="n">
        <v>45927</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61551-2024</t>
        </is>
      </c>
      <c r="B397" s="1" t="n">
        <v>45646.6046875</v>
      </c>
      <c r="C397" s="1" t="n">
        <v>45927</v>
      </c>
      <c r="D397" t="inlineStr">
        <is>
          <t>VÄSTERBOTTENS LÄN</t>
        </is>
      </c>
      <c r="E397" t="inlineStr">
        <is>
          <t>SKELLEFTEÅ</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30786-2023</t>
        </is>
      </c>
      <c r="B398" s="1" t="n">
        <v>45112</v>
      </c>
      <c r="C398" s="1" t="n">
        <v>45927</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57278-2024</t>
        </is>
      </c>
      <c r="B399" s="1" t="n">
        <v>45629</v>
      </c>
      <c r="C399" s="1" t="n">
        <v>45927</v>
      </c>
      <c r="D399" t="inlineStr">
        <is>
          <t>VÄSTERBOTTENS LÄN</t>
        </is>
      </c>
      <c r="E399" t="inlineStr">
        <is>
          <t>SKELLEFTEÅ</t>
        </is>
      </c>
      <c r="F399" t="inlineStr">
        <is>
          <t>Holmen skog AB</t>
        </is>
      </c>
      <c r="G399" t="n">
        <v>4.5</v>
      </c>
      <c r="H399" t="n">
        <v>0</v>
      </c>
      <c r="I399" t="n">
        <v>0</v>
      </c>
      <c r="J399" t="n">
        <v>0</v>
      </c>
      <c r="K399" t="n">
        <v>0</v>
      </c>
      <c r="L399" t="n">
        <v>0</v>
      </c>
      <c r="M399" t="n">
        <v>0</v>
      </c>
      <c r="N399" t="n">
        <v>0</v>
      </c>
      <c r="O399" t="n">
        <v>0</v>
      </c>
      <c r="P399" t="n">
        <v>0</v>
      </c>
      <c r="Q399" t="n">
        <v>0</v>
      </c>
      <c r="R399" s="2" t="inlineStr"/>
    </row>
    <row r="400" ht="15" customHeight="1">
      <c r="A400" t="inlineStr">
        <is>
          <t>A 44078-2023</t>
        </is>
      </c>
      <c r="B400" s="1" t="n">
        <v>45188.41950231481</v>
      </c>
      <c r="C400" s="1" t="n">
        <v>45927</v>
      </c>
      <c r="D400" t="inlineStr">
        <is>
          <t>VÄSTERBOTTENS LÄN</t>
        </is>
      </c>
      <c r="E400" t="inlineStr">
        <is>
          <t>SKELLEFTEÅ</t>
        </is>
      </c>
      <c r="F400" t="inlineStr">
        <is>
          <t>Holmen skog AB</t>
        </is>
      </c>
      <c r="G400" t="n">
        <v>13.7</v>
      </c>
      <c r="H400" t="n">
        <v>0</v>
      </c>
      <c r="I400" t="n">
        <v>0</v>
      </c>
      <c r="J400" t="n">
        <v>0</v>
      </c>
      <c r="K400" t="n">
        <v>0</v>
      </c>
      <c r="L400" t="n">
        <v>0</v>
      </c>
      <c r="M400" t="n">
        <v>0</v>
      </c>
      <c r="N400" t="n">
        <v>0</v>
      </c>
      <c r="O400" t="n">
        <v>0</v>
      </c>
      <c r="P400" t="n">
        <v>0</v>
      </c>
      <c r="Q400" t="n">
        <v>0</v>
      </c>
      <c r="R400" s="2" t="inlineStr"/>
    </row>
    <row r="401" ht="15" customHeight="1">
      <c r="A401" t="inlineStr">
        <is>
          <t>A 73684-2021</t>
        </is>
      </c>
      <c r="B401" s="1" t="n">
        <v>44551</v>
      </c>
      <c r="C401" s="1" t="n">
        <v>45927</v>
      </c>
      <c r="D401" t="inlineStr">
        <is>
          <t>VÄSTERBOTTENS LÄN</t>
        </is>
      </c>
      <c r="E401" t="inlineStr">
        <is>
          <t>SKELLEFTEÅ</t>
        </is>
      </c>
      <c r="G401" t="n">
        <v>3.6</v>
      </c>
      <c r="H401" t="n">
        <v>0</v>
      </c>
      <c r="I401" t="n">
        <v>0</v>
      </c>
      <c r="J401" t="n">
        <v>0</v>
      </c>
      <c r="K401" t="n">
        <v>0</v>
      </c>
      <c r="L401" t="n">
        <v>0</v>
      </c>
      <c r="M401" t="n">
        <v>0</v>
      </c>
      <c r="N401" t="n">
        <v>0</v>
      </c>
      <c r="O401" t="n">
        <v>0</v>
      </c>
      <c r="P401" t="n">
        <v>0</v>
      </c>
      <c r="Q401" t="n">
        <v>0</v>
      </c>
      <c r="R401" s="2" t="inlineStr"/>
    </row>
    <row r="402" ht="15" customHeight="1">
      <c r="A402" t="inlineStr">
        <is>
          <t>A 20084-2025</t>
        </is>
      </c>
      <c r="B402" s="1" t="n">
        <v>45772.45416666667</v>
      </c>
      <c r="C402" s="1" t="n">
        <v>45927</v>
      </c>
      <c r="D402" t="inlineStr">
        <is>
          <t>VÄSTERBOTTENS LÄN</t>
        </is>
      </c>
      <c r="E402" t="inlineStr">
        <is>
          <t>SKELLEFTEÅ</t>
        </is>
      </c>
      <c r="F402" t="inlineStr">
        <is>
          <t>Holmen skog AB</t>
        </is>
      </c>
      <c r="G402" t="n">
        <v>0.9</v>
      </c>
      <c r="H402" t="n">
        <v>0</v>
      </c>
      <c r="I402" t="n">
        <v>0</v>
      </c>
      <c r="J402" t="n">
        <v>0</v>
      </c>
      <c r="K402" t="n">
        <v>0</v>
      </c>
      <c r="L402" t="n">
        <v>0</v>
      </c>
      <c r="M402" t="n">
        <v>0</v>
      </c>
      <c r="N402" t="n">
        <v>0</v>
      </c>
      <c r="O402" t="n">
        <v>0</v>
      </c>
      <c r="P402" t="n">
        <v>0</v>
      </c>
      <c r="Q402" t="n">
        <v>0</v>
      </c>
      <c r="R402" s="2" t="inlineStr"/>
    </row>
    <row r="403" ht="15" customHeight="1">
      <c r="A403" t="inlineStr">
        <is>
          <t>A 3611-2025</t>
        </is>
      </c>
      <c r="B403" s="1" t="n">
        <v>45681.36076388889</v>
      </c>
      <c r="C403" s="1" t="n">
        <v>45927</v>
      </c>
      <c r="D403" t="inlineStr">
        <is>
          <t>VÄSTERBOTTENS LÄN</t>
        </is>
      </c>
      <c r="E403" t="inlineStr">
        <is>
          <t>SKELLEFTEÅ</t>
        </is>
      </c>
      <c r="G403" t="n">
        <v>6.5</v>
      </c>
      <c r="H403" t="n">
        <v>0</v>
      </c>
      <c r="I403" t="n">
        <v>0</v>
      </c>
      <c r="J403" t="n">
        <v>0</v>
      </c>
      <c r="K403" t="n">
        <v>0</v>
      </c>
      <c r="L403" t="n">
        <v>0</v>
      </c>
      <c r="M403" t="n">
        <v>0</v>
      </c>
      <c r="N403" t="n">
        <v>0</v>
      </c>
      <c r="O403" t="n">
        <v>0</v>
      </c>
      <c r="P403" t="n">
        <v>0</v>
      </c>
      <c r="Q403" t="n">
        <v>0</v>
      </c>
      <c r="R403" s="2" t="inlineStr"/>
    </row>
    <row r="404" ht="15" customHeight="1">
      <c r="A404" t="inlineStr">
        <is>
          <t>A 53117-2024</t>
        </is>
      </c>
      <c r="B404" s="1" t="n">
        <v>45611.58105324074</v>
      </c>
      <c r="C404" s="1" t="n">
        <v>45927</v>
      </c>
      <c r="D404" t="inlineStr">
        <is>
          <t>VÄSTERBOTTENS LÄN</t>
        </is>
      </c>
      <c r="E404" t="inlineStr">
        <is>
          <t>SKELLEFTEÅ</t>
        </is>
      </c>
      <c r="F404" t="inlineStr">
        <is>
          <t>Kommuner</t>
        </is>
      </c>
      <c r="G404" t="n">
        <v>7.4</v>
      </c>
      <c r="H404" t="n">
        <v>0</v>
      </c>
      <c r="I404" t="n">
        <v>0</v>
      </c>
      <c r="J404" t="n">
        <v>0</v>
      </c>
      <c r="K404" t="n">
        <v>0</v>
      </c>
      <c r="L404" t="n">
        <v>0</v>
      </c>
      <c r="M404" t="n">
        <v>0</v>
      </c>
      <c r="N404" t="n">
        <v>0</v>
      </c>
      <c r="O404" t="n">
        <v>0</v>
      </c>
      <c r="P404" t="n">
        <v>0</v>
      </c>
      <c r="Q404" t="n">
        <v>0</v>
      </c>
      <c r="R404" s="2" t="inlineStr"/>
    </row>
    <row r="405" ht="15" customHeight="1">
      <c r="A405" t="inlineStr">
        <is>
          <t>A 50462-2023</t>
        </is>
      </c>
      <c r="B405" s="1" t="n">
        <v>45216.84662037037</v>
      </c>
      <c r="C405" s="1" t="n">
        <v>45927</v>
      </c>
      <c r="D405" t="inlineStr">
        <is>
          <t>VÄSTERBOTTENS LÄN</t>
        </is>
      </c>
      <c r="E405" t="inlineStr">
        <is>
          <t>SKELLEFTEÅ</t>
        </is>
      </c>
      <c r="G405" t="n">
        <v>12.4</v>
      </c>
      <c r="H405" t="n">
        <v>0</v>
      </c>
      <c r="I405" t="n">
        <v>0</v>
      </c>
      <c r="J405" t="n">
        <v>0</v>
      </c>
      <c r="K405" t="n">
        <v>0</v>
      </c>
      <c r="L405" t="n">
        <v>0</v>
      </c>
      <c r="M405" t="n">
        <v>0</v>
      </c>
      <c r="N405" t="n">
        <v>0</v>
      </c>
      <c r="O405" t="n">
        <v>0</v>
      </c>
      <c r="P405" t="n">
        <v>0</v>
      </c>
      <c r="Q405" t="n">
        <v>0</v>
      </c>
      <c r="R405" s="2" t="inlineStr"/>
    </row>
    <row r="406" ht="15" customHeight="1">
      <c r="A406" t="inlineStr">
        <is>
          <t>A 964-2025</t>
        </is>
      </c>
      <c r="B406" s="1" t="n">
        <v>45666.38408564815</v>
      </c>
      <c r="C406" s="1" t="n">
        <v>45927</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10063-2025</t>
        </is>
      </c>
      <c r="B407" s="1" t="n">
        <v>45719</v>
      </c>
      <c r="C407" s="1" t="n">
        <v>45927</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14627-2022</t>
        </is>
      </c>
      <c r="B408" s="1" t="n">
        <v>44655.64009259259</v>
      </c>
      <c r="C408" s="1" t="n">
        <v>45927</v>
      </c>
      <c r="D408" t="inlineStr">
        <is>
          <t>VÄSTERBOTTENS LÄN</t>
        </is>
      </c>
      <c r="E408" t="inlineStr">
        <is>
          <t>SKELLEFTEÅ</t>
        </is>
      </c>
      <c r="G408" t="n">
        <v>5.9</v>
      </c>
      <c r="H408" t="n">
        <v>0</v>
      </c>
      <c r="I408" t="n">
        <v>0</v>
      </c>
      <c r="J408" t="n">
        <v>0</v>
      </c>
      <c r="K408" t="n">
        <v>0</v>
      </c>
      <c r="L408" t="n">
        <v>0</v>
      </c>
      <c r="M408" t="n">
        <v>0</v>
      </c>
      <c r="N408" t="n">
        <v>0</v>
      </c>
      <c r="O408" t="n">
        <v>0</v>
      </c>
      <c r="P408" t="n">
        <v>0</v>
      </c>
      <c r="Q408" t="n">
        <v>0</v>
      </c>
      <c r="R408" s="2" t="inlineStr"/>
    </row>
    <row r="409" ht="15" customHeight="1">
      <c r="A409" t="inlineStr">
        <is>
          <t>A 59788-2023</t>
        </is>
      </c>
      <c r="B409" s="1" t="n">
        <v>45257.44923611111</v>
      </c>
      <c r="C409" s="1" t="n">
        <v>45927</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21238-2023</t>
        </is>
      </c>
      <c r="B410" s="1" t="n">
        <v>45058</v>
      </c>
      <c r="C410" s="1" t="n">
        <v>45927</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52497-2022</t>
        </is>
      </c>
      <c r="B411" s="1" t="n">
        <v>44869</v>
      </c>
      <c r="C411" s="1" t="n">
        <v>45927</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15806-2023</t>
        </is>
      </c>
      <c r="B412" s="1" t="n">
        <v>45021</v>
      </c>
      <c r="C412" s="1" t="n">
        <v>45927</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52869-2022</t>
        </is>
      </c>
      <c r="B413" s="1" t="n">
        <v>44875</v>
      </c>
      <c r="C413" s="1" t="n">
        <v>45927</v>
      </c>
      <c r="D413" t="inlineStr">
        <is>
          <t>VÄSTERBOTTENS LÄN</t>
        </is>
      </c>
      <c r="E413" t="inlineStr">
        <is>
          <t>SKELLEFTEÅ</t>
        </is>
      </c>
      <c r="G413" t="n">
        <v>4.6</v>
      </c>
      <c r="H413" t="n">
        <v>0</v>
      </c>
      <c r="I413" t="n">
        <v>0</v>
      </c>
      <c r="J413" t="n">
        <v>0</v>
      </c>
      <c r="K413" t="n">
        <v>0</v>
      </c>
      <c r="L413" t="n">
        <v>0</v>
      </c>
      <c r="M413" t="n">
        <v>0</v>
      </c>
      <c r="N413" t="n">
        <v>0</v>
      </c>
      <c r="O413" t="n">
        <v>0</v>
      </c>
      <c r="P413" t="n">
        <v>0</v>
      </c>
      <c r="Q413" t="n">
        <v>0</v>
      </c>
      <c r="R413" s="2" t="inlineStr"/>
    </row>
    <row r="414" ht="15" customHeight="1">
      <c r="A414" t="inlineStr">
        <is>
          <t>A 19730-2025</t>
        </is>
      </c>
      <c r="B414" s="1" t="n">
        <v>45771.36560185185</v>
      </c>
      <c r="C414" s="1" t="n">
        <v>45927</v>
      </c>
      <c r="D414" t="inlineStr">
        <is>
          <t>VÄSTERBOTTENS LÄN</t>
        </is>
      </c>
      <c r="E414" t="inlineStr">
        <is>
          <t>SKELLEFTEÅ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16706-2025</t>
        </is>
      </c>
      <c r="B415" s="1" t="n">
        <v>45751</v>
      </c>
      <c r="C415" s="1" t="n">
        <v>45927</v>
      </c>
      <c r="D415" t="inlineStr">
        <is>
          <t>VÄSTERBOTTENS LÄN</t>
        </is>
      </c>
      <c r="E415" t="inlineStr">
        <is>
          <t>SKELLEFTEÅ</t>
        </is>
      </c>
      <c r="G415" t="n">
        <v>3.4</v>
      </c>
      <c r="H415" t="n">
        <v>0</v>
      </c>
      <c r="I415" t="n">
        <v>0</v>
      </c>
      <c r="J415" t="n">
        <v>0</v>
      </c>
      <c r="K415" t="n">
        <v>0</v>
      </c>
      <c r="L415" t="n">
        <v>0</v>
      </c>
      <c r="M415" t="n">
        <v>0</v>
      </c>
      <c r="N415" t="n">
        <v>0</v>
      </c>
      <c r="O415" t="n">
        <v>0</v>
      </c>
      <c r="P415" t="n">
        <v>0</v>
      </c>
      <c r="Q415" t="n">
        <v>0</v>
      </c>
      <c r="R415" s="2" t="inlineStr"/>
    </row>
    <row r="416" ht="15" customHeight="1">
      <c r="A416" t="inlineStr">
        <is>
          <t>A 16707-2025</t>
        </is>
      </c>
      <c r="B416" s="1" t="n">
        <v>45751</v>
      </c>
      <c r="C416" s="1" t="n">
        <v>45927</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19293-2025</t>
        </is>
      </c>
      <c r="B417" s="1" t="n">
        <v>45769.56047453704</v>
      </c>
      <c r="C417" s="1" t="n">
        <v>45927</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24696-2024</t>
        </is>
      </c>
      <c r="B418" s="1" t="n">
        <v>45460</v>
      </c>
      <c r="C418" s="1" t="n">
        <v>45927</v>
      </c>
      <c r="D418" t="inlineStr">
        <is>
          <t>VÄSTERBOTTENS LÄN</t>
        </is>
      </c>
      <c r="E418" t="inlineStr">
        <is>
          <t>SKELLEFTEÅ</t>
        </is>
      </c>
      <c r="F418" t="inlineStr">
        <is>
          <t>Holmen skog AB</t>
        </is>
      </c>
      <c r="G418" t="n">
        <v>4.9</v>
      </c>
      <c r="H418" t="n">
        <v>0</v>
      </c>
      <c r="I418" t="n">
        <v>0</v>
      </c>
      <c r="J418" t="n">
        <v>0</v>
      </c>
      <c r="K418" t="n">
        <v>0</v>
      </c>
      <c r="L418" t="n">
        <v>0</v>
      </c>
      <c r="M418" t="n">
        <v>0</v>
      </c>
      <c r="N418" t="n">
        <v>0</v>
      </c>
      <c r="O418" t="n">
        <v>0</v>
      </c>
      <c r="P418" t="n">
        <v>0</v>
      </c>
      <c r="Q418" t="n">
        <v>0</v>
      </c>
      <c r="R418" s="2" t="inlineStr"/>
    </row>
    <row r="419" ht="15" customHeight="1">
      <c r="A419" t="inlineStr">
        <is>
          <t>A 18497-2025</t>
        </is>
      </c>
      <c r="B419" s="1" t="n">
        <v>45763.35385416666</v>
      </c>
      <c r="C419" s="1" t="n">
        <v>45927</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39371-2024</t>
        </is>
      </c>
      <c r="B420" s="1" t="n">
        <v>45551</v>
      </c>
      <c r="C420" s="1" t="n">
        <v>45927</v>
      </c>
      <c r="D420" t="inlineStr">
        <is>
          <t>VÄSTERBOTTENS LÄN</t>
        </is>
      </c>
      <c r="E420" t="inlineStr">
        <is>
          <t>SKELLEFTEÅ</t>
        </is>
      </c>
      <c r="G420" t="n">
        <v>9.6</v>
      </c>
      <c r="H420" t="n">
        <v>0</v>
      </c>
      <c r="I420" t="n">
        <v>0</v>
      </c>
      <c r="J420" t="n">
        <v>0</v>
      </c>
      <c r="K420" t="n">
        <v>0</v>
      </c>
      <c r="L420" t="n">
        <v>0</v>
      </c>
      <c r="M420" t="n">
        <v>0</v>
      </c>
      <c r="N420" t="n">
        <v>0</v>
      </c>
      <c r="O420" t="n">
        <v>0</v>
      </c>
      <c r="P420" t="n">
        <v>0</v>
      </c>
      <c r="Q420" t="n">
        <v>0</v>
      </c>
      <c r="R420" s="2" t="inlineStr"/>
    </row>
    <row r="421" ht="15" customHeight="1">
      <c r="A421" t="inlineStr">
        <is>
          <t>A 19729-2025</t>
        </is>
      </c>
      <c r="B421" s="1" t="n">
        <v>45771.36559027778</v>
      </c>
      <c r="C421" s="1" t="n">
        <v>45927</v>
      </c>
      <c r="D421" t="inlineStr">
        <is>
          <t>VÄSTERBOTTENS LÄN</t>
        </is>
      </c>
      <c r="E421" t="inlineStr">
        <is>
          <t>SKELLEFTEÅ</t>
        </is>
      </c>
      <c r="G421" t="n">
        <v>8.5</v>
      </c>
      <c r="H421" t="n">
        <v>0</v>
      </c>
      <c r="I421" t="n">
        <v>0</v>
      </c>
      <c r="J421" t="n">
        <v>0</v>
      </c>
      <c r="K421" t="n">
        <v>0</v>
      </c>
      <c r="L421" t="n">
        <v>0</v>
      </c>
      <c r="M421" t="n">
        <v>0</v>
      </c>
      <c r="N421" t="n">
        <v>0</v>
      </c>
      <c r="O421" t="n">
        <v>0</v>
      </c>
      <c r="P421" t="n">
        <v>0</v>
      </c>
      <c r="Q421" t="n">
        <v>0</v>
      </c>
      <c r="R421" s="2" t="inlineStr"/>
    </row>
    <row r="422" ht="15" customHeight="1">
      <c r="A422" t="inlineStr">
        <is>
          <t>A 40072-2024</t>
        </is>
      </c>
      <c r="B422" s="1" t="n">
        <v>45554.32503472222</v>
      </c>
      <c r="C422" s="1" t="n">
        <v>45927</v>
      </c>
      <c r="D422" t="inlineStr">
        <is>
          <t>VÄSTERBOTTENS LÄN</t>
        </is>
      </c>
      <c r="E422" t="inlineStr">
        <is>
          <t>SKELLEFTEÅ</t>
        </is>
      </c>
      <c r="F422" t="inlineStr">
        <is>
          <t>Holmen skog AB</t>
        </is>
      </c>
      <c r="G422" t="n">
        <v>3.7</v>
      </c>
      <c r="H422" t="n">
        <v>0</v>
      </c>
      <c r="I422" t="n">
        <v>0</v>
      </c>
      <c r="J422" t="n">
        <v>0</v>
      </c>
      <c r="K422" t="n">
        <v>0</v>
      </c>
      <c r="L422" t="n">
        <v>0</v>
      </c>
      <c r="M422" t="n">
        <v>0</v>
      </c>
      <c r="N422" t="n">
        <v>0</v>
      </c>
      <c r="O422" t="n">
        <v>0</v>
      </c>
      <c r="P422" t="n">
        <v>0</v>
      </c>
      <c r="Q422" t="n">
        <v>0</v>
      </c>
      <c r="R422" s="2" t="inlineStr"/>
    </row>
    <row r="423" ht="15" customHeight="1">
      <c r="A423" t="inlineStr">
        <is>
          <t>A 20824-2025</t>
        </is>
      </c>
      <c r="B423" s="1" t="n">
        <v>45776</v>
      </c>
      <c r="C423" s="1" t="n">
        <v>45927</v>
      </c>
      <c r="D423" t="inlineStr">
        <is>
          <t>VÄSTERBOTTENS LÄN</t>
        </is>
      </c>
      <c r="E423" t="inlineStr">
        <is>
          <t>SKELLEFTEÅ</t>
        </is>
      </c>
      <c r="G423" t="n">
        <v>6.8</v>
      </c>
      <c r="H423" t="n">
        <v>0</v>
      </c>
      <c r="I423" t="n">
        <v>0</v>
      </c>
      <c r="J423" t="n">
        <v>0</v>
      </c>
      <c r="K423" t="n">
        <v>0</v>
      </c>
      <c r="L423" t="n">
        <v>0</v>
      </c>
      <c r="M423" t="n">
        <v>0</v>
      </c>
      <c r="N423" t="n">
        <v>0</v>
      </c>
      <c r="O423" t="n">
        <v>0</v>
      </c>
      <c r="P423" t="n">
        <v>0</v>
      </c>
      <c r="Q423" t="n">
        <v>0</v>
      </c>
      <c r="R423" s="2" t="inlineStr"/>
    </row>
    <row r="424" ht="15" customHeight="1">
      <c r="A424" t="inlineStr">
        <is>
          <t>A 20825-2025</t>
        </is>
      </c>
      <c r="B424" s="1" t="n">
        <v>45776</v>
      </c>
      <c r="C424" s="1" t="n">
        <v>45927</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20865-2025</t>
        </is>
      </c>
      <c r="B425" s="1" t="n">
        <v>45777.34438657408</v>
      </c>
      <c r="C425" s="1" t="n">
        <v>45927</v>
      </c>
      <c r="D425" t="inlineStr">
        <is>
          <t>VÄSTERBOTTENS LÄN</t>
        </is>
      </c>
      <c r="E425" t="inlineStr">
        <is>
          <t>SKELLEFTEÅ</t>
        </is>
      </c>
      <c r="F425" t="inlineStr">
        <is>
          <t>SCA</t>
        </is>
      </c>
      <c r="G425" t="n">
        <v>8.4</v>
      </c>
      <c r="H425" t="n">
        <v>0</v>
      </c>
      <c r="I425" t="n">
        <v>0</v>
      </c>
      <c r="J425" t="n">
        <v>0</v>
      </c>
      <c r="K425" t="n">
        <v>0</v>
      </c>
      <c r="L425" t="n">
        <v>0</v>
      </c>
      <c r="M425" t="n">
        <v>0</v>
      </c>
      <c r="N425" t="n">
        <v>0</v>
      </c>
      <c r="O425" t="n">
        <v>0</v>
      </c>
      <c r="P425" t="n">
        <v>0</v>
      </c>
      <c r="Q425" t="n">
        <v>0</v>
      </c>
      <c r="R425" s="2" t="inlineStr"/>
    </row>
    <row r="426" ht="15" customHeight="1">
      <c r="A426" t="inlineStr">
        <is>
          <t>A 57057-2022</t>
        </is>
      </c>
      <c r="B426" s="1" t="n">
        <v>44895</v>
      </c>
      <c r="C426" s="1" t="n">
        <v>45927</v>
      </c>
      <c r="D426" t="inlineStr">
        <is>
          <t>VÄSTERBOTTENS LÄN</t>
        </is>
      </c>
      <c r="E426" t="inlineStr">
        <is>
          <t>SKELLEFTEÅ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15717-2023</t>
        </is>
      </c>
      <c r="B427" s="1" t="n">
        <v>45020</v>
      </c>
      <c r="C427" s="1" t="n">
        <v>45927</v>
      </c>
      <c r="D427" t="inlineStr">
        <is>
          <t>VÄSTERBOTTENS LÄN</t>
        </is>
      </c>
      <c r="E427" t="inlineStr">
        <is>
          <t>SKELLEFTEÅ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61700-2022</t>
        </is>
      </c>
      <c r="B428" s="1" t="n">
        <v>44911</v>
      </c>
      <c r="C428" s="1" t="n">
        <v>45927</v>
      </c>
      <c r="D428" t="inlineStr">
        <is>
          <t>VÄSTERBOTTENS LÄN</t>
        </is>
      </c>
      <c r="E428" t="inlineStr">
        <is>
          <t>SKELLEFTEÅ</t>
        </is>
      </c>
      <c r="G428" t="n">
        <v>2.4</v>
      </c>
      <c r="H428" t="n">
        <v>0</v>
      </c>
      <c r="I428" t="n">
        <v>0</v>
      </c>
      <c r="J428" t="n">
        <v>0</v>
      </c>
      <c r="K428" t="n">
        <v>0</v>
      </c>
      <c r="L428" t="n">
        <v>0</v>
      </c>
      <c r="M428" t="n">
        <v>0</v>
      </c>
      <c r="N428" t="n">
        <v>0</v>
      </c>
      <c r="O428" t="n">
        <v>0</v>
      </c>
      <c r="P428" t="n">
        <v>0</v>
      </c>
      <c r="Q428" t="n">
        <v>0</v>
      </c>
      <c r="R428" s="2" t="inlineStr"/>
    </row>
    <row r="429" ht="15" customHeight="1">
      <c r="A429" t="inlineStr">
        <is>
          <t>A 55032-2021</t>
        </is>
      </c>
      <c r="B429" s="1" t="n">
        <v>44474.5962037037</v>
      </c>
      <c r="C429" s="1" t="n">
        <v>45927</v>
      </c>
      <c r="D429" t="inlineStr">
        <is>
          <t>VÄSTERBOTTENS LÄN</t>
        </is>
      </c>
      <c r="E429" t="inlineStr">
        <is>
          <t>SKELLEFTEÅ</t>
        </is>
      </c>
      <c r="G429" t="n">
        <v>5.2</v>
      </c>
      <c r="H429" t="n">
        <v>0</v>
      </c>
      <c r="I429" t="n">
        <v>0</v>
      </c>
      <c r="J429" t="n">
        <v>0</v>
      </c>
      <c r="K429" t="n">
        <v>0</v>
      </c>
      <c r="L429" t="n">
        <v>0</v>
      </c>
      <c r="M429" t="n">
        <v>0</v>
      </c>
      <c r="N429" t="n">
        <v>0</v>
      </c>
      <c r="O429" t="n">
        <v>0</v>
      </c>
      <c r="P429" t="n">
        <v>0</v>
      </c>
      <c r="Q429" t="n">
        <v>0</v>
      </c>
      <c r="R429" s="2" t="inlineStr"/>
    </row>
    <row r="430" ht="15" customHeight="1">
      <c r="A430" t="inlineStr">
        <is>
          <t>A 10570-2023</t>
        </is>
      </c>
      <c r="B430" s="1" t="n">
        <v>44981</v>
      </c>
      <c r="C430" s="1" t="n">
        <v>45927</v>
      </c>
      <c r="D430" t="inlineStr">
        <is>
          <t>VÄSTERBOTTENS LÄN</t>
        </is>
      </c>
      <c r="E430" t="inlineStr">
        <is>
          <t>SKELLEFTEÅ</t>
        </is>
      </c>
      <c r="G430" t="n">
        <v>3.5</v>
      </c>
      <c r="H430" t="n">
        <v>0</v>
      </c>
      <c r="I430" t="n">
        <v>0</v>
      </c>
      <c r="J430" t="n">
        <v>0</v>
      </c>
      <c r="K430" t="n">
        <v>0</v>
      </c>
      <c r="L430" t="n">
        <v>0</v>
      </c>
      <c r="M430" t="n">
        <v>0</v>
      </c>
      <c r="N430" t="n">
        <v>0</v>
      </c>
      <c r="O430" t="n">
        <v>0</v>
      </c>
      <c r="P430" t="n">
        <v>0</v>
      </c>
      <c r="Q430" t="n">
        <v>0</v>
      </c>
      <c r="R430" s="2" t="inlineStr"/>
    </row>
    <row r="431" ht="15" customHeight="1">
      <c r="A431" t="inlineStr">
        <is>
          <t>A 5490-2023</t>
        </is>
      </c>
      <c r="B431" s="1" t="n">
        <v>44957</v>
      </c>
      <c r="C431" s="1" t="n">
        <v>45927</v>
      </c>
      <c r="D431" t="inlineStr">
        <is>
          <t>VÄSTERBOTTENS LÄN</t>
        </is>
      </c>
      <c r="E431" t="inlineStr">
        <is>
          <t>SKELLEFTEÅ</t>
        </is>
      </c>
      <c r="G431" t="n">
        <v>3</v>
      </c>
      <c r="H431" t="n">
        <v>0</v>
      </c>
      <c r="I431" t="n">
        <v>0</v>
      </c>
      <c r="J431" t="n">
        <v>0</v>
      </c>
      <c r="K431" t="n">
        <v>0</v>
      </c>
      <c r="L431" t="n">
        <v>0</v>
      </c>
      <c r="M431" t="n">
        <v>0</v>
      </c>
      <c r="N431" t="n">
        <v>0</v>
      </c>
      <c r="O431" t="n">
        <v>0</v>
      </c>
      <c r="P431" t="n">
        <v>0</v>
      </c>
      <c r="Q431" t="n">
        <v>0</v>
      </c>
      <c r="R431" s="2" t="inlineStr"/>
    </row>
    <row r="432" ht="15" customHeight="1">
      <c r="A432" t="inlineStr">
        <is>
          <t>A 31975-2024</t>
        </is>
      </c>
      <c r="B432" s="1" t="n">
        <v>45510.56052083334</v>
      </c>
      <c r="C432" s="1" t="n">
        <v>45927</v>
      </c>
      <c r="D432" t="inlineStr">
        <is>
          <t>VÄSTERBOTTENS LÄN</t>
        </is>
      </c>
      <c r="E432" t="inlineStr">
        <is>
          <t>SKELLEFTEÅ</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55409-2023</t>
        </is>
      </c>
      <c r="B433" s="1" t="n">
        <v>45231</v>
      </c>
      <c r="C433" s="1" t="n">
        <v>45927</v>
      </c>
      <c r="D433" t="inlineStr">
        <is>
          <t>VÄSTERBOTTENS LÄN</t>
        </is>
      </c>
      <c r="E433" t="inlineStr">
        <is>
          <t>SKELLEFTEÅ</t>
        </is>
      </c>
      <c r="G433" t="n">
        <v>0.9</v>
      </c>
      <c r="H433" t="n">
        <v>0</v>
      </c>
      <c r="I433" t="n">
        <v>0</v>
      </c>
      <c r="J433" t="n">
        <v>0</v>
      </c>
      <c r="K433" t="n">
        <v>0</v>
      </c>
      <c r="L433" t="n">
        <v>0</v>
      </c>
      <c r="M433" t="n">
        <v>0</v>
      </c>
      <c r="N433" t="n">
        <v>0</v>
      </c>
      <c r="O433" t="n">
        <v>0</v>
      </c>
      <c r="P433" t="n">
        <v>0</v>
      </c>
      <c r="Q433" t="n">
        <v>0</v>
      </c>
      <c r="R433" s="2" t="inlineStr"/>
    </row>
    <row r="434" ht="15" customHeight="1">
      <c r="A434" t="inlineStr">
        <is>
          <t>A 1244-2025</t>
        </is>
      </c>
      <c r="B434" s="1" t="n">
        <v>45667.45741898148</v>
      </c>
      <c r="C434" s="1" t="n">
        <v>45927</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39544-2023</t>
        </is>
      </c>
      <c r="B435" s="1" t="n">
        <v>45167.35682870371</v>
      </c>
      <c r="C435" s="1" t="n">
        <v>45927</v>
      </c>
      <c r="D435" t="inlineStr">
        <is>
          <t>VÄSTERBOTTENS LÄN</t>
        </is>
      </c>
      <c r="E435" t="inlineStr">
        <is>
          <t>SKELLEFTEÅ</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39553-2023</t>
        </is>
      </c>
      <c r="B436" s="1" t="n">
        <v>45167</v>
      </c>
      <c r="C436" s="1" t="n">
        <v>45927</v>
      </c>
      <c r="D436" t="inlineStr">
        <is>
          <t>VÄSTERBOTTENS LÄN</t>
        </is>
      </c>
      <c r="E436" t="inlineStr">
        <is>
          <t>SKELLEFTEÅ</t>
        </is>
      </c>
      <c r="F436" t="inlineStr">
        <is>
          <t>Holmen skog AB</t>
        </is>
      </c>
      <c r="G436" t="n">
        <v>6.9</v>
      </c>
      <c r="H436" t="n">
        <v>0</v>
      </c>
      <c r="I436" t="n">
        <v>0</v>
      </c>
      <c r="J436" t="n">
        <v>0</v>
      </c>
      <c r="K436" t="n">
        <v>0</v>
      </c>
      <c r="L436" t="n">
        <v>0</v>
      </c>
      <c r="M436" t="n">
        <v>0</v>
      </c>
      <c r="N436" t="n">
        <v>0</v>
      </c>
      <c r="O436" t="n">
        <v>0</v>
      </c>
      <c r="P436" t="n">
        <v>0</v>
      </c>
      <c r="Q436" t="n">
        <v>0</v>
      </c>
      <c r="R436" s="2" t="inlineStr"/>
    </row>
    <row r="437" ht="15" customHeight="1">
      <c r="A437" t="inlineStr">
        <is>
          <t>A 13131-2022</t>
        </is>
      </c>
      <c r="B437" s="1" t="n">
        <v>44644.38203703704</v>
      </c>
      <c r="C437" s="1" t="n">
        <v>45927</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8669-2025</t>
        </is>
      </c>
      <c r="B438" s="1" t="n">
        <v>45712.41598379629</v>
      </c>
      <c r="C438" s="1" t="n">
        <v>45927</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4626-2025</t>
        </is>
      </c>
      <c r="B439" s="1" t="n">
        <v>45687.62158564815</v>
      </c>
      <c r="C439" s="1" t="n">
        <v>45927</v>
      </c>
      <c r="D439" t="inlineStr">
        <is>
          <t>VÄSTERBOTTENS LÄN</t>
        </is>
      </c>
      <c r="E439" t="inlineStr">
        <is>
          <t>SKELLEFTEÅ</t>
        </is>
      </c>
      <c r="G439" t="n">
        <v>6</v>
      </c>
      <c r="H439" t="n">
        <v>0</v>
      </c>
      <c r="I439" t="n">
        <v>0</v>
      </c>
      <c r="J439" t="n">
        <v>0</v>
      </c>
      <c r="K439" t="n">
        <v>0</v>
      </c>
      <c r="L439" t="n">
        <v>0</v>
      </c>
      <c r="M439" t="n">
        <v>0</v>
      </c>
      <c r="N439" t="n">
        <v>0</v>
      </c>
      <c r="O439" t="n">
        <v>0</v>
      </c>
      <c r="P439" t="n">
        <v>0</v>
      </c>
      <c r="Q439" t="n">
        <v>0</v>
      </c>
      <c r="R439" s="2" t="inlineStr"/>
    </row>
    <row r="440" ht="15" customHeight="1">
      <c r="A440" t="inlineStr">
        <is>
          <t>A 22663-2021</t>
        </is>
      </c>
      <c r="B440" s="1" t="n">
        <v>44327</v>
      </c>
      <c r="C440" s="1" t="n">
        <v>45927</v>
      </c>
      <c r="D440" t="inlineStr">
        <is>
          <t>VÄSTERBOTTENS LÄN</t>
        </is>
      </c>
      <c r="E440" t="inlineStr">
        <is>
          <t>SKELLEFTEÅ</t>
        </is>
      </c>
      <c r="G440" t="n">
        <v>1.5</v>
      </c>
      <c r="H440" t="n">
        <v>0</v>
      </c>
      <c r="I440" t="n">
        <v>0</v>
      </c>
      <c r="J440" t="n">
        <v>0</v>
      </c>
      <c r="K440" t="n">
        <v>0</v>
      </c>
      <c r="L440" t="n">
        <v>0</v>
      </c>
      <c r="M440" t="n">
        <v>0</v>
      </c>
      <c r="N440" t="n">
        <v>0</v>
      </c>
      <c r="O440" t="n">
        <v>0</v>
      </c>
      <c r="P440" t="n">
        <v>0</v>
      </c>
      <c r="Q440" t="n">
        <v>0</v>
      </c>
      <c r="R440" s="2" t="inlineStr"/>
    </row>
    <row r="441" ht="15" customHeight="1">
      <c r="A441" t="inlineStr">
        <is>
          <t>A 26190-2024</t>
        </is>
      </c>
      <c r="B441" s="1" t="n">
        <v>45468.5712037037</v>
      </c>
      <c r="C441" s="1" t="n">
        <v>45927</v>
      </c>
      <c r="D441" t="inlineStr">
        <is>
          <t>VÄSTERBOTTENS LÄN</t>
        </is>
      </c>
      <c r="E441" t="inlineStr">
        <is>
          <t>SKELLEFTEÅ</t>
        </is>
      </c>
      <c r="F441" t="inlineStr">
        <is>
          <t>Holmen skog AB</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18240-2025</t>
        </is>
      </c>
      <c r="B442" s="1" t="n">
        <v>45762.29850694445</v>
      </c>
      <c r="C442" s="1" t="n">
        <v>45927</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36823-2024</t>
        </is>
      </c>
      <c r="B443" s="1" t="n">
        <v>45538.50298611111</v>
      </c>
      <c r="C443" s="1" t="n">
        <v>45927</v>
      </c>
      <c r="D443" t="inlineStr">
        <is>
          <t>VÄSTERBOTTENS LÄN</t>
        </is>
      </c>
      <c r="E443" t="inlineStr">
        <is>
          <t>SKELLEFTEÅ</t>
        </is>
      </c>
      <c r="F443" t="inlineStr">
        <is>
          <t>Holmen skog AB</t>
        </is>
      </c>
      <c r="G443" t="n">
        <v>6</v>
      </c>
      <c r="H443" t="n">
        <v>0</v>
      </c>
      <c r="I443" t="n">
        <v>0</v>
      </c>
      <c r="J443" t="n">
        <v>0</v>
      </c>
      <c r="K443" t="n">
        <v>0</v>
      </c>
      <c r="L443" t="n">
        <v>0</v>
      </c>
      <c r="M443" t="n">
        <v>0</v>
      </c>
      <c r="N443" t="n">
        <v>0</v>
      </c>
      <c r="O443" t="n">
        <v>0</v>
      </c>
      <c r="P443" t="n">
        <v>0</v>
      </c>
      <c r="Q443" t="n">
        <v>0</v>
      </c>
      <c r="R443" s="2" t="inlineStr"/>
    </row>
    <row r="444" ht="15" customHeight="1">
      <c r="A444" t="inlineStr">
        <is>
          <t>A 55652-2024</t>
        </is>
      </c>
      <c r="B444" s="1" t="n">
        <v>45621</v>
      </c>
      <c r="C444" s="1" t="n">
        <v>45927</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8919-2024</t>
        </is>
      </c>
      <c r="B445" s="1" t="n">
        <v>45357</v>
      </c>
      <c r="C445" s="1" t="n">
        <v>45927</v>
      </c>
      <c r="D445" t="inlineStr">
        <is>
          <t>VÄSTERBOTTENS LÄN</t>
        </is>
      </c>
      <c r="E445" t="inlineStr">
        <is>
          <t>SKELLEFTEÅ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53753-2022</t>
        </is>
      </c>
      <c r="B446" s="1" t="n">
        <v>44872</v>
      </c>
      <c r="C446" s="1" t="n">
        <v>45927</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21190-2025</t>
        </is>
      </c>
      <c r="B447" s="1" t="n">
        <v>45779.45958333334</v>
      </c>
      <c r="C447" s="1" t="n">
        <v>45927</v>
      </c>
      <c r="D447" t="inlineStr">
        <is>
          <t>VÄSTERBOTTENS LÄN</t>
        </is>
      </c>
      <c r="E447" t="inlineStr">
        <is>
          <t>SKELLEFTEÅ</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3951-2021</t>
        </is>
      </c>
      <c r="B448" s="1" t="n">
        <v>44217</v>
      </c>
      <c r="C448" s="1" t="n">
        <v>45927</v>
      </c>
      <c r="D448" t="inlineStr">
        <is>
          <t>VÄSTERBOTTENS LÄN</t>
        </is>
      </c>
      <c r="E448" t="inlineStr">
        <is>
          <t>SKELLEFTEÅ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58751-2023</t>
        </is>
      </c>
      <c r="B449" s="1" t="n">
        <v>45251</v>
      </c>
      <c r="C449" s="1" t="n">
        <v>45927</v>
      </c>
      <c r="D449" t="inlineStr">
        <is>
          <t>VÄSTERBOTTENS LÄN</t>
        </is>
      </c>
      <c r="E449" t="inlineStr">
        <is>
          <t>SKELLEFTEÅ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21222-2025</t>
        </is>
      </c>
      <c r="B450" s="1" t="n">
        <v>45779.5078125</v>
      </c>
      <c r="C450" s="1" t="n">
        <v>45927</v>
      </c>
      <c r="D450" t="inlineStr">
        <is>
          <t>VÄSTERBOTTENS LÄN</t>
        </is>
      </c>
      <c r="E450" t="inlineStr">
        <is>
          <t>SKELLEFTEÅ</t>
        </is>
      </c>
      <c r="G450" t="n">
        <v>4.4</v>
      </c>
      <c r="H450" t="n">
        <v>0</v>
      </c>
      <c r="I450" t="n">
        <v>0</v>
      </c>
      <c r="J450" t="n">
        <v>0</v>
      </c>
      <c r="K450" t="n">
        <v>0</v>
      </c>
      <c r="L450" t="n">
        <v>0</v>
      </c>
      <c r="M450" t="n">
        <v>0</v>
      </c>
      <c r="N450" t="n">
        <v>0</v>
      </c>
      <c r="O450" t="n">
        <v>0</v>
      </c>
      <c r="P450" t="n">
        <v>0</v>
      </c>
      <c r="Q450" t="n">
        <v>0</v>
      </c>
      <c r="R450" s="2" t="inlineStr"/>
    </row>
    <row r="451" ht="15" customHeight="1">
      <c r="A451" t="inlineStr">
        <is>
          <t>A 46107-2023</t>
        </is>
      </c>
      <c r="B451" s="1" t="n">
        <v>45190</v>
      </c>
      <c r="C451" s="1" t="n">
        <v>45927</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21207-2025</t>
        </is>
      </c>
      <c r="B452" s="1" t="n">
        <v>45779.48564814815</v>
      </c>
      <c r="C452" s="1" t="n">
        <v>45927</v>
      </c>
      <c r="D452" t="inlineStr">
        <is>
          <t>VÄSTERBOTTENS LÄN</t>
        </is>
      </c>
      <c r="E452" t="inlineStr">
        <is>
          <t>SKELLEFTEÅ</t>
        </is>
      </c>
      <c r="F452" t="inlineStr">
        <is>
          <t>Holmen skog AB</t>
        </is>
      </c>
      <c r="G452" t="n">
        <v>4.8</v>
      </c>
      <c r="H452" t="n">
        <v>0</v>
      </c>
      <c r="I452" t="n">
        <v>0</v>
      </c>
      <c r="J452" t="n">
        <v>0</v>
      </c>
      <c r="K452" t="n">
        <v>0</v>
      </c>
      <c r="L452" t="n">
        <v>0</v>
      </c>
      <c r="M452" t="n">
        <v>0</v>
      </c>
      <c r="N452" t="n">
        <v>0</v>
      </c>
      <c r="O452" t="n">
        <v>0</v>
      </c>
      <c r="P452" t="n">
        <v>0</v>
      </c>
      <c r="Q452" t="n">
        <v>0</v>
      </c>
      <c r="R452" s="2" t="inlineStr"/>
    </row>
    <row r="453" ht="15" customHeight="1">
      <c r="A453" t="inlineStr">
        <is>
          <t>A 59793-2023</t>
        </is>
      </c>
      <c r="B453" s="1" t="n">
        <v>45257.4577199074</v>
      </c>
      <c r="C453" s="1" t="n">
        <v>45927</v>
      </c>
      <c r="D453" t="inlineStr">
        <is>
          <t>VÄSTERBOTTENS LÄN</t>
        </is>
      </c>
      <c r="E453" t="inlineStr">
        <is>
          <t>SKELLEFTEÅ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24195-2024</t>
        </is>
      </c>
      <c r="B454" s="1" t="n">
        <v>45456</v>
      </c>
      <c r="C454" s="1" t="n">
        <v>45927</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51418-2023</t>
        </is>
      </c>
      <c r="B455" s="1" t="n">
        <v>45219</v>
      </c>
      <c r="C455" s="1" t="n">
        <v>45927</v>
      </c>
      <c r="D455" t="inlineStr">
        <is>
          <t>VÄSTERBOTTENS LÄN</t>
        </is>
      </c>
      <c r="E455" t="inlineStr">
        <is>
          <t>SKELLEFTEÅ</t>
        </is>
      </c>
      <c r="G455" t="n">
        <v>0.1</v>
      </c>
      <c r="H455" t="n">
        <v>0</v>
      </c>
      <c r="I455" t="n">
        <v>0</v>
      </c>
      <c r="J455" t="n">
        <v>0</v>
      </c>
      <c r="K455" t="n">
        <v>0</v>
      </c>
      <c r="L455" t="n">
        <v>0</v>
      </c>
      <c r="M455" t="n">
        <v>0</v>
      </c>
      <c r="N455" t="n">
        <v>0</v>
      </c>
      <c r="O455" t="n">
        <v>0</v>
      </c>
      <c r="P455" t="n">
        <v>0</v>
      </c>
      <c r="Q455" t="n">
        <v>0</v>
      </c>
      <c r="R455" s="2" t="inlineStr"/>
    </row>
    <row r="456" ht="15" customHeight="1">
      <c r="A456" t="inlineStr">
        <is>
          <t>A 21131-2025</t>
        </is>
      </c>
      <c r="B456" s="1" t="n">
        <v>45778.36864583333</v>
      </c>
      <c r="C456" s="1" t="n">
        <v>45927</v>
      </c>
      <c r="D456" t="inlineStr">
        <is>
          <t>VÄSTERBOTTENS LÄN</t>
        </is>
      </c>
      <c r="E456" t="inlineStr">
        <is>
          <t>SKELLEFTEÅ</t>
        </is>
      </c>
      <c r="G456" t="n">
        <v>2</v>
      </c>
      <c r="H456" t="n">
        <v>0</v>
      </c>
      <c r="I456" t="n">
        <v>0</v>
      </c>
      <c r="J456" t="n">
        <v>0</v>
      </c>
      <c r="K456" t="n">
        <v>0</v>
      </c>
      <c r="L456" t="n">
        <v>0</v>
      </c>
      <c r="M456" t="n">
        <v>0</v>
      </c>
      <c r="N456" t="n">
        <v>0</v>
      </c>
      <c r="O456" t="n">
        <v>0</v>
      </c>
      <c r="P456" t="n">
        <v>0</v>
      </c>
      <c r="Q456" t="n">
        <v>0</v>
      </c>
      <c r="R456" s="2" t="inlineStr"/>
    </row>
    <row r="457" ht="15" customHeight="1">
      <c r="A457" t="inlineStr">
        <is>
          <t>A 23710-2023</t>
        </is>
      </c>
      <c r="B457" s="1" t="n">
        <v>45075</v>
      </c>
      <c r="C457" s="1" t="n">
        <v>45927</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21420-2025</t>
        </is>
      </c>
      <c r="B458" s="1" t="n">
        <v>45782.5021875</v>
      </c>
      <c r="C458" s="1" t="n">
        <v>45927</v>
      </c>
      <c r="D458" t="inlineStr">
        <is>
          <t>VÄSTERBOTTENS LÄN</t>
        </is>
      </c>
      <c r="E458" t="inlineStr">
        <is>
          <t>SKELLEFTEÅ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57908-2022</t>
        </is>
      </c>
      <c r="B459" s="1" t="n">
        <v>44900.35597222222</v>
      </c>
      <c r="C459" s="1" t="n">
        <v>45927</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4509-2025</t>
        </is>
      </c>
      <c r="B460" s="1" t="n">
        <v>45686</v>
      </c>
      <c r="C460" s="1" t="n">
        <v>45927</v>
      </c>
      <c r="D460" t="inlineStr">
        <is>
          <t>VÄSTERBOTTENS LÄN</t>
        </is>
      </c>
      <c r="E460" t="inlineStr">
        <is>
          <t>SKELLEFTEÅ</t>
        </is>
      </c>
      <c r="G460" t="n">
        <v>0.6</v>
      </c>
      <c r="H460" t="n">
        <v>0</v>
      </c>
      <c r="I460" t="n">
        <v>0</v>
      </c>
      <c r="J460" t="n">
        <v>0</v>
      </c>
      <c r="K460" t="n">
        <v>0</v>
      </c>
      <c r="L460" t="n">
        <v>0</v>
      </c>
      <c r="M460" t="n">
        <v>0</v>
      </c>
      <c r="N460" t="n">
        <v>0</v>
      </c>
      <c r="O460" t="n">
        <v>0</v>
      </c>
      <c r="P460" t="n">
        <v>0</v>
      </c>
      <c r="Q460" t="n">
        <v>0</v>
      </c>
      <c r="R460" s="2" t="inlineStr"/>
    </row>
    <row r="461" ht="15" customHeight="1">
      <c r="A461" t="inlineStr">
        <is>
          <t>A 14088-2022</t>
        </is>
      </c>
      <c r="B461" s="1" t="n">
        <v>44650</v>
      </c>
      <c r="C461" s="1" t="n">
        <v>45927</v>
      </c>
      <c r="D461" t="inlineStr">
        <is>
          <t>VÄSTERBOTTENS LÄN</t>
        </is>
      </c>
      <c r="E461" t="inlineStr">
        <is>
          <t>SKELLEFTEÅ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21585-2025</t>
        </is>
      </c>
      <c r="B462" s="1" t="n">
        <v>45783</v>
      </c>
      <c r="C462" s="1" t="n">
        <v>45927</v>
      </c>
      <c r="D462" t="inlineStr">
        <is>
          <t>VÄSTERBOTTENS LÄN</t>
        </is>
      </c>
      <c r="E462" t="inlineStr">
        <is>
          <t>SKELLEFTEÅ</t>
        </is>
      </c>
      <c r="G462" t="n">
        <v>0.3</v>
      </c>
      <c r="H462" t="n">
        <v>0</v>
      </c>
      <c r="I462" t="n">
        <v>0</v>
      </c>
      <c r="J462" t="n">
        <v>0</v>
      </c>
      <c r="K462" t="n">
        <v>0</v>
      </c>
      <c r="L462" t="n">
        <v>0</v>
      </c>
      <c r="M462" t="n">
        <v>0</v>
      </c>
      <c r="N462" t="n">
        <v>0</v>
      </c>
      <c r="O462" t="n">
        <v>0</v>
      </c>
      <c r="P462" t="n">
        <v>0</v>
      </c>
      <c r="Q462" t="n">
        <v>0</v>
      </c>
      <c r="R462" s="2" t="inlineStr"/>
    </row>
    <row r="463" ht="15" customHeight="1">
      <c r="A463" t="inlineStr">
        <is>
          <t>A 21381-2025</t>
        </is>
      </c>
      <c r="B463" s="1" t="n">
        <v>45782.45925925926</v>
      </c>
      <c r="C463" s="1" t="n">
        <v>45927</v>
      </c>
      <c r="D463" t="inlineStr">
        <is>
          <t>VÄSTERBOTTENS LÄN</t>
        </is>
      </c>
      <c r="E463" t="inlineStr">
        <is>
          <t>SKELLEFTEÅ</t>
        </is>
      </c>
      <c r="F463" t="inlineStr">
        <is>
          <t>Holmen skog AB</t>
        </is>
      </c>
      <c r="G463" t="n">
        <v>3</v>
      </c>
      <c r="H463" t="n">
        <v>0</v>
      </c>
      <c r="I463" t="n">
        <v>0</v>
      </c>
      <c r="J463" t="n">
        <v>0</v>
      </c>
      <c r="K463" t="n">
        <v>0</v>
      </c>
      <c r="L463" t="n">
        <v>0</v>
      </c>
      <c r="M463" t="n">
        <v>0</v>
      </c>
      <c r="N463" t="n">
        <v>0</v>
      </c>
      <c r="O463" t="n">
        <v>0</v>
      </c>
      <c r="P463" t="n">
        <v>0</v>
      </c>
      <c r="Q463" t="n">
        <v>0</v>
      </c>
      <c r="R463" s="2" t="inlineStr"/>
    </row>
    <row r="464" ht="15" customHeight="1">
      <c r="A464" t="inlineStr">
        <is>
          <t>A 21350-2025</t>
        </is>
      </c>
      <c r="B464" s="1" t="n">
        <v>45782.40702546296</v>
      </c>
      <c r="C464" s="1" t="n">
        <v>45927</v>
      </c>
      <c r="D464" t="inlineStr">
        <is>
          <t>VÄSTERBOTTENS LÄN</t>
        </is>
      </c>
      <c r="E464" t="inlineStr">
        <is>
          <t>SKELLEFTEÅ</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21427-2025</t>
        </is>
      </c>
      <c r="B465" s="1" t="n">
        <v>45782.50858796296</v>
      </c>
      <c r="C465" s="1" t="n">
        <v>45927</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21750-2025</t>
        </is>
      </c>
      <c r="B466" s="1" t="n">
        <v>45783.61346064815</v>
      </c>
      <c r="C466" s="1" t="n">
        <v>45927</v>
      </c>
      <c r="D466" t="inlineStr">
        <is>
          <t>VÄSTERBOTTENS LÄN</t>
        </is>
      </c>
      <c r="E466" t="inlineStr">
        <is>
          <t>SKELLEFTEÅ</t>
        </is>
      </c>
      <c r="F466" t="inlineStr">
        <is>
          <t>Kyrkan</t>
        </is>
      </c>
      <c r="G466" t="n">
        <v>0.9</v>
      </c>
      <c r="H466" t="n">
        <v>0</v>
      </c>
      <c r="I466" t="n">
        <v>0</v>
      </c>
      <c r="J466" t="n">
        <v>0</v>
      </c>
      <c r="K466" t="n">
        <v>0</v>
      </c>
      <c r="L466" t="n">
        <v>0</v>
      </c>
      <c r="M466" t="n">
        <v>0</v>
      </c>
      <c r="N466" t="n">
        <v>0</v>
      </c>
      <c r="O466" t="n">
        <v>0</v>
      </c>
      <c r="P466" t="n">
        <v>0</v>
      </c>
      <c r="Q466" t="n">
        <v>0</v>
      </c>
      <c r="R466" s="2" t="inlineStr"/>
    </row>
    <row r="467" ht="15" customHeight="1">
      <c r="A467" t="inlineStr">
        <is>
          <t>A 17173-2025</t>
        </is>
      </c>
      <c r="B467" s="1" t="n">
        <v>45756.37224537037</v>
      </c>
      <c r="C467" s="1" t="n">
        <v>45927</v>
      </c>
      <c r="D467" t="inlineStr">
        <is>
          <t>VÄSTERBOTTENS LÄN</t>
        </is>
      </c>
      <c r="E467" t="inlineStr">
        <is>
          <t>SKELLEFTEÅ</t>
        </is>
      </c>
      <c r="G467" t="n">
        <v>5.6</v>
      </c>
      <c r="H467" t="n">
        <v>0</v>
      </c>
      <c r="I467" t="n">
        <v>0</v>
      </c>
      <c r="J467" t="n">
        <v>0</v>
      </c>
      <c r="K467" t="n">
        <v>0</v>
      </c>
      <c r="L467" t="n">
        <v>0</v>
      </c>
      <c r="M467" t="n">
        <v>0</v>
      </c>
      <c r="N467" t="n">
        <v>0</v>
      </c>
      <c r="O467" t="n">
        <v>0</v>
      </c>
      <c r="P467" t="n">
        <v>0</v>
      </c>
      <c r="Q467" t="n">
        <v>0</v>
      </c>
      <c r="R467" s="2" t="inlineStr"/>
    </row>
    <row r="468" ht="15" customHeight="1">
      <c r="A468" t="inlineStr">
        <is>
          <t>A 21424-2025</t>
        </is>
      </c>
      <c r="B468" s="1" t="n">
        <v>45782.50584490741</v>
      </c>
      <c r="C468" s="1" t="n">
        <v>45927</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21755-2025</t>
        </is>
      </c>
      <c r="B469" s="1" t="n">
        <v>45783.61917824074</v>
      </c>
      <c r="C469" s="1" t="n">
        <v>45927</v>
      </c>
      <c r="D469" t="inlineStr">
        <is>
          <t>VÄSTERBOTTENS LÄN</t>
        </is>
      </c>
      <c r="E469" t="inlineStr">
        <is>
          <t>SKELLEFTEÅ</t>
        </is>
      </c>
      <c r="G469" t="n">
        <v>13.6</v>
      </c>
      <c r="H469" t="n">
        <v>0</v>
      </c>
      <c r="I469" t="n">
        <v>0</v>
      </c>
      <c r="J469" t="n">
        <v>0</v>
      </c>
      <c r="K469" t="n">
        <v>0</v>
      </c>
      <c r="L469" t="n">
        <v>0</v>
      </c>
      <c r="M469" t="n">
        <v>0</v>
      </c>
      <c r="N469" t="n">
        <v>0</v>
      </c>
      <c r="O469" t="n">
        <v>0</v>
      </c>
      <c r="P469" t="n">
        <v>0</v>
      </c>
      <c r="Q469" t="n">
        <v>0</v>
      </c>
      <c r="R469" s="2" t="inlineStr"/>
    </row>
    <row r="470" ht="15" customHeight="1">
      <c r="A470" t="inlineStr">
        <is>
          <t>A 21757-2025</t>
        </is>
      </c>
      <c r="B470" s="1" t="n">
        <v>45783</v>
      </c>
      <c r="C470" s="1" t="n">
        <v>45927</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43204-2024</t>
        </is>
      </c>
      <c r="B471" s="1" t="n">
        <v>45567</v>
      </c>
      <c r="C471" s="1" t="n">
        <v>45927</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52693-2024</t>
        </is>
      </c>
      <c r="B472" s="1" t="n">
        <v>45610.39756944445</v>
      </c>
      <c r="C472" s="1" t="n">
        <v>45927</v>
      </c>
      <c r="D472" t="inlineStr">
        <is>
          <t>VÄSTERBOTTENS LÄN</t>
        </is>
      </c>
      <c r="E472" t="inlineStr">
        <is>
          <t>SKELLEFTEÅ</t>
        </is>
      </c>
      <c r="F472" t="inlineStr">
        <is>
          <t>Holmen skog AB</t>
        </is>
      </c>
      <c r="G472" t="n">
        <v>8.4</v>
      </c>
      <c r="H472" t="n">
        <v>0</v>
      </c>
      <c r="I472" t="n">
        <v>0</v>
      </c>
      <c r="J472" t="n">
        <v>0</v>
      </c>
      <c r="K472" t="n">
        <v>0</v>
      </c>
      <c r="L472" t="n">
        <v>0</v>
      </c>
      <c r="M472" t="n">
        <v>0</v>
      </c>
      <c r="N472" t="n">
        <v>0</v>
      </c>
      <c r="O472" t="n">
        <v>0</v>
      </c>
      <c r="P472" t="n">
        <v>0</v>
      </c>
      <c r="Q472" t="n">
        <v>0</v>
      </c>
      <c r="R472" s="2" t="inlineStr"/>
    </row>
    <row r="473" ht="15" customHeight="1">
      <c r="A473" t="inlineStr">
        <is>
          <t>A 13126-2025</t>
        </is>
      </c>
      <c r="B473" s="1" t="n">
        <v>45734.86883101852</v>
      </c>
      <c r="C473" s="1" t="n">
        <v>45927</v>
      </c>
      <c r="D473" t="inlineStr">
        <is>
          <t>VÄSTERBOTTENS LÄN</t>
        </is>
      </c>
      <c r="E473" t="inlineStr">
        <is>
          <t>SKELLEFTEÅ</t>
        </is>
      </c>
      <c r="G473" t="n">
        <v>2.8</v>
      </c>
      <c r="H473" t="n">
        <v>0</v>
      </c>
      <c r="I473" t="n">
        <v>0</v>
      </c>
      <c r="J473" t="n">
        <v>0</v>
      </c>
      <c r="K473" t="n">
        <v>0</v>
      </c>
      <c r="L473" t="n">
        <v>0</v>
      </c>
      <c r="M473" t="n">
        <v>0</v>
      </c>
      <c r="N473" t="n">
        <v>0</v>
      </c>
      <c r="O473" t="n">
        <v>0</v>
      </c>
      <c r="P473" t="n">
        <v>0</v>
      </c>
      <c r="Q473" t="n">
        <v>0</v>
      </c>
      <c r="R473" s="2" t="inlineStr"/>
    </row>
    <row r="474" ht="15" customHeight="1">
      <c r="A474" t="inlineStr">
        <is>
          <t>A 11973-2023</t>
        </is>
      </c>
      <c r="B474" s="1" t="n">
        <v>44994</v>
      </c>
      <c r="C474" s="1" t="n">
        <v>45927</v>
      </c>
      <c r="D474" t="inlineStr">
        <is>
          <t>VÄSTERBOTTENS LÄN</t>
        </is>
      </c>
      <c r="E474" t="inlineStr">
        <is>
          <t>SKELLEFTEÅ</t>
        </is>
      </c>
      <c r="G474" t="n">
        <v>7</v>
      </c>
      <c r="H474" t="n">
        <v>0</v>
      </c>
      <c r="I474" t="n">
        <v>0</v>
      </c>
      <c r="J474" t="n">
        <v>0</v>
      </c>
      <c r="K474" t="n">
        <v>0</v>
      </c>
      <c r="L474" t="n">
        <v>0</v>
      </c>
      <c r="M474" t="n">
        <v>0</v>
      </c>
      <c r="N474" t="n">
        <v>0</v>
      </c>
      <c r="O474" t="n">
        <v>0</v>
      </c>
      <c r="P474" t="n">
        <v>0</v>
      </c>
      <c r="Q474" t="n">
        <v>0</v>
      </c>
      <c r="R474" s="2" t="inlineStr"/>
    </row>
    <row r="475" ht="15" customHeight="1">
      <c r="A475" t="inlineStr">
        <is>
          <t>A 25009-2022</t>
        </is>
      </c>
      <c r="B475" s="1" t="n">
        <v>44728.92866898148</v>
      </c>
      <c r="C475" s="1" t="n">
        <v>45927</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59242-2023</t>
        </is>
      </c>
      <c r="B476" s="1" t="n">
        <v>45252</v>
      </c>
      <c r="C476" s="1" t="n">
        <v>45927</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38957-2024</t>
        </is>
      </c>
      <c r="B477" s="1" t="n">
        <v>45548.35662037037</v>
      </c>
      <c r="C477" s="1" t="n">
        <v>45927</v>
      </c>
      <c r="D477" t="inlineStr">
        <is>
          <t>VÄSTERBOTTENS LÄN</t>
        </is>
      </c>
      <c r="E477" t="inlineStr">
        <is>
          <t>SKELLEFTEÅ</t>
        </is>
      </c>
      <c r="G477" t="n">
        <v>1.2</v>
      </c>
      <c r="H477" t="n">
        <v>0</v>
      </c>
      <c r="I477" t="n">
        <v>0</v>
      </c>
      <c r="J477" t="n">
        <v>0</v>
      </c>
      <c r="K477" t="n">
        <v>0</v>
      </c>
      <c r="L477" t="n">
        <v>0</v>
      </c>
      <c r="M477" t="n">
        <v>0</v>
      </c>
      <c r="N477" t="n">
        <v>0</v>
      </c>
      <c r="O477" t="n">
        <v>0</v>
      </c>
      <c r="P477" t="n">
        <v>0</v>
      </c>
      <c r="Q477" t="n">
        <v>0</v>
      </c>
      <c r="R477" s="2" t="inlineStr"/>
    </row>
    <row r="478" ht="15" customHeight="1">
      <c r="A478" t="inlineStr">
        <is>
          <t>A 21587-2025</t>
        </is>
      </c>
      <c r="B478" s="1" t="n">
        <v>45783</v>
      </c>
      <c r="C478" s="1" t="n">
        <v>45927</v>
      </c>
      <c r="D478" t="inlineStr">
        <is>
          <t>VÄSTERBOTTENS LÄN</t>
        </is>
      </c>
      <c r="E478" t="inlineStr">
        <is>
          <t>SKELLEFTEÅ</t>
        </is>
      </c>
      <c r="G478" t="n">
        <v>0.4</v>
      </c>
      <c r="H478" t="n">
        <v>0</v>
      </c>
      <c r="I478" t="n">
        <v>0</v>
      </c>
      <c r="J478" t="n">
        <v>0</v>
      </c>
      <c r="K478" t="n">
        <v>0</v>
      </c>
      <c r="L478" t="n">
        <v>0</v>
      </c>
      <c r="M478" t="n">
        <v>0</v>
      </c>
      <c r="N478" t="n">
        <v>0</v>
      </c>
      <c r="O478" t="n">
        <v>0</v>
      </c>
      <c r="P478" t="n">
        <v>0</v>
      </c>
      <c r="Q478" t="n">
        <v>0</v>
      </c>
      <c r="R478" s="2" t="inlineStr"/>
    </row>
    <row r="479" ht="15" customHeight="1">
      <c r="A479" t="inlineStr">
        <is>
          <t>A 70168-2021</t>
        </is>
      </c>
      <c r="B479" s="1" t="n">
        <v>44533.82237268519</v>
      </c>
      <c r="C479" s="1" t="n">
        <v>45927</v>
      </c>
      <c r="D479" t="inlineStr">
        <is>
          <t>VÄSTERBOTTENS LÄN</t>
        </is>
      </c>
      <c r="E479" t="inlineStr">
        <is>
          <t>SKELLEFTEÅ</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38935-2024</t>
        </is>
      </c>
      <c r="B480" s="1" t="n">
        <v>45548.3350462963</v>
      </c>
      <c r="C480" s="1" t="n">
        <v>45927</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33529-2022</t>
        </is>
      </c>
      <c r="B481" s="1" t="n">
        <v>44789.33445601852</v>
      </c>
      <c r="C481" s="1" t="n">
        <v>45927</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30485-2023</t>
        </is>
      </c>
      <c r="B482" s="1" t="n">
        <v>45111.60275462963</v>
      </c>
      <c r="C482" s="1" t="n">
        <v>45927</v>
      </c>
      <c r="D482" t="inlineStr">
        <is>
          <t>VÄSTERBOTTENS LÄN</t>
        </is>
      </c>
      <c r="E482" t="inlineStr">
        <is>
          <t>SKELLEFTEÅ</t>
        </is>
      </c>
      <c r="F482" t="inlineStr">
        <is>
          <t>Sveaskog</t>
        </is>
      </c>
      <c r="G482" t="n">
        <v>6.3</v>
      </c>
      <c r="H482" t="n">
        <v>0</v>
      </c>
      <c r="I482" t="n">
        <v>0</v>
      </c>
      <c r="J482" t="n">
        <v>0</v>
      </c>
      <c r="K482" t="n">
        <v>0</v>
      </c>
      <c r="L482" t="n">
        <v>0</v>
      </c>
      <c r="M482" t="n">
        <v>0</v>
      </c>
      <c r="N482" t="n">
        <v>0</v>
      </c>
      <c r="O482" t="n">
        <v>0</v>
      </c>
      <c r="P482" t="n">
        <v>0</v>
      </c>
      <c r="Q482" t="n">
        <v>0</v>
      </c>
      <c r="R482" s="2" t="inlineStr"/>
    </row>
    <row r="483" ht="15" customHeight="1">
      <c r="A483" t="inlineStr">
        <is>
          <t>A 21035-2022</t>
        </is>
      </c>
      <c r="B483" s="1" t="n">
        <v>44704</v>
      </c>
      <c r="C483" s="1" t="n">
        <v>45927</v>
      </c>
      <c r="D483" t="inlineStr">
        <is>
          <t>VÄSTERBOTTENS LÄN</t>
        </is>
      </c>
      <c r="E483" t="inlineStr">
        <is>
          <t>SKELLEFTEÅ</t>
        </is>
      </c>
      <c r="G483" t="n">
        <v>26.9</v>
      </c>
      <c r="H483" t="n">
        <v>0</v>
      </c>
      <c r="I483" t="n">
        <v>0</v>
      </c>
      <c r="J483" t="n">
        <v>0</v>
      </c>
      <c r="K483" t="n">
        <v>0</v>
      </c>
      <c r="L483" t="n">
        <v>0</v>
      </c>
      <c r="M483" t="n">
        <v>0</v>
      </c>
      <c r="N483" t="n">
        <v>0</v>
      </c>
      <c r="O483" t="n">
        <v>0</v>
      </c>
      <c r="P483" t="n">
        <v>0</v>
      </c>
      <c r="Q483" t="n">
        <v>0</v>
      </c>
      <c r="R483" s="2" t="inlineStr"/>
    </row>
    <row r="484" ht="15" customHeight="1">
      <c r="A484" t="inlineStr">
        <is>
          <t>A 10079-2025</t>
        </is>
      </c>
      <c r="B484" s="1" t="n">
        <v>45719</v>
      </c>
      <c r="C484" s="1" t="n">
        <v>45927</v>
      </c>
      <c r="D484" t="inlineStr">
        <is>
          <t>VÄSTERBOTTENS LÄN</t>
        </is>
      </c>
      <c r="E484" t="inlineStr">
        <is>
          <t>SKELLEFTEÅ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42798-2022</t>
        </is>
      </c>
      <c r="B485" s="1" t="n">
        <v>44832</v>
      </c>
      <c r="C485" s="1" t="n">
        <v>45927</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73833-2021</t>
        </is>
      </c>
      <c r="B486" s="1" t="n">
        <v>44552.92071759259</v>
      </c>
      <c r="C486" s="1" t="n">
        <v>45927</v>
      </c>
      <c r="D486" t="inlineStr">
        <is>
          <t>VÄSTERBOTTENS LÄN</t>
        </is>
      </c>
      <c r="E486" t="inlineStr">
        <is>
          <t>SKELLEFTEÅ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47155-2023</t>
        </is>
      </c>
      <c r="B487" s="1" t="n">
        <v>45201.92517361111</v>
      </c>
      <c r="C487" s="1" t="n">
        <v>45927</v>
      </c>
      <c r="D487" t="inlineStr">
        <is>
          <t>VÄSTERBOTTENS LÄN</t>
        </is>
      </c>
      <c r="E487" t="inlineStr">
        <is>
          <t>SKELLEFTEÅ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62592-2020</t>
        </is>
      </c>
      <c r="B488" s="1" t="n">
        <v>44161</v>
      </c>
      <c r="C488" s="1" t="n">
        <v>45927</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573-2025</t>
        </is>
      </c>
      <c r="B489" s="1" t="n">
        <v>45660</v>
      </c>
      <c r="C489" s="1" t="n">
        <v>45927</v>
      </c>
      <c r="D489" t="inlineStr">
        <is>
          <t>VÄSTERBOTTENS LÄN</t>
        </is>
      </c>
      <c r="E489" t="inlineStr">
        <is>
          <t>SKELLEFTEÅ</t>
        </is>
      </c>
      <c r="G489" t="n">
        <v>8.6</v>
      </c>
      <c r="H489" t="n">
        <v>0</v>
      </c>
      <c r="I489" t="n">
        <v>0</v>
      </c>
      <c r="J489" t="n">
        <v>0</v>
      </c>
      <c r="K489" t="n">
        <v>0</v>
      </c>
      <c r="L489" t="n">
        <v>0</v>
      </c>
      <c r="M489" t="n">
        <v>0</v>
      </c>
      <c r="N489" t="n">
        <v>0</v>
      </c>
      <c r="O489" t="n">
        <v>0</v>
      </c>
      <c r="P489" t="n">
        <v>0</v>
      </c>
      <c r="Q489" t="n">
        <v>0</v>
      </c>
      <c r="R489" s="2" t="inlineStr"/>
    </row>
    <row r="490" ht="15" customHeight="1">
      <c r="A490" t="inlineStr">
        <is>
          <t>A 580-2025</t>
        </is>
      </c>
      <c r="B490" s="1" t="n">
        <v>45660</v>
      </c>
      <c r="C490" s="1" t="n">
        <v>45927</v>
      </c>
      <c r="D490" t="inlineStr">
        <is>
          <t>VÄSTERBOTTENS LÄN</t>
        </is>
      </c>
      <c r="E490" t="inlineStr">
        <is>
          <t>SKELLEFTEÅ</t>
        </is>
      </c>
      <c r="G490" t="n">
        <v>1.2</v>
      </c>
      <c r="H490" t="n">
        <v>0</v>
      </c>
      <c r="I490" t="n">
        <v>0</v>
      </c>
      <c r="J490" t="n">
        <v>0</v>
      </c>
      <c r="K490" t="n">
        <v>0</v>
      </c>
      <c r="L490" t="n">
        <v>0</v>
      </c>
      <c r="M490" t="n">
        <v>0</v>
      </c>
      <c r="N490" t="n">
        <v>0</v>
      </c>
      <c r="O490" t="n">
        <v>0</v>
      </c>
      <c r="P490" t="n">
        <v>0</v>
      </c>
      <c r="Q490" t="n">
        <v>0</v>
      </c>
      <c r="R490" s="2" t="inlineStr"/>
    </row>
    <row r="491" ht="15" customHeight="1">
      <c r="A491" t="inlineStr">
        <is>
          <t>A 8928-2024</t>
        </is>
      </c>
      <c r="B491" s="1" t="n">
        <v>45357.39643518518</v>
      </c>
      <c r="C491" s="1" t="n">
        <v>45927</v>
      </c>
      <c r="D491" t="inlineStr">
        <is>
          <t>VÄSTERBOTTENS LÄN</t>
        </is>
      </c>
      <c r="E491" t="inlineStr">
        <is>
          <t>SKELLEFTEÅ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48722-2022</t>
        </is>
      </c>
      <c r="B492" s="1" t="n">
        <v>44855</v>
      </c>
      <c r="C492" s="1" t="n">
        <v>45927</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53646-2022</t>
        </is>
      </c>
      <c r="B493" s="1" t="n">
        <v>44879</v>
      </c>
      <c r="C493" s="1" t="n">
        <v>45927</v>
      </c>
      <c r="D493" t="inlineStr">
        <is>
          <t>VÄSTERBOTTENS LÄN</t>
        </is>
      </c>
      <c r="E493" t="inlineStr">
        <is>
          <t>SKELLEFTEÅ</t>
        </is>
      </c>
      <c r="G493" t="n">
        <v>10.6</v>
      </c>
      <c r="H493" t="n">
        <v>0</v>
      </c>
      <c r="I493" t="n">
        <v>0</v>
      </c>
      <c r="J493" t="n">
        <v>0</v>
      </c>
      <c r="K493" t="n">
        <v>0</v>
      </c>
      <c r="L493" t="n">
        <v>0</v>
      </c>
      <c r="M493" t="n">
        <v>0</v>
      </c>
      <c r="N493" t="n">
        <v>0</v>
      </c>
      <c r="O493" t="n">
        <v>0</v>
      </c>
      <c r="P493" t="n">
        <v>0</v>
      </c>
      <c r="Q493" t="n">
        <v>0</v>
      </c>
      <c r="R493" s="2" t="inlineStr"/>
    </row>
    <row r="494" ht="15" customHeight="1">
      <c r="A494" t="inlineStr">
        <is>
          <t>A 44480-2024</t>
        </is>
      </c>
      <c r="B494" s="1" t="n">
        <v>45574</v>
      </c>
      <c r="C494" s="1" t="n">
        <v>45927</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61188-2023</t>
        </is>
      </c>
      <c r="B495" s="1" t="n">
        <v>45264</v>
      </c>
      <c r="C495" s="1" t="n">
        <v>45927</v>
      </c>
      <c r="D495" t="inlineStr">
        <is>
          <t>VÄSTERBOTTENS LÄN</t>
        </is>
      </c>
      <c r="E495" t="inlineStr">
        <is>
          <t>SKELLEFTEÅ</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1498-2024</t>
        </is>
      </c>
      <c r="B496" s="1" t="n">
        <v>45306</v>
      </c>
      <c r="C496" s="1" t="n">
        <v>45927</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4008-2024</t>
        </is>
      </c>
      <c r="B497" s="1" t="n">
        <v>45323</v>
      </c>
      <c r="C497" s="1" t="n">
        <v>45927</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60612-2023</t>
        </is>
      </c>
      <c r="B498" s="1" t="n">
        <v>45260</v>
      </c>
      <c r="C498" s="1" t="n">
        <v>45927</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16461-2025</t>
        </is>
      </c>
      <c r="B499" s="1" t="n">
        <v>45750</v>
      </c>
      <c r="C499" s="1" t="n">
        <v>45927</v>
      </c>
      <c r="D499" t="inlineStr">
        <is>
          <t>VÄSTERBOTTENS LÄN</t>
        </is>
      </c>
      <c r="E499" t="inlineStr">
        <is>
          <t>SKELLEFTEÅ</t>
        </is>
      </c>
      <c r="G499" t="n">
        <v>7.3</v>
      </c>
      <c r="H499" t="n">
        <v>0</v>
      </c>
      <c r="I499" t="n">
        <v>0</v>
      </c>
      <c r="J499" t="n">
        <v>0</v>
      </c>
      <c r="K499" t="n">
        <v>0</v>
      </c>
      <c r="L499" t="n">
        <v>0</v>
      </c>
      <c r="M499" t="n">
        <v>0</v>
      </c>
      <c r="N499" t="n">
        <v>0</v>
      </c>
      <c r="O499" t="n">
        <v>0</v>
      </c>
      <c r="P499" t="n">
        <v>0</v>
      </c>
      <c r="Q499" t="n">
        <v>0</v>
      </c>
      <c r="R499" s="2" t="inlineStr"/>
    </row>
    <row r="500" ht="15" customHeight="1">
      <c r="A500" t="inlineStr">
        <is>
          <t>A 9183-2025</t>
        </is>
      </c>
      <c r="B500" s="1" t="n">
        <v>45714</v>
      </c>
      <c r="C500" s="1" t="n">
        <v>45927</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35213-2024</t>
        </is>
      </c>
      <c r="B501" s="1" t="n">
        <v>45530</v>
      </c>
      <c r="C501" s="1" t="n">
        <v>45927</v>
      </c>
      <c r="D501" t="inlineStr">
        <is>
          <t>VÄSTERBOTTENS LÄN</t>
        </is>
      </c>
      <c r="E501" t="inlineStr">
        <is>
          <t>SKELLEFTEÅ</t>
        </is>
      </c>
      <c r="G501" t="n">
        <v>1.8</v>
      </c>
      <c r="H501" t="n">
        <v>0</v>
      </c>
      <c r="I501" t="n">
        <v>0</v>
      </c>
      <c r="J501" t="n">
        <v>0</v>
      </c>
      <c r="K501" t="n">
        <v>0</v>
      </c>
      <c r="L501" t="n">
        <v>0</v>
      </c>
      <c r="M501" t="n">
        <v>0</v>
      </c>
      <c r="N501" t="n">
        <v>0</v>
      </c>
      <c r="O501" t="n">
        <v>0</v>
      </c>
      <c r="P501" t="n">
        <v>0</v>
      </c>
      <c r="Q501" t="n">
        <v>0</v>
      </c>
      <c r="R501" s="2" t="inlineStr"/>
    </row>
    <row r="502" ht="15" customHeight="1">
      <c r="A502" t="inlineStr">
        <is>
          <t>A 41198-2024</t>
        </is>
      </c>
      <c r="B502" s="1" t="n">
        <v>45559.51533564815</v>
      </c>
      <c r="C502" s="1" t="n">
        <v>45927</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560-2025</t>
        </is>
      </c>
      <c r="B503" s="1" t="n">
        <v>45660</v>
      </c>
      <c r="C503" s="1" t="n">
        <v>45927</v>
      </c>
      <c r="D503" t="inlineStr">
        <is>
          <t>VÄSTERBOTTENS LÄN</t>
        </is>
      </c>
      <c r="E503" t="inlineStr">
        <is>
          <t>SKELLEFTEÅ</t>
        </is>
      </c>
      <c r="G503" t="n">
        <v>5</v>
      </c>
      <c r="H503" t="n">
        <v>0</v>
      </c>
      <c r="I503" t="n">
        <v>0</v>
      </c>
      <c r="J503" t="n">
        <v>0</v>
      </c>
      <c r="K503" t="n">
        <v>0</v>
      </c>
      <c r="L503" t="n">
        <v>0</v>
      </c>
      <c r="M503" t="n">
        <v>0</v>
      </c>
      <c r="N503" t="n">
        <v>0</v>
      </c>
      <c r="O503" t="n">
        <v>0</v>
      </c>
      <c r="P503" t="n">
        <v>0</v>
      </c>
      <c r="Q503" t="n">
        <v>0</v>
      </c>
      <c r="R503" s="2" t="inlineStr"/>
    </row>
    <row r="504" ht="15" customHeight="1">
      <c r="A504" t="inlineStr">
        <is>
          <t>A 7816-2025</t>
        </is>
      </c>
      <c r="B504" s="1" t="n">
        <v>45706.63597222222</v>
      </c>
      <c r="C504" s="1" t="n">
        <v>45927</v>
      </c>
      <c r="D504" t="inlineStr">
        <is>
          <t>VÄSTERBOTTENS LÄN</t>
        </is>
      </c>
      <c r="E504" t="inlineStr">
        <is>
          <t>SKELLEFTEÅ</t>
        </is>
      </c>
      <c r="G504" t="n">
        <v>4</v>
      </c>
      <c r="H504" t="n">
        <v>0</v>
      </c>
      <c r="I504" t="n">
        <v>0</v>
      </c>
      <c r="J504" t="n">
        <v>0</v>
      </c>
      <c r="K504" t="n">
        <v>0</v>
      </c>
      <c r="L504" t="n">
        <v>0</v>
      </c>
      <c r="M504" t="n">
        <v>0</v>
      </c>
      <c r="N504" t="n">
        <v>0</v>
      </c>
      <c r="O504" t="n">
        <v>0</v>
      </c>
      <c r="P504" t="n">
        <v>0</v>
      </c>
      <c r="Q504" t="n">
        <v>0</v>
      </c>
      <c r="R504" s="2" t="inlineStr"/>
    </row>
    <row r="505" ht="15" customHeight="1">
      <c r="A505" t="inlineStr">
        <is>
          <t>A 35491-2022</t>
        </is>
      </c>
      <c r="B505" s="1" t="n">
        <v>44798</v>
      </c>
      <c r="C505" s="1" t="n">
        <v>45927</v>
      </c>
      <c r="D505" t="inlineStr">
        <is>
          <t>VÄSTERBOTTENS LÄN</t>
        </is>
      </c>
      <c r="E505" t="inlineStr">
        <is>
          <t>SKELLEFTEÅ</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21910-2025</t>
        </is>
      </c>
      <c r="B506" s="1" t="n">
        <v>45784.47021990741</v>
      </c>
      <c r="C506" s="1" t="n">
        <v>45927</v>
      </c>
      <c r="D506" t="inlineStr">
        <is>
          <t>VÄSTERBOTTENS LÄN</t>
        </is>
      </c>
      <c r="E506" t="inlineStr">
        <is>
          <t>SKELLEFTEÅ</t>
        </is>
      </c>
      <c r="F506" t="inlineStr">
        <is>
          <t>Holmen skog AB</t>
        </is>
      </c>
      <c r="G506" t="n">
        <v>4.3</v>
      </c>
      <c r="H506" t="n">
        <v>0</v>
      </c>
      <c r="I506" t="n">
        <v>0</v>
      </c>
      <c r="J506" t="n">
        <v>0</v>
      </c>
      <c r="K506" t="n">
        <v>0</v>
      </c>
      <c r="L506" t="n">
        <v>0</v>
      </c>
      <c r="M506" t="n">
        <v>0</v>
      </c>
      <c r="N506" t="n">
        <v>0</v>
      </c>
      <c r="O506" t="n">
        <v>0</v>
      </c>
      <c r="P506" t="n">
        <v>0</v>
      </c>
      <c r="Q506" t="n">
        <v>0</v>
      </c>
      <c r="R506" s="2" t="inlineStr"/>
    </row>
    <row r="507" ht="15" customHeight="1">
      <c r="A507" t="inlineStr">
        <is>
          <t>A 1113-2025</t>
        </is>
      </c>
      <c r="B507" s="1" t="n">
        <v>45666</v>
      </c>
      <c r="C507" s="1" t="n">
        <v>45927</v>
      </c>
      <c r="D507" t="inlineStr">
        <is>
          <t>VÄSTERBOTTENS LÄN</t>
        </is>
      </c>
      <c r="E507" t="inlineStr">
        <is>
          <t>SKELLEFTEÅ</t>
        </is>
      </c>
      <c r="G507" t="n">
        <v>7.4</v>
      </c>
      <c r="H507" t="n">
        <v>0</v>
      </c>
      <c r="I507" t="n">
        <v>0</v>
      </c>
      <c r="J507" t="n">
        <v>0</v>
      </c>
      <c r="K507" t="n">
        <v>0</v>
      </c>
      <c r="L507" t="n">
        <v>0</v>
      </c>
      <c r="M507" t="n">
        <v>0</v>
      </c>
      <c r="N507" t="n">
        <v>0</v>
      </c>
      <c r="O507" t="n">
        <v>0</v>
      </c>
      <c r="P507" t="n">
        <v>0</v>
      </c>
      <c r="Q507" t="n">
        <v>0</v>
      </c>
      <c r="R507" s="2" t="inlineStr"/>
    </row>
    <row r="508" ht="15" customHeight="1">
      <c r="A508" t="inlineStr">
        <is>
          <t>A 27504-2023</t>
        </is>
      </c>
      <c r="B508" s="1" t="n">
        <v>45097</v>
      </c>
      <c r="C508" s="1" t="n">
        <v>45927</v>
      </c>
      <c r="D508" t="inlineStr">
        <is>
          <t>VÄSTERBOTTENS LÄN</t>
        </is>
      </c>
      <c r="E508" t="inlineStr">
        <is>
          <t>SKELLEFTEÅ</t>
        </is>
      </c>
      <c r="G508" t="n">
        <v>4.2</v>
      </c>
      <c r="H508" t="n">
        <v>0</v>
      </c>
      <c r="I508" t="n">
        <v>0</v>
      </c>
      <c r="J508" t="n">
        <v>0</v>
      </c>
      <c r="K508" t="n">
        <v>0</v>
      </c>
      <c r="L508" t="n">
        <v>0</v>
      </c>
      <c r="M508" t="n">
        <v>0</v>
      </c>
      <c r="N508" t="n">
        <v>0</v>
      </c>
      <c r="O508" t="n">
        <v>0</v>
      </c>
      <c r="P508" t="n">
        <v>0</v>
      </c>
      <c r="Q508" t="n">
        <v>0</v>
      </c>
      <c r="R508" s="2" t="inlineStr"/>
    </row>
    <row r="509" ht="15" customHeight="1">
      <c r="A509" t="inlineStr">
        <is>
          <t>A 69996-2021</t>
        </is>
      </c>
      <c r="B509" s="1" t="n">
        <v>44533</v>
      </c>
      <c r="C509" s="1" t="n">
        <v>45927</v>
      </c>
      <c r="D509" t="inlineStr">
        <is>
          <t>VÄSTERBOTTENS LÄN</t>
        </is>
      </c>
      <c r="E509" t="inlineStr">
        <is>
          <t>SKELLEFTEÅ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33289-2023</t>
        </is>
      </c>
      <c r="B510" s="1" t="n">
        <v>45116</v>
      </c>
      <c r="C510" s="1" t="n">
        <v>45927</v>
      </c>
      <c r="D510" t="inlineStr">
        <is>
          <t>VÄSTERBOTTENS LÄN</t>
        </is>
      </c>
      <c r="E510" t="inlineStr">
        <is>
          <t>SKELLEFTEÅ</t>
        </is>
      </c>
      <c r="G510" t="n">
        <v>4.5</v>
      </c>
      <c r="H510" t="n">
        <v>0</v>
      </c>
      <c r="I510" t="n">
        <v>0</v>
      </c>
      <c r="J510" t="n">
        <v>0</v>
      </c>
      <c r="K510" t="n">
        <v>0</v>
      </c>
      <c r="L510" t="n">
        <v>0</v>
      </c>
      <c r="M510" t="n">
        <v>0</v>
      </c>
      <c r="N510" t="n">
        <v>0</v>
      </c>
      <c r="O510" t="n">
        <v>0</v>
      </c>
      <c r="P510" t="n">
        <v>0</v>
      </c>
      <c r="Q510" t="n">
        <v>0</v>
      </c>
      <c r="R510" s="2" t="inlineStr"/>
    </row>
    <row r="511" ht="15" customHeight="1">
      <c r="A511" t="inlineStr">
        <is>
          <t>A 5972-2022</t>
        </is>
      </c>
      <c r="B511" s="1" t="n">
        <v>44599.3759375</v>
      </c>
      <c r="C511" s="1" t="n">
        <v>45927</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21992-2025</t>
        </is>
      </c>
      <c r="B512" s="1" t="n">
        <v>45784.66221064814</v>
      </c>
      <c r="C512" s="1" t="n">
        <v>45927</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4900-2024</t>
        </is>
      </c>
      <c r="B513" s="1" t="n">
        <v>45329</v>
      </c>
      <c r="C513" s="1" t="n">
        <v>45927</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26645-2023</t>
        </is>
      </c>
      <c r="B514" s="1" t="n">
        <v>45092.92415509259</v>
      </c>
      <c r="C514" s="1" t="n">
        <v>45927</v>
      </c>
      <c r="D514" t="inlineStr">
        <is>
          <t>VÄSTERBOTTENS LÄN</t>
        </is>
      </c>
      <c r="E514" t="inlineStr">
        <is>
          <t>SKELLEFTEÅ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12256-2025</t>
        </is>
      </c>
      <c r="B515" s="1" t="n">
        <v>45729.61527777778</v>
      </c>
      <c r="C515" s="1" t="n">
        <v>45927</v>
      </c>
      <c r="D515" t="inlineStr">
        <is>
          <t>VÄSTERBOTTENS LÄN</t>
        </is>
      </c>
      <c r="E515" t="inlineStr">
        <is>
          <t>SKELLEFTEÅ</t>
        </is>
      </c>
      <c r="G515" t="n">
        <v>3.5</v>
      </c>
      <c r="H515" t="n">
        <v>0</v>
      </c>
      <c r="I515" t="n">
        <v>0</v>
      </c>
      <c r="J515" t="n">
        <v>0</v>
      </c>
      <c r="K515" t="n">
        <v>0</v>
      </c>
      <c r="L515" t="n">
        <v>0</v>
      </c>
      <c r="M515" t="n">
        <v>0</v>
      </c>
      <c r="N515" t="n">
        <v>0</v>
      </c>
      <c r="O515" t="n">
        <v>0</v>
      </c>
      <c r="P515" t="n">
        <v>0</v>
      </c>
      <c r="Q515" t="n">
        <v>0</v>
      </c>
      <c r="R515" s="2" t="inlineStr"/>
    </row>
    <row r="516" ht="15" customHeight="1">
      <c r="A516" t="inlineStr">
        <is>
          <t>A 60237-2022</t>
        </is>
      </c>
      <c r="B516" s="1" t="n">
        <v>44903</v>
      </c>
      <c r="C516" s="1" t="n">
        <v>45927</v>
      </c>
      <c r="D516" t="inlineStr">
        <is>
          <t>VÄSTERBOTTENS LÄN</t>
        </is>
      </c>
      <c r="E516" t="inlineStr">
        <is>
          <t>SKELLEFTEÅ</t>
        </is>
      </c>
      <c r="G516" t="n">
        <v>1.5</v>
      </c>
      <c r="H516" t="n">
        <v>0</v>
      </c>
      <c r="I516" t="n">
        <v>0</v>
      </c>
      <c r="J516" t="n">
        <v>0</v>
      </c>
      <c r="K516" t="n">
        <v>0</v>
      </c>
      <c r="L516" t="n">
        <v>0</v>
      </c>
      <c r="M516" t="n">
        <v>0</v>
      </c>
      <c r="N516" t="n">
        <v>0</v>
      </c>
      <c r="O516" t="n">
        <v>0</v>
      </c>
      <c r="P516" t="n">
        <v>0</v>
      </c>
      <c r="Q516" t="n">
        <v>0</v>
      </c>
      <c r="R516" s="2" t="inlineStr"/>
    </row>
    <row r="517" ht="15" customHeight="1">
      <c r="A517" t="inlineStr">
        <is>
          <t>A 54316-2022</t>
        </is>
      </c>
      <c r="B517" s="1" t="n">
        <v>44879</v>
      </c>
      <c r="C517" s="1" t="n">
        <v>45927</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38026-2021</t>
        </is>
      </c>
      <c r="B518" s="1" t="n">
        <v>44404</v>
      </c>
      <c r="C518" s="1" t="n">
        <v>45927</v>
      </c>
      <c r="D518" t="inlineStr">
        <is>
          <t>VÄSTERBOTTENS LÄN</t>
        </is>
      </c>
      <c r="E518" t="inlineStr">
        <is>
          <t>SKELLEFTEÅ</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5986-2025</t>
        </is>
      </c>
      <c r="B519" s="1" t="n">
        <v>45695</v>
      </c>
      <c r="C519" s="1" t="n">
        <v>45927</v>
      </c>
      <c r="D519" t="inlineStr">
        <is>
          <t>VÄSTERBOTTENS LÄN</t>
        </is>
      </c>
      <c r="E519" t="inlineStr">
        <is>
          <t>SKELLEFTEÅ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18357-2023</t>
        </is>
      </c>
      <c r="B520" s="1" t="n">
        <v>45041</v>
      </c>
      <c r="C520" s="1" t="n">
        <v>45927</v>
      </c>
      <c r="D520" t="inlineStr">
        <is>
          <t>VÄSTERBOTTENS LÄN</t>
        </is>
      </c>
      <c r="E520" t="inlineStr">
        <is>
          <t>SKELLEFTEÅ</t>
        </is>
      </c>
      <c r="G520" t="n">
        <v>11.2</v>
      </c>
      <c r="H520" t="n">
        <v>0</v>
      </c>
      <c r="I520" t="n">
        <v>0</v>
      </c>
      <c r="J520" t="n">
        <v>0</v>
      </c>
      <c r="K520" t="n">
        <v>0</v>
      </c>
      <c r="L520" t="n">
        <v>0</v>
      </c>
      <c r="M520" t="n">
        <v>0</v>
      </c>
      <c r="N520" t="n">
        <v>0</v>
      </c>
      <c r="O520" t="n">
        <v>0</v>
      </c>
      <c r="P520" t="n">
        <v>0</v>
      </c>
      <c r="Q520" t="n">
        <v>0</v>
      </c>
      <c r="R520" s="2" t="inlineStr"/>
    </row>
    <row r="521" ht="15" customHeight="1">
      <c r="A521" t="inlineStr">
        <is>
          <t>A 12713-2025</t>
        </is>
      </c>
      <c r="B521" s="1" t="n">
        <v>45733.47526620371</v>
      </c>
      <c r="C521" s="1" t="n">
        <v>45927</v>
      </c>
      <c r="D521" t="inlineStr">
        <is>
          <t>VÄSTERBOTTENS LÄN</t>
        </is>
      </c>
      <c r="E521" t="inlineStr">
        <is>
          <t>SKELLEFTEÅ</t>
        </is>
      </c>
      <c r="G521" t="n">
        <v>3.6</v>
      </c>
      <c r="H521" t="n">
        <v>0</v>
      </c>
      <c r="I521" t="n">
        <v>0</v>
      </c>
      <c r="J521" t="n">
        <v>0</v>
      </c>
      <c r="K521" t="n">
        <v>0</v>
      </c>
      <c r="L521" t="n">
        <v>0</v>
      </c>
      <c r="M521" t="n">
        <v>0</v>
      </c>
      <c r="N521" t="n">
        <v>0</v>
      </c>
      <c r="O521" t="n">
        <v>0</v>
      </c>
      <c r="P521" t="n">
        <v>0</v>
      </c>
      <c r="Q521" t="n">
        <v>0</v>
      </c>
      <c r="R521" s="2" t="inlineStr"/>
    </row>
    <row r="522" ht="15" customHeight="1">
      <c r="A522" t="inlineStr">
        <is>
          <t>A 46048-2024</t>
        </is>
      </c>
      <c r="B522" s="1" t="n">
        <v>45580.85511574074</v>
      </c>
      <c r="C522" s="1" t="n">
        <v>45927</v>
      </c>
      <c r="D522" t="inlineStr">
        <is>
          <t>VÄSTERBOTTENS LÄN</t>
        </is>
      </c>
      <c r="E522" t="inlineStr">
        <is>
          <t>SKELLEFTEÅ</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38395-2023</t>
        </is>
      </c>
      <c r="B523" s="1" t="n">
        <v>45162.31554398148</v>
      </c>
      <c r="C523" s="1" t="n">
        <v>45927</v>
      </c>
      <c r="D523" t="inlineStr">
        <is>
          <t>VÄSTERBOTTENS LÄN</t>
        </is>
      </c>
      <c r="E523" t="inlineStr">
        <is>
          <t>SKELLEFTEÅ</t>
        </is>
      </c>
      <c r="F523" t="inlineStr">
        <is>
          <t>Sveaskog</t>
        </is>
      </c>
      <c r="G523" t="n">
        <v>18.9</v>
      </c>
      <c r="H523" t="n">
        <v>0</v>
      </c>
      <c r="I523" t="n">
        <v>0</v>
      </c>
      <c r="J523" t="n">
        <v>0</v>
      </c>
      <c r="K523" t="n">
        <v>0</v>
      </c>
      <c r="L523" t="n">
        <v>0</v>
      </c>
      <c r="M523" t="n">
        <v>0</v>
      </c>
      <c r="N523" t="n">
        <v>0</v>
      </c>
      <c r="O523" t="n">
        <v>0</v>
      </c>
      <c r="P523" t="n">
        <v>0</v>
      </c>
      <c r="Q523" t="n">
        <v>0</v>
      </c>
      <c r="R523" s="2" t="inlineStr"/>
    </row>
    <row r="524" ht="15" customHeight="1">
      <c r="A524" t="inlineStr">
        <is>
          <t>A 50752-2024</t>
        </is>
      </c>
      <c r="B524" s="1" t="n">
        <v>45602.42633101852</v>
      </c>
      <c r="C524" s="1" t="n">
        <v>45927</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22031-2025</t>
        </is>
      </c>
      <c r="B525" s="1" t="n">
        <v>45785.27292824074</v>
      </c>
      <c r="C525" s="1" t="n">
        <v>45927</v>
      </c>
      <c r="D525" t="inlineStr">
        <is>
          <t>VÄSTERBOTTENS LÄN</t>
        </is>
      </c>
      <c r="E525" t="inlineStr">
        <is>
          <t>SKELLEFTEÅ</t>
        </is>
      </c>
      <c r="G525" t="n">
        <v>1.4</v>
      </c>
      <c r="H525" t="n">
        <v>0</v>
      </c>
      <c r="I525" t="n">
        <v>0</v>
      </c>
      <c r="J525" t="n">
        <v>0</v>
      </c>
      <c r="K525" t="n">
        <v>0</v>
      </c>
      <c r="L525" t="n">
        <v>0</v>
      </c>
      <c r="M525" t="n">
        <v>0</v>
      </c>
      <c r="N525" t="n">
        <v>0</v>
      </c>
      <c r="O525" t="n">
        <v>0</v>
      </c>
      <c r="P525" t="n">
        <v>0</v>
      </c>
      <c r="Q525" t="n">
        <v>0</v>
      </c>
      <c r="R525" s="2" t="inlineStr"/>
    </row>
    <row r="526" ht="15" customHeight="1">
      <c r="A526" t="inlineStr">
        <is>
          <t>A 31167-2024</t>
        </is>
      </c>
      <c r="B526" s="1" t="n">
        <v>45503.39758101852</v>
      </c>
      <c r="C526" s="1" t="n">
        <v>45927</v>
      </c>
      <c r="D526" t="inlineStr">
        <is>
          <t>VÄSTERBOTTENS LÄN</t>
        </is>
      </c>
      <c r="E526" t="inlineStr">
        <is>
          <t>SKELLEFTEÅ</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23823-2024</t>
        </is>
      </c>
      <c r="B527" s="1" t="n">
        <v>45455</v>
      </c>
      <c r="C527" s="1" t="n">
        <v>45927</v>
      </c>
      <c r="D527" t="inlineStr">
        <is>
          <t>VÄSTERBOTTENS LÄN</t>
        </is>
      </c>
      <c r="E527" t="inlineStr">
        <is>
          <t>SKELLEFTEÅ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48394-2023</t>
        </is>
      </c>
      <c r="B528" s="1" t="n">
        <v>45201</v>
      </c>
      <c r="C528" s="1" t="n">
        <v>45927</v>
      </c>
      <c r="D528" t="inlineStr">
        <is>
          <t>VÄSTERBOTTENS LÄN</t>
        </is>
      </c>
      <c r="E528" t="inlineStr">
        <is>
          <t>SKELLEFTEÅ</t>
        </is>
      </c>
      <c r="G528" t="n">
        <v>2.8</v>
      </c>
      <c r="H528" t="n">
        <v>0</v>
      </c>
      <c r="I528" t="n">
        <v>0</v>
      </c>
      <c r="J528" t="n">
        <v>0</v>
      </c>
      <c r="K528" t="n">
        <v>0</v>
      </c>
      <c r="L528" t="n">
        <v>0</v>
      </c>
      <c r="M528" t="n">
        <v>0</v>
      </c>
      <c r="N528" t="n">
        <v>0</v>
      </c>
      <c r="O528" t="n">
        <v>0</v>
      </c>
      <c r="P528" t="n">
        <v>0</v>
      </c>
      <c r="Q528" t="n">
        <v>0</v>
      </c>
      <c r="R528" s="2" t="inlineStr"/>
    </row>
    <row r="529" ht="15" customHeight="1">
      <c r="A529" t="inlineStr">
        <is>
          <t>A 61730-2023</t>
        </is>
      </c>
      <c r="B529" s="1" t="n">
        <v>45264</v>
      </c>
      <c r="C529" s="1" t="n">
        <v>45927</v>
      </c>
      <c r="D529" t="inlineStr">
        <is>
          <t>VÄSTERBOTTENS LÄN</t>
        </is>
      </c>
      <c r="E529" t="inlineStr">
        <is>
          <t>SKELLEFTEÅ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59736-2021</t>
        </is>
      </c>
      <c r="B530" s="1" t="n">
        <v>44494.44145833333</v>
      </c>
      <c r="C530" s="1" t="n">
        <v>45927</v>
      </c>
      <c r="D530" t="inlineStr">
        <is>
          <t>VÄSTERBOTTENS LÄN</t>
        </is>
      </c>
      <c r="E530" t="inlineStr">
        <is>
          <t>SKELLEFTEÅ</t>
        </is>
      </c>
      <c r="F530" t="inlineStr">
        <is>
          <t>Sveaskog</t>
        </is>
      </c>
      <c r="G530" t="n">
        <v>13.1</v>
      </c>
      <c r="H530" t="n">
        <v>0</v>
      </c>
      <c r="I530" t="n">
        <v>0</v>
      </c>
      <c r="J530" t="n">
        <v>0</v>
      </c>
      <c r="K530" t="n">
        <v>0</v>
      </c>
      <c r="L530" t="n">
        <v>0</v>
      </c>
      <c r="M530" t="n">
        <v>0</v>
      </c>
      <c r="N530" t="n">
        <v>0</v>
      </c>
      <c r="O530" t="n">
        <v>0</v>
      </c>
      <c r="P530" t="n">
        <v>0</v>
      </c>
      <c r="Q530" t="n">
        <v>0</v>
      </c>
      <c r="R530" s="2" t="inlineStr"/>
    </row>
    <row r="531" ht="15" customHeight="1">
      <c r="A531" t="inlineStr">
        <is>
          <t>A 35035-2024</t>
        </is>
      </c>
      <c r="B531" s="1" t="n">
        <v>45527.61482638889</v>
      </c>
      <c r="C531" s="1" t="n">
        <v>45927</v>
      </c>
      <c r="D531" t="inlineStr">
        <is>
          <t>VÄSTERBOTTENS LÄN</t>
        </is>
      </c>
      <c r="E531" t="inlineStr">
        <is>
          <t>SKELLEFTEÅ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55940-2024</t>
        </is>
      </c>
      <c r="B532" s="1" t="n">
        <v>45623.61108796296</v>
      </c>
      <c r="C532" s="1" t="n">
        <v>45927</v>
      </c>
      <c r="D532" t="inlineStr">
        <is>
          <t>VÄSTERBOTTENS LÄN</t>
        </is>
      </c>
      <c r="E532" t="inlineStr">
        <is>
          <t>SKELLEFTEÅ</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22796-2024</t>
        </is>
      </c>
      <c r="B533" s="1" t="n">
        <v>45448</v>
      </c>
      <c r="C533" s="1" t="n">
        <v>45927</v>
      </c>
      <c r="D533" t="inlineStr">
        <is>
          <t>VÄSTERBOTTENS LÄN</t>
        </is>
      </c>
      <c r="E533" t="inlineStr">
        <is>
          <t>SKELLEFTEÅ</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68334-2021</t>
        </is>
      </c>
      <c r="B534" s="1" t="n">
        <v>44527</v>
      </c>
      <c r="C534" s="1" t="n">
        <v>45927</v>
      </c>
      <c r="D534" t="inlineStr">
        <is>
          <t>VÄSTERBOTTENS LÄN</t>
        </is>
      </c>
      <c r="E534" t="inlineStr">
        <is>
          <t>SKELLEFTEÅ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18478-2023</t>
        </is>
      </c>
      <c r="B535" s="1" t="n">
        <v>45042.58392361111</v>
      </c>
      <c r="C535" s="1" t="n">
        <v>45927</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31966-2024</t>
        </is>
      </c>
      <c r="B536" s="1" t="n">
        <v>45510.53748842593</v>
      </c>
      <c r="C536" s="1" t="n">
        <v>45927</v>
      </c>
      <c r="D536" t="inlineStr">
        <is>
          <t>VÄSTERBOTTENS LÄN</t>
        </is>
      </c>
      <c r="E536" t="inlineStr">
        <is>
          <t>SKELLEFTEÅ</t>
        </is>
      </c>
      <c r="F536" t="inlineStr">
        <is>
          <t>Holmen skog AB</t>
        </is>
      </c>
      <c r="G536" t="n">
        <v>6.5</v>
      </c>
      <c r="H536" t="n">
        <v>0</v>
      </c>
      <c r="I536" t="n">
        <v>0</v>
      </c>
      <c r="J536" t="n">
        <v>0</v>
      </c>
      <c r="K536" t="n">
        <v>0</v>
      </c>
      <c r="L536" t="n">
        <v>0</v>
      </c>
      <c r="M536" t="n">
        <v>0</v>
      </c>
      <c r="N536" t="n">
        <v>0</v>
      </c>
      <c r="O536" t="n">
        <v>0</v>
      </c>
      <c r="P536" t="n">
        <v>0</v>
      </c>
      <c r="Q536" t="n">
        <v>0</v>
      </c>
      <c r="R536" s="2" t="inlineStr"/>
    </row>
    <row r="537" ht="15" customHeight="1">
      <c r="A537" t="inlineStr">
        <is>
          <t>A 37792-2021</t>
        </is>
      </c>
      <c r="B537" s="1" t="n">
        <v>44401</v>
      </c>
      <c r="C537" s="1" t="n">
        <v>45927</v>
      </c>
      <c r="D537" t="inlineStr">
        <is>
          <t>VÄSTERBOTTENS LÄN</t>
        </is>
      </c>
      <c r="E537" t="inlineStr">
        <is>
          <t>SKELLEFTEÅ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22735-2023</t>
        </is>
      </c>
      <c r="B538" s="1" t="n">
        <v>45071</v>
      </c>
      <c r="C538" s="1" t="n">
        <v>45927</v>
      </c>
      <c r="D538" t="inlineStr">
        <is>
          <t>VÄSTERBOTTENS LÄN</t>
        </is>
      </c>
      <c r="E538" t="inlineStr">
        <is>
          <t>SKELLEFTEÅ</t>
        </is>
      </c>
      <c r="G538" t="n">
        <v>3.9</v>
      </c>
      <c r="H538" t="n">
        <v>0</v>
      </c>
      <c r="I538" t="n">
        <v>0</v>
      </c>
      <c r="J538" t="n">
        <v>0</v>
      </c>
      <c r="K538" t="n">
        <v>0</v>
      </c>
      <c r="L538" t="n">
        <v>0</v>
      </c>
      <c r="M538" t="n">
        <v>0</v>
      </c>
      <c r="N538" t="n">
        <v>0</v>
      </c>
      <c r="O538" t="n">
        <v>0</v>
      </c>
      <c r="P538" t="n">
        <v>0</v>
      </c>
      <c r="Q538" t="n">
        <v>0</v>
      </c>
      <c r="R538" s="2" t="inlineStr"/>
    </row>
    <row r="539" ht="15" customHeight="1">
      <c r="A539" t="inlineStr">
        <is>
          <t>A 43435-2023</t>
        </is>
      </c>
      <c r="B539" s="1" t="n">
        <v>45184.32165509259</v>
      </c>
      <c r="C539" s="1" t="n">
        <v>45927</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44240-2024</t>
        </is>
      </c>
      <c r="B540" s="1" t="n">
        <v>45573.42513888889</v>
      </c>
      <c r="C540" s="1" t="n">
        <v>45927</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61033-2023</t>
        </is>
      </c>
      <c r="B541" s="1" t="n">
        <v>45261</v>
      </c>
      <c r="C541" s="1" t="n">
        <v>45927</v>
      </c>
      <c r="D541" t="inlineStr">
        <is>
          <t>VÄSTERBOTTENS LÄN</t>
        </is>
      </c>
      <c r="E541" t="inlineStr">
        <is>
          <t>SKELLEFTEÅ</t>
        </is>
      </c>
      <c r="F541" t="inlineStr">
        <is>
          <t>Sveaskog</t>
        </is>
      </c>
      <c r="G541" t="n">
        <v>16.4</v>
      </c>
      <c r="H541" t="n">
        <v>0</v>
      </c>
      <c r="I541" t="n">
        <v>0</v>
      </c>
      <c r="J541" t="n">
        <v>0</v>
      </c>
      <c r="K541" t="n">
        <v>0</v>
      </c>
      <c r="L541" t="n">
        <v>0</v>
      </c>
      <c r="M541" t="n">
        <v>0</v>
      </c>
      <c r="N541" t="n">
        <v>0</v>
      </c>
      <c r="O541" t="n">
        <v>0</v>
      </c>
      <c r="P541" t="n">
        <v>0</v>
      </c>
      <c r="Q541" t="n">
        <v>0</v>
      </c>
      <c r="R541" s="2" t="inlineStr"/>
    </row>
    <row r="542" ht="15" customHeight="1">
      <c r="A542" t="inlineStr">
        <is>
          <t>A 58750-2023</t>
        </is>
      </c>
      <c r="B542" s="1" t="n">
        <v>45251.92957175926</v>
      </c>
      <c r="C542" s="1" t="n">
        <v>45927</v>
      </c>
      <c r="D542" t="inlineStr">
        <is>
          <t>VÄSTERBOTTENS LÄN</t>
        </is>
      </c>
      <c r="E542" t="inlineStr">
        <is>
          <t>SKELLEFTEÅ</t>
        </is>
      </c>
      <c r="G542" t="n">
        <v>3.6</v>
      </c>
      <c r="H542" t="n">
        <v>0</v>
      </c>
      <c r="I542" t="n">
        <v>0</v>
      </c>
      <c r="J542" t="n">
        <v>0</v>
      </c>
      <c r="K542" t="n">
        <v>0</v>
      </c>
      <c r="L542" t="n">
        <v>0</v>
      </c>
      <c r="M542" t="n">
        <v>0</v>
      </c>
      <c r="N542" t="n">
        <v>0</v>
      </c>
      <c r="O542" t="n">
        <v>0</v>
      </c>
      <c r="P542" t="n">
        <v>0</v>
      </c>
      <c r="Q542" t="n">
        <v>0</v>
      </c>
      <c r="R542" s="2" t="inlineStr"/>
    </row>
    <row r="543" ht="15" customHeight="1">
      <c r="A543" t="inlineStr">
        <is>
          <t>A 3465-2024</t>
        </is>
      </c>
      <c r="B543" s="1" t="n">
        <v>45320.40229166667</v>
      </c>
      <c r="C543" s="1" t="n">
        <v>45927</v>
      </c>
      <c r="D543" t="inlineStr">
        <is>
          <t>VÄSTERBOTTENS LÄN</t>
        </is>
      </c>
      <c r="E543" t="inlineStr">
        <is>
          <t>SKELLEFTEÅ</t>
        </is>
      </c>
      <c r="G543" t="n">
        <v>17.4</v>
      </c>
      <c r="H543" t="n">
        <v>0</v>
      </c>
      <c r="I543" t="n">
        <v>0</v>
      </c>
      <c r="J543" t="n">
        <v>0</v>
      </c>
      <c r="K543" t="n">
        <v>0</v>
      </c>
      <c r="L543" t="n">
        <v>0</v>
      </c>
      <c r="M543" t="n">
        <v>0</v>
      </c>
      <c r="N543" t="n">
        <v>0</v>
      </c>
      <c r="O543" t="n">
        <v>0</v>
      </c>
      <c r="P543" t="n">
        <v>0</v>
      </c>
      <c r="Q543" t="n">
        <v>0</v>
      </c>
      <c r="R543" s="2" t="inlineStr"/>
    </row>
    <row r="544" ht="15" customHeight="1">
      <c r="A544" t="inlineStr">
        <is>
          <t>A 54251-2024</t>
        </is>
      </c>
      <c r="B544" s="1" t="n">
        <v>45616.69726851852</v>
      </c>
      <c r="C544" s="1" t="n">
        <v>45927</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22530-2025</t>
        </is>
      </c>
      <c r="B545" s="1" t="n">
        <v>45786</v>
      </c>
      <c r="C545" s="1" t="n">
        <v>45927</v>
      </c>
      <c r="D545" t="inlineStr">
        <is>
          <t>VÄSTERBOTTENS LÄN</t>
        </is>
      </c>
      <c r="E545" t="inlineStr">
        <is>
          <t>SKELLEFTEÅ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22311-2025</t>
        </is>
      </c>
      <c r="B546" s="1" t="n">
        <v>45786</v>
      </c>
      <c r="C546" s="1" t="n">
        <v>45927</v>
      </c>
      <c r="D546" t="inlineStr">
        <is>
          <t>VÄSTERBOTTENS LÄN</t>
        </is>
      </c>
      <c r="E546" t="inlineStr">
        <is>
          <t>SKELLEFTEÅ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34035-2023</t>
        </is>
      </c>
      <c r="B547" s="1" t="n">
        <v>45135.41648148148</v>
      </c>
      <c r="C547" s="1" t="n">
        <v>45927</v>
      </c>
      <c r="D547" t="inlineStr">
        <is>
          <t>VÄSTERBOTTENS LÄN</t>
        </is>
      </c>
      <c r="E547" t="inlineStr">
        <is>
          <t>SKELLEFTEÅ</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35032-2023</t>
        </is>
      </c>
      <c r="B548" s="1" t="n">
        <v>45145</v>
      </c>
      <c r="C548" s="1" t="n">
        <v>45927</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60785-2022</t>
        </is>
      </c>
      <c r="B549" s="1" t="n">
        <v>44907</v>
      </c>
      <c r="C549" s="1" t="n">
        <v>45927</v>
      </c>
      <c r="D549" t="inlineStr">
        <is>
          <t>VÄSTERBOTTENS LÄN</t>
        </is>
      </c>
      <c r="E549" t="inlineStr">
        <is>
          <t>SKELLEFTEÅ</t>
        </is>
      </c>
      <c r="G549" t="n">
        <v>4.9</v>
      </c>
      <c r="H549" t="n">
        <v>0</v>
      </c>
      <c r="I549" t="n">
        <v>0</v>
      </c>
      <c r="J549" t="n">
        <v>0</v>
      </c>
      <c r="K549" t="n">
        <v>0</v>
      </c>
      <c r="L549" t="n">
        <v>0</v>
      </c>
      <c r="M549" t="n">
        <v>0</v>
      </c>
      <c r="N549" t="n">
        <v>0</v>
      </c>
      <c r="O549" t="n">
        <v>0</v>
      </c>
      <c r="P549" t="n">
        <v>0</v>
      </c>
      <c r="Q549" t="n">
        <v>0</v>
      </c>
      <c r="R549" s="2" t="inlineStr"/>
    </row>
    <row r="550" ht="15" customHeight="1">
      <c r="A550" t="inlineStr">
        <is>
          <t>A 62249-2022</t>
        </is>
      </c>
      <c r="B550" s="1" t="n">
        <v>44922.92351851852</v>
      </c>
      <c r="C550" s="1" t="n">
        <v>45927</v>
      </c>
      <c r="D550" t="inlineStr">
        <is>
          <t>VÄSTERBOTTENS LÄN</t>
        </is>
      </c>
      <c r="E550" t="inlineStr">
        <is>
          <t>SKELLEFTEÅ</t>
        </is>
      </c>
      <c r="G550" t="n">
        <v>18.2</v>
      </c>
      <c r="H550" t="n">
        <v>0</v>
      </c>
      <c r="I550" t="n">
        <v>0</v>
      </c>
      <c r="J550" t="n">
        <v>0</v>
      </c>
      <c r="K550" t="n">
        <v>0</v>
      </c>
      <c r="L550" t="n">
        <v>0</v>
      </c>
      <c r="M550" t="n">
        <v>0</v>
      </c>
      <c r="N550" t="n">
        <v>0</v>
      </c>
      <c r="O550" t="n">
        <v>0</v>
      </c>
      <c r="P550" t="n">
        <v>0</v>
      </c>
      <c r="Q550" t="n">
        <v>0</v>
      </c>
      <c r="R550" s="2" t="inlineStr"/>
    </row>
    <row r="551" ht="15" customHeight="1">
      <c r="A551" t="inlineStr">
        <is>
          <t>A 56154-2024</t>
        </is>
      </c>
      <c r="B551" s="1" t="n">
        <v>45623</v>
      </c>
      <c r="C551" s="1" t="n">
        <v>45927</v>
      </c>
      <c r="D551" t="inlineStr">
        <is>
          <t>VÄSTERBOTTENS LÄN</t>
        </is>
      </c>
      <c r="E551" t="inlineStr">
        <is>
          <t>SKELLEFTEÅ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53419-2024</t>
        </is>
      </c>
      <c r="B552" s="1" t="n">
        <v>45614.51157407407</v>
      </c>
      <c r="C552" s="1" t="n">
        <v>45927</v>
      </c>
      <c r="D552" t="inlineStr">
        <is>
          <t>VÄSTERBOTTENS LÄN</t>
        </is>
      </c>
      <c r="E552" t="inlineStr">
        <is>
          <t>SKELLEFTEÅ</t>
        </is>
      </c>
      <c r="G552" t="n">
        <v>4.2</v>
      </c>
      <c r="H552" t="n">
        <v>0</v>
      </c>
      <c r="I552" t="n">
        <v>0</v>
      </c>
      <c r="J552" t="n">
        <v>0</v>
      </c>
      <c r="K552" t="n">
        <v>0</v>
      </c>
      <c r="L552" t="n">
        <v>0</v>
      </c>
      <c r="M552" t="n">
        <v>0</v>
      </c>
      <c r="N552" t="n">
        <v>0</v>
      </c>
      <c r="O552" t="n">
        <v>0</v>
      </c>
      <c r="P552" t="n">
        <v>0</v>
      </c>
      <c r="Q552" t="n">
        <v>0</v>
      </c>
      <c r="R552" s="2" t="inlineStr"/>
    </row>
    <row r="553" ht="15" customHeight="1">
      <c r="A553" t="inlineStr">
        <is>
          <t>A 16971-2025</t>
        </is>
      </c>
      <c r="B553" s="1" t="n">
        <v>45755.46940972222</v>
      </c>
      <c r="C553" s="1" t="n">
        <v>45927</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17008-2025</t>
        </is>
      </c>
      <c r="B554" s="1" t="n">
        <v>45755.54644675926</v>
      </c>
      <c r="C554" s="1" t="n">
        <v>45927</v>
      </c>
      <c r="D554" t="inlineStr">
        <is>
          <t>VÄSTERBOTTENS LÄN</t>
        </is>
      </c>
      <c r="E554" t="inlineStr">
        <is>
          <t>SKELLEFTEÅ</t>
        </is>
      </c>
      <c r="G554" t="n">
        <v>7.6</v>
      </c>
      <c r="H554" t="n">
        <v>0</v>
      </c>
      <c r="I554" t="n">
        <v>0</v>
      </c>
      <c r="J554" t="n">
        <v>0</v>
      </c>
      <c r="K554" t="n">
        <v>0</v>
      </c>
      <c r="L554" t="n">
        <v>0</v>
      </c>
      <c r="M554" t="n">
        <v>0</v>
      </c>
      <c r="N554" t="n">
        <v>0</v>
      </c>
      <c r="O554" t="n">
        <v>0</v>
      </c>
      <c r="P554" t="n">
        <v>0</v>
      </c>
      <c r="Q554" t="n">
        <v>0</v>
      </c>
      <c r="R554" s="2" t="inlineStr"/>
    </row>
    <row r="555" ht="15" customHeight="1">
      <c r="A555" t="inlineStr">
        <is>
          <t>A 55645-2024</t>
        </is>
      </c>
      <c r="B555" s="1" t="n">
        <v>45621</v>
      </c>
      <c r="C555" s="1" t="n">
        <v>45927</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50549-2023</t>
        </is>
      </c>
      <c r="B556" s="1" t="n">
        <v>45217.36358796297</v>
      </c>
      <c r="C556" s="1" t="n">
        <v>45927</v>
      </c>
      <c r="D556" t="inlineStr">
        <is>
          <t>VÄSTERBOTTENS LÄN</t>
        </is>
      </c>
      <c r="E556" t="inlineStr">
        <is>
          <t>SKELLEFTEÅ</t>
        </is>
      </c>
      <c r="F556" t="inlineStr">
        <is>
          <t>Holmen skog AB</t>
        </is>
      </c>
      <c r="G556" t="n">
        <v>28.5</v>
      </c>
      <c r="H556" t="n">
        <v>0</v>
      </c>
      <c r="I556" t="n">
        <v>0</v>
      </c>
      <c r="J556" t="n">
        <v>0</v>
      </c>
      <c r="K556" t="n">
        <v>0</v>
      </c>
      <c r="L556" t="n">
        <v>0</v>
      </c>
      <c r="M556" t="n">
        <v>0</v>
      </c>
      <c r="N556" t="n">
        <v>0</v>
      </c>
      <c r="O556" t="n">
        <v>0</v>
      </c>
      <c r="P556" t="n">
        <v>0</v>
      </c>
      <c r="Q556" t="n">
        <v>0</v>
      </c>
      <c r="R556" s="2" t="inlineStr"/>
    </row>
    <row r="557" ht="15" customHeight="1">
      <c r="A557" t="inlineStr">
        <is>
          <t>A 15461-2025</t>
        </is>
      </c>
      <c r="B557" s="1" t="n">
        <v>45747.51061342593</v>
      </c>
      <c r="C557" s="1" t="n">
        <v>45927</v>
      </c>
      <c r="D557" t="inlineStr">
        <is>
          <t>VÄSTERBOTTENS LÄN</t>
        </is>
      </c>
      <c r="E557" t="inlineStr">
        <is>
          <t>SKELLEFTEÅ</t>
        </is>
      </c>
      <c r="F557" t="inlineStr">
        <is>
          <t>Holmen skog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16202-2025</t>
        </is>
      </c>
      <c r="B558" s="1" t="n">
        <v>45750.61587962963</v>
      </c>
      <c r="C558" s="1" t="n">
        <v>45927</v>
      </c>
      <c r="D558" t="inlineStr">
        <is>
          <t>VÄSTERBOTTENS LÄN</t>
        </is>
      </c>
      <c r="E558" t="inlineStr">
        <is>
          <t>SKELLEFTEÅ</t>
        </is>
      </c>
      <c r="G558" t="n">
        <v>7.3</v>
      </c>
      <c r="H558" t="n">
        <v>0</v>
      </c>
      <c r="I558" t="n">
        <v>0</v>
      </c>
      <c r="J558" t="n">
        <v>0</v>
      </c>
      <c r="K558" t="n">
        <v>0</v>
      </c>
      <c r="L558" t="n">
        <v>0</v>
      </c>
      <c r="M558" t="n">
        <v>0</v>
      </c>
      <c r="N558" t="n">
        <v>0</v>
      </c>
      <c r="O558" t="n">
        <v>0</v>
      </c>
      <c r="P558" t="n">
        <v>0</v>
      </c>
      <c r="Q558" t="n">
        <v>0</v>
      </c>
      <c r="R558" s="2" t="inlineStr"/>
    </row>
    <row r="559" ht="15" customHeight="1">
      <c r="A559" t="inlineStr">
        <is>
          <t>A 60896-2023</t>
        </is>
      </c>
      <c r="B559" s="1" t="n">
        <v>45261</v>
      </c>
      <c r="C559" s="1" t="n">
        <v>45927</v>
      </c>
      <c r="D559" t="inlineStr">
        <is>
          <t>VÄSTERBOTTENS LÄN</t>
        </is>
      </c>
      <c r="E559" t="inlineStr">
        <is>
          <t>SKELLEFTEÅ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60898-2023</t>
        </is>
      </c>
      <c r="B560" s="1" t="n">
        <v>45261.35170138889</v>
      </c>
      <c r="C560" s="1" t="n">
        <v>45927</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28273-2024</t>
        </is>
      </c>
      <c r="B561" s="1" t="n">
        <v>45477.4503587963</v>
      </c>
      <c r="C561" s="1" t="n">
        <v>45927</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17444-2023</t>
        </is>
      </c>
      <c r="B562" s="1" t="n">
        <v>45035.94489583333</v>
      </c>
      <c r="C562" s="1" t="n">
        <v>45927</v>
      </c>
      <c r="D562" t="inlineStr">
        <is>
          <t>VÄSTERBOTTENS LÄN</t>
        </is>
      </c>
      <c r="E562" t="inlineStr">
        <is>
          <t>SKELLEFTEÅ</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29085-2022</t>
        </is>
      </c>
      <c r="B563" s="1" t="n">
        <v>44749</v>
      </c>
      <c r="C563" s="1" t="n">
        <v>45927</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19782-2024</t>
        </is>
      </c>
      <c r="B564" s="1" t="n">
        <v>45432</v>
      </c>
      <c r="C564" s="1" t="n">
        <v>45927</v>
      </c>
      <c r="D564" t="inlineStr">
        <is>
          <t>VÄSTERBOTTENS LÄN</t>
        </is>
      </c>
      <c r="E564" t="inlineStr">
        <is>
          <t>SKELLEFTEÅ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8328-2023</t>
        </is>
      </c>
      <c r="B565" s="1" t="n">
        <v>44974.84518518519</v>
      </c>
      <c r="C565" s="1" t="n">
        <v>45927</v>
      </c>
      <c r="D565" t="inlineStr">
        <is>
          <t>VÄSTERBOTTENS LÄN</t>
        </is>
      </c>
      <c r="E565" t="inlineStr">
        <is>
          <t>SKELLEFTEÅ</t>
        </is>
      </c>
      <c r="G565" t="n">
        <v>18.5</v>
      </c>
      <c r="H565" t="n">
        <v>0</v>
      </c>
      <c r="I565" t="n">
        <v>0</v>
      </c>
      <c r="J565" t="n">
        <v>0</v>
      </c>
      <c r="K565" t="n">
        <v>0</v>
      </c>
      <c r="L565" t="n">
        <v>0</v>
      </c>
      <c r="M565" t="n">
        <v>0</v>
      </c>
      <c r="N565" t="n">
        <v>0</v>
      </c>
      <c r="O565" t="n">
        <v>0</v>
      </c>
      <c r="P565" t="n">
        <v>0</v>
      </c>
      <c r="Q565" t="n">
        <v>0</v>
      </c>
      <c r="R565" s="2" t="inlineStr"/>
    </row>
    <row r="566" ht="15" customHeight="1">
      <c r="A566" t="inlineStr">
        <is>
          <t>A 24832-2022</t>
        </is>
      </c>
      <c r="B566" s="1" t="n">
        <v>44728</v>
      </c>
      <c r="C566" s="1" t="n">
        <v>45927</v>
      </c>
      <c r="D566" t="inlineStr">
        <is>
          <t>VÄSTERBOTTENS LÄN</t>
        </is>
      </c>
      <c r="E566" t="inlineStr">
        <is>
          <t>SKELLEFTEÅ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2177-2023</t>
        </is>
      </c>
      <c r="B567" s="1" t="n">
        <v>44942.29836805556</v>
      </c>
      <c r="C567" s="1" t="n">
        <v>45927</v>
      </c>
      <c r="D567" t="inlineStr">
        <is>
          <t>VÄSTERBOTTENS LÄN</t>
        </is>
      </c>
      <c r="E567" t="inlineStr">
        <is>
          <t>SKELLEFTEÅ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62483-2022</t>
        </is>
      </c>
      <c r="B568" s="1" t="n">
        <v>44924.56034722222</v>
      </c>
      <c r="C568" s="1" t="n">
        <v>45927</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45727-2023</t>
        </is>
      </c>
      <c r="B569" s="1" t="n">
        <v>45189</v>
      </c>
      <c r="C569" s="1" t="n">
        <v>45927</v>
      </c>
      <c r="D569" t="inlineStr">
        <is>
          <t>VÄSTERBOTTENS LÄN</t>
        </is>
      </c>
      <c r="E569" t="inlineStr">
        <is>
          <t>SKELLEFTEÅ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11971-2025</t>
        </is>
      </c>
      <c r="B570" s="1" t="n">
        <v>45728</v>
      </c>
      <c r="C570" s="1" t="n">
        <v>45927</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3373-2025</t>
        </is>
      </c>
      <c r="B571" s="1" t="n">
        <v>45680.30523148148</v>
      </c>
      <c r="C571" s="1" t="n">
        <v>45927</v>
      </c>
      <c r="D571" t="inlineStr">
        <is>
          <t>VÄSTERBOTTENS LÄN</t>
        </is>
      </c>
      <c r="E571" t="inlineStr">
        <is>
          <t>SKELLEFTEÅ</t>
        </is>
      </c>
      <c r="G571" t="n">
        <v>8</v>
      </c>
      <c r="H571" t="n">
        <v>0</v>
      </c>
      <c r="I571" t="n">
        <v>0</v>
      </c>
      <c r="J571" t="n">
        <v>0</v>
      </c>
      <c r="K571" t="n">
        <v>0</v>
      </c>
      <c r="L571" t="n">
        <v>0</v>
      </c>
      <c r="M571" t="n">
        <v>0</v>
      </c>
      <c r="N571" t="n">
        <v>0</v>
      </c>
      <c r="O571" t="n">
        <v>0</v>
      </c>
      <c r="P571" t="n">
        <v>0</v>
      </c>
      <c r="Q571" t="n">
        <v>0</v>
      </c>
      <c r="R571" s="2" t="inlineStr"/>
    </row>
    <row r="572" ht="15" customHeight="1">
      <c r="A572" t="inlineStr">
        <is>
          <t>A 59442-2024</t>
        </is>
      </c>
      <c r="B572" s="1" t="n">
        <v>45638.44524305555</v>
      </c>
      <c r="C572" s="1" t="n">
        <v>45927</v>
      </c>
      <c r="D572" t="inlineStr">
        <is>
          <t>VÄSTERBOTTENS LÄN</t>
        </is>
      </c>
      <c r="E572" t="inlineStr">
        <is>
          <t>SKELLEFTEÅ</t>
        </is>
      </c>
      <c r="F572" t="inlineStr">
        <is>
          <t>Holmen skog AB</t>
        </is>
      </c>
      <c r="G572" t="n">
        <v>3.9</v>
      </c>
      <c r="H572" t="n">
        <v>0</v>
      </c>
      <c r="I572" t="n">
        <v>0</v>
      </c>
      <c r="J572" t="n">
        <v>0</v>
      </c>
      <c r="K572" t="n">
        <v>0</v>
      </c>
      <c r="L572" t="n">
        <v>0</v>
      </c>
      <c r="M572" t="n">
        <v>0</v>
      </c>
      <c r="N572" t="n">
        <v>0</v>
      </c>
      <c r="O572" t="n">
        <v>0</v>
      </c>
      <c r="P572" t="n">
        <v>0</v>
      </c>
      <c r="Q572" t="n">
        <v>0</v>
      </c>
      <c r="R572" s="2" t="inlineStr"/>
    </row>
    <row r="573" ht="15" customHeight="1">
      <c r="A573" t="inlineStr">
        <is>
          <t>A 59443-2024</t>
        </is>
      </c>
      <c r="B573" s="1" t="n">
        <v>45638.44944444444</v>
      </c>
      <c r="C573" s="1" t="n">
        <v>45927</v>
      </c>
      <c r="D573" t="inlineStr">
        <is>
          <t>VÄSTERBOTTENS LÄN</t>
        </is>
      </c>
      <c r="E573" t="inlineStr">
        <is>
          <t>SKELLEFTEÅ</t>
        </is>
      </c>
      <c r="F573" t="inlineStr">
        <is>
          <t>Sveaskog</t>
        </is>
      </c>
      <c r="G573" t="n">
        <v>11.7</v>
      </c>
      <c r="H573" t="n">
        <v>0</v>
      </c>
      <c r="I573" t="n">
        <v>0</v>
      </c>
      <c r="J573" t="n">
        <v>0</v>
      </c>
      <c r="K573" t="n">
        <v>0</v>
      </c>
      <c r="L573" t="n">
        <v>0</v>
      </c>
      <c r="M573" t="n">
        <v>0</v>
      </c>
      <c r="N573" t="n">
        <v>0</v>
      </c>
      <c r="O573" t="n">
        <v>0</v>
      </c>
      <c r="P573" t="n">
        <v>0</v>
      </c>
      <c r="Q573" t="n">
        <v>0</v>
      </c>
      <c r="R573" s="2" t="inlineStr"/>
    </row>
    <row r="574" ht="15" customHeight="1">
      <c r="A574" t="inlineStr">
        <is>
          <t>A 32200-2022</t>
        </is>
      </c>
      <c r="B574" s="1" t="n">
        <v>44781</v>
      </c>
      <c r="C574" s="1" t="n">
        <v>45927</v>
      </c>
      <c r="D574" t="inlineStr">
        <is>
          <t>VÄSTERBOTTENS LÄN</t>
        </is>
      </c>
      <c r="E574" t="inlineStr">
        <is>
          <t>SKELLEFTEÅ</t>
        </is>
      </c>
      <c r="F574" t="inlineStr">
        <is>
          <t>Kommuner</t>
        </is>
      </c>
      <c r="G574" t="n">
        <v>20.6</v>
      </c>
      <c r="H574" t="n">
        <v>0</v>
      </c>
      <c r="I574" t="n">
        <v>0</v>
      </c>
      <c r="J574" t="n">
        <v>0</v>
      </c>
      <c r="K574" t="n">
        <v>0</v>
      </c>
      <c r="L574" t="n">
        <v>0</v>
      </c>
      <c r="M574" t="n">
        <v>0</v>
      </c>
      <c r="N574" t="n">
        <v>0</v>
      </c>
      <c r="O574" t="n">
        <v>0</v>
      </c>
      <c r="P574" t="n">
        <v>0</v>
      </c>
      <c r="Q574" t="n">
        <v>0</v>
      </c>
      <c r="R574" s="2" t="inlineStr"/>
    </row>
    <row r="575" ht="15" customHeight="1">
      <c r="A575" t="inlineStr">
        <is>
          <t>A 46440-2023</t>
        </is>
      </c>
      <c r="B575" s="1" t="n">
        <v>45197.5899537037</v>
      </c>
      <c r="C575" s="1" t="n">
        <v>45927</v>
      </c>
      <c r="D575" t="inlineStr">
        <is>
          <t>VÄSTERBOTTENS LÄN</t>
        </is>
      </c>
      <c r="E575" t="inlineStr">
        <is>
          <t>SKELLEFTEÅ</t>
        </is>
      </c>
      <c r="G575" t="n">
        <v>1.8</v>
      </c>
      <c r="H575" t="n">
        <v>0</v>
      </c>
      <c r="I575" t="n">
        <v>0</v>
      </c>
      <c r="J575" t="n">
        <v>0</v>
      </c>
      <c r="K575" t="n">
        <v>0</v>
      </c>
      <c r="L575" t="n">
        <v>0</v>
      </c>
      <c r="M575" t="n">
        <v>0</v>
      </c>
      <c r="N575" t="n">
        <v>0</v>
      </c>
      <c r="O575" t="n">
        <v>0</v>
      </c>
      <c r="P575" t="n">
        <v>0</v>
      </c>
      <c r="Q575" t="n">
        <v>0</v>
      </c>
      <c r="R575" s="2" t="inlineStr"/>
    </row>
    <row r="576" ht="15" customHeight="1">
      <c r="A576" t="inlineStr">
        <is>
          <t>A 49279-2024</t>
        </is>
      </c>
      <c r="B576" s="1" t="n">
        <v>45595.50831018519</v>
      </c>
      <c r="C576" s="1" t="n">
        <v>45927</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61479-2024</t>
        </is>
      </c>
      <c r="B577" s="1" t="n">
        <v>45646.52488425926</v>
      </c>
      <c r="C577" s="1" t="n">
        <v>45927</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14759-2022</t>
        </is>
      </c>
      <c r="B578" s="1" t="n">
        <v>44656</v>
      </c>
      <c r="C578" s="1" t="n">
        <v>45927</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49433-2022</t>
        </is>
      </c>
      <c r="B579" s="1" t="n">
        <v>44859</v>
      </c>
      <c r="C579" s="1" t="n">
        <v>45927</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58517-2023</t>
        </is>
      </c>
      <c r="B580" s="1" t="n">
        <v>45251</v>
      </c>
      <c r="C580" s="1" t="n">
        <v>45927</v>
      </c>
      <c r="D580" t="inlineStr">
        <is>
          <t>VÄSTERBOTTENS LÄN</t>
        </is>
      </c>
      <c r="E580" t="inlineStr">
        <is>
          <t>SKELLEFTEÅ</t>
        </is>
      </c>
      <c r="G580" t="n">
        <v>3.1</v>
      </c>
      <c r="H580" t="n">
        <v>0</v>
      </c>
      <c r="I580" t="n">
        <v>0</v>
      </c>
      <c r="J580" t="n">
        <v>0</v>
      </c>
      <c r="K580" t="n">
        <v>0</v>
      </c>
      <c r="L580" t="n">
        <v>0</v>
      </c>
      <c r="M580" t="n">
        <v>0</v>
      </c>
      <c r="N580" t="n">
        <v>0</v>
      </c>
      <c r="O580" t="n">
        <v>0</v>
      </c>
      <c r="P580" t="n">
        <v>0</v>
      </c>
      <c r="Q580" t="n">
        <v>0</v>
      </c>
      <c r="R580" s="2" t="inlineStr"/>
    </row>
    <row r="581" ht="15" customHeight="1">
      <c r="A581" t="inlineStr">
        <is>
          <t>A 23168-2024</t>
        </is>
      </c>
      <c r="B581" s="1" t="n">
        <v>45450</v>
      </c>
      <c r="C581" s="1" t="n">
        <v>45927</v>
      </c>
      <c r="D581" t="inlineStr">
        <is>
          <t>VÄSTERBOTTENS LÄN</t>
        </is>
      </c>
      <c r="E581" t="inlineStr">
        <is>
          <t>SKELLEFTEÅ</t>
        </is>
      </c>
      <c r="G581" t="n">
        <v>1.4</v>
      </c>
      <c r="H581" t="n">
        <v>0</v>
      </c>
      <c r="I581" t="n">
        <v>0</v>
      </c>
      <c r="J581" t="n">
        <v>0</v>
      </c>
      <c r="K581" t="n">
        <v>0</v>
      </c>
      <c r="L581" t="n">
        <v>0</v>
      </c>
      <c r="M581" t="n">
        <v>0</v>
      </c>
      <c r="N581" t="n">
        <v>0</v>
      </c>
      <c r="O581" t="n">
        <v>0</v>
      </c>
      <c r="P581" t="n">
        <v>0</v>
      </c>
      <c r="Q581" t="n">
        <v>0</v>
      </c>
      <c r="R581" s="2" t="inlineStr"/>
    </row>
    <row r="582" ht="15" customHeight="1">
      <c r="A582" t="inlineStr">
        <is>
          <t>A 14653-2024</t>
        </is>
      </c>
      <c r="B582" s="1" t="n">
        <v>45397.4034375</v>
      </c>
      <c r="C582" s="1" t="n">
        <v>45927</v>
      </c>
      <c r="D582" t="inlineStr">
        <is>
          <t>VÄSTERBOTTENS LÄN</t>
        </is>
      </c>
      <c r="E582" t="inlineStr">
        <is>
          <t>SKELLEFTEÅ</t>
        </is>
      </c>
      <c r="G582" t="n">
        <v>5.1</v>
      </c>
      <c r="H582" t="n">
        <v>0</v>
      </c>
      <c r="I582" t="n">
        <v>0</v>
      </c>
      <c r="J582" t="n">
        <v>0</v>
      </c>
      <c r="K582" t="n">
        <v>0</v>
      </c>
      <c r="L582" t="n">
        <v>0</v>
      </c>
      <c r="M582" t="n">
        <v>0</v>
      </c>
      <c r="N582" t="n">
        <v>0</v>
      </c>
      <c r="O582" t="n">
        <v>0</v>
      </c>
      <c r="P582" t="n">
        <v>0</v>
      </c>
      <c r="Q582" t="n">
        <v>0</v>
      </c>
      <c r="R582" s="2" t="inlineStr"/>
    </row>
    <row r="583" ht="15" customHeight="1">
      <c r="A583" t="inlineStr">
        <is>
          <t>A 1639-2023</t>
        </is>
      </c>
      <c r="B583" s="1" t="n">
        <v>44937</v>
      </c>
      <c r="C583" s="1" t="n">
        <v>45927</v>
      </c>
      <c r="D583" t="inlineStr">
        <is>
          <t>VÄSTERBOTTENS LÄN</t>
        </is>
      </c>
      <c r="E583" t="inlineStr">
        <is>
          <t>SKELLEFTEÅ</t>
        </is>
      </c>
      <c r="G583" t="n">
        <v>6</v>
      </c>
      <c r="H583" t="n">
        <v>0</v>
      </c>
      <c r="I583" t="n">
        <v>0</v>
      </c>
      <c r="J583" t="n">
        <v>0</v>
      </c>
      <c r="K583" t="n">
        <v>0</v>
      </c>
      <c r="L583" t="n">
        <v>0</v>
      </c>
      <c r="M583" t="n">
        <v>0</v>
      </c>
      <c r="N583" t="n">
        <v>0</v>
      </c>
      <c r="O583" t="n">
        <v>0</v>
      </c>
      <c r="P583" t="n">
        <v>0</v>
      </c>
      <c r="Q583" t="n">
        <v>0</v>
      </c>
      <c r="R583" s="2" t="inlineStr"/>
    </row>
    <row r="584" ht="15" customHeight="1">
      <c r="A584" t="inlineStr">
        <is>
          <t>A 22284-2025</t>
        </is>
      </c>
      <c r="B584" s="1" t="n">
        <v>45786.34259259259</v>
      </c>
      <c r="C584" s="1" t="n">
        <v>45927</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14332-2023</t>
        </is>
      </c>
      <c r="B585" s="1" t="n">
        <v>45009</v>
      </c>
      <c r="C585" s="1" t="n">
        <v>45927</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15593-2023</t>
        </is>
      </c>
      <c r="B586" s="1" t="n">
        <v>45019</v>
      </c>
      <c r="C586" s="1" t="n">
        <v>45927</v>
      </c>
      <c r="D586" t="inlineStr">
        <is>
          <t>VÄSTERBOTTENS LÄN</t>
        </is>
      </c>
      <c r="E586" t="inlineStr">
        <is>
          <t>SKELLEFTEÅ</t>
        </is>
      </c>
      <c r="G586" t="n">
        <v>6.3</v>
      </c>
      <c r="H586" t="n">
        <v>0</v>
      </c>
      <c r="I586" t="n">
        <v>0</v>
      </c>
      <c r="J586" t="n">
        <v>0</v>
      </c>
      <c r="K586" t="n">
        <v>0</v>
      </c>
      <c r="L586" t="n">
        <v>0</v>
      </c>
      <c r="M586" t="n">
        <v>0</v>
      </c>
      <c r="N586" t="n">
        <v>0</v>
      </c>
      <c r="O586" t="n">
        <v>0</v>
      </c>
      <c r="P586" t="n">
        <v>0</v>
      </c>
      <c r="Q586" t="n">
        <v>0</v>
      </c>
      <c r="R586" s="2" t="inlineStr"/>
    </row>
    <row r="587" ht="15" customHeight="1">
      <c r="A587" t="inlineStr">
        <is>
          <t>A 2579-2024</t>
        </is>
      </c>
      <c r="B587" s="1" t="n">
        <v>45313.64712962963</v>
      </c>
      <c r="C587" s="1" t="n">
        <v>45927</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42329-2023</t>
        </is>
      </c>
      <c r="B588" s="1" t="n">
        <v>45175</v>
      </c>
      <c r="C588" s="1" t="n">
        <v>45927</v>
      </c>
      <c r="D588" t="inlineStr">
        <is>
          <t>VÄSTERBOTTENS LÄN</t>
        </is>
      </c>
      <c r="E588" t="inlineStr">
        <is>
          <t>SKELLEFTEÅ</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21763-2025</t>
        </is>
      </c>
      <c r="B589" s="1" t="n">
        <v>45783</v>
      </c>
      <c r="C589" s="1" t="n">
        <v>45927</v>
      </c>
      <c r="D589" t="inlineStr">
        <is>
          <t>VÄSTERBOTTENS LÄN</t>
        </is>
      </c>
      <c r="E589" t="inlineStr">
        <is>
          <t>SKELLEFTEÅ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20245-2025</t>
        </is>
      </c>
      <c r="B590" s="1" t="n">
        <v>45772</v>
      </c>
      <c r="C590" s="1" t="n">
        <v>45927</v>
      </c>
      <c r="D590" t="inlineStr">
        <is>
          <t>VÄSTERBOTTENS LÄN</t>
        </is>
      </c>
      <c r="E590" t="inlineStr">
        <is>
          <t>SKELLEFTEÅ</t>
        </is>
      </c>
      <c r="G590" t="n">
        <v>14.1</v>
      </c>
      <c r="H590" t="n">
        <v>0</v>
      </c>
      <c r="I590" t="n">
        <v>0</v>
      </c>
      <c r="J590" t="n">
        <v>0</v>
      </c>
      <c r="K590" t="n">
        <v>0</v>
      </c>
      <c r="L590" t="n">
        <v>0</v>
      </c>
      <c r="M590" t="n">
        <v>0</v>
      </c>
      <c r="N590" t="n">
        <v>0</v>
      </c>
      <c r="O590" t="n">
        <v>0</v>
      </c>
      <c r="P590" t="n">
        <v>0</v>
      </c>
      <c r="Q590" t="n">
        <v>0</v>
      </c>
      <c r="R590" s="2" t="inlineStr"/>
    </row>
    <row r="591" ht="15" customHeight="1">
      <c r="A591" t="inlineStr">
        <is>
          <t>A 35809-2022</t>
        </is>
      </c>
      <c r="B591" s="1" t="n">
        <v>44802</v>
      </c>
      <c r="C591" s="1" t="n">
        <v>45927</v>
      </c>
      <c r="D591" t="inlineStr">
        <is>
          <t>VÄSTERBOTTENS LÄN</t>
        </is>
      </c>
      <c r="E591" t="inlineStr">
        <is>
          <t>SKELLEFTEÅ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2955-2024</t>
        </is>
      </c>
      <c r="B592" s="1" t="n">
        <v>45315.64509259259</v>
      </c>
      <c r="C592" s="1" t="n">
        <v>45927</v>
      </c>
      <c r="D592" t="inlineStr">
        <is>
          <t>VÄSTERBOTTENS LÄN</t>
        </is>
      </c>
      <c r="E592" t="inlineStr">
        <is>
          <t>SKELLEFTEÅ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54037-2024</t>
        </is>
      </c>
      <c r="B593" s="1" t="n">
        <v>45616.42424768519</v>
      </c>
      <c r="C593" s="1" t="n">
        <v>45927</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48116-2024</t>
        </is>
      </c>
      <c r="B594" s="1" t="n">
        <v>45589.634375</v>
      </c>
      <c r="C594" s="1" t="n">
        <v>45927</v>
      </c>
      <c r="D594" t="inlineStr">
        <is>
          <t>VÄSTERBOTTENS LÄN</t>
        </is>
      </c>
      <c r="E594" t="inlineStr">
        <is>
          <t>SKELLEFTEÅ</t>
        </is>
      </c>
      <c r="F594" t="inlineStr">
        <is>
          <t>Kommuner</t>
        </is>
      </c>
      <c r="G594" t="n">
        <v>9.1</v>
      </c>
      <c r="H594" t="n">
        <v>0</v>
      </c>
      <c r="I594" t="n">
        <v>0</v>
      </c>
      <c r="J594" t="n">
        <v>0</v>
      </c>
      <c r="K594" t="n">
        <v>0</v>
      </c>
      <c r="L594" t="n">
        <v>0</v>
      </c>
      <c r="M594" t="n">
        <v>0</v>
      </c>
      <c r="N594" t="n">
        <v>0</v>
      </c>
      <c r="O594" t="n">
        <v>0</v>
      </c>
      <c r="P594" t="n">
        <v>0</v>
      </c>
      <c r="Q594" t="n">
        <v>0</v>
      </c>
      <c r="R594" s="2" t="inlineStr"/>
    </row>
    <row r="595" ht="15" customHeight="1">
      <c r="A595" t="inlineStr">
        <is>
          <t>A 19748-2021</t>
        </is>
      </c>
      <c r="B595" s="1" t="n">
        <v>44312</v>
      </c>
      <c r="C595" s="1" t="n">
        <v>45927</v>
      </c>
      <c r="D595" t="inlineStr">
        <is>
          <t>VÄSTERBOTTENS LÄN</t>
        </is>
      </c>
      <c r="E595" t="inlineStr">
        <is>
          <t>SKELLEFTEÅ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22429-2025</t>
        </is>
      </c>
      <c r="B596" s="1" t="n">
        <v>45786</v>
      </c>
      <c r="C596" s="1" t="n">
        <v>45927</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22531-2025</t>
        </is>
      </c>
      <c r="B597" s="1" t="n">
        <v>45786</v>
      </c>
      <c r="C597" s="1" t="n">
        <v>45927</v>
      </c>
      <c r="D597" t="inlineStr">
        <is>
          <t>VÄSTERBOTTENS LÄN</t>
        </is>
      </c>
      <c r="E597" t="inlineStr">
        <is>
          <t>SKELLEFTEÅ</t>
        </is>
      </c>
      <c r="G597" t="n">
        <v>7.3</v>
      </c>
      <c r="H597" t="n">
        <v>0</v>
      </c>
      <c r="I597" t="n">
        <v>0</v>
      </c>
      <c r="J597" t="n">
        <v>0</v>
      </c>
      <c r="K597" t="n">
        <v>0</v>
      </c>
      <c r="L597" t="n">
        <v>0</v>
      </c>
      <c r="M597" t="n">
        <v>0</v>
      </c>
      <c r="N597" t="n">
        <v>0</v>
      </c>
      <c r="O597" t="n">
        <v>0</v>
      </c>
      <c r="P597" t="n">
        <v>0</v>
      </c>
      <c r="Q597" t="n">
        <v>0</v>
      </c>
      <c r="R597" s="2" t="inlineStr"/>
    </row>
    <row r="598" ht="15" customHeight="1">
      <c r="A598" t="inlineStr">
        <is>
          <t>A 30437-2023</t>
        </is>
      </c>
      <c r="B598" s="1" t="n">
        <v>45099</v>
      </c>
      <c r="C598" s="1" t="n">
        <v>45927</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41037-2024</t>
        </is>
      </c>
      <c r="B599" s="1" t="n">
        <v>45559.35982638889</v>
      </c>
      <c r="C599" s="1" t="n">
        <v>45927</v>
      </c>
      <c r="D599" t="inlineStr">
        <is>
          <t>VÄSTERBOTTENS LÄN</t>
        </is>
      </c>
      <c r="E599" t="inlineStr">
        <is>
          <t>SKELLEFTEÅ</t>
        </is>
      </c>
      <c r="F599" t="inlineStr">
        <is>
          <t>Sveaskog</t>
        </is>
      </c>
      <c r="G599" t="n">
        <v>22.5</v>
      </c>
      <c r="H599" t="n">
        <v>0</v>
      </c>
      <c r="I599" t="n">
        <v>0</v>
      </c>
      <c r="J599" t="n">
        <v>0</v>
      </c>
      <c r="K599" t="n">
        <v>0</v>
      </c>
      <c r="L599" t="n">
        <v>0</v>
      </c>
      <c r="M599" t="n">
        <v>0</v>
      </c>
      <c r="N599" t="n">
        <v>0</v>
      </c>
      <c r="O599" t="n">
        <v>0</v>
      </c>
      <c r="P599" t="n">
        <v>0</v>
      </c>
      <c r="Q599" t="n">
        <v>0</v>
      </c>
      <c r="R599" s="2" t="inlineStr"/>
    </row>
    <row r="600" ht="15" customHeight="1">
      <c r="A600" t="inlineStr">
        <is>
          <t>A 58114-2022</t>
        </is>
      </c>
      <c r="B600" s="1" t="n">
        <v>44893</v>
      </c>
      <c r="C600" s="1" t="n">
        <v>45927</v>
      </c>
      <c r="D600" t="inlineStr">
        <is>
          <t>VÄSTERBOTTENS LÄN</t>
        </is>
      </c>
      <c r="E600" t="inlineStr">
        <is>
          <t>SKELLEFTEÅ</t>
        </is>
      </c>
      <c r="G600" t="n">
        <v>2.4</v>
      </c>
      <c r="H600" t="n">
        <v>0</v>
      </c>
      <c r="I600" t="n">
        <v>0</v>
      </c>
      <c r="J600" t="n">
        <v>0</v>
      </c>
      <c r="K600" t="n">
        <v>0</v>
      </c>
      <c r="L600" t="n">
        <v>0</v>
      </c>
      <c r="M600" t="n">
        <v>0</v>
      </c>
      <c r="N600" t="n">
        <v>0</v>
      </c>
      <c r="O600" t="n">
        <v>0</v>
      </c>
      <c r="P600" t="n">
        <v>0</v>
      </c>
      <c r="Q600" t="n">
        <v>0</v>
      </c>
      <c r="R600" s="2" t="inlineStr"/>
    </row>
    <row r="601" ht="15" customHeight="1">
      <c r="A601" t="inlineStr">
        <is>
          <t>A 6656-2023</t>
        </is>
      </c>
      <c r="B601" s="1" t="n">
        <v>44963</v>
      </c>
      <c r="C601" s="1" t="n">
        <v>45927</v>
      </c>
      <c r="D601" t="inlineStr">
        <is>
          <t>VÄSTERBOTTENS LÄN</t>
        </is>
      </c>
      <c r="E601" t="inlineStr">
        <is>
          <t>SKELLEFTEÅ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26293-2024</t>
        </is>
      </c>
      <c r="B602" s="1" t="n">
        <v>45468.81053240741</v>
      </c>
      <c r="C602" s="1" t="n">
        <v>45927</v>
      </c>
      <c r="D602" t="inlineStr">
        <is>
          <t>VÄSTERBOTTENS LÄN</t>
        </is>
      </c>
      <c r="E602" t="inlineStr">
        <is>
          <t>SKELLEFTEÅ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17257-2022</t>
        </is>
      </c>
      <c r="B603" s="1" t="n">
        <v>44678.3941550926</v>
      </c>
      <c r="C603" s="1" t="n">
        <v>45927</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20610-2022</t>
        </is>
      </c>
      <c r="B604" s="1" t="n">
        <v>44700</v>
      </c>
      <c r="C604" s="1" t="n">
        <v>45927</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10278-2025</t>
        </is>
      </c>
      <c r="B605" s="1" t="n">
        <v>45720</v>
      </c>
      <c r="C605" s="1" t="n">
        <v>45927</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40828-2021</t>
        </is>
      </c>
      <c r="B606" s="1" t="n">
        <v>44421.39377314815</v>
      </c>
      <c r="C606" s="1" t="n">
        <v>45927</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49844-2024</t>
        </is>
      </c>
      <c r="B607" s="1" t="n">
        <v>45597</v>
      </c>
      <c r="C607" s="1" t="n">
        <v>45927</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9432-2025</t>
        </is>
      </c>
      <c r="B608" s="1" t="n">
        <v>45715.40805555556</v>
      </c>
      <c r="C608" s="1" t="n">
        <v>45927</v>
      </c>
      <c r="D608" t="inlineStr">
        <is>
          <t>VÄSTERBOTTENS LÄN</t>
        </is>
      </c>
      <c r="E608" t="inlineStr">
        <is>
          <t>SKELLEFTEÅ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70851-2021</t>
        </is>
      </c>
      <c r="B609" s="1" t="n">
        <v>44536</v>
      </c>
      <c r="C609" s="1" t="n">
        <v>45927</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54356-2020</t>
        </is>
      </c>
      <c r="B610" s="1" t="n">
        <v>44125</v>
      </c>
      <c r="C610" s="1" t="n">
        <v>45927</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60558-2022</t>
        </is>
      </c>
      <c r="B611" s="1" t="n">
        <v>44904</v>
      </c>
      <c r="C611" s="1" t="n">
        <v>45927</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15709-2023</t>
        </is>
      </c>
      <c r="B612" s="1" t="n">
        <v>45020</v>
      </c>
      <c r="C612" s="1" t="n">
        <v>45927</v>
      </c>
      <c r="D612" t="inlineStr">
        <is>
          <t>VÄSTERBOTTENS LÄN</t>
        </is>
      </c>
      <c r="E612" t="inlineStr">
        <is>
          <t>SKELLEFTEÅ</t>
        </is>
      </c>
      <c r="G612" t="n">
        <v>4.4</v>
      </c>
      <c r="H612" t="n">
        <v>0</v>
      </c>
      <c r="I612" t="n">
        <v>0</v>
      </c>
      <c r="J612" t="n">
        <v>0</v>
      </c>
      <c r="K612" t="n">
        <v>0</v>
      </c>
      <c r="L612" t="n">
        <v>0</v>
      </c>
      <c r="M612" t="n">
        <v>0</v>
      </c>
      <c r="N612" t="n">
        <v>0</v>
      </c>
      <c r="O612" t="n">
        <v>0</v>
      </c>
      <c r="P612" t="n">
        <v>0</v>
      </c>
      <c r="Q612" t="n">
        <v>0</v>
      </c>
      <c r="R612" s="2" t="inlineStr"/>
    </row>
    <row r="613" ht="15" customHeight="1">
      <c r="A613" t="inlineStr">
        <is>
          <t>A 41072-2024</t>
        </is>
      </c>
      <c r="B613" s="1" t="n">
        <v>45559.39484953704</v>
      </c>
      <c r="C613" s="1" t="n">
        <v>45927</v>
      </c>
      <c r="D613" t="inlineStr">
        <is>
          <t>VÄSTERBOTTENS LÄN</t>
        </is>
      </c>
      <c r="E613" t="inlineStr">
        <is>
          <t>SKELLEFTEÅ</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27322-2023</t>
        </is>
      </c>
      <c r="B614" s="1" t="n">
        <v>45096</v>
      </c>
      <c r="C614" s="1" t="n">
        <v>45927</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32420-2022</t>
        </is>
      </c>
      <c r="B615" s="1" t="n">
        <v>44782</v>
      </c>
      <c r="C615" s="1" t="n">
        <v>45927</v>
      </c>
      <c r="D615" t="inlineStr">
        <is>
          <t>VÄSTERBOTTENS LÄN</t>
        </is>
      </c>
      <c r="E615" t="inlineStr">
        <is>
          <t>SKELLEFTEÅ</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32427-2022</t>
        </is>
      </c>
      <c r="B616" s="1" t="n">
        <v>44782</v>
      </c>
      <c r="C616" s="1" t="n">
        <v>45927</v>
      </c>
      <c r="D616" t="inlineStr">
        <is>
          <t>VÄSTERBOTTENS LÄN</t>
        </is>
      </c>
      <c r="E616" t="inlineStr">
        <is>
          <t>SKELLEFTEÅ</t>
        </is>
      </c>
      <c r="F616" t="inlineStr">
        <is>
          <t>Kommuner</t>
        </is>
      </c>
      <c r="G616" t="n">
        <v>7.9</v>
      </c>
      <c r="H616" t="n">
        <v>0</v>
      </c>
      <c r="I616" t="n">
        <v>0</v>
      </c>
      <c r="J616" t="n">
        <v>0</v>
      </c>
      <c r="K616" t="n">
        <v>0</v>
      </c>
      <c r="L616" t="n">
        <v>0</v>
      </c>
      <c r="M616" t="n">
        <v>0</v>
      </c>
      <c r="N616" t="n">
        <v>0</v>
      </c>
      <c r="O616" t="n">
        <v>0</v>
      </c>
      <c r="P616" t="n">
        <v>0</v>
      </c>
      <c r="Q616" t="n">
        <v>0</v>
      </c>
      <c r="R616" s="2" t="inlineStr"/>
    </row>
    <row r="617" ht="15" customHeight="1">
      <c r="A617" t="inlineStr">
        <is>
          <t>A 706-2023</t>
        </is>
      </c>
      <c r="B617" s="1" t="n">
        <v>44930</v>
      </c>
      <c r="C617" s="1" t="n">
        <v>45927</v>
      </c>
      <c r="D617" t="inlineStr">
        <is>
          <t>VÄSTERBOTTENS LÄN</t>
        </is>
      </c>
      <c r="E617" t="inlineStr">
        <is>
          <t>SKELLEFTEÅ</t>
        </is>
      </c>
      <c r="G617" t="n">
        <v>4.3</v>
      </c>
      <c r="H617" t="n">
        <v>0</v>
      </c>
      <c r="I617" t="n">
        <v>0</v>
      </c>
      <c r="J617" t="n">
        <v>0</v>
      </c>
      <c r="K617" t="n">
        <v>0</v>
      </c>
      <c r="L617" t="n">
        <v>0</v>
      </c>
      <c r="M617" t="n">
        <v>0</v>
      </c>
      <c r="N617" t="n">
        <v>0</v>
      </c>
      <c r="O617" t="n">
        <v>0</v>
      </c>
      <c r="P617" t="n">
        <v>0</v>
      </c>
      <c r="Q617" t="n">
        <v>0</v>
      </c>
      <c r="R617" s="2" t="inlineStr"/>
    </row>
    <row r="618" ht="15" customHeight="1">
      <c r="A618" t="inlineStr">
        <is>
          <t>A 36208-2022</t>
        </is>
      </c>
      <c r="B618" s="1" t="n">
        <v>44803</v>
      </c>
      <c r="C618" s="1" t="n">
        <v>45927</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22838-2025</t>
        </is>
      </c>
      <c r="B619" s="1" t="n">
        <v>45790.28381944444</v>
      </c>
      <c r="C619" s="1" t="n">
        <v>45927</v>
      </c>
      <c r="D619" t="inlineStr">
        <is>
          <t>VÄSTERBOTTENS LÄN</t>
        </is>
      </c>
      <c r="E619" t="inlineStr">
        <is>
          <t>SKELLEFTEÅ</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27508-2023</t>
        </is>
      </c>
      <c r="B620" s="1" t="n">
        <v>45097</v>
      </c>
      <c r="C620" s="1" t="n">
        <v>45927</v>
      </c>
      <c r="D620" t="inlineStr">
        <is>
          <t>VÄSTERBOTTENS LÄN</t>
        </is>
      </c>
      <c r="E620" t="inlineStr">
        <is>
          <t>SKELLEFTEÅ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68564-2020</t>
        </is>
      </c>
      <c r="B621" s="1" t="n">
        <v>44186</v>
      </c>
      <c r="C621" s="1" t="n">
        <v>45927</v>
      </c>
      <c r="D621" t="inlineStr">
        <is>
          <t>VÄSTERBOTTENS LÄN</t>
        </is>
      </c>
      <c r="E621" t="inlineStr">
        <is>
          <t>SKELLEFTEÅ</t>
        </is>
      </c>
      <c r="G621" t="n">
        <v>11.4</v>
      </c>
      <c r="H621" t="n">
        <v>0</v>
      </c>
      <c r="I621" t="n">
        <v>0</v>
      </c>
      <c r="J621" t="n">
        <v>0</v>
      </c>
      <c r="K621" t="n">
        <v>0</v>
      </c>
      <c r="L621" t="n">
        <v>0</v>
      </c>
      <c r="M621" t="n">
        <v>0</v>
      </c>
      <c r="N621" t="n">
        <v>0</v>
      </c>
      <c r="O621" t="n">
        <v>0</v>
      </c>
      <c r="P621" t="n">
        <v>0</v>
      </c>
      <c r="Q621" t="n">
        <v>0</v>
      </c>
      <c r="R621" s="2" t="inlineStr"/>
    </row>
    <row r="622" ht="15" customHeight="1">
      <c r="A622" t="inlineStr">
        <is>
          <t>A 12798-2024</t>
        </is>
      </c>
      <c r="B622" s="1" t="n">
        <v>45384</v>
      </c>
      <c r="C622" s="1" t="n">
        <v>45927</v>
      </c>
      <c r="D622" t="inlineStr">
        <is>
          <t>VÄSTERBOTTENS LÄN</t>
        </is>
      </c>
      <c r="E622" t="inlineStr">
        <is>
          <t>SKELLEFTEÅ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29321-2024</t>
        </is>
      </c>
      <c r="B623" s="1" t="n">
        <v>45483.4243287037</v>
      </c>
      <c r="C623" s="1" t="n">
        <v>45927</v>
      </c>
      <c r="D623" t="inlineStr">
        <is>
          <t>VÄSTERBOTTENS LÄN</t>
        </is>
      </c>
      <c r="E623" t="inlineStr">
        <is>
          <t>SKELLEFTEÅ</t>
        </is>
      </c>
      <c r="G623" t="n">
        <v>3.8</v>
      </c>
      <c r="H623" t="n">
        <v>0</v>
      </c>
      <c r="I623" t="n">
        <v>0</v>
      </c>
      <c r="J623" t="n">
        <v>0</v>
      </c>
      <c r="K623" t="n">
        <v>0</v>
      </c>
      <c r="L623" t="n">
        <v>0</v>
      </c>
      <c r="M623" t="n">
        <v>0</v>
      </c>
      <c r="N623" t="n">
        <v>0</v>
      </c>
      <c r="O623" t="n">
        <v>0</v>
      </c>
      <c r="P623" t="n">
        <v>0</v>
      </c>
      <c r="Q623" t="n">
        <v>0</v>
      </c>
      <c r="R623" s="2" t="inlineStr"/>
    </row>
    <row r="624" ht="15" customHeight="1">
      <c r="A624" t="inlineStr">
        <is>
          <t>A 40898-2021</t>
        </is>
      </c>
      <c r="B624" s="1" t="n">
        <v>44421.48540509259</v>
      </c>
      <c r="C624" s="1" t="n">
        <v>45927</v>
      </c>
      <c r="D624" t="inlineStr">
        <is>
          <t>VÄSTERBOTTENS LÄN</t>
        </is>
      </c>
      <c r="E624" t="inlineStr">
        <is>
          <t>SKELLEFTEÅ</t>
        </is>
      </c>
      <c r="G624" t="n">
        <v>5.3</v>
      </c>
      <c r="H624" t="n">
        <v>0</v>
      </c>
      <c r="I624" t="n">
        <v>0</v>
      </c>
      <c r="J624" t="n">
        <v>0</v>
      </c>
      <c r="K624" t="n">
        <v>0</v>
      </c>
      <c r="L624" t="n">
        <v>0</v>
      </c>
      <c r="M624" t="n">
        <v>0</v>
      </c>
      <c r="N624" t="n">
        <v>0</v>
      </c>
      <c r="O624" t="n">
        <v>0</v>
      </c>
      <c r="P624" t="n">
        <v>0</v>
      </c>
      <c r="Q624" t="n">
        <v>0</v>
      </c>
      <c r="R624" s="2" t="inlineStr"/>
    </row>
    <row r="625" ht="15" customHeight="1">
      <c r="A625" t="inlineStr">
        <is>
          <t>A 2454-2025</t>
        </is>
      </c>
      <c r="B625" s="1" t="n">
        <v>45673</v>
      </c>
      <c r="C625" s="1" t="n">
        <v>45927</v>
      </c>
      <c r="D625" t="inlineStr">
        <is>
          <t>VÄSTERBOTTENS LÄN</t>
        </is>
      </c>
      <c r="E625" t="inlineStr">
        <is>
          <t>SKELLEFTEÅ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14952-2022</t>
        </is>
      </c>
      <c r="B626" s="1" t="n">
        <v>44657</v>
      </c>
      <c r="C626" s="1" t="n">
        <v>45927</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23213-2025</t>
        </is>
      </c>
      <c r="B627" s="1" t="n">
        <v>45791</v>
      </c>
      <c r="C627" s="1" t="n">
        <v>45927</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23327-2025</t>
        </is>
      </c>
      <c r="B628" s="1" t="n">
        <v>45791.62792824074</v>
      </c>
      <c r="C628" s="1" t="n">
        <v>45927</v>
      </c>
      <c r="D628" t="inlineStr">
        <is>
          <t>VÄSTERBOTTENS LÄN</t>
        </is>
      </c>
      <c r="E628" t="inlineStr">
        <is>
          <t>SKELLEFTEÅ</t>
        </is>
      </c>
      <c r="F628" t="inlineStr">
        <is>
          <t>Holmen skog AB</t>
        </is>
      </c>
      <c r="G628" t="n">
        <v>5.4</v>
      </c>
      <c r="H628" t="n">
        <v>0</v>
      </c>
      <c r="I628" t="n">
        <v>0</v>
      </c>
      <c r="J628" t="n">
        <v>0</v>
      </c>
      <c r="K628" t="n">
        <v>0</v>
      </c>
      <c r="L628" t="n">
        <v>0</v>
      </c>
      <c r="M628" t="n">
        <v>0</v>
      </c>
      <c r="N628" t="n">
        <v>0</v>
      </c>
      <c r="O628" t="n">
        <v>0</v>
      </c>
      <c r="P628" t="n">
        <v>0</v>
      </c>
      <c r="Q628" t="n">
        <v>0</v>
      </c>
      <c r="R628" s="2" t="inlineStr"/>
    </row>
    <row r="629" ht="15" customHeight="1">
      <c r="A629" t="inlineStr">
        <is>
          <t>A 23208-2025</t>
        </is>
      </c>
      <c r="B629" s="1" t="n">
        <v>45791</v>
      </c>
      <c r="C629" s="1" t="n">
        <v>45927</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23018-2025</t>
        </is>
      </c>
      <c r="B630" s="1" t="n">
        <v>45790.6446875</v>
      </c>
      <c r="C630" s="1" t="n">
        <v>45927</v>
      </c>
      <c r="D630" t="inlineStr">
        <is>
          <t>VÄSTERBOTTENS LÄN</t>
        </is>
      </c>
      <c r="E630" t="inlineStr">
        <is>
          <t>SKELLEFTEÅ</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33771-2023</t>
        </is>
      </c>
      <c r="B631" s="1" t="n">
        <v>45133.49151620371</v>
      </c>
      <c r="C631" s="1" t="n">
        <v>45927</v>
      </c>
      <c r="D631" t="inlineStr">
        <is>
          <t>VÄSTERBOTTENS LÄN</t>
        </is>
      </c>
      <c r="E631" t="inlineStr">
        <is>
          <t>SKELLEFTEÅ</t>
        </is>
      </c>
      <c r="F631" t="inlineStr">
        <is>
          <t>Holmen skog AB</t>
        </is>
      </c>
      <c r="G631" t="n">
        <v>2.6</v>
      </c>
      <c r="H631" t="n">
        <v>0</v>
      </c>
      <c r="I631" t="n">
        <v>0</v>
      </c>
      <c r="J631" t="n">
        <v>0</v>
      </c>
      <c r="K631" t="n">
        <v>0</v>
      </c>
      <c r="L631" t="n">
        <v>0</v>
      </c>
      <c r="M631" t="n">
        <v>0</v>
      </c>
      <c r="N631" t="n">
        <v>0</v>
      </c>
      <c r="O631" t="n">
        <v>0</v>
      </c>
      <c r="P631" t="n">
        <v>0</v>
      </c>
      <c r="Q631" t="n">
        <v>0</v>
      </c>
      <c r="R631" s="2" t="inlineStr"/>
    </row>
    <row r="632" ht="15" customHeight="1">
      <c r="A632" t="inlineStr">
        <is>
          <t>A 55613-2023</t>
        </is>
      </c>
      <c r="B632" s="1" t="n">
        <v>45238.74128472222</v>
      </c>
      <c r="C632" s="1" t="n">
        <v>45927</v>
      </c>
      <c r="D632" t="inlineStr">
        <is>
          <t>VÄSTERBOTTENS LÄN</t>
        </is>
      </c>
      <c r="E632" t="inlineStr">
        <is>
          <t>SKELLEFTEÅ</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23104-2025</t>
        </is>
      </c>
      <c r="B633" s="1" t="n">
        <v>45791.35722222222</v>
      </c>
      <c r="C633" s="1" t="n">
        <v>45927</v>
      </c>
      <c r="D633" t="inlineStr">
        <is>
          <t>VÄSTERBOTTENS LÄN</t>
        </is>
      </c>
      <c r="E633" t="inlineStr">
        <is>
          <t>SKELLEFTEÅ</t>
        </is>
      </c>
      <c r="F633" t="inlineStr">
        <is>
          <t>Holmen skog AB</t>
        </is>
      </c>
      <c r="G633" t="n">
        <v>5.2</v>
      </c>
      <c r="H633" t="n">
        <v>0</v>
      </c>
      <c r="I633" t="n">
        <v>0</v>
      </c>
      <c r="J633" t="n">
        <v>0</v>
      </c>
      <c r="K633" t="n">
        <v>0</v>
      </c>
      <c r="L633" t="n">
        <v>0</v>
      </c>
      <c r="M633" t="n">
        <v>0</v>
      </c>
      <c r="N633" t="n">
        <v>0</v>
      </c>
      <c r="O633" t="n">
        <v>0</v>
      </c>
      <c r="P633" t="n">
        <v>0</v>
      </c>
      <c r="Q633" t="n">
        <v>0</v>
      </c>
      <c r="R633" s="2" t="inlineStr"/>
    </row>
    <row r="634" ht="15" customHeight="1">
      <c r="A634" t="inlineStr">
        <is>
          <t>A 23153-2025</t>
        </is>
      </c>
      <c r="B634" s="1" t="n">
        <v>45791</v>
      </c>
      <c r="C634" s="1" t="n">
        <v>45927</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43793-2024</t>
        </is>
      </c>
      <c r="B635" s="1" t="n">
        <v>45571.49777777777</v>
      </c>
      <c r="C635" s="1" t="n">
        <v>45927</v>
      </c>
      <c r="D635" t="inlineStr">
        <is>
          <t>VÄSTERBOTTENS LÄN</t>
        </is>
      </c>
      <c r="E635" t="inlineStr">
        <is>
          <t>SKELLEFTEÅ</t>
        </is>
      </c>
      <c r="F635" t="inlineStr">
        <is>
          <t>Sveaskog</t>
        </is>
      </c>
      <c r="G635" t="n">
        <v>14.1</v>
      </c>
      <c r="H635" t="n">
        <v>0</v>
      </c>
      <c r="I635" t="n">
        <v>0</v>
      </c>
      <c r="J635" t="n">
        <v>0</v>
      </c>
      <c r="K635" t="n">
        <v>0</v>
      </c>
      <c r="L635" t="n">
        <v>0</v>
      </c>
      <c r="M635" t="n">
        <v>0</v>
      </c>
      <c r="N635" t="n">
        <v>0</v>
      </c>
      <c r="O635" t="n">
        <v>0</v>
      </c>
      <c r="P635" t="n">
        <v>0</v>
      </c>
      <c r="Q635" t="n">
        <v>0</v>
      </c>
      <c r="R635" s="2" t="inlineStr"/>
    </row>
    <row r="636" ht="15" customHeight="1">
      <c r="A636" t="inlineStr">
        <is>
          <t>A 64977-2020</t>
        </is>
      </c>
      <c r="B636" s="1" t="n">
        <v>44167</v>
      </c>
      <c r="C636" s="1" t="n">
        <v>45927</v>
      </c>
      <c r="D636" t="inlineStr">
        <is>
          <t>VÄSTERBOTTENS LÄN</t>
        </is>
      </c>
      <c r="E636" t="inlineStr">
        <is>
          <t>SKELLEFTEÅ</t>
        </is>
      </c>
      <c r="G636" t="n">
        <v>9</v>
      </c>
      <c r="H636" t="n">
        <v>0</v>
      </c>
      <c r="I636" t="n">
        <v>0</v>
      </c>
      <c r="J636" t="n">
        <v>0</v>
      </c>
      <c r="K636" t="n">
        <v>0</v>
      </c>
      <c r="L636" t="n">
        <v>0</v>
      </c>
      <c r="M636" t="n">
        <v>0</v>
      </c>
      <c r="N636" t="n">
        <v>0</v>
      </c>
      <c r="O636" t="n">
        <v>0</v>
      </c>
      <c r="P636" t="n">
        <v>0</v>
      </c>
      <c r="Q636" t="n">
        <v>0</v>
      </c>
      <c r="R636" s="2" t="inlineStr"/>
    </row>
    <row r="637" ht="15" customHeight="1">
      <c r="A637" t="inlineStr">
        <is>
          <t>A 23144-2025</t>
        </is>
      </c>
      <c r="B637" s="1" t="n">
        <v>45791</v>
      </c>
      <c r="C637" s="1" t="n">
        <v>45927</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23147-2025</t>
        </is>
      </c>
      <c r="B638" s="1" t="n">
        <v>45791</v>
      </c>
      <c r="C638" s="1" t="n">
        <v>45927</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24577-2022</t>
        </is>
      </c>
      <c r="B639" s="1" t="n">
        <v>44727</v>
      </c>
      <c r="C639" s="1" t="n">
        <v>45927</v>
      </c>
      <c r="D639" t="inlineStr">
        <is>
          <t>VÄSTERBOTTENS LÄN</t>
        </is>
      </c>
      <c r="E639" t="inlineStr">
        <is>
          <t>SKELLEFTEÅ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24583-2022</t>
        </is>
      </c>
      <c r="B640" s="1" t="n">
        <v>44727</v>
      </c>
      <c r="C640" s="1" t="n">
        <v>45927</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56806-2024</t>
        </is>
      </c>
      <c r="B641" s="1" t="n">
        <v>45628.47483796296</v>
      </c>
      <c r="C641" s="1" t="n">
        <v>45927</v>
      </c>
      <c r="D641" t="inlineStr">
        <is>
          <t>VÄSTERBOTTENS LÄN</t>
        </is>
      </c>
      <c r="E641" t="inlineStr">
        <is>
          <t>SKELLEFTEÅ</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56965-2024</t>
        </is>
      </c>
      <c r="B642" s="1" t="n">
        <v>45628.65949074074</v>
      </c>
      <c r="C642" s="1" t="n">
        <v>45927</v>
      </c>
      <c r="D642" t="inlineStr">
        <is>
          <t>VÄSTERBOTTENS LÄN</t>
        </is>
      </c>
      <c r="E642" t="inlineStr">
        <is>
          <t>SKELLEFTEÅ</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19764-2025</t>
        </is>
      </c>
      <c r="B643" s="1" t="n">
        <v>45771.4071412037</v>
      </c>
      <c r="C643" s="1" t="n">
        <v>45927</v>
      </c>
      <c r="D643" t="inlineStr">
        <is>
          <t>VÄSTERBOTTENS LÄN</t>
        </is>
      </c>
      <c r="E643" t="inlineStr">
        <is>
          <t>SKELLEFTEÅ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19795-2025</t>
        </is>
      </c>
      <c r="B644" s="1" t="n">
        <v>45771.44666666666</v>
      </c>
      <c r="C644" s="1" t="n">
        <v>45927</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18098-2025</t>
        </is>
      </c>
      <c r="B645" s="1" t="n">
        <v>45761.5509375</v>
      </c>
      <c r="C645" s="1" t="n">
        <v>45927</v>
      </c>
      <c r="D645" t="inlineStr">
        <is>
          <t>VÄSTERBOTTENS LÄN</t>
        </is>
      </c>
      <c r="E645" t="inlineStr">
        <is>
          <t>SKELLEFTEÅ</t>
        </is>
      </c>
      <c r="G645" t="n">
        <v>4.8</v>
      </c>
      <c r="H645" t="n">
        <v>0</v>
      </c>
      <c r="I645" t="n">
        <v>0</v>
      </c>
      <c r="J645" t="n">
        <v>0</v>
      </c>
      <c r="K645" t="n">
        <v>0</v>
      </c>
      <c r="L645" t="n">
        <v>0</v>
      </c>
      <c r="M645" t="n">
        <v>0</v>
      </c>
      <c r="N645" t="n">
        <v>0</v>
      </c>
      <c r="O645" t="n">
        <v>0</v>
      </c>
      <c r="P645" t="n">
        <v>0</v>
      </c>
      <c r="Q645" t="n">
        <v>0</v>
      </c>
      <c r="R645" s="2" t="inlineStr"/>
    </row>
    <row r="646" ht="15" customHeight="1">
      <c r="A646" t="inlineStr">
        <is>
          <t>A 46968-2024</t>
        </is>
      </c>
      <c r="B646" s="1" t="n">
        <v>45586</v>
      </c>
      <c r="C646" s="1" t="n">
        <v>45927</v>
      </c>
      <c r="D646" t="inlineStr">
        <is>
          <t>VÄSTERBOTTENS LÄN</t>
        </is>
      </c>
      <c r="E646" t="inlineStr">
        <is>
          <t>SKELLEFTEÅ</t>
        </is>
      </c>
      <c r="F646" t="inlineStr">
        <is>
          <t>Sveaskog</t>
        </is>
      </c>
      <c r="G646" t="n">
        <v>9</v>
      </c>
      <c r="H646" t="n">
        <v>0</v>
      </c>
      <c r="I646" t="n">
        <v>0</v>
      </c>
      <c r="J646" t="n">
        <v>0</v>
      </c>
      <c r="K646" t="n">
        <v>0</v>
      </c>
      <c r="L646" t="n">
        <v>0</v>
      </c>
      <c r="M646" t="n">
        <v>0</v>
      </c>
      <c r="N646" t="n">
        <v>0</v>
      </c>
      <c r="O646" t="n">
        <v>0</v>
      </c>
      <c r="P646" t="n">
        <v>0</v>
      </c>
      <c r="Q646" t="n">
        <v>0</v>
      </c>
      <c r="R646" s="2" t="inlineStr"/>
    </row>
    <row r="647" ht="15" customHeight="1">
      <c r="A647" t="inlineStr">
        <is>
          <t>A 25512-2021</t>
        </is>
      </c>
      <c r="B647" s="1" t="n">
        <v>44342</v>
      </c>
      <c r="C647" s="1" t="n">
        <v>45927</v>
      </c>
      <c r="D647" t="inlineStr">
        <is>
          <t>VÄSTERBOTTENS LÄN</t>
        </is>
      </c>
      <c r="E647" t="inlineStr">
        <is>
          <t>SKELLEFTEÅ</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19349-2023</t>
        </is>
      </c>
      <c r="B648" s="1" t="n">
        <v>45049.59215277778</v>
      </c>
      <c r="C648" s="1" t="n">
        <v>45927</v>
      </c>
      <c r="D648" t="inlineStr">
        <is>
          <t>VÄSTERBOTTENS LÄN</t>
        </is>
      </c>
      <c r="E648" t="inlineStr">
        <is>
          <t>SKELLEFTEÅ</t>
        </is>
      </c>
      <c r="G648" t="n">
        <v>4</v>
      </c>
      <c r="H648" t="n">
        <v>0</v>
      </c>
      <c r="I648" t="n">
        <v>0</v>
      </c>
      <c r="J648" t="n">
        <v>0</v>
      </c>
      <c r="K648" t="n">
        <v>0</v>
      </c>
      <c r="L648" t="n">
        <v>0</v>
      </c>
      <c r="M648" t="n">
        <v>0</v>
      </c>
      <c r="N648" t="n">
        <v>0</v>
      </c>
      <c r="O648" t="n">
        <v>0</v>
      </c>
      <c r="P648" t="n">
        <v>0</v>
      </c>
      <c r="Q648" t="n">
        <v>0</v>
      </c>
      <c r="R648" s="2" t="inlineStr"/>
    </row>
    <row r="649" ht="15" customHeight="1">
      <c r="A649" t="inlineStr">
        <is>
          <t>A 52119-2020</t>
        </is>
      </c>
      <c r="B649" s="1" t="n">
        <v>44110</v>
      </c>
      <c r="C649" s="1" t="n">
        <v>45927</v>
      </c>
      <c r="D649" t="inlineStr">
        <is>
          <t>VÄSTERBOTTENS LÄN</t>
        </is>
      </c>
      <c r="E649" t="inlineStr">
        <is>
          <t>SKELLEFTEÅ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46858-2024</t>
        </is>
      </c>
      <c r="B650" s="1" t="n">
        <v>45583</v>
      </c>
      <c r="C650" s="1" t="n">
        <v>45927</v>
      </c>
      <c r="D650" t="inlineStr">
        <is>
          <t>VÄSTERBOTTENS LÄN</t>
        </is>
      </c>
      <c r="E650" t="inlineStr">
        <is>
          <t>SKELLEFTEÅ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64340-2023</t>
        </is>
      </c>
      <c r="B651" s="1" t="n">
        <v>45280.45571759259</v>
      </c>
      <c r="C651" s="1" t="n">
        <v>45927</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19765-2025</t>
        </is>
      </c>
      <c r="B652" s="1" t="n">
        <v>45771.4071875</v>
      </c>
      <c r="C652" s="1" t="n">
        <v>45927</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19779-2025</t>
        </is>
      </c>
      <c r="B653" s="1" t="n">
        <v>45771.42736111111</v>
      </c>
      <c r="C653" s="1" t="n">
        <v>45927</v>
      </c>
      <c r="D653" t="inlineStr">
        <is>
          <t>VÄSTERBOTTENS LÄN</t>
        </is>
      </c>
      <c r="E653" t="inlineStr">
        <is>
          <t>SKELLEFTEÅ</t>
        </is>
      </c>
      <c r="G653" t="n">
        <v>7.8</v>
      </c>
      <c r="H653" t="n">
        <v>0</v>
      </c>
      <c r="I653" t="n">
        <v>0</v>
      </c>
      <c r="J653" t="n">
        <v>0</v>
      </c>
      <c r="K653" t="n">
        <v>0</v>
      </c>
      <c r="L653" t="n">
        <v>0</v>
      </c>
      <c r="M653" t="n">
        <v>0</v>
      </c>
      <c r="N653" t="n">
        <v>0</v>
      </c>
      <c r="O653" t="n">
        <v>0</v>
      </c>
      <c r="P653" t="n">
        <v>0</v>
      </c>
      <c r="Q653" t="n">
        <v>0</v>
      </c>
      <c r="R653" s="2" t="inlineStr"/>
    </row>
    <row r="654" ht="15" customHeight="1">
      <c r="A654" t="inlineStr">
        <is>
          <t>A 22921-2025</t>
        </is>
      </c>
      <c r="B654" s="1" t="n">
        <v>45790.43959490741</v>
      </c>
      <c r="C654" s="1" t="n">
        <v>45927</v>
      </c>
      <c r="D654" t="inlineStr">
        <is>
          <t>VÄSTERBOTTENS LÄN</t>
        </is>
      </c>
      <c r="E654" t="inlineStr">
        <is>
          <t>SKELLEFTEÅ</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23241-2025</t>
        </is>
      </c>
      <c r="B655" s="1" t="n">
        <v>45791.50141203704</v>
      </c>
      <c r="C655" s="1" t="n">
        <v>45927</v>
      </c>
      <c r="D655" t="inlineStr">
        <is>
          <t>VÄSTERBOTTENS LÄN</t>
        </is>
      </c>
      <c r="E655" t="inlineStr">
        <is>
          <t>SKELLEFTEÅ</t>
        </is>
      </c>
      <c r="F655" t="inlineStr">
        <is>
          <t>Holmen skog AB</t>
        </is>
      </c>
      <c r="G655" t="n">
        <v>6.8</v>
      </c>
      <c r="H655" t="n">
        <v>0</v>
      </c>
      <c r="I655" t="n">
        <v>0</v>
      </c>
      <c r="J655" t="n">
        <v>0</v>
      </c>
      <c r="K655" t="n">
        <v>0</v>
      </c>
      <c r="L655" t="n">
        <v>0</v>
      </c>
      <c r="M655" t="n">
        <v>0</v>
      </c>
      <c r="N655" t="n">
        <v>0</v>
      </c>
      <c r="O655" t="n">
        <v>0</v>
      </c>
      <c r="P655" t="n">
        <v>0</v>
      </c>
      <c r="Q655" t="n">
        <v>0</v>
      </c>
      <c r="R655" s="2" t="inlineStr"/>
    </row>
    <row r="656" ht="15" customHeight="1">
      <c r="A656" t="inlineStr">
        <is>
          <t>A 43714-2024</t>
        </is>
      </c>
      <c r="B656" s="1" t="n">
        <v>45569</v>
      </c>
      <c r="C656" s="1" t="n">
        <v>45927</v>
      </c>
      <c r="D656" t="inlineStr">
        <is>
          <t>VÄSTERBOTTENS LÄN</t>
        </is>
      </c>
      <c r="E656" t="inlineStr">
        <is>
          <t>SKELLEFTEÅ</t>
        </is>
      </c>
      <c r="G656" t="n">
        <v>12.2</v>
      </c>
      <c r="H656" t="n">
        <v>0</v>
      </c>
      <c r="I656" t="n">
        <v>0</v>
      </c>
      <c r="J656" t="n">
        <v>0</v>
      </c>
      <c r="K656" t="n">
        <v>0</v>
      </c>
      <c r="L656" t="n">
        <v>0</v>
      </c>
      <c r="M656" t="n">
        <v>0</v>
      </c>
      <c r="N656" t="n">
        <v>0</v>
      </c>
      <c r="O656" t="n">
        <v>0</v>
      </c>
      <c r="P656" t="n">
        <v>0</v>
      </c>
      <c r="Q656" t="n">
        <v>0</v>
      </c>
      <c r="R656" s="2" t="inlineStr"/>
    </row>
    <row r="657" ht="15" customHeight="1">
      <c r="A657" t="inlineStr">
        <is>
          <t>A 30900-2024</t>
        </is>
      </c>
      <c r="B657" s="1" t="n">
        <v>45498</v>
      </c>
      <c r="C657" s="1" t="n">
        <v>45927</v>
      </c>
      <c r="D657" t="inlineStr">
        <is>
          <t>VÄSTERBOTTENS LÄN</t>
        </is>
      </c>
      <c r="E657" t="inlineStr">
        <is>
          <t>SKELLEFTEÅ</t>
        </is>
      </c>
      <c r="G657" t="n">
        <v>17.5</v>
      </c>
      <c r="H657" t="n">
        <v>0</v>
      </c>
      <c r="I657" t="n">
        <v>0</v>
      </c>
      <c r="J657" t="n">
        <v>0</v>
      </c>
      <c r="K657" t="n">
        <v>0</v>
      </c>
      <c r="L657" t="n">
        <v>0</v>
      </c>
      <c r="M657" t="n">
        <v>0</v>
      </c>
      <c r="N657" t="n">
        <v>0</v>
      </c>
      <c r="O657" t="n">
        <v>0</v>
      </c>
      <c r="P657" t="n">
        <v>0</v>
      </c>
      <c r="Q657" t="n">
        <v>0</v>
      </c>
      <c r="R657" s="2" t="inlineStr"/>
    </row>
    <row r="658" ht="15" customHeight="1">
      <c r="A658" t="inlineStr">
        <is>
          <t>A 14384-2025</t>
        </is>
      </c>
      <c r="B658" s="1" t="n">
        <v>45741.41962962963</v>
      </c>
      <c r="C658" s="1" t="n">
        <v>45927</v>
      </c>
      <c r="D658" t="inlineStr">
        <is>
          <t>VÄSTERBOTTENS LÄN</t>
        </is>
      </c>
      <c r="E658" t="inlineStr">
        <is>
          <t>SKELLEFTEÅ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23886-2025</t>
        </is>
      </c>
      <c r="B659" s="1" t="n">
        <v>45793</v>
      </c>
      <c r="C659" s="1" t="n">
        <v>45927</v>
      </c>
      <c r="D659" t="inlineStr">
        <is>
          <t>VÄSTERBOTTENS LÄN</t>
        </is>
      </c>
      <c r="E659" t="inlineStr">
        <is>
          <t>SKELLEFTEÅ</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44872-2023</t>
        </is>
      </c>
      <c r="B660" s="1" t="n">
        <v>45190.60226851852</v>
      </c>
      <c r="C660" s="1" t="n">
        <v>45927</v>
      </c>
      <c r="D660" t="inlineStr">
        <is>
          <t>VÄSTERBOTTENS LÄN</t>
        </is>
      </c>
      <c r="E660" t="inlineStr">
        <is>
          <t>SKELLEFTEÅ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23847-2025</t>
        </is>
      </c>
      <c r="B661" s="1" t="n">
        <v>45793.62730324074</v>
      </c>
      <c r="C661" s="1" t="n">
        <v>45927</v>
      </c>
      <c r="D661" t="inlineStr">
        <is>
          <t>VÄSTERBOTTENS LÄN</t>
        </is>
      </c>
      <c r="E661" t="inlineStr">
        <is>
          <t>SKELLEFTEÅ</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26293-2025</t>
        </is>
      </c>
      <c r="B662" s="1" t="n">
        <v>45805</v>
      </c>
      <c r="C662" s="1" t="n">
        <v>45927</v>
      </c>
      <c r="D662" t="inlineStr">
        <is>
          <t>VÄSTERBOTTENS LÄN</t>
        </is>
      </c>
      <c r="E662" t="inlineStr">
        <is>
          <t>SKELLEFTEÅ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23676-2025</t>
        </is>
      </c>
      <c r="B663" s="1" t="n">
        <v>45793.31434027778</v>
      </c>
      <c r="C663" s="1" t="n">
        <v>45927</v>
      </c>
      <c r="D663" t="inlineStr">
        <is>
          <t>VÄSTERBOTTENS LÄN</t>
        </is>
      </c>
      <c r="E663" t="inlineStr">
        <is>
          <t>SKELLEFTEÅ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14342-2024</t>
        </is>
      </c>
      <c r="B664" s="1" t="n">
        <v>45393.73072916667</v>
      </c>
      <c r="C664" s="1" t="n">
        <v>45927</v>
      </c>
      <c r="D664" t="inlineStr">
        <is>
          <t>VÄSTERBOTTENS LÄN</t>
        </is>
      </c>
      <c r="E664" t="inlineStr">
        <is>
          <t>SKELLEFTEÅ</t>
        </is>
      </c>
      <c r="G664" t="n">
        <v>3.1</v>
      </c>
      <c r="H664" t="n">
        <v>0</v>
      </c>
      <c r="I664" t="n">
        <v>0</v>
      </c>
      <c r="J664" t="n">
        <v>0</v>
      </c>
      <c r="K664" t="n">
        <v>0</v>
      </c>
      <c r="L664" t="n">
        <v>0</v>
      </c>
      <c r="M664" t="n">
        <v>0</v>
      </c>
      <c r="N664" t="n">
        <v>0</v>
      </c>
      <c r="O664" t="n">
        <v>0</v>
      </c>
      <c r="P664" t="n">
        <v>0</v>
      </c>
      <c r="Q664" t="n">
        <v>0</v>
      </c>
      <c r="R664" s="2" t="inlineStr"/>
    </row>
    <row r="665" ht="15" customHeight="1">
      <c r="A665" t="inlineStr">
        <is>
          <t>A 19905-2024</t>
        </is>
      </c>
      <c r="B665" s="1" t="n">
        <v>45433.56965277778</v>
      </c>
      <c r="C665" s="1" t="n">
        <v>45927</v>
      </c>
      <c r="D665" t="inlineStr">
        <is>
          <t>VÄSTERBOTTENS LÄN</t>
        </is>
      </c>
      <c r="E665" t="inlineStr">
        <is>
          <t>SKELLEFTEÅ</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45757-2024</t>
        </is>
      </c>
      <c r="B666" s="1" t="n">
        <v>45579.63565972223</v>
      </c>
      <c r="C666" s="1" t="n">
        <v>45927</v>
      </c>
      <c r="D666" t="inlineStr">
        <is>
          <t>VÄSTERBOTTENS LÄN</t>
        </is>
      </c>
      <c r="E666" t="inlineStr">
        <is>
          <t>SKELLEFTEÅ</t>
        </is>
      </c>
      <c r="G666" t="n">
        <v>3.6</v>
      </c>
      <c r="H666" t="n">
        <v>0</v>
      </c>
      <c r="I666" t="n">
        <v>0</v>
      </c>
      <c r="J666" t="n">
        <v>0</v>
      </c>
      <c r="K666" t="n">
        <v>0</v>
      </c>
      <c r="L666" t="n">
        <v>0</v>
      </c>
      <c r="M666" t="n">
        <v>0</v>
      </c>
      <c r="N666" t="n">
        <v>0</v>
      </c>
      <c r="O666" t="n">
        <v>0</v>
      </c>
      <c r="P666" t="n">
        <v>0</v>
      </c>
      <c r="Q666" t="n">
        <v>0</v>
      </c>
      <c r="R666" s="2" t="inlineStr"/>
    </row>
    <row r="667" ht="15" customHeight="1">
      <c r="A667" t="inlineStr">
        <is>
          <t>A 34580-2024</t>
        </is>
      </c>
      <c r="B667" s="1" t="n">
        <v>45526</v>
      </c>
      <c r="C667" s="1" t="n">
        <v>45927</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34587-2024</t>
        </is>
      </c>
      <c r="B668" s="1" t="n">
        <v>45526</v>
      </c>
      <c r="C668" s="1" t="n">
        <v>45927</v>
      </c>
      <c r="D668" t="inlineStr">
        <is>
          <t>VÄSTERBOTTENS LÄN</t>
        </is>
      </c>
      <c r="E668" t="inlineStr">
        <is>
          <t>SKELLEFTEÅ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23537-2025</t>
        </is>
      </c>
      <c r="B669" s="1" t="n">
        <v>45792.54960648148</v>
      </c>
      <c r="C669" s="1" t="n">
        <v>45927</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23696-2025</t>
        </is>
      </c>
      <c r="B670" s="1" t="n">
        <v>45793</v>
      </c>
      <c r="C670" s="1" t="n">
        <v>45927</v>
      </c>
      <c r="D670" t="inlineStr">
        <is>
          <t>VÄSTERBOTTENS LÄN</t>
        </is>
      </c>
      <c r="E670" t="inlineStr">
        <is>
          <t>SKELLEFTEÅ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40966-2024</t>
        </is>
      </c>
      <c r="B671" s="1" t="n">
        <v>45558.67207175926</v>
      </c>
      <c r="C671" s="1" t="n">
        <v>45927</v>
      </c>
      <c r="D671" t="inlineStr">
        <is>
          <t>VÄSTERBOTTENS LÄN</t>
        </is>
      </c>
      <c r="E671" t="inlineStr">
        <is>
          <t>SKELLEFTEÅ</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53083-2022</t>
        </is>
      </c>
      <c r="B672" s="1" t="n">
        <v>44876</v>
      </c>
      <c r="C672" s="1" t="n">
        <v>45927</v>
      </c>
      <c r="D672" t="inlineStr">
        <is>
          <t>VÄSTERBOTTENS LÄN</t>
        </is>
      </c>
      <c r="E672" t="inlineStr">
        <is>
          <t>SKELLEFTEÅ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62642-2022</t>
        </is>
      </c>
      <c r="B673" s="1" t="n">
        <v>44925</v>
      </c>
      <c r="C673" s="1" t="n">
        <v>45927</v>
      </c>
      <c r="D673" t="inlineStr">
        <is>
          <t>VÄSTERBOTTENS LÄN</t>
        </is>
      </c>
      <c r="E673" t="inlineStr">
        <is>
          <t>SKELLEFTEÅ</t>
        </is>
      </c>
      <c r="F673" t="inlineStr">
        <is>
          <t>Holmen skog AB</t>
        </is>
      </c>
      <c r="G673" t="n">
        <v>5.7</v>
      </c>
      <c r="H673" t="n">
        <v>0</v>
      </c>
      <c r="I673" t="n">
        <v>0</v>
      </c>
      <c r="J673" t="n">
        <v>0</v>
      </c>
      <c r="K673" t="n">
        <v>0</v>
      </c>
      <c r="L673" t="n">
        <v>0</v>
      </c>
      <c r="M673" t="n">
        <v>0</v>
      </c>
      <c r="N673" t="n">
        <v>0</v>
      </c>
      <c r="O673" t="n">
        <v>0</v>
      </c>
      <c r="P673" t="n">
        <v>0</v>
      </c>
      <c r="Q673" t="n">
        <v>0</v>
      </c>
      <c r="R673" s="2" t="inlineStr"/>
    </row>
    <row r="674" ht="15" customHeight="1">
      <c r="A674" t="inlineStr">
        <is>
          <t>A 54113-2023</t>
        </is>
      </c>
      <c r="B674" s="1" t="n">
        <v>45232.39173611111</v>
      </c>
      <c r="C674" s="1" t="n">
        <v>45927</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17483-2023</t>
        </is>
      </c>
      <c r="B675" s="1" t="n">
        <v>45034</v>
      </c>
      <c r="C675" s="1" t="n">
        <v>45927</v>
      </c>
      <c r="D675" t="inlineStr">
        <is>
          <t>VÄSTERBOTTENS LÄN</t>
        </is>
      </c>
      <c r="E675" t="inlineStr">
        <is>
          <t>SKELLEFTEÅ</t>
        </is>
      </c>
      <c r="G675" t="n">
        <v>3.7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45927</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23678-2025</t>
        </is>
      </c>
      <c r="B677" s="1" t="n">
        <v>45793.32435185185</v>
      </c>
      <c r="C677" s="1" t="n">
        <v>45927</v>
      </c>
      <c r="D677" t="inlineStr">
        <is>
          <t>VÄSTERBOTTENS LÄN</t>
        </is>
      </c>
      <c r="E677" t="inlineStr">
        <is>
          <t>SKELLEFTEÅ</t>
        </is>
      </c>
      <c r="G677" t="n">
        <v>7.1</v>
      </c>
      <c r="H677" t="n">
        <v>0</v>
      </c>
      <c r="I677" t="n">
        <v>0</v>
      </c>
      <c r="J677" t="n">
        <v>0</v>
      </c>
      <c r="K677" t="n">
        <v>0</v>
      </c>
      <c r="L677" t="n">
        <v>0</v>
      </c>
      <c r="M677" t="n">
        <v>0</v>
      </c>
      <c r="N677" t="n">
        <v>0</v>
      </c>
      <c r="O677" t="n">
        <v>0</v>
      </c>
      <c r="P677" t="n">
        <v>0</v>
      </c>
      <c r="Q677" t="n">
        <v>0</v>
      </c>
      <c r="R677" s="2" t="inlineStr"/>
    </row>
    <row r="678" ht="15" customHeight="1">
      <c r="A678" t="inlineStr">
        <is>
          <t>A 23881-2025</t>
        </is>
      </c>
      <c r="B678" s="1" t="n">
        <v>45793</v>
      </c>
      <c r="C678" s="1" t="n">
        <v>45927</v>
      </c>
      <c r="D678" t="inlineStr">
        <is>
          <t>VÄSTERBOTTENS LÄN</t>
        </is>
      </c>
      <c r="E678" t="inlineStr">
        <is>
          <t>SKELLEFTEÅ</t>
        </is>
      </c>
      <c r="F678" t="inlineStr">
        <is>
          <t>Sveaskog</t>
        </is>
      </c>
      <c r="G678" t="n">
        <v>4</v>
      </c>
      <c r="H678" t="n">
        <v>0</v>
      </c>
      <c r="I678" t="n">
        <v>0</v>
      </c>
      <c r="J678" t="n">
        <v>0</v>
      </c>
      <c r="K678" t="n">
        <v>0</v>
      </c>
      <c r="L678" t="n">
        <v>0</v>
      </c>
      <c r="M678" t="n">
        <v>0</v>
      </c>
      <c r="N678" t="n">
        <v>0</v>
      </c>
      <c r="O678" t="n">
        <v>0</v>
      </c>
      <c r="P678" t="n">
        <v>0</v>
      </c>
      <c r="Q678" t="n">
        <v>0</v>
      </c>
      <c r="R678" s="2" t="inlineStr"/>
    </row>
    <row r="679" ht="15" customHeight="1">
      <c r="A679" t="inlineStr">
        <is>
          <t>A 23373-2025</t>
        </is>
      </c>
      <c r="B679" s="1" t="n">
        <v>45791.75634259259</v>
      </c>
      <c r="C679" s="1" t="n">
        <v>45927</v>
      </c>
      <c r="D679" t="inlineStr">
        <is>
          <t>VÄSTERBOTTENS LÄN</t>
        </is>
      </c>
      <c r="E679" t="inlineStr">
        <is>
          <t>SKELLEFTEÅ</t>
        </is>
      </c>
      <c r="G679" t="n">
        <v>2.4</v>
      </c>
      <c r="H679" t="n">
        <v>0</v>
      </c>
      <c r="I679" t="n">
        <v>0</v>
      </c>
      <c r="J679" t="n">
        <v>0</v>
      </c>
      <c r="K679" t="n">
        <v>0</v>
      </c>
      <c r="L679" t="n">
        <v>0</v>
      </c>
      <c r="M679" t="n">
        <v>0</v>
      </c>
      <c r="N679" t="n">
        <v>0</v>
      </c>
      <c r="O679" t="n">
        <v>0</v>
      </c>
      <c r="P679" t="n">
        <v>0</v>
      </c>
      <c r="Q679" t="n">
        <v>0</v>
      </c>
      <c r="R679" s="2" t="inlineStr"/>
    </row>
    <row r="680" ht="15" customHeight="1">
      <c r="A680" t="inlineStr">
        <is>
          <t>A 8652-2021</t>
        </is>
      </c>
      <c r="B680" s="1" t="n">
        <v>44245</v>
      </c>
      <c r="C680" s="1" t="n">
        <v>45927</v>
      </c>
      <c r="D680" t="inlineStr">
        <is>
          <t>VÄSTERBOTTENS LÄN</t>
        </is>
      </c>
      <c r="E680" t="inlineStr">
        <is>
          <t>SKELLEFTEÅ</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51789-2021</t>
        </is>
      </c>
      <c r="B681" s="1" t="n">
        <v>44461</v>
      </c>
      <c r="C681" s="1" t="n">
        <v>45927</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35435-2021</t>
        </is>
      </c>
      <c r="B682" s="1" t="n">
        <v>44385</v>
      </c>
      <c r="C682" s="1" t="n">
        <v>45927</v>
      </c>
      <c r="D682" t="inlineStr">
        <is>
          <t>VÄSTERBOTTENS LÄN</t>
        </is>
      </c>
      <c r="E682" t="inlineStr">
        <is>
          <t>SKELLEFTEÅ</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37760-2024</t>
        </is>
      </c>
      <c r="B683" s="1" t="n">
        <v>45541.784375</v>
      </c>
      <c r="C683" s="1" t="n">
        <v>45927</v>
      </c>
      <c r="D683" t="inlineStr">
        <is>
          <t>VÄSTERBOTTENS LÄN</t>
        </is>
      </c>
      <c r="E683" t="inlineStr">
        <is>
          <t>SKELLEFTEÅ</t>
        </is>
      </c>
      <c r="F683" t="inlineStr">
        <is>
          <t>Sveaskog</t>
        </is>
      </c>
      <c r="G683" t="n">
        <v>27.6</v>
      </c>
      <c r="H683" t="n">
        <v>0</v>
      </c>
      <c r="I683" t="n">
        <v>0</v>
      </c>
      <c r="J683" t="n">
        <v>0</v>
      </c>
      <c r="K683" t="n">
        <v>0</v>
      </c>
      <c r="L683" t="n">
        <v>0</v>
      </c>
      <c r="M683" t="n">
        <v>0</v>
      </c>
      <c r="N683" t="n">
        <v>0</v>
      </c>
      <c r="O683" t="n">
        <v>0</v>
      </c>
      <c r="P683" t="n">
        <v>0</v>
      </c>
      <c r="Q683" t="n">
        <v>0</v>
      </c>
      <c r="R683" s="2" t="inlineStr"/>
    </row>
    <row r="684" ht="15" customHeight="1">
      <c r="A684" t="inlineStr">
        <is>
          <t>A 56923-2024</t>
        </is>
      </c>
      <c r="B684" s="1" t="n">
        <v>45628.60170138889</v>
      </c>
      <c r="C684" s="1" t="n">
        <v>45927</v>
      </c>
      <c r="D684" t="inlineStr">
        <is>
          <t>VÄSTERBOTTENS LÄN</t>
        </is>
      </c>
      <c r="E684" t="inlineStr">
        <is>
          <t>SKELLEFTEÅ</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28822-2021</t>
        </is>
      </c>
      <c r="B685" s="1" t="n">
        <v>44357.62862268519</v>
      </c>
      <c r="C685" s="1" t="n">
        <v>45927</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37210-2021</t>
        </is>
      </c>
      <c r="B686" s="1" t="n">
        <v>44396</v>
      </c>
      <c r="C686" s="1" t="n">
        <v>45927</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25019-2023</t>
        </is>
      </c>
      <c r="B687" s="1" t="n">
        <v>45085</v>
      </c>
      <c r="C687" s="1" t="n">
        <v>45927</v>
      </c>
      <c r="D687" t="inlineStr">
        <is>
          <t>VÄSTERBOTTENS LÄN</t>
        </is>
      </c>
      <c r="E687" t="inlineStr">
        <is>
          <t>SKELLEFTEÅ</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56453-2024</t>
        </is>
      </c>
      <c r="B688" s="1" t="n">
        <v>45625.44270833334</v>
      </c>
      <c r="C688" s="1" t="n">
        <v>45927</v>
      </c>
      <c r="D688" t="inlineStr">
        <is>
          <t>VÄSTERBOTTENS LÄN</t>
        </is>
      </c>
      <c r="E688" t="inlineStr">
        <is>
          <t>SKELLEFTEÅ</t>
        </is>
      </c>
      <c r="G688" t="n">
        <v>3.7</v>
      </c>
      <c r="H688" t="n">
        <v>0</v>
      </c>
      <c r="I688" t="n">
        <v>0</v>
      </c>
      <c r="J688" t="n">
        <v>0</v>
      </c>
      <c r="K688" t="n">
        <v>0</v>
      </c>
      <c r="L688" t="n">
        <v>0</v>
      </c>
      <c r="M688" t="n">
        <v>0</v>
      </c>
      <c r="N688" t="n">
        <v>0</v>
      </c>
      <c r="O688" t="n">
        <v>0</v>
      </c>
      <c r="P688" t="n">
        <v>0</v>
      </c>
      <c r="Q688" t="n">
        <v>0</v>
      </c>
      <c r="R688" s="2" t="inlineStr"/>
    </row>
    <row r="689" ht="15" customHeight="1">
      <c r="A689" t="inlineStr">
        <is>
          <t>A 47519-2024</t>
        </is>
      </c>
      <c r="B689" s="1" t="n">
        <v>45587</v>
      </c>
      <c r="C689" s="1" t="n">
        <v>45927</v>
      </c>
      <c r="D689" t="inlineStr">
        <is>
          <t>VÄSTERBOTTENS LÄN</t>
        </is>
      </c>
      <c r="E689" t="inlineStr">
        <is>
          <t>SKELLEFTEÅ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24402-2025</t>
        </is>
      </c>
      <c r="B690" s="1" t="n">
        <v>45797.65006944445</v>
      </c>
      <c r="C690" s="1" t="n">
        <v>45927</v>
      </c>
      <c r="D690" t="inlineStr">
        <is>
          <t>VÄSTERBOTTENS LÄN</t>
        </is>
      </c>
      <c r="E690" t="inlineStr">
        <is>
          <t>SKELLEFTEÅ</t>
        </is>
      </c>
      <c r="G690" t="n">
        <v>1.2</v>
      </c>
      <c r="H690" t="n">
        <v>0</v>
      </c>
      <c r="I690" t="n">
        <v>0</v>
      </c>
      <c r="J690" t="n">
        <v>0</v>
      </c>
      <c r="K690" t="n">
        <v>0</v>
      </c>
      <c r="L690" t="n">
        <v>0</v>
      </c>
      <c r="M690" t="n">
        <v>0</v>
      </c>
      <c r="N690" t="n">
        <v>0</v>
      </c>
      <c r="O690" t="n">
        <v>0</v>
      </c>
      <c r="P690" t="n">
        <v>0</v>
      </c>
      <c r="Q690" t="n">
        <v>0</v>
      </c>
      <c r="R690" s="2" t="inlineStr"/>
    </row>
    <row r="691" ht="15" customHeight="1">
      <c r="A691" t="inlineStr">
        <is>
          <t>A 22072-2024</t>
        </is>
      </c>
      <c r="B691" s="1" t="n">
        <v>45443.63575231482</v>
      </c>
      <c r="C691" s="1" t="n">
        <v>45927</v>
      </c>
      <c r="D691" t="inlineStr">
        <is>
          <t>VÄSTERBOTTENS LÄN</t>
        </is>
      </c>
      <c r="E691" t="inlineStr">
        <is>
          <t>SKELLEFTEÅ</t>
        </is>
      </c>
      <c r="F691" t="inlineStr">
        <is>
          <t>Holmen skog AB</t>
        </is>
      </c>
      <c r="G691" t="n">
        <v>6</v>
      </c>
      <c r="H691" t="n">
        <v>0</v>
      </c>
      <c r="I691" t="n">
        <v>0</v>
      </c>
      <c r="J691" t="n">
        <v>0</v>
      </c>
      <c r="K691" t="n">
        <v>0</v>
      </c>
      <c r="L691" t="n">
        <v>0</v>
      </c>
      <c r="M691" t="n">
        <v>0</v>
      </c>
      <c r="N691" t="n">
        <v>0</v>
      </c>
      <c r="O691" t="n">
        <v>0</v>
      </c>
      <c r="P691" t="n">
        <v>0</v>
      </c>
      <c r="Q691" t="n">
        <v>0</v>
      </c>
      <c r="R691" s="2" t="inlineStr"/>
    </row>
    <row r="692" ht="15" customHeight="1">
      <c r="A692" t="inlineStr">
        <is>
          <t>A 57770-2022</t>
        </is>
      </c>
      <c r="B692" s="1" t="n">
        <v>44897</v>
      </c>
      <c r="C692" s="1" t="n">
        <v>45927</v>
      </c>
      <c r="D692" t="inlineStr">
        <is>
          <t>VÄSTERBOTTENS LÄN</t>
        </is>
      </c>
      <c r="E692" t="inlineStr">
        <is>
          <t>SKELLEFTEÅ</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7027-2025</t>
        </is>
      </c>
      <c r="B693" s="1" t="n">
        <v>45701.63026620371</v>
      </c>
      <c r="C693" s="1" t="n">
        <v>45927</v>
      </c>
      <c r="D693" t="inlineStr">
        <is>
          <t>VÄSTERBOTTENS LÄN</t>
        </is>
      </c>
      <c r="E693" t="inlineStr">
        <is>
          <t>SKELLEFTEÅ</t>
        </is>
      </c>
      <c r="G693" t="n">
        <v>5.4</v>
      </c>
      <c r="H693" t="n">
        <v>0</v>
      </c>
      <c r="I693" t="n">
        <v>0</v>
      </c>
      <c r="J693" t="n">
        <v>0</v>
      </c>
      <c r="K693" t="n">
        <v>0</v>
      </c>
      <c r="L693" t="n">
        <v>0</v>
      </c>
      <c r="M693" t="n">
        <v>0</v>
      </c>
      <c r="N693" t="n">
        <v>0</v>
      </c>
      <c r="O693" t="n">
        <v>0</v>
      </c>
      <c r="P693" t="n">
        <v>0</v>
      </c>
      <c r="Q693" t="n">
        <v>0</v>
      </c>
      <c r="R693" s="2" t="inlineStr"/>
    </row>
    <row r="694" ht="15" customHeight="1">
      <c r="A694" t="inlineStr">
        <is>
          <t>A 24064-2025</t>
        </is>
      </c>
      <c r="B694" s="1" t="n">
        <v>45796.53480324074</v>
      </c>
      <c r="C694" s="1" t="n">
        <v>45927</v>
      </c>
      <c r="D694" t="inlineStr">
        <is>
          <t>VÄSTERBOTTENS LÄN</t>
        </is>
      </c>
      <c r="E694" t="inlineStr">
        <is>
          <t>SKELLEFTEÅ</t>
        </is>
      </c>
      <c r="G694" t="n">
        <v>8.4</v>
      </c>
      <c r="H694" t="n">
        <v>0</v>
      </c>
      <c r="I694" t="n">
        <v>0</v>
      </c>
      <c r="J694" t="n">
        <v>0</v>
      </c>
      <c r="K694" t="n">
        <v>0</v>
      </c>
      <c r="L694" t="n">
        <v>0</v>
      </c>
      <c r="M694" t="n">
        <v>0</v>
      </c>
      <c r="N694" t="n">
        <v>0</v>
      </c>
      <c r="O694" t="n">
        <v>0</v>
      </c>
      <c r="P694" t="n">
        <v>0</v>
      </c>
      <c r="Q694" t="n">
        <v>0</v>
      </c>
      <c r="R694" s="2" t="inlineStr"/>
    </row>
    <row r="695" ht="15" customHeight="1">
      <c r="A695" t="inlineStr">
        <is>
          <t>A 24067-2025</t>
        </is>
      </c>
      <c r="B695" s="1" t="n">
        <v>45796.53820601852</v>
      </c>
      <c r="C695" s="1" t="n">
        <v>45927</v>
      </c>
      <c r="D695" t="inlineStr">
        <is>
          <t>VÄSTERBOTTENS LÄN</t>
        </is>
      </c>
      <c r="E695" t="inlineStr">
        <is>
          <t>SKELLEFTEÅ</t>
        </is>
      </c>
      <c r="G695" t="n">
        <v>6</v>
      </c>
      <c r="H695" t="n">
        <v>0</v>
      </c>
      <c r="I695" t="n">
        <v>0</v>
      </c>
      <c r="J695" t="n">
        <v>0</v>
      </c>
      <c r="K695" t="n">
        <v>0</v>
      </c>
      <c r="L695" t="n">
        <v>0</v>
      </c>
      <c r="M695" t="n">
        <v>0</v>
      </c>
      <c r="N695" t="n">
        <v>0</v>
      </c>
      <c r="O695" t="n">
        <v>0</v>
      </c>
      <c r="P695" t="n">
        <v>0</v>
      </c>
      <c r="Q695" t="n">
        <v>0</v>
      </c>
      <c r="R695" s="2" t="inlineStr"/>
    </row>
    <row r="696" ht="15" customHeight="1">
      <c r="A696" t="inlineStr">
        <is>
          <t>A 62504-2023</t>
        </is>
      </c>
      <c r="B696" s="1" t="n">
        <v>45268</v>
      </c>
      <c r="C696" s="1" t="n">
        <v>45927</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43434-2024</t>
        </is>
      </c>
      <c r="B697" s="1" t="n">
        <v>45568.64591435185</v>
      </c>
      <c r="C697" s="1" t="n">
        <v>45927</v>
      </c>
      <c r="D697" t="inlineStr">
        <is>
          <t>VÄSTERBOTTENS LÄN</t>
        </is>
      </c>
      <c r="E697" t="inlineStr">
        <is>
          <t>SKELLEFTEÅ</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10693-2024</t>
        </is>
      </c>
      <c r="B698" s="1" t="n">
        <v>45369</v>
      </c>
      <c r="C698" s="1" t="n">
        <v>45927</v>
      </c>
      <c r="D698" t="inlineStr">
        <is>
          <t>VÄSTERBOTTENS LÄN</t>
        </is>
      </c>
      <c r="E698" t="inlineStr">
        <is>
          <t>SKELLEFTEÅ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8577-2025</t>
        </is>
      </c>
      <c r="B699" s="1" t="n">
        <v>45709.66873842593</v>
      </c>
      <c r="C699" s="1" t="n">
        <v>45927</v>
      </c>
      <c r="D699" t="inlineStr">
        <is>
          <t>VÄSTERBOTTENS LÄN</t>
        </is>
      </c>
      <c r="E699" t="inlineStr">
        <is>
          <t>SKELLEFTEÅ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4700-2025</t>
        </is>
      </c>
      <c r="B700" s="1" t="n">
        <v>45688</v>
      </c>
      <c r="C700" s="1" t="n">
        <v>45927</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38588-2024</t>
        </is>
      </c>
      <c r="B701" s="1" t="n">
        <v>45546.65261574074</v>
      </c>
      <c r="C701" s="1" t="n">
        <v>45927</v>
      </c>
      <c r="D701" t="inlineStr">
        <is>
          <t>VÄSTERBOTTENS LÄN</t>
        </is>
      </c>
      <c r="E701" t="inlineStr">
        <is>
          <t>SKELLEFTEÅ</t>
        </is>
      </c>
      <c r="F701" t="inlineStr">
        <is>
          <t>Holmen skog AB</t>
        </is>
      </c>
      <c r="G701" t="n">
        <v>4.1</v>
      </c>
      <c r="H701" t="n">
        <v>0</v>
      </c>
      <c r="I701" t="n">
        <v>0</v>
      </c>
      <c r="J701" t="n">
        <v>0</v>
      </c>
      <c r="K701" t="n">
        <v>0</v>
      </c>
      <c r="L701" t="n">
        <v>0</v>
      </c>
      <c r="M701" t="n">
        <v>0</v>
      </c>
      <c r="N701" t="n">
        <v>0</v>
      </c>
      <c r="O701" t="n">
        <v>0</v>
      </c>
      <c r="P701" t="n">
        <v>0</v>
      </c>
      <c r="Q701" t="n">
        <v>0</v>
      </c>
      <c r="R701" s="2" t="inlineStr"/>
    </row>
    <row r="702" ht="15" customHeight="1">
      <c r="A702" t="inlineStr">
        <is>
          <t>A 24205-2025</t>
        </is>
      </c>
      <c r="B702" s="1" t="n">
        <v>45797.32711805555</v>
      </c>
      <c r="C702" s="1" t="n">
        <v>45927</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2170-2024</t>
        </is>
      </c>
      <c r="B703" s="1" t="n">
        <v>45309.62446759259</v>
      </c>
      <c r="C703" s="1" t="n">
        <v>45927</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34622-2024</t>
        </is>
      </c>
      <c r="B704" s="1" t="n">
        <v>45526.44155092593</v>
      </c>
      <c r="C704" s="1" t="n">
        <v>45927</v>
      </c>
      <c r="D704" t="inlineStr">
        <is>
          <t>VÄSTERBOTTENS LÄN</t>
        </is>
      </c>
      <c r="E704" t="inlineStr">
        <is>
          <t>SKELLEFTEÅ</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52157-2024</t>
        </is>
      </c>
      <c r="B705" s="1" t="n">
        <v>45608.52555555556</v>
      </c>
      <c r="C705" s="1" t="n">
        <v>45927</v>
      </c>
      <c r="D705" t="inlineStr">
        <is>
          <t>VÄSTERBOTTENS LÄN</t>
        </is>
      </c>
      <c r="E705" t="inlineStr">
        <is>
          <t>SKELLEFTEÅ</t>
        </is>
      </c>
      <c r="F705" t="inlineStr">
        <is>
          <t>Holmen skog AB</t>
        </is>
      </c>
      <c r="G705" t="n">
        <v>10.3</v>
      </c>
      <c r="H705" t="n">
        <v>0</v>
      </c>
      <c r="I705" t="n">
        <v>0</v>
      </c>
      <c r="J705" t="n">
        <v>0</v>
      </c>
      <c r="K705" t="n">
        <v>0</v>
      </c>
      <c r="L705" t="n">
        <v>0</v>
      </c>
      <c r="M705" t="n">
        <v>0</v>
      </c>
      <c r="N705" t="n">
        <v>0</v>
      </c>
      <c r="O705" t="n">
        <v>0</v>
      </c>
      <c r="P705" t="n">
        <v>0</v>
      </c>
      <c r="Q705" t="n">
        <v>0</v>
      </c>
      <c r="R705" s="2" t="inlineStr"/>
    </row>
    <row r="706" ht="15" customHeight="1">
      <c r="A706" t="inlineStr">
        <is>
          <t>A 21077-2024</t>
        </is>
      </c>
      <c r="B706" s="1" t="n">
        <v>45439.92695601852</v>
      </c>
      <c r="C706" s="1" t="n">
        <v>45927</v>
      </c>
      <c r="D706" t="inlineStr">
        <is>
          <t>VÄSTERBOTTENS LÄN</t>
        </is>
      </c>
      <c r="E706" t="inlineStr">
        <is>
          <t>SKELLEFTEÅ</t>
        </is>
      </c>
      <c r="G706" t="n">
        <v>4.3</v>
      </c>
      <c r="H706" t="n">
        <v>0</v>
      </c>
      <c r="I706" t="n">
        <v>0</v>
      </c>
      <c r="J706" t="n">
        <v>0</v>
      </c>
      <c r="K706" t="n">
        <v>0</v>
      </c>
      <c r="L706" t="n">
        <v>0</v>
      </c>
      <c r="M706" t="n">
        <v>0</v>
      </c>
      <c r="N706" t="n">
        <v>0</v>
      </c>
      <c r="O706" t="n">
        <v>0</v>
      </c>
      <c r="P706" t="n">
        <v>0</v>
      </c>
      <c r="Q706" t="n">
        <v>0</v>
      </c>
      <c r="R706" s="2" t="inlineStr"/>
    </row>
    <row r="707" ht="15" customHeight="1">
      <c r="A707" t="inlineStr">
        <is>
          <t>A 42026-2021</t>
        </is>
      </c>
      <c r="B707" s="1" t="n">
        <v>44426.5275925926</v>
      </c>
      <c r="C707" s="1" t="n">
        <v>45927</v>
      </c>
      <c r="D707" t="inlineStr">
        <is>
          <t>VÄSTERBOTTENS LÄN</t>
        </is>
      </c>
      <c r="E707" t="inlineStr">
        <is>
          <t>SKELLEFTEÅ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27627-2024</t>
        </is>
      </c>
      <c r="B708" s="1" t="n">
        <v>45474.9281712963</v>
      </c>
      <c r="C708" s="1" t="n">
        <v>45927</v>
      </c>
      <c r="D708" t="inlineStr">
        <is>
          <t>VÄSTERBOTTENS LÄN</t>
        </is>
      </c>
      <c r="E708" t="inlineStr">
        <is>
          <t>SKELLEFTEÅ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44616-2022</t>
        </is>
      </c>
      <c r="B709" s="1" t="n">
        <v>44839</v>
      </c>
      <c r="C709" s="1" t="n">
        <v>45927</v>
      </c>
      <c r="D709" t="inlineStr">
        <is>
          <t>VÄSTERBOTTENS LÄN</t>
        </is>
      </c>
      <c r="E709" t="inlineStr">
        <is>
          <t>SKELLEFTEÅ</t>
        </is>
      </c>
      <c r="G709" t="n">
        <v>4.8</v>
      </c>
      <c r="H709" t="n">
        <v>0</v>
      </c>
      <c r="I709" t="n">
        <v>0</v>
      </c>
      <c r="J709" t="n">
        <v>0</v>
      </c>
      <c r="K709" t="n">
        <v>0</v>
      </c>
      <c r="L709" t="n">
        <v>0</v>
      </c>
      <c r="M709" t="n">
        <v>0</v>
      </c>
      <c r="N709" t="n">
        <v>0</v>
      </c>
      <c r="O709" t="n">
        <v>0</v>
      </c>
      <c r="P709" t="n">
        <v>0</v>
      </c>
      <c r="Q709" t="n">
        <v>0</v>
      </c>
      <c r="R709" s="2" t="inlineStr"/>
    </row>
    <row r="710" ht="15" customHeight="1">
      <c r="A710" t="inlineStr">
        <is>
          <t>A 63171-2021</t>
        </is>
      </c>
      <c r="B710" s="1" t="n">
        <v>44506</v>
      </c>
      <c r="C710" s="1" t="n">
        <v>45927</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42099-2022</t>
        </is>
      </c>
      <c r="B711" s="1" t="n">
        <v>44827</v>
      </c>
      <c r="C711" s="1" t="n">
        <v>45927</v>
      </c>
      <c r="D711" t="inlineStr">
        <is>
          <t>VÄSTERBOTTENS LÄN</t>
        </is>
      </c>
      <c r="E711" t="inlineStr">
        <is>
          <t>SKELLEFTEÅ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40013-2022</t>
        </is>
      </c>
      <c r="B712" s="1" t="n">
        <v>44820.3971875</v>
      </c>
      <c r="C712" s="1" t="n">
        <v>45927</v>
      </c>
      <c r="D712" t="inlineStr">
        <is>
          <t>VÄSTERBOTTENS LÄN</t>
        </is>
      </c>
      <c r="E712" t="inlineStr">
        <is>
          <t>SKELLEFTEÅ</t>
        </is>
      </c>
      <c r="G712" t="n">
        <v>4.8</v>
      </c>
      <c r="H712" t="n">
        <v>0</v>
      </c>
      <c r="I712" t="n">
        <v>0</v>
      </c>
      <c r="J712" t="n">
        <v>0</v>
      </c>
      <c r="K712" t="n">
        <v>0</v>
      </c>
      <c r="L712" t="n">
        <v>0</v>
      </c>
      <c r="M712" t="n">
        <v>0</v>
      </c>
      <c r="N712" t="n">
        <v>0</v>
      </c>
      <c r="O712" t="n">
        <v>0</v>
      </c>
      <c r="P712" t="n">
        <v>0</v>
      </c>
      <c r="Q712" t="n">
        <v>0</v>
      </c>
      <c r="R712" s="2" t="inlineStr"/>
    </row>
    <row r="713" ht="15" customHeight="1">
      <c r="A713" t="inlineStr">
        <is>
          <t>A 45389-2021</t>
        </is>
      </c>
      <c r="B713" s="1" t="n">
        <v>44440</v>
      </c>
      <c r="C713" s="1" t="n">
        <v>45927</v>
      </c>
      <c r="D713" t="inlineStr">
        <is>
          <t>VÄSTERBOTTENS LÄN</t>
        </is>
      </c>
      <c r="E713" t="inlineStr">
        <is>
          <t>SKELLEFTEÅ</t>
        </is>
      </c>
      <c r="G713" t="n">
        <v>0.3</v>
      </c>
      <c r="H713" t="n">
        <v>0</v>
      </c>
      <c r="I713" t="n">
        <v>0</v>
      </c>
      <c r="J713" t="n">
        <v>0</v>
      </c>
      <c r="K713" t="n">
        <v>0</v>
      </c>
      <c r="L713" t="n">
        <v>0</v>
      </c>
      <c r="M713" t="n">
        <v>0</v>
      </c>
      <c r="N713" t="n">
        <v>0</v>
      </c>
      <c r="O713" t="n">
        <v>0</v>
      </c>
      <c r="P713" t="n">
        <v>0</v>
      </c>
      <c r="Q713" t="n">
        <v>0</v>
      </c>
      <c r="R713" s="2" t="inlineStr"/>
    </row>
    <row r="714" ht="15" customHeight="1">
      <c r="A714" t="inlineStr">
        <is>
          <t>A 36895-2024</t>
        </is>
      </c>
      <c r="B714" s="1" t="n">
        <v>45538.61855324074</v>
      </c>
      <c r="C714" s="1" t="n">
        <v>45927</v>
      </c>
      <c r="D714" t="inlineStr">
        <is>
          <t>VÄSTERBOTTENS LÄN</t>
        </is>
      </c>
      <c r="E714" t="inlineStr">
        <is>
          <t>SKELLEFTEÅ</t>
        </is>
      </c>
      <c r="F714" t="inlineStr">
        <is>
          <t>Holmen skog AB</t>
        </is>
      </c>
      <c r="G714" t="n">
        <v>2.2</v>
      </c>
      <c r="H714" t="n">
        <v>0</v>
      </c>
      <c r="I714" t="n">
        <v>0</v>
      </c>
      <c r="J714" t="n">
        <v>0</v>
      </c>
      <c r="K714" t="n">
        <v>0</v>
      </c>
      <c r="L714" t="n">
        <v>0</v>
      </c>
      <c r="M714" t="n">
        <v>0</v>
      </c>
      <c r="N714" t="n">
        <v>0</v>
      </c>
      <c r="O714" t="n">
        <v>0</v>
      </c>
      <c r="P714" t="n">
        <v>0</v>
      </c>
      <c r="Q714" t="n">
        <v>0</v>
      </c>
      <c r="R714" s="2" t="inlineStr"/>
    </row>
    <row r="715" ht="15" customHeight="1">
      <c r="A715" t="inlineStr">
        <is>
          <t>A 41642-2024</t>
        </is>
      </c>
      <c r="B715" s="1" t="n">
        <v>45560.63359953704</v>
      </c>
      <c r="C715" s="1" t="n">
        <v>45927</v>
      </c>
      <c r="D715" t="inlineStr">
        <is>
          <t>VÄSTERBOTTENS LÄN</t>
        </is>
      </c>
      <c r="E715" t="inlineStr">
        <is>
          <t>SKELLEFTEÅ</t>
        </is>
      </c>
      <c r="F715" t="inlineStr">
        <is>
          <t>Holmen skog AB</t>
        </is>
      </c>
      <c r="G715" t="n">
        <v>4.5</v>
      </c>
      <c r="H715" t="n">
        <v>0</v>
      </c>
      <c r="I715" t="n">
        <v>0</v>
      </c>
      <c r="J715" t="n">
        <v>0</v>
      </c>
      <c r="K715" t="n">
        <v>0</v>
      </c>
      <c r="L715" t="n">
        <v>0</v>
      </c>
      <c r="M715" t="n">
        <v>0</v>
      </c>
      <c r="N715" t="n">
        <v>0</v>
      </c>
      <c r="O715" t="n">
        <v>0</v>
      </c>
      <c r="P715" t="n">
        <v>0</v>
      </c>
      <c r="Q715" t="n">
        <v>0</v>
      </c>
      <c r="R715" s="2" t="inlineStr"/>
    </row>
    <row r="716" ht="15" customHeight="1">
      <c r="A716" t="inlineStr">
        <is>
          <t>A 1933-2023</t>
        </is>
      </c>
      <c r="B716" s="1" t="n">
        <v>44938</v>
      </c>
      <c r="C716" s="1" t="n">
        <v>45927</v>
      </c>
      <c r="D716" t="inlineStr">
        <is>
          <t>VÄSTERBOTTENS LÄN</t>
        </is>
      </c>
      <c r="E716" t="inlineStr">
        <is>
          <t>SKELLEFTEÅ</t>
        </is>
      </c>
      <c r="G716" t="n">
        <v>4.6</v>
      </c>
      <c r="H716" t="n">
        <v>0</v>
      </c>
      <c r="I716" t="n">
        <v>0</v>
      </c>
      <c r="J716" t="n">
        <v>0</v>
      </c>
      <c r="K716" t="n">
        <v>0</v>
      </c>
      <c r="L716" t="n">
        <v>0</v>
      </c>
      <c r="M716" t="n">
        <v>0</v>
      </c>
      <c r="N716" t="n">
        <v>0</v>
      </c>
      <c r="O716" t="n">
        <v>0</v>
      </c>
      <c r="P716" t="n">
        <v>0</v>
      </c>
      <c r="Q716" t="n">
        <v>0</v>
      </c>
      <c r="R716" s="2" t="inlineStr"/>
    </row>
    <row r="717" ht="15" customHeight="1">
      <c r="A717" t="inlineStr">
        <is>
          <t>A 47014-2024</t>
        </is>
      </c>
      <c r="B717" s="1" t="n">
        <v>45586.38862268518</v>
      </c>
      <c r="C717" s="1" t="n">
        <v>45927</v>
      </c>
      <c r="D717" t="inlineStr">
        <is>
          <t>VÄSTERBOTTENS LÄN</t>
        </is>
      </c>
      <c r="E717" t="inlineStr">
        <is>
          <t>SKELLEFTEÅ</t>
        </is>
      </c>
      <c r="G717" t="n">
        <v>14.7</v>
      </c>
      <c r="H717" t="n">
        <v>0</v>
      </c>
      <c r="I717" t="n">
        <v>0</v>
      </c>
      <c r="J717" t="n">
        <v>0</v>
      </c>
      <c r="K717" t="n">
        <v>0</v>
      </c>
      <c r="L717" t="n">
        <v>0</v>
      </c>
      <c r="M717" t="n">
        <v>0</v>
      </c>
      <c r="N717" t="n">
        <v>0</v>
      </c>
      <c r="O717" t="n">
        <v>0</v>
      </c>
      <c r="P717" t="n">
        <v>0</v>
      </c>
      <c r="Q717" t="n">
        <v>0</v>
      </c>
      <c r="R717" s="2" t="inlineStr"/>
    </row>
    <row r="718" ht="15" customHeight="1">
      <c r="A718" t="inlineStr">
        <is>
          <t>A 34063-2023</t>
        </is>
      </c>
      <c r="B718" s="1" t="n">
        <v>45135.4729050926</v>
      </c>
      <c r="C718" s="1" t="n">
        <v>45927</v>
      </c>
      <c r="D718" t="inlineStr">
        <is>
          <t>VÄSTERBOTTENS LÄN</t>
        </is>
      </c>
      <c r="E718" t="inlineStr">
        <is>
          <t>SKELLEFTEÅ</t>
        </is>
      </c>
      <c r="F718" t="inlineStr">
        <is>
          <t>Holmen skog AB</t>
        </is>
      </c>
      <c r="G718" t="n">
        <v>9.5</v>
      </c>
      <c r="H718" t="n">
        <v>0</v>
      </c>
      <c r="I718" t="n">
        <v>0</v>
      </c>
      <c r="J718" t="n">
        <v>0</v>
      </c>
      <c r="K718" t="n">
        <v>0</v>
      </c>
      <c r="L718" t="n">
        <v>0</v>
      </c>
      <c r="M718" t="n">
        <v>0</v>
      </c>
      <c r="N718" t="n">
        <v>0</v>
      </c>
      <c r="O718" t="n">
        <v>0</v>
      </c>
      <c r="P718" t="n">
        <v>0</v>
      </c>
      <c r="Q718" t="n">
        <v>0</v>
      </c>
      <c r="R718" s="2" t="inlineStr"/>
    </row>
    <row r="719" ht="15" customHeight="1">
      <c r="A719" t="inlineStr">
        <is>
          <t>A 58926-2022</t>
        </is>
      </c>
      <c r="B719" s="1" t="n">
        <v>44896</v>
      </c>
      <c r="C719" s="1" t="n">
        <v>45927</v>
      </c>
      <c r="D719" t="inlineStr">
        <is>
          <t>VÄSTERBOTTENS LÄN</t>
        </is>
      </c>
      <c r="E719" t="inlineStr">
        <is>
          <t>SKELLEFTEÅ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19839-2024</t>
        </is>
      </c>
      <c r="B720" s="1" t="n">
        <v>45433</v>
      </c>
      <c r="C720" s="1" t="n">
        <v>45927</v>
      </c>
      <c r="D720" t="inlineStr">
        <is>
          <t>VÄSTERBOTTENS LÄN</t>
        </is>
      </c>
      <c r="E720" t="inlineStr">
        <is>
          <t>SKELLEFTEÅ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21395-2022</t>
        </is>
      </c>
      <c r="B721" s="1" t="n">
        <v>44705.92563657407</v>
      </c>
      <c r="C721" s="1" t="n">
        <v>45927</v>
      </c>
      <c r="D721" t="inlineStr">
        <is>
          <t>VÄSTERBOTTENS LÄN</t>
        </is>
      </c>
      <c r="E721" t="inlineStr">
        <is>
          <t>SKELLEFTEÅ</t>
        </is>
      </c>
      <c r="G721" t="n">
        <v>4.8</v>
      </c>
      <c r="H721" t="n">
        <v>0</v>
      </c>
      <c r="I721" t="n">
        <v>0</v>
      </c>
      <c r="J721" t="n">
        <v>0</v>
      </c>
      <c r="K721" t="n">
        <v>0</v>
      </c>
      <c r="L721" t="n">
        <v>0</v>
      </c>
      <c r="M721" t="n">
        <v>0</v>
      </c>
      <c r="N721" t="n">
        <v>0</v>
      </c>
      <c r="O721" t="n">
        <v>0</v>
      </c>
      <c r="P721" t="n">
        <v>0</v>
      </c>
      <c r="Q721" t="n">
        <v>0</v>
      </c>
      <c r="R721" s="2" t="inlineStr"/>
    </row>
    <row r="722" ht="15" customHeight="1">
      <c r="A722" t="inlineStr">
        <is>
          <t>A 11260-2022</t>
        </is>
      </c>
      <c r="B722" s="1" t="n">
        <v>44629</v>
      </c>
      <c r="C722" s="1" t="n">
        <v>45927</v>
      </c>
      <c r="D722" t="inlineStr">
        <is>
          <t>VÄSTERBOTTENS LÄN</t>
        </is>
      </c>
      <c r="E722" t="inlineStr">
        <is>
          <t>SKELLEFTEÅ</t>
        </is>
      </c>
      <c r="G722" t="n">
        <v>3.3</v>
      </c>
      <c r="H722" t="n">
        <v>0</v>
      </c>
      <c r="I722" t="n">
        <v>0</v>
      </c>
      <c r="J722" t="n">
        <v>0</v>
      </c>
      <c r="K722" t="n">
        <v>0</v>
      </c>
      <c r="L722" t="n">
        <v>0</v>
      </c>
      <c r="M722" t="n">
        <v>0</v>
      </c>
      <c r="N722" t="n">
        <v>0</v>
      </c>
      <c r="O722" t="n">
        <v>0</v>
      </c>
      <c r="P722" t="n">
        <v>0</v>
      </c>
      <c r="Q722" t="n">
        <v>0</v>
      </c>
      <c r="R722" s="2" t="inlineStr"/>
    </row>
    <row r="723" ht="15" customHeight="1">
      <c r="A723" t="inlineStr">
        <is>
          <t>A 5959-2023</t>
        </is>
      </c>
      <c r="B723" s="1" t="n">
        <v>44963.95042824074</v>
      </c>
      <c r="C723" s="1" t="n">
        <v>45927</v>
      </c>
      <c r="D723" t="inlineStr">
        <is>
          <t>VÄSTERBOTTENS LÄN</t>
        </is>
      </c>
      <c r="E723" t="inlineStr">
        <is>
          <t>SKELLEFTEÅ</t>
        </is>
      </c>
      <c r="G723" t="n">
        <v>4.3</v>
      </c>
      <c r="H723" t="n">
        <v>0</v>
      </c>
      <c r="I723" t="n">
        <v>0</v>
      </c>
      <c r="J723" t="n">
        <v>0</v>
      </c>
      <c r="K723" t="n">
        <v>0</v>
      </c>
      <c r="L723" t="n">
        <v>0</v>
      </c>
      <c r="M723" t="n">
        <v>0</v>
      </c>
      <c r="N723" t="n">
        <v>0</v>
      </c>
      <c r="O723" t="n">
        <v>0</v>
      </c>
      <c r="P723" t="n">
        <v>0</v>
      </c>
      <c r="Q723" t="n">
        <v>0</v>
      </c>
      <c r="R723" s="2" t="inlineStr"/>
    </row>
    <row r="724" ht="15" customHeight="1">
      <c r="A724" t="inlineStr">
        <is>
          <t>A 15728-2024</t>
        </is>
      </c>
      <c r="B724" s="1" t="n">
        <v>45404</v>
      </c>
      <c r="C724" s="1" t="n">
        <v>45927</v>
      </c>
      <c r="D724" t="inlineStr">
        <is>
          <t>VÄSTERBOTTENS LÄN</t>
        </is>
      </c>
      <c r="E724" t="inlineStr">
        <is>
          <t>SKELLEFTEÅ</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24264-2025</t>
        </is>
      </c>
      <c r="B725" s="1" t="n">
        <v>45797.42381944445</v>
      </c>
      <c r="C725" s="1" t="n">
        <v>45927</v>
      </c>
      <c r="D725" t="inlineStr">
        <is>
          <t>VÄSTERBOTTENS LÄN</t>
        </is>
      </c>
      <c r="E725" t="inlineStr">
        <is>
          <t>SKELLEFTEÅ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24066-2025</t>
        </is>
      </c>
      <c r="B726" s="1" t="n">
        <v>45796.53686342593</v>
      </c>
      <c r="C726" s="1" t="n">
        <v>45927</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24070-2025</t>
        </is>
      </c>
      <c r="B727" s="1" t="n">
        <v>45796.54060185186</v>
      </c>
      <c r="C727" s="1" t="n">
        <v>45927</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34713-2024</t>
        </is>
      </c>
      <c r="B728" s="1" t="n">
        <v>45526.56255787037</v>
      </c>
      <c r="C728" s="1" t="n">
        <v>45927</v>
      </c>
      <c r="D728" t="inlineStr">
        <is>
          <t>VÄSTERBOTTENS LÄN</t>
        </is>
      </c>
      <c r="E728" t="inlineStr">
        <is>
          <t>SKELLEFTEÅ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8689-2025</t>
        </is>
      </c>
      <c r="B729" s="1" t="n">
        <v>45712</v>
      </c>
      <c r="C729" s="1" t="n">
        <v>45927</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11644-2025</t>
        </is>
      </c>
      <c r="B730" s="1" t="n">
        <v>45727.47341435185</v>
      </c>
      <c r="C730" s="1" t="n">
        <v>45927</v>
      </c>
      <c r="D730" t="inlineStr">
        <is>
          <t>VÄSTERBOTTENS LÄN</t>
        </is>
      </c>
      <c r="E730" t="inlineStr">
        <is>
          <t>SKELLEFTEÅ</t>
        </is>
      </c>
      <c r="G730" t="n">
        <v>3.2</v>
      </c>
      <c r="H730" t="n">
        <v>0</v>
      </c>
      <c r="I730" t="n">
        <v>0</v>
      </c>
      <c r="J730" t="n">
        <v>0</v>
      </c>
      <c r="K730" t="n">
        <v>0</v>
      </c>
      <c r="L730" t="n">
        <v>0</v>
      </c>
      <c r="M730" t="n">
        <v>0</v>
      </c>
      <c r="N730" t="n">
        <v>0</v>
      </c>
      <c r="O730" t="n">
        <v>0</v>
      </c>
      <c r="P730" t="n">
        <v>0</v>
      </c>
      <c r="Q730" t="n">
        <v>0</v>
      </c>
      <c r="R730" s="2" t="inlineStr"/>
    </row>
    <row r="731" ht="15" customHeight="1">
      <c r="A731" t="inlineStr">
        <is>
          <t>A 4956-2025</t>
        </is>
      </c>
      <c r="B731" s="1" t="n">
        <v>45689.57166666666</v>
      </c>
      <c r="C731" s="1" t="n">
        <v>45927</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27631-2022</t>
        </is>
      </c>
      <c r="B732" s="1" t="n">
        <v>44743</v>
      </c>
      <c r="C732" s="1" t="n">
        <v>45927</v>
      </c>
      <c r="D732" t="inlineStr">
        <is>
          <t>VÄSTERBOTTENS LÄN</t>
        </is>
      </c>
      <c r="E732" t="inlineStr">
        <is>
          <t>SKELLEFTEÅ</t>
        </is>
      </c>
      <c r="G732" t="n">
        <v>0.4</v>
      </c>
      <c r="H732" t="n">
        <v>0</v>
      </c>
      <c r="I732" t="n">
        <v>0</v>
      </c>
      <c r="J732" t="n">
        <v>0</v>
      </c>
      <c r="K732" t="n">
        <v>0</v>
      </c>
      <c r="L732" t="n">
        <v>0</v>
      </c>
      <c r="M732" t="n">
        <v>0</v>
      </c>
      <c r="N732" t="n">
        <v>0</v>
      </c>
      <c r="O732" t="n">
        <v>0</v>
      </c>
      <c r="P732" t="n">
        <v>0</v>
      </c>
      <c r="Q732" t="n">
        <v>0</v>
      </c>
      <c r="R732" s="2" t="inlineStr"/>
    </row>
    <row r="733" ht="15" customHeight="1">
      <c r="A733" t="inlineStr">
        <is>
          <t>A 58939-2024</t>
        </is>
      </c>
      <c r="B733" s="1" t="n">
        <v>45636.53543981481</v>
      </c>
      <c r="C733" s="1" t="n">
        <v>45927</v>
      </c>
      <c r="D733" t="inlineStr">
        <is>
          <t>VÄSTERBOTTENS LÄN</t>
        </is>
      </c>
      <c r="E733" t="inlineStr">
        <is>
          <t>SKELLEFTEÅ</t>
        </is>
      </c>
      <c r="G733" t="n">
        <v>13.4</v>
      </c>
      <c r="H733" t="n">
        <v>0</v>
      </c>
      <c r="I733" t="n">
        <v>0</v>
      </c>
      <c r="J733" t="n">
        <v>0</v>
      </c>
      <c r="K733" t="n">
        <v>0</v>
      </c>
      <c r="L733" t="n">
        <v>0</v>
      </c>
      <c r="M733" t="n">
        <v>0</v>
      </c>
      <c r="N733" t="n">
        <v>0</v>
      </c>
      <c r="O733" t="n">
        <v>0</v>
      </c>
      <c r="P733" t="n">
        <v>0</v>
      </c>
      <c r="Q733" t="n">
        <v>0</v>
      </c>
      <c r="R733" s="2" t="inlineStr"/>
    </row>
    <row r="734" ht="15" customHeight="1">
      <c r="A734" t="inlineStr">
        <is>
          <t>A 24142-2025</t>
        </is>
      </c>
      <c r="B734" s="1" t="n">
        <v>45796.64349537037</v>
      </c>
      <c r="C734" s="1" t="n">
        <v>45927</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24068-2025</t>
        </is>
      </c>
      <c r="B735" s="1" t="n">
        <v>45796.53878472222</v>
      </c>
      <c r="C735" s="1" t="n">
        <v>45927</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56203-2023</t>
        </is>
      </c>
      <c r="B736" s="1" t="n">
        <v>45240</v>
      </c>
      <c r="C736" s="1" t="n">
        <v>45927</v>
      </c>
      <c r="D736" t="inlineStr">
        <is>
          <t>VÄSTERBOTTENS LÄN</t>
        </is>
      </c>
      <c r="E736" t="inlineStr">
        <is>
          <t>SKELLEFTEÅ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46181-2022</t>
        </is>
      </c>
      <c r="B737" s="1" t="n">
        <v>44845</v>
      </c>
      <c r="C737" s="1" t="n">
        <v>45927</v>
      </c>
      <c r="D737" t="inlineStr">
        <is>
          <t>VÄSTERBOTTENS LÄN</t>
        </is>
      </c>
      <c r="E737" t="inlineStr">
        <is>
          <t>SKELLEFTEÅ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11994-2025</t>
        </is>
      </c>
      <c r="B738" s="1" t="n">
        <v>45728</v>
      </c>
      <c r="C738" s="1" t="n">
        <v>45927</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53903-2022</t>
        </is>
      </c>
      <c r="B739" s="1" t="n">
        <v>44880</v>
      </c>
      <c r="C739" s="1" t="n">
        <v>45927</v>
      </c>
      <c r="D739" t="inlineStr">
        <is>
          <t>VÄSTERBOTTENS LÄN</t>
        </is>
      </c>
      <c r="E739" t="inlineStr">
        <is>
          <t>SKELLEFTEÅ</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10659-2024</t>
        </is>
      </c>
      <c r="B740" s="1" t="n">
        <v>45369.30447916667</v>
      </c>
      <c r="C740" s="1" t="n">
        <v>45927</v>
      </c>
      <c r="D740" t="inlineStr">
        <is>
          <t>VÄSTERBOTTENS LÄN</t>
        </is>
      </c>
      <c r="E740" t="inlineStr">
        <is>
          <t>SKELLEFTEÅ</t>
        </is>
      </c>
      <c r="G740" t="n">
        <v>3.4</v>
      </c>
      <c r="H740" t="n">
        <v>0</v>
      </c>
      <c r="I740" t="n">
        <v>0</v>
      </c>
      <c r="J740" t="n">
        <v>0</v>
      </c>
      <c r="K740" t="n">
        <v>0</v>
      </c>
      <c r="L740" t="n">
        <v>0</v>
      </c>
      <c r="M740" t="n">
        <v>0</v>
      </c>
      <c r="N740" t="n">
        <v>0</v>
      </c>
      <c r="O740" t="n">
        <v>0</v>
      </c>
      <c r="P740" t="n">
        <v>0</v>
      </c>
      <c r="Q740" t="n">
        <v>0</v>
      </c>
      <c r="R740" s="2" t="inlineStr"/>
    </row>
    <row r="741" ht="15" customHeight="1">
      <c r="A741" t="inlineStr">
        <is>
          <t>A 17561-2025</t>
        </is>
      </c>
      <c r="B741" s="1" t="n">
        <v>45757.63712962963</v>
      </c>
      <c r="C741" s="1" t="n">
        <v>45927</v>
      </c>
      <c r="D741" t="inlineStr">
        <is>
          <t>VÄSTERBOTTENS LÄN</t>
        </is>
      </c>
      <c r="E741" t="inlineStr">
        <is>
          <t>SKELLEFTEÅ</t>
        </is>
      </c>
      <c r="G741" t="n">
        <v>8.6</v>
      </c>
      <c r="H741" t="n">
        <v>0</v>
      </c>
      <c r="I741" t="n">
        <v>0</v>
      </c>
      <c r="J741" t="n">
        <v>0</v>
      </c>
      <c r="K741" t="n">
        <v>0</v>
      </c>
      <c r="L741" t="n">
        <v>0</v>
      </c>
      <c r="M741" t="n">
        <v>0</v>
      </c>
      <c r="N741" t="n">
        <v>0</v>
      </c>
      <c r="O741" t="n">
        <v>0</v>
      </c>
      <c r="P741" t="n">
        <v>0</v>
      </c>
      <c r="Q741" t="n">
        <v>0</v>
      </c>
      <c r="R741" s="2" t="inlineStr"/>
    </row>
    <row r="742" ht="15" customHeight="1">
      <c r="A742" t="inlineStr">
        <is>
          <t>A 36779-2024</t>
        </is>
      </c>
      <c r="B742" s="1" t="n">
        <v>45538.41059027778</v>
      </c>
      <c r="C742" s="1" t="n">
        <v>45927</v>
      </c>
      <c r="D742" t="inlineStr">
        <is>
          <t>VÄSTERBOTTENS LÄN</t>
        </is>
      </c>
      <c r="E742" t="inlineStr">
        <is>
          <t>SKELLEFTEÅ</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8801-2025</t>
        </is>
      </c>
      <c r="B743" s="1" t="n">
        <v>45712.65678240741</v>
      </c>
      <c r="C743" s="1" t="n">
        <v>45927</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45011-2022</t>
        </is>
      </c>
      <c r="B744" s="1" t="n">
        <v>44840</v>
      </c>
      <c r="C744" s="1" t="n">
        <v>45927</v>
      </c>
      <c r="D744" t="inlineStr">
        <is>
          <t>VÄSTERBOTTENS LÄN</t>
        </is>
      </c>
      <c r="E744" t="inlineStr">
        <is>
          <t>SKELLEFTEÅ</t>
        </is>
      </c>
      <c r="G744" t="n">
        <v>4.8</v>
      </c>
      <c r="H744" t="n">
        <v>0</v>
      </c>
      <c r="I744" t="n">
        <v>0</v>
      </c>
      <c r="J744" t="n">
        <v>0</v>
      </c>
      <c r="K744" t="n">
        <v>0</v>
      </c>
      <c r="L744" t="n">
        <v>0</v>
      </c>
      <c r="M744" t="n">
        <v>0</v>
      </c>
      <c r="N744" t="n">
        <v>0</v>
      </c>
      <c r="O744" t="n">
        <v>0</v>
      </c>
      <c r="P744" t="n">
        <v>0</v>
      </c>
      <c r="Q744" t="n">
        <v>0</v>
      </c>
      <c r="R744" s="2" t="inlineStr"/>
    </row>
    <row r="745" ht="15" customHeight="1">
      <c r="A745" t="inlineStr">
        <is>
          <t>A 41231-2024</t>
        </is>
      </c>
      <c r="B745" s="1" t="n">
        <v>45559.56412037037</v>
      </c>
      <c r="C745" s="1" t="n">
        <v>45927</v>
      </c>
      <c r="D745" t="inlineStr">
        <is>
          <t>VÄSTERBOTTENS LÄN</t>
        </is>
      </c>
      <c r="E745" t="inlineStr">
        <is>
          <t>SKELLEFTEÅ</t>
        </is>
      </c>
      <c r="G745" t="n">
        <v>4.2</v>
      </c>
      <c r="H745" t="n">
        <v>0</v>
      </c>
      <c r="I745" t="n">
        <v>0</v>
      </c>
      <c r="J745" t="n">
        <v>0</v>
      </c>
      <c r="K745" t="n">
        <v>0</v>
      </c>
      <c r="L745" t="n">
        <v>0</v>
      </c>
      <c r="M745" t="n">
        <v>0</v>
      </c>
      <c r="N745" t="n">
        <v>0</v>
      </c>
      <c r="O745" t="n">
        <v>0</v>
      </c>
      <c r="P745" t="n">
        <v>0</v>
      </c>
      <c r="Q745" t="n">
        <v>0</v>
      </c>
      <c r="R745" s="2" t="inlineStr"/>
    </row>
    <row r="746" ht="15" customHeight="1">
      <c r="A746" t="inlineStr">
        <is>
          <t>A 31197-2024</t>
        </is>
      </c>
      <c r="B746" s="1" t="n">
        <v>45503.51806712963</v>
      </c>
      <c r="C746" s="1" t="n">
        <v>45927</v>
      </c>
      <c r="D746" t="inlineStr">
        <is>
          <t>VÄSTERBOTTENS LÄN</t>
        </is>
      </c>
      <c r="E746" t="inlineStr">
        <is>
          <t>SKELLEFTEÅ</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54411-2023</t>
        </is>
      </c>
      <c r="B747" s="1" t="n">
        <v>45226</v>
      </c>
      <c r="C747" s="1" t="n">
        <v>45927</v>
      </c>
      <c r="D747" t="inlineStr">
        <is>
          <t>VÄSTERBOTTENS LÄN</t>
        </is>
      </c>
      <c r="E747" t="inlineStr">
        <is>
          <t>SKELLEFTEÅ</t>
        </is>
      </c>
      <c r="G747" t="n">
        <v>2</v>
      </c>
      <c r="H747" t="n">
        <v>0</v>
      </c>
      <c r="I747" t="n">
        <v>0</v>
      </c>
      <c r="J747" t="n">
        <v>0</v>
      </c>
      <c r="K747" t="n">
        <v>0</v>
      </c>
      <c r="L747" t="n">
        <v>0</v>
      </c>
      <c r="M747" t="n">
        <v>0</v>
      </c>
      <c r="N747" t="n">
        <v>0</v>
      </c>
      <c r="O747" t="n">
        <v>0</v>
      </c>
      <c r="P747" t="n">
        <v>0</v>
      </c>
      <c r="Q747" t="n">
        <v>0</v>
      </c>
      <c r="R747" s="2" t="inlineStr"/>
    </row>
    <row r="748" ht="15" customHeight="1">
      <c r="A748" t="inlineStr">
        <is>
          <t>A 10340-2024</t>
        </is>
      </c>
      <c r="B748" s="1" t="n">
        <v>45365</v>
      </c>
      <c r="C748" s="1" t="n">
        <v>45927</v>
      </c>
      <c r="D748" t="inlineStr">
        <is>
          <t>VÄSTERBOTTENS LÄN</t>
        </is>
      </c>
      <c r="E748" t="inlineStr">
        <is>
          <t>SKELLEFTEÅ</t>
        </is>
      </c>
      <c r="G748" t="n">
        <v>6.9</v>
      </c>
      <c r="H748" t="n">
        <v>0</v>
      </c>
      <c r="I748" t="n">
        <v>0</v>
      </c>
      <c r="J748" t="n">
        <v>0</v>
      </c>
      <c r="K748" t="n">
        <v>0</v>
      </c>
      <c r="L748" t="n">
        <v>0</v>
      </c>
      <c r="M748" t="n">
        <v>0</v>
      </c>
      <c r="N748" t="n">
        <v>0</v>
      </c>
      <c r="O748" t="n">
        <v>0</v>
      </c>
      <c r="P748" t="n">
        <v>0</v>
      </c>
      <c r="Q748" t="n">
        <v>0</v>
      </c>
      <c r="R748" s="2" t="inlineStr"/>
    </row>
    <row r="749" ht="15" customHeight="1">
      <c r="A749" t="inlineStr">
        <is>
          <t>A 37669-2022</t>
        </is>
      </c>
      <c r="B749" s="1" t="n">
        <v>44810</v>
      </c>
      <c r="C749" s="1" t="n">
        <v>45927</v>
      </c>
      <c r="D749" t="inlineStr">
        <is>
          <t>VÄSTERBOTTENS LÄN</t>
        </is>
      </c>
      <c r="E749" t="inlineStr">
        <is>
          <t>SKELLEFTEÅ</t>
        </is>
      </c>
      <c r="G749" t="n">
        <v>10.9</v>
      </c>
      <c r="H749" t="n">
        <v>0</v>
      </c>
      <c r="I749" t="n">
        <v>0</v>
      </c>
      <c r="J749" t="n">
        <v>0</v>
      </c>
      <c r="K749" t="n">
        <v>0</v>
      </c>
      <c r="L749" t="n">
        <v>0</v>
      </c>
      <c r="M749" t="n">
        <v>0</v>
      </c>
      <c r="N749" t="n">
        <v>0</v>
      </c>
      <c r="O749" t="n">
        <v>0</v>
      </c>
      <c r="P749" t="n">
        <v>0</v>
      </c>
      <c r="Q749" t="n">
        <v>0</v>
      </c>
      <c r="R749" s="2" t="inlineStr"/>
    </row>
    <row r="750" ht="15" customHeight="1">
      <c r="A750" t="inlineStr">
        <is>
          <t>A 24261-2025</t>
        </is>
      </c>
      <c r="B750" s="1" t="n">
        <v>45797</v>
      </c>
      <c r="C750" s="1" t="n">
        <v>45927</v>
      </c>
      <c r="D750" t="inlineStr">
        <is>
          <t>VÄSTERBOTTENS LÄN</t>
        </is>
      </c>
      <c r="E750" t="inlineStr">
        <is>
          <t>SKELLEFTEÅ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52999-2024</t>
        </is>
      </c>
      <c r="B751" s="1" t="n">
        <v>45611.38667824074</v>
      </c>
      <c r="C751" s="1" t="n">
        <v>45927</v>
      </c>
      <c r="D751" t="inlineStr">
        <is>
          <t>VÄSTERBOTTENS LÄN</t>
        </is>
      </c>
      <c r="E751" t="inlineStr">
        <is>
          <t>SKELLEFTEÅ</t>
        </is>
      </c>
      <c r="G751" t="n">
        <v>6.3</v>
      </c>
      <c r="H751" t="n">
        <v>0</v>
      </c>
      <c r="I751" t="n">
        <v>0</v>
      </c>
      <c r="J751" t="n">
        <v>0</v>
      </c>
      <c r="K751" t="n">
        <v>0</v>
      </c>
      <c r="L751" t="n">
        <v>0</v>
      </c>
      <c r="M751" t="n">
        <v>0</v>
      </c>
      <c r="N751" t="n">
        <v>0</v>
      </c>
      <c r="O751" t="n">
        <v>0</v>
      </c>
      <c r="P751" t="n">
        <v>0</v>
      </c>
      <c r="Q751" t="n">
        <v>0</v>
      </c>
      <c r="R751" s="2" t="inlineStr"/>
    </row>
    <row r="752" ht="15" customHeight="1">
      <c r="A752" t="inlineStr">
        <is>
          <t>A 24061-2025</t>
        </is>
      </c>
      <c r="B752" s="1" t="n">
        <v>45796.52805555556</v>
      </c>
      <c r="C752" s="1" t="n">
        <v>45927</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40442-2023</t>
        </is>
      </c>
      <c r="B753" s="1" t="n">
        <v>45170.27015046297</v>
      </c>
      <c r="C753" s="1" t="n">
        <v>45927</v>
      </c>
      <c r="D753" t="inlineStr">
        <is>
          <t>VÄSTERBOTTENS LÄN</t>
        </is>
      </c>
      <c r="E753" t="inlineStr">
        <is>
          <t>SKELLEFTEÅ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65379-2020</t>
        </is>
      </c>
      <c r="B754" s="1" t="n">
        <v>44173</v>
      </c>
      <c r="C754" s="1" t="n">
        <v>45927</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51478-2023</t>
        </is>
      </c>
      <c r="B755" s="1" t="n">
        <v>45221.89737268518</v>
      </c>
      <c r="C755" s="1" t="n">
        <v>45927</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24065-2025</t>
        </is>
      </c>
      <c r="B756" s="1" t="n">
        <v>45796.5358449074</v>
      </c>
      <c r="C756" s="1" t="n">
        <v>45927</v>
      </c>
      <c r="D756" t="inlineStr">
        <is>
          <t>VÄSTERBOTTENS LÄN</t>
        </is>
      </c>
      <c r="E756" t="inlineStr">
        <is>
          <t>SKELLEFTEÅ</t>
        </is>
      </c>
      <c r="G756" t="n">
        <v>7.5</v>
      </c>
      <c r="H756" t="n">
        <v>0</v>
      </c>
      <c r="I756" t="n">
        <v>0</v>
      </c>
      <c r="J756" t="n">
        <v>0</v>
      </c>
      <c r="K756" t="n">
        <v>0</v>
      </c>
      <c r="L756" t="n">
        <v>0</v>
      </c>
      <c r="M756" t="n">
        <v>0</v>
      </c>
      <c r="N756" t="n">
        <v>0</v>
      </c>
      <c r="O756" t="n">
        <v>0</v>
      </c>
      <c r="P756" t="n">
        <v>0</v>
      </c>
      <c r="Q756" t="n">
        <v>0</v>
      </c>
      <c r="R756" s="2" t="inlineStr"/>
    </row>
    <row r="757" ht="15" customHeight="1">
      <c r="A757" t="inlineStr">
        <is>
          <t>A 44959-2022</t>
        </is>
      </c>
      <c r="B757" s="1" t="n">
        <v>44839</v>
      </c>
      <c r="C757" s="1" t="n">
        <v>45927</v>
      </c>
      <c r="D757" t="inlineStr">
        <is>
          <t>VÄSTERBOTTENS LÄN</t>
        </is>
      </c>
      <c r="E757" t="inlineStr">
        <is>
          <t>SKELLEFTEÅ</t>
        </is>
      </c>
      <c r="G757" t="n">
        <v>17.3</v>
      </c>
      <c r="H757" t="n">
        <v>0</v>
      </c>
      <c r="I757" t="n">
        <v>0</v>
      </c>
      <c r="J757" t="n">
        <v>0</v>
      </c>
      <c r="K757" t="n">
        <v>0</v>
      </c>
      <c r="L757" t="n">
        <v>0</v>
      </c>
      <c r="M757" t="n">
        <v>0</v>
      </c>
      <c r="N757" t="n">
        <v>0</v>
      </c>
      <c r="O757" t="n">
        <v>0</v>
      </c>
      <c r="P757" t="n">
        <v>0</v>
      </c>
      <c r="Q757" t="n">
        <v>0</v>
      </c>
      <c r="R757" s="2" t="inlineStr"/>
    </row>
    <row r="758" ht="15" customHeight="1">
      <c r="A758" t="inlineStr">
        <is>
          <t>A 31006-2023</t>
        </is>
      </c>
      <c r="B758" s="1" t="n">
        <v>45103</v>
      </c>
      <c r="C758" s="1" t="n">
        <v>45927</v>
      </c>
      <c r="D758" t="inlineStr">
        <is>
          <t>VÄSTERBOTTENS LÄN</t>
        </is>
      </c>
      <c r="E758" t="inlineStr">
        <is>
          <t>SKELLEFTEÅ</t>
        </is>
      </c>
      <c r="G758" t="n">
        <v>1.7</v>
      </c>
      <c r="H758" t="n">
        <v>0</v>
      </c>
      <c r="I758" t="n">
        <v>0</v>
      </c>
      <c r="J758" t="n">
        <v>0</v>
      </c>
      <c r="K758" t="n">
        <v>0</v>
      </c>
      <c r="L758" t="n">
        <v>0</v>
      </c>
      <c r="M758" t="n">
        <v>0</v>
      </c>
      <c r="N758" t="n">
        <v>0</v>
      </c>
      <c r="O758" t="n">
        <v>0</v>
      </c>
      <c r="P758" t="n">
        <v>0</v>
      </c>
      <c r="Q758" t="n">
        <v>0</v>
      </c>
      <c r="R758" s="2" t="inlineStr"/>
    </row>
    <row r="759" ht="15" customHeight="1">
      <c r="A759" t="inlineStr">
        <is>
          <t>A 60614-2023</t>
        </is>
      </c>
      <c r="B759" s="1" t="n">
        <v>45260</v>
      </c>
      <c r="C759" s="1" t="n">
        <v>45927</v>
      </c>
      <c r="D759" t="inlineStr">
        <is>
          <t>VÄSTERBOTTENS LÄN</t>
        </is>
      </c>
      <c r="E759" t="inlineStr">
        <is>
          <t>SKELLEFTEÅ</t>
        </is>
      </c>
      <c r="G759" t="n">
        <v>0.4</v>
      </c>
      <c r="H759" t="n">
        <v>0</v>
      </c>
      <c r="I759" t="n">
        <v>0</v>
      </c>
      <c r="J759" t="n">
        <v>0</v>
      </c>
      <c r="K759" t="n">
        <v>0</v>
      </c>
      <c r="L759" t="n">
        <v>0</v>
      </c>
      <c r="M759" t="n">
        <v>0</v>
      </c>
      <c r="N759" t="n">
        <v>0</v>
      </c>
      <c r="O759" t="n">
        <v>0</v>
      </c>
      <c r="P759" t="n">
        <v>0</v>
      </c>
      <c r="Q759" t="n">
        <v>0</v>
      </c>
      <c r="R759" s="2" t="inlineStr"/>
    </row>
    <row r="760" ht="15" customHeight="1">
      <c r="A760" t="inlineStr">
        <is>
          <t>A 42848-2024</t>
        </is>
      </c>
      <c r="B760" s="1" t="n">
        <v>45566.63563657407</v>
      </c>
      <c r="C760" s="1" t="n">
        <v>45927</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42852-2024</t>
        </is>
      </c>
      <c r="B761" s="1" t="n">
        <v>45566.64449074074</v>
      </c>
      <c r="C761" s="1" t="n">
        <v>45927</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42849-2024</t>
        </is>
      </c>
      <c r="B762" s="1" t="n">
        <v>45566.64021990741</v>
      </c>
      <c r="C762" s="1" t="n">
        <v>45927</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51907-2020</t>
        </is>
      </c>
      <c r="B763" s="1" t="n">
        <v>44116</v>
      </c>
      <c r="C763" s="1" t="n">
        <v>45927</v>
      </c>
      <c r="D763" t="inlineStr">
        <is>
          <t>VÄSTERBOTTENS LÄN</t>
        </is>
      </c>
      <c r="E763" t="inlineStr">
        <is>
          <t>SKELLEFTEÅ</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36539-2022</t>
        </is>
      </c>
      <c r="B764" s="1" t="n">
        <v>44804</v>
      </c>
      <c r="C764" s="1" t="n">
        <v>45927</v>
      </c>
      <c r="D764" t="inlineStr">
        <is>
          <t>VÄSTERBOTTENS LÄN</t>
        </is>
      </c>
      <c r="E764" t="inlineStr">
        <is>
          <t>SKELLEFTEÅ</t>
        </is>
      </c>
      <c r="F764" t="inlineStr">
        <is>
          <t>Kommuner</t>
        </is>
      </c>
      <c r="G764" t="n">
        <v>2.7</v>
      </c>
      <c r="H764" t="n">
        <v>0</v>
      </c>
      <c r="I764" t="n">
        <v>0</v>
      </c>
      <c r="J764" t="n">
        <v>0</v>
      </c>
      <c r="K764" t="n">
        <v>0</v>
      </c>
      <c r="L764" t="n">
        <v>0</v>
      </c>
      <c r="M764" t="n">
        <v>0</v>
      </c>
      <c r="N764" t="n">
        <v>0</v>
      </c>
      <c r="O764" t="n">
        <v>0</v>
      </c>
      <c r="P764" t="n">
        <v>0</v>
      </c>
      <c r="Q764" t="n">
        <v>0</v>
      </c>
      <c r="R764" s="2" t="inlineStr"/>
    </row>
    <row r="765" ht="15" customHeight="1">
      <c r="A765" t="inlineStr">
        <is>
          <t>A 24569-2025</t>
        </is>
      </c>
      <c r="B765" s="1" t="n">
        <v>45798.46928240741</v>
      </c>
      <c r="C765" s="1" t="n">
        <v>45927</v>
      </c>
      <c r="D765" t="inlineStr">
        <is>
          <t>VÄSTERBOTTENS LÄN</t>
        </is>
      </c>
      <c r="E765" t="inlineStr">
        <is>
          <t>SKELLEFTEÅ</t>
        </is>
      </c>
      <c r="G765" t="n">
        <v>20.9</v>
      </c>
      <c r="H765" t="n">
        <v>0</v>
      </c>
      <c r="I765" t="n">
        <v>0</v>
      </c>
      <c r="J765" t="n">
        <v>0</v>
      </c>
      <c r="K765" t="n">
        <v>0</v>
      </c>
      <c r="L765" t="n">
        <v>0</v>
      </c>
      <c r="M765" t="n">
        <v>0</v>
      </c>
      <c r="N765" t="n">
        <v>0</v>
      </c>
      <c r="O765" t="n">
        <v>0</v>
      </c>
      <c r="P765" t="n">
        <v>0</v>
      </c>
      <c r="Q765" t="n">
        <v>0</v>
      </c>
      <c r="R765" s="2" t="inlineStr"/>
    </row>
    <row r="766" ht="15" customHeight="1">
      <c r="A766" t="inlineStr">
        <is>
          <t>A 15825-2023</t>
        </is>
      </c>
      <c r="B766" s="1" t="n">
        <v>45021.94521990741</v>
      </c>
      <c r="C766" s="1" t="n">
        <v>45927</v>
      </c>
      <c r="D766" t="inlineStr">
        <is>
          <t>VÄSTERBOTTENS LÄN</t>
        </is>
      </c>
      <c r="E766" t="inlineStr">
        <is>
          <t>SKELLEFTEÅ</t>
        </is>
      </c>
      <c r="F766" t="inlineStr">
        <is>
          <t>SCA</t>
        </is>
      </c>
      <c r="G766" t="n">
        <v>16.8</v>
      </c>
      <c r="H766" t="n">
        <v>0</v>
      </c>
      <c r="I766" t="n">
        <v>0</v>
      </c>
      <c r="J766" t="n">
        <v>0</v>
      </c>
      <c r="K766" t="n">
        <v>0</v>
      </c>
      <c r="L766" t="n">
        <v>0</v>
      </c>
      <c r="M766" t="n">
        <v>0</v>
      </c>
      <c r="N766" t="n">
        <v>0</v>
      </c>
      <c r="O766" t="n">
        <v>0</v>
      </c>
      <c r="P766" t="n">
        <v>0</v>
      </c>
      <c r="Q766" t="n">
        <v>0</v>
      </c>
      <c r="R766" s="2" t="inlineStr"/>
    </row>
    <row r="767" ht="15" customHeight="1">
      <c r="A767" t="inlineStr">
        <is>
          <t>A 48202-2024</t>
        </is>
      </c>
      <c r="B767" s="1" t="n">
        <v>45589</v>
      </c>
      <c r="C767" s="1" t="n">
        <v>45927</v>
      </c>
      <c r="D767" t="inlineStr">
        <is>
          <t>VÄSTERBOTTENS LÄN</t>
        </is>
      </c>
      <c r="E767" t="inlineStr">
        <is>
          <t>SKELLEFTEÅ</t>
        </is>
      </c>
      <c r="G767" t="n">
        <v>3.5</v>
      </c>
      <c r="H767" t="n">
        <v>0</v>
      </c>
      <c r="I767" t="n">
        <v>0</v>
      </c>
      <c r="J767" t="n">
        <v>0</v>
      </c>
      <c r="K767" t="n">
        <v>0</v>
      </c>
      <c r="L767" t="n">
        <v>0</v>
      </c>
      <c r="M767" t="n">
        <v>0</v>
      </c>
      <c r="N767" t="n">
        <v>0</v>
      </c>
      <c r="O767" t="n">
        <v>0</v>
      </c>
      <c r="P767" t="n">
        <v>0</v>
      </c>
      <c r="Q767" t="n">
        <v>0</v>
      </c>
      <c r="R767" s="2" t="inlineStr"/>
    </row>
    <row r="768" ht="15" customHeight="1">
      <c r="A768" t="inlineStr">
        <is>
          <t>A 36201-2024</t>
        </is>
      </c>
      <c r="B768" s="1" t="n">
        <v>45534.43785879629</v>
      </c>
      <c r="C768" s="1" t="n">
        <v>45927</v>
      </c>
      <c r="D768" t="inlineStr">
        <is>
          <t>VÄSTERBOTTENS LÄN</t>
        </is>
      </c>
      <c r="E768" t="inlineStr">
        <is>
          <t>SKELLEFTEÅ</t>
        </is>
      </c>
      <c r="F768" t="inlineStr">
        <is>
          <t>Holmen skog AB</t>
        </is>
      </c>
      <c r="G768" t="n">
        <v>6.2</v>
      </c>
      <c r="H768" t="n">
        <v>0</v>
      </c>
      <c r="I768" t="n">
        <v>0</v>
      </c>
      <c r="J768" t="n">
        <v>0</v>
      </c>
      <c r="K768" t="n">
        <v>0</v>
      </c>
      <c r="L768" t="n">
        <v>0</v>
      </c>
      <c r="M768" t="n">
        <v>0</v>
      </c>
      <c r="N768" t="n">
        <v>0</v>
      </c>
      <c r="O768" t="n">
        <v>0</v>
      </c>
      <c r="P768" t="n">
        <v>0</v>
      </c>
      <c r="Q768" t="n">
        <v>0</v>
      </c>
      <c r="R768" s="2" t="inlineStr"/>
    </row>
    <row r="769" ht="15" customHeight="1">
      <c r="A769" t="inlineStr">
        <is>
          <t>A 36297-2024</t>
        </is>
      </c>
      <c r="B769" s="1" t="n">
        <v>45534.6054050926</v>
      </c>
      <c r="C769" s="1" t="n">
        <v>45927</v>
      </c>
      <c r="D769" t="inlineStr">
        <is>
          <t>VÄSTERBOTTENS LÄN</t>
        </is>
      </c>
      <c r="E769" t="inlineStr">
        <is>
          <t>SKELLEFTEÅ</t>
        </is>
      </c>
      <c r="F769" t="inlineStr">
        <is>
          <t>Sveaskog</t>
        </is>
      </c>
      <c r="G769" t="n">
        <v>20.9</v>
      </c>
      <c r="H769" t="n">
        <v>0</v>
      </c>
      <c r="I769" t="n">
        <v>0</v>
      </c>
      <c r="J769" t="n">
        <v>0</v>
      </c>
      <c r="K769" t="n">
        <v>0</v>
      </c>
      <c r="L769" t="n">
        <v>0</v>
      </c>
      <c r="M769" t="n">
        <v>0</v>
      </c>
      <c r="N769" t="n">
        <v>0</v>
      </c>
      <c r="O769" t="n">
        <v>0</v>
      </c>
      <c r="P769" t="n">
        <v>0</v>
      </c>
      <c r="Q769" t="n">
        <v>0</v>
      </c>
      <c r="R769" s="2" t="inlineStr"/>
    </row>
    <row r="770" ht="15" customHeight="1">
      <c r="A770" t="inlineStr">
        <is>
          <t>A 44968-2024</t>
        </is>
      </c>
      <c r="B770" s="1" t="n">
        <v>45575.45949074074</v>
      </c>
      <c r="C770" s="1" t="n">
        <v>45927</v>
      </c>
      <c r="D770" t="inlineStr">
        <is>
          <t>VÄSTERBOTTENS LÄN</t>
        </is>
      </c>
      <c r="E770" t="inlineStr">
        <is>
          <t>SKELLEFTEÅ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9233-2024</t>
        </is>
      </c>
      <c r="B771" s="1" t="n">
        <v>45358</v>
      </c>
      <c r="C771" s="1" t="n">
        <v>45927</v>
      </c>
      <c r="D771" t="inlineStr">
        <is>
          <t>VÄSTERBOTTENS LÄN</t>
        </is>
      </c>
      <c r="E771" t="inlineStr">
        <is>
          <t>SKELLEFTEÅ</t>
        </is>
      </c>
      <c r="G771" t="n">
        <v>3.6</v>
      </c>
      <c r="H771" t="n">
        <v>0</v>
      </c>
      <c r="I771" t="n">
        <v>0</v>
      </c>
      <c r="J771" t="n">
        <v>0</v>
      </c>
      <c r="K771" t="n">
        <v>0</v>
      </c>
      <c r="L771" t="n">
        <v>0</v>
      </c>
      <c r="M771" t="n">
        <v>0</v>
      </c>
      <c r="N771" t="n">
        <v>0</v>
      </c>
      <c r="O771" t="n">
        <v>0</v>
      </c>
      <c r="P771" t="n">
        <v>0</v>
      </c>
      <c r="Q771" t="n">
        <v>0</v>
      </c>
      <c r="R771" s="2" t="inlineStr"/>
    </row>
    <row r="772" ht="15" customHeight="1">
      <c r="A772" t="inlineStr">
        <is>
          <t>A 7943-2024</t>
        </is>
      </c>
      <c r="B772" s="1" t="n">
        <v>45350.53173611111</v>
      </c>
      <c r="C772" s="1" t="n">
        <v>45927</v>
      </c>
      <c r="D772" t="inlineStr">
        <is>
          <t>VÄSTERBOTTENS LÄN</t>
        </is>
      </c>
      <c r="E772" t="inlineStr">
        <is>
          <t>SKELLEFTEÅ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12763-2024</t>
        </is>
      </c>
      <c r="B773" s="1" t="n">
        <v>45384</v>
      </c>
      <c r="C773" s="1" t="n">
        <v>45927</v>
      </c>
      <c r="D773" t="inlineStr">
        <is>
          <t>VÄSTERBOTTENS LÄN</t>
        </is>
      </c>
      <c r="E773" t="inlineStr">
        <is>
          <t>SKELLEFTEÅ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25046-2025</t>
        </is>
      </c>
      <c r="B774" s="1" t="n">
        <v>45799.6671412037</v>
      </c>
      <c r="C774" s="1" t="n">
        <v>45927</v>
      </c>
      <c r="D774" t="inlineStr">
        <is>
          <t>VÄSTERBOTTENS LÄN</t>
        </is>
      </c>
      <c r="E774" t="inlineStr">
        <is>
          <t>SKELLEFTEÅ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4292-2024</t>
        </is>
      </c>
      <c r="B775" s="1" t="n">
        <v>45324.6081712963</v>
      </c>
      <c r="C775" s="1" t="n">
        <v>45927</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18023-2025</t>
        </is>
      </c>
      <c r="B776" s="1" t="n">
        <v>45761.44642361111</v>
      </c>
      <c r="C776" s="1" t="n">
        <v>45927</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2840-2024</t>
        </is>
      </c>
      <c r="B777" s="1" t="n">
        <v>45315</v>
      </c>
      <c r="C777" s="1" t="n">
        <v>45927</v>
      </c>
      <c r="D777" t="inlineStr">
        <is>
          <t>VÄSTERBOTTENS LÄN</t>
        </is>
      </c>
      <c r="E777" t="inlineStr">
        <is>
          <t>SKELLEFTEÅ</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57245-2024</t>
        </is>
      </c>
      <c r="B778" s="1" t="n">
        <v>45629.55153935185</v>
      </c>
      <c r="C778" s="1" t="n">
        <v>45927</v>
      </c>
      <c r="D778" t="inlineStr">
        <is>
          <t>VÄSTERBOTTENS LÄN</t>
        </is>
      </c>
      <c r="E778" t="inlineStr">
        <is>
          <t>SKELLEFTEÅ</t>
        </is>
      </c>
      <c r="F778" t="inlineStr">
        <is>
          <t>Sveaskog</t>
        </is>
      </c>
      <c r="G778" t="n">
        <v>15.6</v>
      </c>
      <c r="H778" t="n">
        <v>0</v>
      </c>
      <c r="I778" t="n">
        <v>0</v>
      </c>
      <c r="J778" t="n">
        <v>0</v>
      </c>
      <c r="K778" t="n">
        <v>0</v>
      </c>
      <c r="L778" t="n">
        <v>0</v>
      </c>
      <c r="M778" t="n">
        <v>0</v>
      </c>
      <c r="N778" t="n">
        <v>0</v>
      </c>
      <c r="O778" t="n">
        <v>0</v>
      </c>
      <c r="P778" t="n">
        <v>0</v>
      </c>
      <c r="Q778" t="n">
        <v>0</v>
      </c>
      <c r="R778" s="2" t="inlineStr"/>
    </row>
    <row r="779" ht="15" customHeight="1">
      <c r="A779" t="inlineStr">
        <is>
          <t>A 38577-2023</t>
        </is>
      </c>
      <c r="B779" s="1" t="n">
        <v>45161</v>
      </c>
      <c r="C779" s="1" t="n">
        <v>45927</v>
      </c>
      <c r="D779" t="inlineStr">
        <is>
          <t>VÄSTERBOTTENS LÄN</t>
        </is>
      </c>
      <c r="E779" t="inlineStr">
        <is>
          <t>SKELLEFTEÅ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47534-2023</t>
        </is>
      </c>
      <c r="B780" s="1" t="n">
        <v>45203.36484953704</v>
      </c>
      <c r="C780" s="1" t="n">
        <v>45927</v>
      </c>
      <c r="D780" t="inlineStr">
        <is>
          <t>VÄSTERBOTTENS LÄN</t>
        </is>
      </c>
      <c r="E780" t="inlineStr">
        <is>
          <t>SKELLEFTEÅ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15301-2025</t>
        </is>
      </c>
      <c r="B781" s="1" t="n">
        <v>45746.47777777778</v>
      </c>
      <c r="C781" s="1" t="n">
        <v>45927</v>
      </c>
      <c r="D781" t="inlineStr">
        <is>
          <t>VÄSTERBOTTENS LÄN</t>
        </is>
      </c>
      <c r="E781" t="inlineStr">
        <is>
          <t>SKELLEFTEÅ</t>
        </is>
      </c>
      <c r="G781" t="n">
        <v>4.1</v>
      </c>
      <c r="H781" t="n">
        <v>0</v>
      </c>
      <c r="I781" t="n">
        <v>0</v>
      </c>
      <c r="J781" t="n">
        <v>0</v>
      </c>
      <c r="K781" t="n">
        <v>0</v>
      </c>
      <c r="L781" t="n">
        <v>0</v>
      </c>
      <c r="M781" t="n">
        <v>0</v>
      </c>
      <c r="N781" t="n">
        <v>0</v>
      </c>
      <c r="O781" t="n">
        <v>0</v>
      </c>
      <c r="P781" t="n">
        <v>0</v>
      </c>
      <c r="Q781" t="n">
        <v>0</v>
      </c>
      <c r="R781" s="2" t="inlineStr"/>
    </row>
    <row r="782" ht="15" customHeight="1">
      <c r="A782" t="inlineStr">
        <is>
          <t>A 61584-2024</t>
        </is>
      </c>
      <c r="B782" s="1" t="n">
        <v>45646.62739583333</v>
      </c>
      <c r="C782" s="1" t="n">
        <v>45927</v>
      </c>
      <c r="D782" t="inlineStr">
        <is>
          <t>VÄSTERBOTTENS LÄN</t>
        </is>
      </c>
      <c r="E782" t="inlineStr">
        <is>
          <t>SKELLEFTEÅ</t>
        </is>
      </c>
      <c r="F782" t="inlineStr">
        <is>
          <t>Sveaskog</t>
        </is>
      </c>
      <c r="G782" t="n">
        <v>7.1</v>
      </c>
      <c r="H782" t="n">
        <v>0</v>
      </c>
      <c r="I782" t="n">
        <v>0</v>
      </c>
      <c r="J782" t="n">
        <v>0</v>
      </c>
      <c r="K782" t="n">
        <v>0</v>
      </c>
      <c r="L782" t="n">
        <v>0</v>
      </c>
      <c r="M782" t="n">
        <v>0</v>
      </c>
      <c r="N782" t="n">
        <v>0</v>
      </c>
      <c r="O782" t="n">
        <v>0</v>
      </c>
      <c r="P782" t="n">
        <v>0</v>
      </c>
      <c r="Q782" t="n">
        <v>0</v>
      </c>
      <c r="R782" s="2" t="inlineStr"/>
    </row>
    <row r="783" ht="15" customHeight="1">
      <c r="A783" t="inlineStr">
        <is>
          <t>A 24728-2025</t>
        </is>
      </c>
      <c r="B783" s="1" t="n">
        <v>45799</v>
      </c>
      <c r="C783" s="1" t="n">
        <v>45927</v>
      </c>
      <c r="D783" t="inlineStr">
        <is>
          <t>VÄSTERBOTTENS LÄN</t>
        </is>
      </c>
      <c r="E783" t="inlineStr">
        <is>
          <t>SKELLEFTEÅ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2486-2022</t>
        </is>
      </c>
      <c r="B784" s="1" t="n">
        <v>44579</v>
      </c>
      <c r="C784" s="1" t="n">
        <v>45927</v>
      </c>
      <c r="D784" t="inlineStr">
        <is>
          <t>VÄSTERBOTTENS LÄN</t>
        </is>
      </c>
      <c r="E784" t="inlineStr">
        <is>
          <t>SKELLEFTEÅ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24825-2025</t>
        </is>
      </c>
      <c r="B785" s="1" t="n">
        <v>45799.45575231482</v>
      </c>
      <c r="C785" s="1" t="n">
        <v>45927</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30959-2021</t>
        </is>
      </c>
      <c r="B786" s="1" t="n">
        <v>44365.71322916666</v>
      </c>
      <c r="C786" s="1" t="n">
        <v>45927</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46731-2024</t>
        </is>
      </c>
      <c r="B787" s="1" t="n">
        <v>45583</v>
      </c>
      <c r="C787" s="1" t="n">
        <v>45927</v>
      </c>
      <c r="D787" t="inlineStr">
        <is>
          <t>VÄSTERBOTTENS LÄN</t>
        </is>
      </c>
      <c r="E787" t="inlineStr">
        <is>
          <t>SKELLEFTEÅ</t>
        </is>
      </c>
      <c r="F787" t="inlineStr">
        <is>
          <t>Holmen skog AB</t>
        </is>
      </c>
      <c r="G787" t="n">
        <v>3.7</v>
      </c>
      <c r="H787" t="n">
        <v>0</v>
      </c>
      <c r="I787" t="n">
        <v>0</v>
      </c>
      <c r="J787" t="n">
        <v>0</v>
      </c>
      <c r="K787" t="n">
        <v>0</v>
      </c>
      <c r="L787" t="n">
        <v>0</v>
      </c>
      <c r="M787" t="n">
        <v>0</v>
      </c>
      <c r="N787" t="n">
        <v>0</v>
      </c>
      <c r="O787" t="n">
        <v>0</v>
      </c>
      <c r="P787" t="n">
        <v>0</v>
      </c>
      <c r="Q787" t="n">
        <v>0</v>
      </c>
      <c r="R787" s="2" t="inlineStr"/>
    </row>
    <row r="788" ht="15" customHeight="1">
      <c r="A788" t="inlineStr">
        <is>
          <t>A 57362-2022</t>
        </is>
      </c>
      <c r="B788" s="1" t="n">
        <v>44896.43010416667</v>
      </c>
      <c r="C788" s="1" t="n">
        <v>45927</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57406-2022</t>
        </is>
      </c>
      <c r="B789" s="1" t="n">
        <v>44893</v>
      </c>
      <c r="C789" s="1" t="n">
        <v>45927</v>
      </c>
      <c r="D789" t="inlineStr">
        <is>
          <t>VÄSTERBOTTENS LÄN</t>
        </is>
      </c>
      <c r="E789" t="inlineStr">
        <is>
          <t>SKELLEFTEÅ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12842-2025</t>
        </is>
      </c>
      <c r="B790" s="1" t="n">
        <v>45733.64532407407</v>
      </c>
      <c r="C790" s="1" t="n">
        <v>45927</v>
      </c>
      <c r="D790" t="inlineStr">
        <is>
          <t>VÄSTERBOTTENS LÄN</t>
        </is>
      </c>
      <c r="E790" t="inlineStr">
        <is>
          <t>SKELLEFTEÅ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18070-2022</t>
        </is>
      </c>
      <c r="B791" s="1" t="n">
        <v>44684</v>
      </c>
      <c r="C791" s="1" t="n">
        <v>45927</v>
      </c>
      <c r="D791" t="inlineStr">
        <is>
          <t>VÄSTERBOTTENS LÄN</t>
        </is>
      </c>
      <c r="E791" t="inlineStr">
        <is>
          <t>SKELLEFTEÅ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48361-2023</t>
        </is>
      </c>
      <c r="B792" s="1" t="n">
        <v>45205.64600694444</v>
      </c>
      <c r="C792" s="1" t="n">
        <v>45927</v>
      </c>
      <c r="D792" t="inlineStr">
        <is>
          <t>VÄSTERBOTTENS LÄN</t>
        </is>
      </c>
      <c r="E792" t="inlineStr">
        <is>
          <t>SKELLEFTEÅ</t>
        </is>
      </c>
      <c r="G792" t="n">
        <v>0.8</v>
      </c>
      <c r="H792" t="n">
        <v>0</v>
      </c>
      <c r="I792" t="n">
        <v>0</v>
      </c>
      <c r="J792" t="n">
        <v>0</v>
      </c>
      <c r="K792" t="n">
        <v>0</v>
      </c>
      <c r="L792" t="n">
        <v>0</v>
      </c>
      <c r="M792" t="n">
        <v>0</v>
      </c>
      <c r="N792" t="n">
        <v>0</v>
      </c>
      <c r="O792" t="n">
        <v>0</v>
      </c>
      <c r="P792" t="n">
        <v>0</v>
      </c>
      <c r="Q792" t="n">
        <v>0</v>
      </c>
      <c r="R792" s="2" t="inlineStr"/>
    </row>
    <row r="793" ht="15" customHeight="1">
      <c r="A793" t="inlineStr">
        <is>
          <t>A 2354-2025</t>
        </is>
      </c>
      <c r="B793" s="1" t="n">
        <v>45673</v>
      </c>
      <c r="C793" s="1" t="n">
        <v>45927</v>
      </c>
      <c r="D793" t="inlineStr">
        <is>
          <t>VÄSTERBOTTENS LÄN</t>
        </is>
      </c>
      <c r="E793" t="inlineStr">
        <is>
          <t>SKELLEFTEÅ</t>
        </is>
      </c>
      <c r="G793" t="n">
        <v>6.7</v>
      </c>
      <c r="H793" t="n">
        <v>0</v>
      </c>
      <c r="I793" t="n">
        <v>0</v>
      </c>
      <c r="J793" t="n">
        <v>0</v>
      </c>
      <c r="K793" t="n">
        <v>0</v>
      </c>
      <c r="L793" t="n">
        <v>0</v>
      </c>
      <c r="M793" t="n">
        <v>0</v>
      </c>
      <c r="N793" t="n">
        <v>0</v>
      </c>
      <c r="O793" t="n">
        <v>0</v>
      </c>
      <c r="P793" t="n">
        <v>0</v>
      </c>
      <c r="Q793" t="n">
        <v>0</v>
      </c>
      <c r="R793" s="2" t="inlineStr"/>
    </row>
    <row r="794" ht="15" customHeight="1">
      <c r="A794" t="inlineStr">
        <is>
          <t>A 24858-2025</t>
        </is>
      </c>
      <c r="B794" s="1" t="n">
        <v>45799.47877314815</v>
      </c>
      <c r="C794" s="1" t="n">
        <v>45927</v>
      </c>
      <c r="D794" t="inlineStr">
        <is>
          <t>VÄSTERBOTTENS LÄN</t>
        </is>
      </c>
      <c r="E794" t="inlineStr">
        <is>
          <t>SKELLEFTEÅ</t>
        </is>
      </c>
      <c r="F794" t="inlineStr">
        <is>
          <t>Holmen skog AB</t>
        </is>
      </c>
      <c r="G794" t="n">
        <v>2.1</v>
      </c>
      <c r="H794" t="n">
        <v>0</v>
      </c>
      <c r="I794" t="n">
        <v>0</v>
      </c>
      <c r="J794" t="n">
        <v>0</v>
      </c>
      <c r="K794" t="n">
        <v>0</v>
      </c>
      <c r="L794" t="n">
        <v>0</v>
      </c>
      <c r="M794" t="n">
        <v>0</v>
      </c>
      <c r="N794" t="n">
        <v>0</v>
      </c>
      <c r="O794" t="n">
        <v>0</v>
      </c>
      <c r="P794" t="n">
        <v>0</v>
      </c>
      <c r="Q794" t="n">
        <v>0</v>
      </c>
      <c r="R794" s="2" t="inlineStr"/>
    </row>
    <row r="795" ht="15" customHeight="1">
      <c r="A795" t="inlineStr">
        <is>
          <t>A 45036-2021</t>
        </is>
      </c>
      <c r="B795" s="1" t="n">
        <v>44438</v>
      </c>
      <c r="C795" s="1" t="n">
        <v>45927</v>
      </c>
      <c r="D795" t="inlineStr">
        <is>
          <t>VÄSTERBOTTENS LÄN</t>
        </is>
      </c>
      <c r="E795" t="inlineStr">
        <is>
          <t>SKELLEFTEÅ</t>
        </is>
      </c>
      <c r="G795" t="n">
        <v>5.1</v>
      </c>
      <c r="H795" t="n">
        <v>0</v>
      </c>
      <c r="I795" t="n">
        <v>0</v>
      </c>
      <c r="J795" t="n">
        <v>0</v>
      </c>
      <c r="K795" t="n">
        <v>0</v>
      </c>
      <c r="L795" t="n">
        <v>0</v>
      </c>
      <c r="M795" t="n">
        <v>0</v>
      </c>
      <c r="N795" t="n">
        <v>0</v>
      </c>
      <c r="O795" t="n">
        <v>0</v>
      </c>
      <c r="P795" t="n">
        <v>0</v>
      </c>
      <c r="Q795" t="n">
        <v>0</v>
      </c>
      <c r="R795" s="2" t="inlineStr"/>
    </row>
    <row r="796" ht="15" customHeight="1">
      <c r="A796" t="inlineStr">
        <is>
          <t>A 15740-2022</t>
        </is>
      </c>
      <c r="B796" s="1" t="n">
        <v>44663.51881944444</v>
      </c>
      <c r="C796" s="1" t="n">
        <v>45927</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16653-2022</t>
        </is>
      </c>
      <c r="B797" s="1" t="n">
        <v>44672</v>
      </c>
      <c r="C797" s="1" t="n">
        <v>45927</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65011-2023</t>
        </is>
      </c>
      <c r="B798" s="1" t="n">
        <v>45287.38302083333</v>
      </c>
      <c r="C798" s="1" t="n">
        <v>45927</v>
      </c>
      <c r="D798" t="inlineStr">
        <is>
          <t>VÄSTERBOTTENS LÄN</t>
        </is>
      </c>
      <c r="E798" t="inlineStr">
        <is>
          <t>SKELLEFTEÅ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59406-2020</t>
        </is>
      </c>
      <c r="B799" s="1" t="n">
        <v>44147</v>
      </c>
      <c r="C799" s="1" t="n">
        <v>45927</v>
      </c>
      <c r="D799" t="inlineStr">
        <is>
          <t>VÄSTERBOTTENS LÄN</t>
        </is>
      </c>
      <c r="E799" t="inlineStr">
        <is>
          <t>SKELLEFTEÅ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24829-2025</t>
        </is>
      </c>
      <c r="B800" s="1" t="n">
        <v>45799.45777777778</v>
      </c>
      <c r="C800" s="1" t="n">
        <v>45927</v>
      </c>
      <c r="D800" t="inlineStr">
        <is>
          <t>VÄSTERBOTTENS LÄN</t>
        </is>
      </c>
      <c r="E800" t="inlineStr">
        <is>
          <t>SKELLEFTEÅ</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39553-2021</t>
        </is>
      </c>
      <c r="B801" s="1" t="n">
        <v>44416</v>
      </c>
      <c r="C801" s="1" t="n">
        <v>45927</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160-2025</t>
        </is>
      </c>
      <c r="B802" s="1" t="n">
        <v>45649</v>
      </c>
      <c r="C802" s="1" t="n">
        <v>45927</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14983-2023</t>
        </is>
      </c>
      <c r="B803" s="1" t="n">
        <v>45014</v>
      </c>
      <c r="C803" s="1" t="n">
        <v>45927</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56435-2022</t>
        </is>
      </c>
      <c r="B804" s="1" t="n">
        <v>44892.39662037037</v>
      </c>
      <c r="C804" s="1" t="n">
        <v>45927</v>
      </c>
      <c r="D804" t="inlineStr">
        <is>
          <t>VÄSTERBOTTENS LÄN</t>
        </is>
      </c>
      <c r="E804" t="inlineStr">
        <is>
          <t>SKELLEFTEÅ</t>
        </is>
      </c>
      <c r="G804" t="n">
        <v>3.6</v>
      </c>
      <c r="H804" t="n">
        <v>0</v>
      </c>
      <c r="I804" t="n">
        <v>0</v>
      </c>
      <c r="J804" t="n">
        <v>0</v>
      </c>
      <c r="K804" t="n">
        <v>0</v>
      </c>
      <c r="L804" t="n">
        <v>0</v>
      </c>
      <c r="M804" t="n">
        <v>0</v>
      </c>
      <c r="N804" t="n">
        <v>0</v>
      </c>
      <c r="O804" t="n">
        <v>0</v>
      </c>
      <c r="P804" t="n">
        <v>0</v>
      </c>
      <c r="Q804" t="n">
        <v>0</v>
      </c>
      <c r="R804" s="2" t="inlineStr"/>
    </row>
    <row r="805" ht="15" customHeight="1">
      <c r="A805" t="inlineStr">
        <is>
          <t>A 3045-2024</t>
        </is>
      </c>
      <c r="B805" s="1" t="n">
        <v>45316</v>
      </c>
      <c r="C805" s="1" t="n">
        <v>45927</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30719-2021</t>
        </is>
      </c>
      <c r="B806" s="1" t="n">
        <v>44365.43997685185</v>
      </c>
      <c r="C806" s="1" t="n">
        <v>45927</v>
      </c>
      <c r="D806" t="inlineStr">
        <is>
          <t>VÄSTERBOTTENS LÄN</t>
        </is>
      </c>
      <c r="E806" t="inlineStr">
        <is>
          <t>SKELLEFTEÅ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7025-2025</t>
        </is>
      </c>
      <c r="B807" s="1" t="n">
        <v>45701.62719907407</v>
      </c>
      <c r="C807" s="1" t="n">
        <v>45927</v>
      </c>
      <c r="D807" t="inlineStr">
        <is>
          <t>VÄSTERBOTTENS LÄN</t>
        </is>
      </c>
      <c r="E807" t="inlineStr">
        <is>
          <t>SKELLEFTEÅ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14238-2025</t>
        </is>
      </c>
      <c r="B808" s="1" t="n">
        <v>45740.6105787037</v>
      </c>
      <c r="C808" s="1" t="n">
        <v>45927</v>
      </c>
      <c r="D808" t="inlineStr">
        <is>
          <t>VÄSTERBOTTENS LÄN</t>
        </is>
      </c>
      <c r="E808" t="inlineStr">
        <is>
          <t>SKELLEFTEÅ</t>
        </is>
      </c>
      <c r="G808" t="n">
        <v>10.1</v>
      </c>
      <c r="H808" t="n">
        <v>0</v>
      </c>
      <c r="I808" t="n">
        <v>0</v>
      </c>
      <c r="J808" t="n">
        <v>0</v>
      </c>
      <c r="K808" t="n">
        <v>0</v>
      </c>
      <c r="L808" t="n">
        <v>0</v>
      </c>
      <c r="M808" t="n">
        <v>0</v>
      </c>
      <c r="N808" t="n">
        <v>0</v>
      </c>
      <c r="O808" t="n">
        <v>0</v>
      </c>
      <c r="P808" t="n">
        <v>0</v>
      </c>
      <c r="Q808" t="n">
        <v>0</v>
      </c>
      <c r="R808" s="2" t="inlineStr"/>
    </row>
    <row r="809" ht="15" customHeight="1">
      <c r="A809" t="inlineStr">
        <is>
          <t>A 24727-2025</t>
        </is>
      </c>
      <c r="B809" s="1" t="n">
        <v>45799.33260416667</v>
      </c>
      <c r="C809" s="1" t="n">
        <v>45927</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42109-2022</t>
        </is>
      </c>
      <c r="B810" s="1" t="n">
        <v>44827</v>
      </c>
      <c r="C810" s="1" t="n">
        <v>45927</v>
      </c>
      <c r="D810" t="inlineStr">
        <is>
          <t>VÄSTERBOTTENS LÄN</t>
        </is>
      </c>
      <c r="E810" t="inlineStr">
        <is>
          <t>SKELLEFTEÅ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36792-2024</t>
        </is>
      </c>
      <c r="B811" s="1" t="n">
        <v>45538.44001157407</v>
      </c>
      <c r="C811" s="1" t="n">
        <v>45927</v>
      </c>
      <c r="D811" t="inlineStr">
        <is>
          <t>VÄSTERBOTTENS LÄN</t>
        </is>
      </c>
      <c r="E811" t="inlineStr">
        <is>
          <t>SKELLEFTEÅ</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36794-2024</t>
        </is>
      </c>
      <c r="B812" s="1" t="n">
        <v>45538.44354166667</v>
      </c>
      <c r="C812" s="1" t="n">
        <v>45927</v>
      </c>
      <c r="D812" t="inlineStr">
        <is>
          <t>VÄSTERBOTTENS LÄN</t>
        </is>
      </c>
      <c r="E812" t="inlineStr">
        <is>
          <t>SKELLEFTEÅ</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12515-2024</t>
        </is>
      </c>
      <c r="B813" s="1" t="n">
        <v>45379</v>
      </c>
      <c r="C813" s="1" t="n">
        <v>45927</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3852-2023</t>
        </is>
      </c>
      <c r="B814" s="1" t="n">
        <v>44950</v>
      </c>
      <c r="C814" s="1" t="n">
        <v>45927</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58960-2024</t>
        </is>
      </c>
      <c r="B815" s="1" t="n">
        <v>45635</v>
      </c>
      <c r="C815" s="1" t="n">
        <v>45927</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25688-2025</t>
        </is>
      </c>
      <c r="B816" s="1" t="n">
        <v>45800</v>
      </c>
      <c r="C816" s="1" t="n">
        <v>45927</v>
      </c>
      <c r="D816" t="inlineStr">
        <is>
          <t>VÄSTERBOTTENS LÄN</t>
        </is>
      </c>
      <c r="E816" t="inlineStr">
        <is>
          <t>SKELLEFTEÅ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22121-2023</t>
        </is>
      </c>
      <c r="B817" s="1" t="n">
        <v>45069.57740740741</v>
      </c>
      <c r="C817" s="1" t="n">
        <v>45927</v>
      </c>
      <c r="D817" t="inlineStr">
        <is>
          <t>VÄSTERBOTTENS LÄN</t>
        </is>
      </c>
      <c r="E817" t="inlineStr">
        <is>
          <t>SKELLEFTEÅ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60134-2024</t>
        </is>
      </c>
      <c r="B818" s="1" t="n">
        <v>45642.60092592592</v>
      </c>
      <c r="C818" s="1" t="n">
        <v>45927</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25525-2025</t>
        </is>
      </c>
      <c r="B819" s="1" t="n">
        <v>45803.3865162037</v>
      </c>
      <c r="C819" s="1" t="n">
        <v>45927</v>
      </c>
      <c r="D819" t="inlineStr">
        <is>
          <t>VÄSTERBOTTENS LÄN</t>
        </is>
      </c>
      <c r="E819" t="inlineStr">
        <is>
          <t>SKELLEFTEÅ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25542-2025</t>
        </is>
      </c>
      <c r="B820" s="1" t="n">
        <v>45803.42774305555</v>
      </c>
      <c r="C820" s="1" t="n">
        <v>45927</v>
      </c>
      <c r="D820" t="inlineStr">
        <is>
          <t>VÄSTERBOTTENS LÄN</t>
        </is>
      </c>
      <c r="E820" t="inlineStr">
        <is>
          <t>SKELLEFTEÅ</t>
        </is>
      </c>
      <c r="F820" t="inlineStr">
        <is>
          <t>Holmen skog AB</t>
        </is>
      </c>
      <c r="G820" t="n">
        <v>7.5</v>
      </c>
      <c r="H820" t="n">
        <v>0</v>
      </c>
      <c r="I820" t="n">
        <v>0</v>
      </c>
      <c r="J820" t="n">
        <v>0</v>
      </c>
      <c r="K820" t="n">
        <v>0</v>
      </c>
      <c r="L820" t="n">
        <v>0</v>
      </c>
      <c r="M820" t="n">
        <v>0</v>
      </c>
      <c r="N820" t="n">
        <v>0</v>
      </c>
      <c r="O820" t="n">
        <v>0</v>
      </c>
      <c r="P820" t="n">
        <v>0</v>
      </c>
      <c r="Q820" t="n">
        <v>0</v>
      </c>
      <c r="R820" s="2" t="inlineStr"/>
    </row>
    <row r="821" ht="15" customHeight="1">
      <c r="A821" t="inlineStr">
        <is>
          <t>A 60339-2023</t>
        </is>
      </c>
      <c r="B821" s="1" t="n">
        <v>45259</v>
      </c>
      <c r="C821" s="1" t="n">
        <v>45927</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702-2023</t>
        </is>
      </c>
      <c r="B822" s="1" t="n">
        <v>44930.92688657407</v>
      </c>
      <c r="C822" s="1" t="n">
        <v>45927</v>
      </c>
      <c r="D822" t="inlineStr">
        <is>
          <t>VÄSTERBOTTENS LÄN</t>
        </is>
      </c>
      <c r="E822" t="inlineStr">
        <is>
          <t>SKELLEFTEÅ</t>
        </is>
      </c>
      <c r="G822" t="n">
        <v>0.7</v>
      </c>
      <c r="H822" t="n">
        <v>0</v>
      </c>
      <c r="I822" t="n">
        <v>0</v>
      </c>
      <c r="J822" t="n">
        <v>0</v>
      </c>
      <c r="K822" t="n">
        <v>0</v>
      </c>
      <c r="L822" t="n">
        <v>0</v>
      </c>
      <c r="M822" t="n">
        <v>0</v>
      </c>
      <c r="N822" t="n">
        <v>0</v>
      </c>
      <c r="O822" t="n">
        <v>0</v>
      </c>
      <c r="P822" t="n">
        <v>0</v>
      </c>
      <c r="Q822" t="n">
        <v>0</v>
      </c>
      <c r="R822" s="2" t="inlineStr"/>
    </row>
    <row r="823" ht="15" customHeight="1">
      <c r="A823" t="inlineStr">
        <is>
          <t>A 25641-2025</t>
        </is>
      </c>
      <c r="B823" s="1" t="n">
        <v>45803.60377314815</v>
      </c>
      <c r="C823" s="1" t="n">
        <v>45927</v>
      </c>
      <c r="D823" t="inlineStr">
        <is>
          <t>VÄSTERBOTTENS LÄN</t>
        </is>
      </c>
      <c r="E823" t="inlineStr">
        <is>
          <t>SKELLEFTEÅ</t>
        </is>
      </c>
      <c r="F823" t="inlineStr">
        <is>
          <t>Holmen skog AB</t>
        </is>
      </c>
      <c r="G823" t="n">
        <v>5</v>
      </c>
      <c r="H823" t="n">
        <v>0</v>
      </c>
      <c r="I823" t="n">
        <v>0</v>
      </c>
      <c r="J823" t="n">
        <v>0</v>
      </c>
      <c r="K823" t="n">
        <v>0</v>
      </c>
      <c r="L823" t="n">
        <v>0</v>
      </c>
      <c r="M823" t="n">
        <v>0</v>
      </c>
      <c r="N823" t="n">
        <v>0</v>
      </c>
      <c r="O823" t="n">
        <v>0</v>
      </c>
      <c r="P823" t="n">
        <v>0</v>
      </c>
      <c r="Q823" t="n">
        <v>0</v>
      </c>
      <c r="R823" s="2" t="inlineStr"/>
    </row>
    <row r="824" ht="15" customHeight="1">
      <c r="A824" t="inlineStr">
        <is>
          <t>A 59640-2024</t>
        </is>
      </c>
      <c r="B824" s="1" t="n">
        <v>45639.30232638889</v>
      </c>
      <c r="C824" s="1" t="n">
        <v>45927</v>
      </c>
      <c r="D824" t="inlineStr">
        <is>
          <t>VÄSTERBOTTENS LÄN</t>
        </is>
      </c>
      <c r="E824" t="inlineStr">
        <is>
          <t>SKELLEFTEÅ</t>
        </is>
      </c>
      <c r="G824" t="n">
        <v>1.6</v>
      </c>
      <c r="H824" t="n">
        <v>0</v>
      </c>
      <c r="I824" t="n">
        <v>0</v>
      </c>
      <c r="J824" t="n">
        <v>0</v>
      </c>
      <c r="K824" t="n">
        <v>0</v>
      </c>
      <c r="L824" t="n">
        <v>0</v>
      </c>
      <c r="M824" t="n">
        <v>0</v>
      </c>
      <c r="N824" t="n">
        <v>0</v>
      </c>
      <c r="O824" t="n">
        <v>0</v>
      </c>
      <c r="P824" t="n">
        <v>0</v>
      </c>
      <c r="Q824" t="n">
        <v>0</v>
      </c>
      <c r="R824" s="2" t="inlineStr"/>
    </row>
    <row r="825" ht="15" customHeight="1">
      <c r="A825" t="inlineStr">
        <is>
          <t>A 25403-2025</t>
        </is>
      </c>
      <c r="B825" s="1" t="n">
        <v>45800.65652777778</v>
      </c>
      <c r="C825" s="1" t="n">
        <v>45927</v>
      </c>
      <c r="D825" t="inlineStr">
        <is>
          <t>VÄSTERBOTTENS LÄN</t>
        </is>
      </c>
      <c r="E825" t="inlineStr">
        <is>
          <t>SKELLEFTEÅ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17086-2023</t>
        </is>
      </c>
      <c r="B826" s="1" t="n">
        <v>45030</v>
      </c>
      <c r="C826" s="1" t="n">
        <v>45927</v>
      </c>
      <c r="D826" t="inlineStr">
        <is>
          <t>VÄSTERBOTTENS LÄN</t>
        </is>
      </c>
      <c r="E826" t="inlineStr">
        <is>
          <t>SKELLEFTEÅ</t>
        </is>
      </c>
      <c r="G826" t="n">
        <v>2.6</v>
      </c>
      <c r="H826" t="n">
        <v>0</v>
      </c>
      <c r="I826" t="n">
        <v>0</v>
      </c>
      <c r="J826" t="n">
        <v>0</v>
      </c>
      <c r="K826" t="n">
        <v>0</v>
      </c>
      <c r="L826" t="n">
        <v>0</v>
      </c>
      <c r="M826" t="n">
        <v>0</v>
      </c>
      <c r="N826" t="n">
        <v>0</v>
      </c>
      <c r="O826" t="n">
        <v>0</v>
      </c>
      <c r="P826" t="n">
        <v>0</v>
      </c>
      <c r="Q826" t="n">
        <v>0</v>
      </c>
      <c r="R826" s="2" t="inlineStr"/>
    </row>
    <row r="827" ht="15" customHeight="1">
      <c r="A827" t="inlineStr">
        <is>
          <t>A 25527-2025</t>
        </is>
      </c>
      <c r="B827" s="1" t="n">
        <v>45803.38699074074</v>
      </c>
      <c r="C827" s="1" t="n">
        <v>45927</v>
      </c>
      <c r="D827" t="inlineStr">
        <is>
          <t>VÄSTERBOTTENS LÄN</t>
        </is>
      </c>
      <c r="E827" t="inlineStr">
        <is>
          <t>SKELLEFTEÅ</t>
        </is>
      </c>
      <c r="G827" t="n">
        <v>1.4</v>
      </c>
      <c r="H827" t="n">
        <v>0</v>
      </c>
      <c r="I827" t="n">
        <v>0</v>
      </c>
      <c r="J827" t="n">
        <v>0</v>
      </c>
      <c r="K827" t="n">
        <v>0</v>
      </c>
      <c r="L827" t="n">
        <v>0</v>
      </c>
      <c r="M827" t="n">
        <v>0</v>
      </c>
      <c r="N827" t="n">
        <v>0</v>
      </c>
      <c r="O827" t="n">
        <v>0</v>
      </c>
      <c r="P827" t="n">
        <v>0</v>
      </c>
      <c r="Q827" t="n">
        <v>0</v>
      </c>
      <c r="R827" s="2" t="inlineStr"/>
    </row>
    <row r="828" ht="15" customHeight="1">
      <c r="A828" t="inlineStr">
        <is>
          <t>A 25801-2025</t>
        </is>
      </c>
      <c r="B828" s="1" t="n">
        <v>45803</v>
      </c>
      <c r="C828" s="1" t="n">
        <v>45927</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25804-2025</t>
        </is>
      </c>
      <c r="B829" s="1" t="n">
        <v>45803</v>
      </c>
      <c r="C829" s="1" t="n">
        <v>45927</v>
      </c>
      <c r="D829" t="inlineStr">
        <is>
          <t>VÄSTERBOTTENS LÄN</t>
        </is>
      </c>
      <c r="E829" t="inlineStr">
        <is>
          <t>SKELLEFTEÅ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53092-2022</t>
        </is>
      </c>
      <c r="B830" s="1" t="n">
        <v>44876.4028125</v>
      </c>
      <c r="C830" s="1" t="n">
        <v>45927</v>
      </c>
      <c r="D830" t="inlineStr">
        <is>
          <t>VÄSTERBOTTENS LÄN</t>
        </is>
      </c>
      <c r="E830" t="inlineStr">
        <is>
          <t>SKELLEFTEÅ</t>
        </is>
      </c>
      <c r="G830" t="n">
        <v>3.9</v>
      </c>
      <c r="H830" t="n">
        <v>0</v>
      </c>
      <c r="I830" t="n">
        <v>0</v>
      </c>
      <c r="J830" t="n">
        <v>0</v>
      </c>
      <c r="K830" t="n">
        <v>0</v>
      </c>
      <c r="L830" t="n">
        <v>0</v>
      </c>
      <c r="M830" t="n">
        <v>0</v>
      </c>
      <c r="N830" t="n">
        <v>0</v>
      </c>
      <c r="O830" t="n">
        <v>0</v>
      </c>
      <c r="P830" t="n">
        <v>0</v>
      </c>
      <c r="Q830" t="n">
        <v>0</v>
      </c>
      <c r="R830" s="2" t="inlineStr"/>
    </row>
    <row r="831" ht="15" customHeight="1">
      <c r="A831" t="inlineStr">
        <is>
          <t>A 6723-2024</t>
        </is>
      </c>
      <c r="B831" s="1" t="n">
        <v>45342.37591435185</v>
      </c>
      <c r="C831" s="1" t="n">
        <v>45927</v>
      </c>
      <c r="D831" t="inlineStr">
        <is>
          <t>VÄSTERBOTTENS LÄN</t>
        </is>
      </c>
      <c r="E831" t="inlineStr">
        <is>
          <t>SKELLEFTEÅ</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25182-2025</t>
        </is>
      </c>
      <c r="B832" s="1" t="n">
        <v>45800.44905092593</v>
      </c>
      <c r="C832" s="1" t="n">
        <v>45927</v>
      </c>
      <c r="D832" t="inlineStr">
        <is>
          <t>VÄSTERBOTTENS LÄN</t>
        </is>
      </c>
      <c r="E832" t="inlineStr">
        <is>
          <t>SKELLEFTEÅ</t>
        </is>
      </c>
      <c r="G832" t="n">
        <v>19.3</v>
      </c>
      <c r="H832" t="n">
        <v>0</v>
      </c>
      <c r="I832" t="n">
        <v>0</v>
      </c>
      <c r="J832" t="n">
        <v>0</v>
      </c>
      <c r="K832" t="n">
        <v>0</v>
      </c>
      <c r="L832" t="n">
        <v>0</v>
      </c>
      <c r="M832" t="n">
        <v>0</v>
      </c>
      <c r="N832" t="n">
        <v>0</v>
      </c>
      <c r="O832" t="n">
        <v>0</v>
      </c>
      <c r="P832" t="n">
        <v>0</v>
      </c>
      <c r="Q832" t="n">
        <v>0</v>
      </c>
      <c r="R832" s="2" t="inlineStr"/>
    </row>
    <row r="833" ht="15" customHeight="1">
      <c r="A833" t="inlineStr">
        <is>
          <t>A 33841-2021</t>
        </is>
      </c>
      <c r="B833" s="1" t="n">
        <v>44378</v>
      </c>
      <c r="C833" s="1" t="n">
        <v>45927</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64006-2023</t>
        </is>
      </c>
      <c r="B834" s="1" t="n">
        <v>45278</v>
      </c>
      <c r="C834" s="1" t="n">
        <v>45927</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25514-2025</t>
        </is>
      </c>
      <c r="B835" s="1" t="n">
        <v>45803.36482638889</v>
      </c>
      <c r="C835" s="1" t="n">
        <v>45927</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25526-2025</t>
        </is>
      </c>
      <c r="B836" s="1" t="n">
        <v>45803.38655092593</v>
      </c>
      <c r="C836" s="1" t="n">
        <v>45927</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13330-2024</t>
        </is>
      </c>
      <c r="B837" s="1" t="n">
        <v>45386.89378472222</v>
      </c>
      <c r="C837" s="1" t="n">
        <v>45927</v>
      </c>
      <c r="D837" t="inlineStr">
        <is>
          <t>VÄSTERBOTTENS LÄN</t>
        </is>
      </c>
      <c r="E837" t="inlineStr">
        <is>
          <t>SKELLEFTEÅ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59633-2024</t>
        </is>
      </c>
      <c r="B838" s="1" t="n">
        <v>45638.9403125</v>
      </c>
      <c r="C838" s="1" t="n">
        <v>45927</v>
      </c>
      <c r="D838" t="inlineStr">
        <is>
          <t>VÄSTERBOTTENS LÄN</t>
        </is>
      </c>
      <c r="E838" t="inlineStr">
        <is>
          <t>SKELLEFTEÅ</t>
        </is>
      </c>
      <c r="F838" t="inlineStr">
        <is>
          <t>Sveaskog</t>
        </is>
      </c>
      <c r="G838" t="n">
        <v>11.5</v>
      </c>
      <c r="H838" t="n">
        <v>0</v>
      </c>
      <c r="I838" t="n">
        <v>0</v>
      </c>
      <c r="J838" t="n">
        <v>0</v>
      </c>
      <c r="K838" t="n">
        <v>0</v>
      </c>
      <c r="L838" t="n">
        <v>0</v>
      </c>
      <c r="M838" t="n">
        <v>0</v>
      </c>
      <c r="N838" t="n">
        <v>0</v>
      </c>
      <c r="O838" t="n">
        <v>0</v>
      </c>
      <c r="P838" t="n">
        <v>0</v>
      </c>
      <c r="Q838" t="n">
        <v>0</v>
      </c>
      <c r="R838" s="2" t="inlineStr"/>
    </row>
    <row r="839" ht="15" customHeight="1">
      <c r="A839" t="inlineStr">
        <is>
          <t>A 14089-2023</t>
        </is>
      </c>
      <c r="B839" s="1" t="n">
        <v>45009.33761574074</v>
      </c>
      <c r="C839" s="1" t="n">
        <v>45927</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20454-2024</t>
        </is>
      </c>
      <c r="B840" s="1" t="n">
        <v>45435</v>
      </c>
      <c r="C840" s="1" t="n">
        <v>45927</v>
      </c>
      <c r="D840" t="inlineStr">
        <is>
          <t>VÄSTERBOTTENS LÄN</t>
        </is>
      </c>
      <c r="E840" t="inlineStr">
        <is>
          <t>SKELLEFTEÅ</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20497-2024</t>
        </is>
      </c>
      <c r="B841" s="1" t="n">
        <v>45435</v>
      </c>
      <c r="C841" s="1" t="n">
        <v>45927</v>
      </c>
      <c r="D841" t="inlineStr">
        <is>
          <t>VÄSTERBOTTENS LÄN</t>
        </is>
      </c>
      <c r="E841" t="inlineStr">
        <is>
          <t>SKELLEFTEÅ</t>
        </is>
      </c>
      <c r="G841" t="n">
        <v>4.8</v>
      </c>
      <c r="H841" t="n">
        <v>0</v>
      </c>
      <c r="I841" t="n">
        <v>0</v>
      </c>
      <c r="J841" t="n">
        <v>0</v>
      </c>
      <c r="K841" t="n">
        <v>0</v>
      </c>
      <c r="L841" t="n">
        <v>0</v>
      </c>
      <c r="M841" t="n">
        <v>0</v>
      </c>
      <c r="N841" t="n">
        <v>0</v>
      </c>
      <c r="O841" t="n">
        <v>0</v>
      </c>
      <c r="P841" t="n">
        <v>0</v>
      </c>
      <c r="Q841" t="n">
        <v>0</v>
      </c>
      <c r="R841" s="2" t="inlineStr"/>
    </row>
    <row r="842" ht="15" customHeight="1">
      <c r="A842" t="inlineStr">
        <is>
          <t>A 60585-2022</t>
        </is>
      </c>
      <c r="B842" s="1" t="n">
        <v>44911.58148148148</v>
      </c>
      <c r="C842" s="1" t="n">
        <v>45927</v>
      </c>
      <c r="D842" t="inlineStr">
        <is>
          <t>VÄSTERBOTTENS LÄN</t>
        </is>
      </c>
      <c r="E842" t="inlineStr">
        <is>
          <t>SKELLEFTEÅ</t>
        </is>
      </c>
      <c r="F842" t="inlineStr">
        <is>
          <t>Sveaskog</t>
        </is>
      </c>
      <c r="G842" t="n">
        <v>6.1</v>
      </c>
      <c r="H842" t="n">
        <v>0</v>
      </c>
      <c r="I842" t="n">
        <v>0</v>
      </c>
      <c r="J842" t="n">
        <v>0</v>
      </c>
      <c r="K842" t="n">
        <v>0</v>
      </c>
      <c r="L842" t="n">
        <v>0</v>
      </c>
      <c r="M842" t="n">
        <v>0</v>
      </c>
      <c r="N842" t="n">
        <v>0</v>
      </c>
      <c r="O842" t="n">
        <v>0</v>
      </c>
      <c r="P842" t="n">
        <v>0</v>
      </c>
      <c r="Q842" t="n">
        <v>0</v>
      </c>
      <c r="R842" s="2" t="inlineStr"/>
    </row>
    <row r="843" ht="15" customHeight="1">
      <c r="A843" t="inlineStr">
        <is>
          <t>A 66463-2021</t>
        </is>
      </c>
      <c r="B843" s="1" t="n">
        <v>44518</v>
      </c>
      <c r="C843" s="1" t="n">
        <v>45927</v>
      </c>
      <c r="D843" t="inlineStr">
        <is>
          <t>VÄSTERBOTTENS LÄN</t>
        </is>
      </c>
      <c r="E843" t="inlineStr">
        <is>
          <t>SKELLEFTEÅ</t>
        </is>
      </c>
      <c r="G843" t="n">
        <v>3.9</v>
      </c>
      <c r="H843" t="n">
        <v>0</v>
      </c>
      <c r="I843" t="n">
        <v>0</v>
      </c>
      <c r="J843" t="n">
        <v>0</v>
      </c>
      <c r="K843" t="n">
        <v>0</v>
      </c>
      <c r="L843" t="n">
        <v>0</v>
      </c>
      <c r="M843" t="n">
        <v>0</v>
      </c>
      <c r="N843" t="n">
        <v>0</v>
      </c>
      <c r="O843" t="n">
        <v>0</v>
      </c>
      <c r="P843" t="n">
        <v>0</v>
      </c>
      <c r="Q843" t="n">
        <v>0</v>
      </c>
      <c r="R843" s="2" t="inlineStr"/>
    </row>
    <row r="844" ht="15" customHeight="1">
      <c r="A844" t="inlineStr">
        <is>
          <t>A 25773-2025</t>
        </is>
      </c>
      <c r="B844" s="1" t="n">
        <v>45804.34528935186</v>
      </c>
      <c r="C844" s="1" t="n">
        <v>45927</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1257-2024</t>
        </is>
      </c>
      <c r="B845" s="1" t="n">
        <v>45302</v>
      </c>
      <c r="C845" s="1" t="n">
        <v>45927</v>
      </c>
      <c r="D845" t="inlineStr">
        <is>
          <t>VÄSTERBOTTENS LÄN</t>
        </is>
      </c>
      <c r="E845" t="inlineStr">
        <is>
          <t>SKELLEFTEÅ</t>
        </is>
      </c>
      <c r="G845" t="n">
        <v>2.7</v>
      </c>
      <c r="H845" t="n">
        <v>0</v>
      </c>
      <c r="I845" t="n">
        <v>0</v>
      </c>
      <c r="J845" t="n">
        <v>0</v>
      </c>
      <c r="K845" t="n">
        <v>0</v>
      </c>
      <c r="L845" t="n">
        <v>0</v>
      </c>
      <c r="M845" t="n">
        <v>0</v>
      </c>
      <c r="N845" t="n">
        <v>0</v>
      </c>
      <c r="O845" t="n">
        <v>0</v>
      </c>
      <c r="P845" t="n">
        <v>0</v>
      </c>
      <c r="Q845" t="n">
        <v>0</v>
      </c>
      <c r="R845" s="2" t="inlineStr"/>
    </row>
    <row r="846" ht="15" customHeight="1">
      <c r="A846" t="inlineStr">
        <is>
          <t>A 3924-2022</t>
        </is>
      </c>
      <c r="B846" s="1" t="n">
        <v>44587</v>
      </c>
      <c r="C846" s="1" t="n">
        <v>45927</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28166-2023</t>
        </is>
      </c>
      <c r="B847" s="1" t="n">
        <v>45096</v>
      </c>
      <c r="C847" s="1" t="n">
        <v>45927</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41226-2024</t>
        </is>
      </c>
      <c r="B848" s="1" t="n">
        <v>45559.55829861111</v>
      </c>
      <c r="C848" s="1" t="n">
        <v>45927</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15327-2023</t>
        </is>
      </c>
      <c r="B849" s="1" t="n">
        <v>45016</v>
      </c>
      <c r="C849" s="1" t="n">
        <v>45927</v>
      </c>
      <c r="D849" t="inlineStr">
        <is>
          <t>VÄSTERBOTTENS LÄN</t>
        </is>
      </c>
      <c r="E849" t="inlineStr">
        <is>
          <t>SKELLEFTEÅ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56500-2024</t>
        </is>
      </c>
      <c r="B850" s="1" t="n">
        <v>45625.49765046296</v>
      </c>
      <c r="C850" s="1" t="n">
        <v>45927</v>
      </c>
      <c r="D850" t="inlineStr">
        <is>
          <t>VÄSTERBOTTENS LÄN</t>
        </is>
      </c>
      <c r="E850" t="inlineStr">
        <is>
          <t>SKELLEFTEÅ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56501-2024</t>
        </is>
      </c>
      <c r="B851" s="1" t="n">
        <v>45625.49784722222</v>
      </c>
      <c r="C851" s="1" t="n">
        <v>45927</v>
      </c>
      <c r="D851" t="inlineStr">
        <is>
          <t>VÄSTERBOTTENS LÄN</t>
        </is>
      </c>
      <c r="E851" t="inlineStr">
        <is>
          <t>SKELLEFTEÅ</t>
        </is>
      </c>
      <c r="G851" t="n">
        <v>6</v>
      </c>
      <c r="H851" t="n">
        <v>0</v>
      </c>
      <c r="I851" t="n">
        <v>0</v>
      </c>
      <c r="J851" t="n">
        <v>0</v>
      </c>
      <c r="K851" t="n">
        <v>0</v>
      </c>
      <c r="L851" t="n">
        <v>0</v>
      </c>
      <c r="M851" t="n">
        <v>0</v>
      </c>
      <c r="N851" t="n">
        <v>0</v>
      </c>
      <c r="O851" t="n">
        <v>0</v>
      </c>
      <c r="P851" t="n">
        <v>0</v>
      </c>
      <c r="Q851" t="n">
        <v>0</v>
      </c>
      <c r="R851" s="2" t="inlineStr"/>
    </row>
    <row r="852" ht="15" customHeight="1">
      <c r="A852" t="inlineStr">
        <is>
          <t>A 21812-2024</t>
        </is>
      </c>
      <c r="B852" s="1" t="n">
        <v>45442.67990740741</v>
      </c>
      <c r="C852" s="1" t="n">
        <v>45927</v>
      </c>
      <c r="D852" t="inlineStr">
        <is>
          <t>VÄSTERBOTTENS LÄN</t>
        </is>
      </c>
      <c r="E852" t="inlineStr">
        <is>
          <t>SKELLEFTEÅ</t>
        </is>
      </c>
      <c r="F852" t="inlineStr">
        <is>
          <t>Holmen skog AB</t>
        </is>
      </c>
      <c r="G852" t="n">
        <v>10.1</v>
      </c>
      <c r="H852" t="n">
        <v>0</v>
      </c>
      <c r="I852" t="n">
        <v>0</v>
      </c>
      <c r="J852" t="n">
        <v>0</v>
      </c>
      <c r="K852" t="n">
        <v>0</v>
      </c>
      <c r="L852" t="n">
        <v>0</v>
      </c>
      <c r="M852" t="n">
        <v>0</v>
      </c>
      <c r="N852" t="n">
        <v>0</v>
      </c>
      <c r="O852" t="n">
        <v>0</v>
      </c>
      <c r="P852" t="n">
        <v>0</v>
      </c>
      <c r="Q852" t="n">
        <v>0</v>
      </c>
      <c r="R852" s="2" t="inlineStr"/>
    </row>
    <row r="853" ht="15" customHeight="1">
      <c r="A853" t="inlineStr">
        <is>
          <t>A 25958-2025</t>
        </is>
      </c>
      <c r="B853" s="1" t="n">
        <v>45804.60783564814</v>
      </c>
      <c r="C853" s="1" t="n">
        <v>45927</v>
      </c>
      <c r="D853" t="inlineStr">
        <is>
          <t>VÄSTERBOTTENS LÄN</t>
        </is>
      </c>
      <c r="E853" t="inlineStr">
        <is>
          <t>SKELLEFTEÅ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26045-2025</t>
        </is>
      </c>
      <c r="B854" s="1" t="n">
        <v>45804.70626157407</v>
      </c>
      <c r="C854" s="1" t="n">
        <v>45927</v>
      </c>
      <c r="D854" t="inlineStr">
        <is>
          <t>VÄSTERBOTTENS LÄN</t>
        </is>
      </c>
      <c r="E854" t="inlineStr">
        <is>
          <t>SKELLEFTEÅ</t>
        </is>
      </c>
      <c r="G854" t="n">
        <v>6.5</v>
      </c>
      <c r="H854" t="n">
        <v>0</v>
      </c>
      <c r="I854" t="n">
        <v>0</v>
      </c>
      <c r="J854" t="n">
        <v>0</v>
      </c>
      <c r="K854" t="n">
        <v>0</v>
      </c>
      <c r="L854" t="n">
        <v>0</v>
      </c>
      <c r="M854" t="n">
        <v>0</v>
      </c>
      <c r="N854" t="n">
        <v>0</v>
      </c>
      <c r="O854" t="n">
        <v>0</v>
      </c>
      <c r="P854" t="n">
        <v>0</v>
      </c>
      <c r="Q854" t="n">
        <v>0</v>
      </c>
      <c r="R854" s="2" t="inlineStr"/>
    </row>
    <row r="855" ht="15" customHeight="1">
      <c r="A855" t="inlineStr">
        <is>
          <t>A 26286-2025</t>
        </is>
      </c>
      <c r="B855" s="1" t="n">
        <v>45805.62082175926</v>
      </c>
      <c r="C855" s="1" t="n">
        <v>45927</v>
      </c>
      <c r="D855" t="inlineStr">
        <is>
          <t>VÄSTERBOTTENS LÄN</t>
        </is>
      </c>
      <c r="E855" t="inlineStr">
        <is>
          <t>SKELLEFTEÅ</t>
        </is>
      </c>
      <c r="F855" t="inlineStr">
        <is>
          <t>Sveaskog</t>
        </is>
      </c>
      <c r="G855" t="n">
        <v>10.9</v>
      </c>
      <c r="H855" t="n">
        <v>0</v>
      </c>
      <c r="I855" t="n">
        <v>0</v>
      </c>
      <c r="J855" t="n">
        <v>0</v>
      </c>
      <c r="K855" t="n">
        <v>0</v>
      </c>
      <c r="L855" t="n">
        <v>0</v>
      </c>
      <c r="M855" t="n">
        <v>0</v>
      </c>
      <c r="N855" t="n">
        <v>0</v>
      </c>
      <c r="O855" t="n">
        <v>0</v>
      </c>
      <c r="P855" t="n">
        <v>0</v>
      </c>
      <c r="Q855" t="n">
        <v>0</v>
      </c>
      <c r="R855" s="2" t="inlineStr"/>
    </row>
    <row r="856" ht="15" customHeight="1">
      <c r="A856" t="inlineStr">
        <is>
          <t>A 11875-2024</t>
        </is>
      </c>
      <c r="B856" s="1" t="n">
        <v>45376</v>
      </c>
      <c r="C856" s="1" t="n">
        <v>45927</v>
      </c>
      <c r="D856" t="inlineStr">
        <is>
          <t>VÄSTERBOTTENS LÄN</t>
        </is>
      </c>
      <c r="E856" t="inlineStr">
        <is>
          <t>SKELLEFTEÅ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45850-2024</t>
        </is>
      </c>
      <c r="B857" s="1" t="n">
        <v>45580</v>
      </c>
      <c r="C857" s="1" t="n">
        <v>45927</v>
      </c>
      <c r="D857" t="inlineStr">
        <is>
          <t>VÄSTERBOTTENS LÄN</t>
        </is>
      </c>
      <c r="E857" t="inlineStr">
        <is>
          <t>SKELLEFTEÅ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46482-2024</t>
        </is>
      </c>
      <c r="B858" s="1" t="n">
        <v>45582.57383101852</v>
      </c>
      <c r="C858" s="1" t="n">
        <v>45927</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26483-2022</t>
        </is>
      </c>
      <c r="B859" s="1" t="n">
        <v>44739</v>
      </c>
      <c r="C859" s="1" t="n">
        <v>45927</v>
      </c>
      <c r="D859" t="inlineStr">
        <is>
          <t>VÄSTERBOTTENS LÄN</t>
        </is>
      </c>
      <c r="E859" t="inlineStr">
        <is>
          <t>SKELLEFTEÅ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73985-2021</t>
        </is>
      </c>
      <c r="B860" s="1" t="n">
        <v>44555</v>
      </c>
      <c r="C860" s="1" t="n">
        <v>45927</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5252-2024</t>
        </is>
      </c>
      <c r="B861" s="1" t="n">
        <v>45330.93219907407</v>
      </c>
      <c r="C861" s="1" t="n">
        <v>45927</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34082-2022</t>
        </is>
      </c>
      <c r="B862" s="1" t="n">
        <v>44791</v>
      </c>
      <c r="C862" s="1" t="n">
        <v>45927</v>
      </c>
      <c r="D862" t="inlineStr">
        <is>
          <t>VÄSTERBOTTENS LÄN</t>
        </is>
      </c>
      <c r="E862" t="inlineStr">
        <is>
          <t>SKELLEFTEÅ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25868-2025</t>
        </is>
      </c>
      <c r="B863" s="1" t="n">
        <v>45804.48689814815</v>
      </c>
      <c r="C863" s="1" t="n">
        <v>45927</v>
      </c>
      <c r="D863" t="inlineStr">
        <is>
          <t>VÄSTERBOTTENS LÄN</t>
        </is>
      </c>
      <c r="E863" t="inlineStr">
        <is>
          <t>SKELLEFTEÅ</t>
        </is>
      </c>
      <c r="G863" t="n">
        <v>7.2</v>
      </c>
      <c r="H863" t="n">
        <v>0</v>
      </c>
      <c r="I863" t="n">
        <v>0</v>
      </c>
      <c r="J863" t="n">
        <v>0</v>
      </c>
      <c r="K863" t="n">
        <v>0</v>
      </c>
      <c r="L863" t="n">
        <v>0</v>
      </c>
      <c r="M863" t="n">
        <v>0</v>
      </c>
      <c r="N863" t="n">
        <v>0</v>
      </c>
      <c r="O863" t="n">
        <v>0</v>
      </c>
      <c r="P863" t="n">
        <v>0</v>
      </c>
      <c r="Q863" t="n">
        <v>0</v>
      </c>
      <c r="R863" s="2" t="inlineStr"/>
    </row>
    <row r="864" ht="15" customHeight="1">
      <c r="A864" t="inlineStr">
        <is>
          <t>A 46492-2023</t>
        </is>
      </c>
      <c r="B864" s="1" t="n">
        <v>45194</v>
      </c>
      <c r="C864" s="1" t="n">
        <v>45927</v>
      </c>
      <c r="D864" t="inlineStr">
        <is>
          <t>VÄSTERBOTTENS LÄN</t>
        </is>
      </c>
      <c r="E864" t="inlineStr">
        <is>
          <t>SKELLEFTEÅ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57440-2023</t>
        </is>
      </c>
      <c r="B865" s="1" t="n">
        <v>45240</v>
      </c>
      <c r="C865" s="1" t="n">
        <v>45927</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16977-2024</t>
        </is>
      </c>
      <c r="B866" s="1" t="n">
        <v>45412.02377314815</v>
      </c>
      <c r="C866" s="1" t="n">
        <v>45927</v>
      </c>
      <c r="D866" t="inlineStr">
        <is>
          <t>VÄSTERBOTTENS LÄN</t>
        </is>
      </c>
      <c r="E866" t="inlineStr">
        <is>
          <t>SKELLEFTEÅ</t>
        </is>
      </c>
      <c r="F866" t="inlineStr">
        <is>
          <t>SCA</t>
        </is>
      </c>
      <c r="G866" t="n">
        <v>16.8</v>
      </c>
      <c r="H866" t="n">
        <v>0</v>
      </c>
      <c r="I866" t="n">
        <v>0</v>
      </c>
      <c r="J866" t="n">
        <v>0</v>
      </c>
      <c r="K866" t="n">
        <v>0</v>
      </c>
      <c r="L866" t="n">
        <v>0</v>
      </c>
      <c r="M866" t="n">
        <v>0</v>
      </c>
      <c r="N866" t="n">
        <v>0</v>
      </c>
      <c r="O866" t="n">
        <v>0</v>
      </c>
      <c r="P866" t="n">
        <v>0</v>
      </c>
      <c r="Q866" t="n">
        <v>0</v>
      </c>
      <c r="R866" s="2" t="inlineStr"/>
    </row>
    <row r="867" ht="15" customHeight="1">
      <c r="A867" t="inlineStr">
        <is>
          <t>A 8911-2021</t>
        </is>
      </c>
      <c r="B867" s="1" t="n">
        <v>44245</v>
      </c>
      <c r="C867" s="1" t="n">
        <v>45927</v>
      </c>
      <c r="D867" t="inlineStr">
        <is>
          <t>VÄSTERBOTTENS LÄN</t>
        </is>
      </c>
      <c r="E867" t="inlineStr">
        <is>
          <t>SKELLEFTEÅ</t>
        </is>
      </c>
      <c r="G867" t="n">
        <v>4.5</v>
      </c>
      <c r="H867" t="n">
        <v>0</v>
      </c>
      <c r="I867" t="n">
        <v>0</v>
      </c>
      <c r="J867" t="n">
        <v>0</v>
      </c>
      <c r="K867" t="n">
        <v>0</v>
      </c>
      <c r="L867" t="n">
        <v>0</v>
      </c>
      <c r="M867" t="n">
        <v>0</v>
      </c>
      <c r="N867" t="n">
        <v>0</v>
      </c>
      <c r="O867" t="n">
        <v>0</v>
      </c>
      <c r="P867" t="n">
        <v>0</v>
      </c>
      <c r="Q867" t="n">
        <v>0</v>
      </c>
      <c r="R867" s="2" t="inlineStr"/>
    </row>
    <row r="868" ht="15" customHeight="1">
      <c r="A868" t="inlineStr">
        <is>
          <t>A 42557-2021</t>
        </is>
      </c>
      <c r="B868" s="1" t="n">
        <v>44428</v>
      </c>
      <c r="C868" s="1" t="n">
        <v>45927</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53075-2022</t>
        </is>
      </c>
      <c r="B869" s="1" t="n">
        <v>44876</v>
      </c>
      <c r="C869" s="1" t="n">
        <v>45927</v>
      </c>
      <c r="D869" t="inlineStr">
        <is>
          <t>VÄSTERBOTTENS LÄN</t>
        </is>
      </c>
      <c r="E869" t="inlineStr">
        <is>
          <t>SKELLEFTEÅ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34638-2023</t>
        </is>
      </c>
      <c r="B870" s="1" t="n">
        <v>45140.65803240741</v>
      </c>
      <c r="C870" s="1" t="n">
        <v>45927</v>
      </c>
      <c r="D870" t="inlineStr">
        <is>
          <t>VÄSTERBOTTENS LÄN</t>
        </is>
      </c>
      <c r="E870" t="inlineStr">
        <is>
          <t>SKELLEFTEÅ</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34669-2023</t>
        </is>
      </c>
      <c r="B871" s="1" t="n">
        <v>45140.83063657407</v>
      </c>
      <c r="C871" s="1" t="n">
        <v>45927</v>
      </c>
      <c r="D871" t="inlineStr">
        <is>
          <t>VÄSTERBOTTENS LÄN</t>
        </is>
      </c>
      <c r="E871" t="inlineStr">
        <is>
          <t>SKELLEFTEÅ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56974-2024</t>
        </is>
      </c>
      <c r="B872" s="1" t="n">
        <v>45628.67204861111</v>
      </c>
      <c r="C872" s="1" t="n">
        <v>45927</v>
      </c>
      <c r="D872" t="inlineStr">
        <is>
          <t>VÄSTERBOTTENS LÄN</t>
        </is>
      </c>
      <c r="E872" t="inlineStr">
        <is>
          <t>SKELLEFTEÅ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26215-2025</t>
        </is>
      </c>
      <c r="B873" s="1" t="n">
        <v>45805.54438657407</v>
      </c>
      <c r="C873" s="1" t="n">
        <v>45927</v>
      </c>
      <c r="D873" t="inlineStr">
        <is>
          <t>VÄSTERBOTTENS LÄN</t>
        </is>
      </c>
      <c r="E873" t="inlineStr">
        <is>
          <t>SKELLEFTEÅ</t>
        </is>
      </c>
      <c r="G873" t="n">
        <v>10</v>
      </c>
      <c r="H873" t="n">
        <v>0</v>
      </c>
      <c r="I873" t="n">
        <v>0</v>
      </c>
      <c r="J873" t="n">
        <v>0</v>
      </c>
      <c r="K873" t="n">
        <v>0</v>
      </c>
      <c r="L873" t="n">
        <v>0</v>
      </c>
      <c r="M873" t="n">
        <v>0</v>
      </c>
      <c r="N873" t="n">
        <v>0</v>
      </c>
      <c r="O873" t="n">
        <v>0</v>
      </c>
      <c r="P873" t="n">
        <v>0</v>
      </c>
      <c r="Q873" t="n">
        <v>0</v>
      </c>
      <c r="R873" s="2" t="inlineStr"/>
    </row>
    <row r="874" ht="15" customHeight="1">
      <c r="A874" t="inlineStr">
        <is>
          <t>A 30686-2023</t>
        </is>
      </c>
      <c r="B874" s="1" t="n">
        <v>45112</v>
      </c>
      <c r="C874" s="1" t="n">
        <v>45927</v>
      </c>
      <c r="D874" t="inlineStr">
        <is>
          <t>VÄSTERBOTTENS LÄN</t>
        </is>
      </c>
      <c r="E874" t="inlineStr">
        <is>
          <t>SKELLEFTEÅ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61275-2022</t>
        </is>
      </c>
      <c r="B875" s="1" t="n">
        <v>44909</v>
      </c>
      <c r="C875" s="1" t="n">
        <v>45927</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45927</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41109-2023</t>
        </is>
      </c>
      <c r="B877" s="1" t="n">
        <v>45170</v>
      </c>
      <c r="C877" s="1" t="n">
        <v>45927</v>
      </c>
      <c r="D877" t="inlineStr">
        <is>
          <t>VÄSTERBOTTENS LÄN</t>
        </is>
      </c>
      <c r="E877" t="inlineStr">
        <is>
          <t>SKELLEFTEÅ</t>
        </is>
      </c>
      <c r="G877" t="n">
        <v>5.9</v>
      </c>
      <c r="H877" t="n">
        <v>0</v>
      </c>
      <c r="I877" t="n">
        <v>0</v>
      </c>
      <c r="J877" t="n">
        <v>0</v>
      </c>
      <c r="K877" t="n">
        <v>0</v>
      </c>
      <c r="L877" t="n">
        <v>0</v>
      </c>
      <c r="M877" t="n">
        <v>0</v>
      </c>
      <c r="N877" t="n">
        <v>0</v>
      </c>
      <c r="O877" t="n">
        <v>0</v>
      </c>
      <c r="P877" t="n">
        <v>0</v>
      </c>
      <c r="Q877" t="n">
        <v>0</v>
      </c>
      <c r="R877" s="2" t="inlineStr"/>
    </row>
    <row r="878" ht="15" customHeight="1">
      <c r="A878" t="inlineStr">
        <is>
          <t>A 25774-2025</t>
        </is>
      </c>
      <c r="B878" s="1" t="n">
        <v>45804.34530092592</v>
      </c>
      <c r="C878" s="1" t="n">
        <v>45927</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39589-2021</t>
        </is>
      </c>
      <c r="B879" s="1" t="n">
        <v>44413</v>
      </c>
      <c r="C879" s="1" t="n">
        <v>45927</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26318-2025</t>
        </is>
      </c>
      <c r="B880" s="1" t="n">
        <v>45805.65717592592</v>
      </c>
      <c r="C880" s="1" t="n">
        <v>45927</v>
      </c>
      <c r="D880" t="inlineStr">
        <is>
          <t>VÄSTERBOTTENS LÄN</t>
        </is>
      </c>
      <c r="E880" t="inlineStr">
        <is>
          <t>SKELLEFTEÅ</t>
        </is>
      </c>
      <c r="G880" t="n">
        <v>8.6</v>
      </c>
      <c r="H880" t="n">
        <v>0</v>
      </c>
      <c r="I880" t="n">
        <v>0</v>
      </c>
      <c r="J880" t="n">
        <v>0</v>
      </c>
      <c r="K880" t="n">
        <v>0</v>
      </c>
      <c r="L880" t="n">
        <v>0</v>
      </c>
      <c r="M880" t="n">
        <v>0</v>
      </c>
      <c r="N880" t="n">
        <v>0</v>
      </c>
      <c r="O880" t="n">
        <v>0</v>
      </c>
      <c r="P880" t="n">
        <v>0</v>
      </c>
      <c r="Q880" t="n">
        <v>0</v>
      </c>
      <c r="R880" s="2" t="inlineStr"/>
    </row>
    <row r="881" ht="15" customHeight="1">
      <c r="A881" t="inlineStr">
        <is>
          <t>A 26049-2025</t>
        </is>
      </c>
      <c r="B881" s="1" t="n">
        <v>45804.71578703704</v>
      </c>
      <c r="C881" s="1" t="n">
        <v>45927</v>
      </c>
      <c r="D881" t="inlineStr">
        <is>
          <t>VÄSTERBOTTENS LÄN</t>
        </is>
      </c>
      <c r="E881" t="inlineStr">
        <is>
          <t>SKELLEFTEÅ</t>
        </is>
      </c>
      <c r="G881" t="n">
        <v>12.5</v>
      </c>
      <c r="H881" t="n">
        <v>0</v>
      </c>
      <c r="I881" t="n">
        <v>0</v>
      </c>
      <c r="J881" t="n">
        <v>0</v>
      </c>
      <c r="K881" t="n">
        <v>0</v>
      </c>
      <c r="L881" t="n">
        <v>0</v>
      </c>
      <c r="M881" t="n">
        <v>0</v>
      </c>
      <c r="N881" t="n">
        <v>0</v>
      </c>
      <c r="O881" t="n">
        <v>0</v>
      </c>
      <c r="P881" t="n">
        <v>0</v>
      </c>
      <c r="Q881" t="n">
        <v>0</v>
      </c>
      <c r="R881" s="2" t="inlineStr"/>
    </row>
    <row r="882" ht="15" customHeight="1">
      <c r="A882" t="inlineStr">
        <is>
          <t>A 25876-2025</t>
        </is>
      </c>
      <c r="B882" s="1" t="n">
        <v>45804.4940625</v>
      </c>
      <c r="C882" s="1" t="n">
        <v>45927</v>
      </c>
      <c r="D882" t="inlineStr">
        <is>
          <t>VÄSTERBOTTENS LÄN</t>
        </is>
      </c>
      <c r="E882" t="inlineStr">
        <is>
          <t>SKELLEFTEÅ</t>
        </is>
      </c>
      <c r="G882" t="n">
        <v>5.9</v>
      </c>
      <c r="H882" t="n">
        <v>0</v>
      </c>
      <c r="I882" t="n">
        <v>0</v>
      </c>
      <c r="J882" t="n">
        <v>0</v>
      </c>
      <c r="K882" t="n">
        <v>0</v>
      </c>
      <c r="L882" t="n">
        <v>0</v>
      </c>
      <c r="M882" t="n">
        <v>0</v>
      </c>
      <c r="N882" t="n">
        <v>0</v>
      </c>
      <c r="O882" t="n">
        <v>0</v>
      </c>
      <c r="P882" t="n">
        <v>0</v>
      </c>
      <c r="Q882" t="n">
        <v>0</v>
      </c>
      <c r="R882" s="2" t="inlineStr"/>
    </row>
    <row r="883" ht="15" customHeight="1">
      <c r="A883" t="inlineStr">
        <is>
          <t>A 50862-2024</t>
        </is>
      </c>
      <c r="B883" s="1" t="n">
        <v>45602.6346412037</v>
      </c>
      <c r="C883" s="1" t="n">
        <v>45927</v>
      </c>
      <c r="D883" t="inlineStr">
        <is>
          <t>VÄSTERBOTTENS LÄN</t>
        </is>
      </c>
      <c r="E883" t="inlineStr">
        <is>
          <t>SKELLEFTEÅ</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57849-2022</t>
        </is>
      </c>
      <c r="B884" s="1" t="n">
        <v>44898.00163194445</v>
      </c>
      <c r="C884" s="1" t="n">
        <v>45927</v>
      </c>
      <c r="D884" t="inlineStr">
        <is>
          <t>VÄSTERBOTTENS LÄN</t>
        </is>
      </c>
      <c r="E884" t="inlineStr">
        <is>
          <t>SKELLEFTEÅ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35119-2022</t>
        </is>
      </c>
      <c r="B885" s="1" t="n">
        <v>44797</v>
      </c>
      <c r="C885" s="1" t="n">
        <v>45927</v>
      </c>
      <c r="D885" t="inlineStr">
        <is>
          <t>VÄSTERBOTTENS LÄN</t>
        </is>
      </c>
      <c r="E885" t="inlineStr">
        <is>
          <t>SKELLEFTEÅ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5470-2023</t>
        </is>
      </c>
      <c r="B886" s="1" t="n">
        <v>44960</v>
      </c>
      <c r="C886" s="1" t="n">
        <v>45927</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4645-2025</t>
        </is>
      </c>
      <c r="B887" s="1" t="n">
        <v>45687</v>
      </c>
      <c r="C887" s="1" t="n">
        <v>45927</v>
      </c>
      <c r="D887" t="inlineStr">
        <is>
          <t>VÄSTERBOTTENS LÄN</t>
        </is>
      </c>
      <c r="E887" t="inlineStr">
        <is>
          <t>SKELLEFTEÅ</t>
        </is>
      </c>
      <c r="G887" t="n">
        <v>6.7</v>
      </c>
      <c r="H887" t="n">
        <v>0</v>
      </c>
      <c r="I887" t="n">
        <v>0</v>
      </c>
      <c r="J887" t="n">
        <v>0</v>
      </c>
      <c r="K887" t="n">
        <v>0</v>
      </c>
      <c r="L887" t="n">
        <v>0</v>
      </c>
      <c r="M887" t="n">
        <v>0</v>
      </c>
      <c r="N887" t="n">
        <v>0</v>
      </c>
      <c r="O887" t="n">
        <v>0</v>
      </c>
      <c r="P887" t="n">
        <v>0</v>
      </c>
      <c r="Q887" t="n">
        <v>0</v>
      </c>
      <c r="R887" s="2" t="inlineStr"/>
    </row>
    <row r="888" ht="15" customHeight="1">
      <c r="A888" t="inlineStr">
        <is>
          <t>A 31558-2023</t>
        </is>
      </c>
      <c r="B888" s="1" t="n">
        <v>45104</v>
      </c>
      <c r="C888" s="1" t="n">
        <v>45927</v>
      </c>
      <c r="D888" t="inlineStr">
        <is>
          <t>VÄSTERBOTTENS LÄN</t>
        </is>
      </c>
      <c r="E888" t="inlineStr">
        <is>
          <t>SKELLEFTEÅ</t>
        </is>
      </c>
      <c r="G888" t="n">
        <v>6.2</v>
      </c>
      <c r="H888" t="n">
        <v>0</v>
      </c>
      <c r="I888" t="n">
        <v>0</v>
      </c>
      <c r="J888" t="n">
        <v>0</v>
      </c>
      <c r="K888" t="n">
        <v>0</v>
      </c>
      <c r="L888" t="n">
        <v>0</v>
      </c>
      <c r="M888" t="n">
        <v>0</v>
      </c>
      <c r="N888" t="n">
        <v>0</v>
      </c>
      <c r="O888" t="n">
        <v>0</v>
      </c>
      <c r="P888" t="n">
        <v>0</v>
      </c>
      <c r="Q888" t="n">
        <v>0</v>
      </c>
      <c r="R888" s="2" t="inlineStr"/>
    </row>
    <row r="889" ht="15" customHeight="1">
      <c r="A889" t="inlineStr">
        <is>
          <t>A 33289-2023</t>
        </is>
      </c>
      <c r="B889" s="1" t="n">
        <v>45116</v>
      </c>
      <c r="C889" s="1" t="n">
        <v>45927</v>
      </c>
      <c r="D889" t="inlineStr">
        <is>
          <t>VÄSTERBOTTENS LÄN</t>
        </is>
      </c>
      <c r="E889" t="inlineStr">
        <is>
          <t>SKELLEFTEÅ</t>
        </is>
      </c>
      <c r="G889" t="n">
        <v>0.8</v>
      </c>
      <c r="H889" t="n">
        <v>0</v>
      </c>
      <c r="I889" t="n">
        <v>0</v>
      </c>
      <c r="J889" t="n">
        <v>0</v>
      </c>
      <c r="K889" t="n">
        <v>0</v>
      </c>
      <c r="L889" t="n">
        <v>0</v>
      </c>
      <c r="M889" t="n">
        <v>0</v>
      </c>
      <c r="N889" t="n">
        <v>0</v>
      </c>
      <c r="O889" t="n">
        <v>0</v>
      </c>
      <c r="P889" t="n">
        <v>0</v>
      </c>
      <c r="Q889" t="n">
        <v>0</v>
      </c>
      <c r="R889" s="2" t="inlineStr"/>
    </row>
    <row r="890" ht="15" customHeight="1">
      <c r="A890" t="inlineStr">
        <is>
          <t>A 26425-2025</t>
        </is>
      </c>
      <c r="B890" s="1" t="n">
        <v>45807.38453703704</v>
      </c>
      <c r="C890" s="1" t="n">
        <v>45927</v>
      </c>
      <c r="D890" t="inlineStr">
        <is>
          <t>VÄSTERBOTTENS LÄN</t>
        </is>
      </c>
      <c r="E890" t="inlineStr">
        <is>
          <t>SKELLEFTEÅ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50488-2023</t>
        </is>
      </c>
      <c r="B891" s="1" t="n">
        <v>45216</v>
      </c>
      <c r="C891" s="1" t="n">
        <v>45927</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26194-2025</t>
        </is>
      </c>
      <c r="B892" s="1" t="n">
        <v>45805.48989583334</v>
      </c>
      <c r="C892" s="1" t="n">
        <v>45927</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26542-2025</t>
        </is>
      </c>
      <c r="B893" s="1" t="n">
        <v>45807.58521990741</v>
      </c>
      <c r="C893" s="1" t="n">
        <v>45927</v>
      </c>
      <c r="D893" t="inlineStr">
        <is>
          <t>VÄSTERBOTTENS LÄN</t>
        </is>
      </c>
      <c r="E893" t="inlineStr">
        <is>
          <t>SKELLEFTEÅ</t>
        </is>
      </c>
      <c r="F893" t="inlineStr">
        <is>
          <t>Holmen skog AB</t>
        </is>
      </c>
      <c r="G893" t="n">
        <v>11.8</v>
      </c>
      <c r="H893" t="n">
        <v>0</v>
      </c>
      <c r="I893" t="n">
        <v>0</v>
      </c>
      <c r="J893" t="n">
        <v>0</v>
      </c>
      <c r="K893" t="n">
        <v>0</v>
      </c>
      <c r="L893" t="n">
        <v>0</v>
      </c>
      <c r="M893" t="n">
        <v>0</v>
      </c>
      <c r="N893" t="n">
        <v>0</v>
      </c>
      <c r="O893" t="n">
        <v>0</v>
      </c>
      <c r="P893" t="n">
        <v>0</v>
      </c>
      <c r="Q893" t="n">
        <v>0</v>
      </c>
      <c r="R893" s="2" t="inlineStr"/>
    </row>
    <row r="894" ht="15" customHeight="1">
      <c r="A894" t="inlineStr">
        <is>
          <t>A 31871-2024</t>
        </is>
      </c>
      <c r="B894" s="1" t="n">
        <v>45509.92899305555</v>
      </c>
      <c r="C894" s="1" t="n">
        <v>45927</v>
      </c>
      <c r="D894" t="inlineStr">
        <is>
          <t>VÄSTERBOTTENS LÄN</t>
        </is>
      </c>
      <c r="E894" t="inlineStr">
        <is>
          <t>SKELLEFTEÅ</t>
        </is>
      </c>
      <c r="G894" t="n">
        <v>3</v>
      </c>
      <c r="H894" t="n">
        <v>0</v>
      </c>
      <c r="I894" t="n">
        <v>0</v>
      </c>
      <c r="J894" t="n">
        <v>0</v>
      </c>
      <c r="K894" t="n">
        <v>0</v>
      </c>
      <c r="L894" t="n">
        <v>0</v>
      </c>
      <c r="M894" t="n">
        <v>0</v>
      </c>
      <c r="N894" t="n">
        <v>0</v>
      </c>
      <c r="O894" t="n">
        <v>0</v>
      </c>
      <c r="P894" t="n">
        <v>0</v>
      </c>
      <c r="Q894" t="n">
        <v>0</v>
      </c>
      <c r="R894" s="2" t="inlineStr"/>
    </row>
    <row r="895" ht="15" customHeight="1">
      <c r="A895" t="inlineStr">
        <is>
          <t>A 8436-2022</t>
        </is>
      </c>
      <c r="B895" s="1" t="n">
        <v>44612.63918981481</v>
      </c>
      <c r="C895" s="1" t="n">
        <v>45927</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60000-2022</t>
        </is>
      </c>
      <c r="B896" s="1" t="n">
        <v>44909.4678125</v>
      </c>
      <c r="C896" s="1" t="n">
        <v>45927</v>
      </c>
      <c r="D896" t="inlineStr">
        <is>
          <t>VÄSTERBOTTENS LÄN</t>
        </is>
      </c>
      <c r="E896" t="inlineStr">
        <is>
          <t>SKELLEFTEÅ</t>
        </is>
      </c>
      <c r="G896" t="n">
        <v>5.7</v>
      </c>
      <c r="H896" t="n">
        <v>0</v>
      </c>
      <c r="I896" t="n">
        <v>0</v>
      </c>
      <c r="J896" t="n">
        <v>0</v>
      </c>
      <c r="K896" t="n">
        <v>0</v>
      </c>
      <c r="L896" t="n">
        <v>0</v>
      </c>
      <c r="M896" t="n">
        <v>0</v>
      </c>
      <c r="N896" t="n">
        <v>0</v>
      </c>
      <c r="O896" t="n">
        <v>0</v>
      </c>
      <c r="P896" t="n">
        <v>0</v>
      </c>
      <c r="Q896" t="n">
        <v>0</v>
      </c>
      <c r="R896" s="2" t="inlineStr"/>
    </row>
    <row r="897" ht="15" customHeight="1">
      <c r="A897" t="inlineStr">
        <is>
          <t>A 58572-2022</t>
        </is>
      </c>
      <c r="B897" s="1" t="n">
        <v>44902</v>
      </c>
      <c r="C897" s="1" t="n">
        <v>45927</v>
      </c>
      <c r="D897" t="inlineStr">
        <is>
          <t>VÄSTERBOTTENS LÄN</t>
        </is>
      </c>
      <c r="E897" t="inlineStr">
        <is>
          <t>SKELLEFTEÅ</t>
        </is>
      </c>
      <c r="F897" t="inlineStr">
        <is>
          <t>Sveaskog</t>
        </is>
      </c>
      <c r="G897" t="n">
        <v>14.7</v>
      </c>
      <c r="H897" t="n">
        <v>0</v>
      </c>
      <c r="I897" t="n">
        <v>0</v>
      </c>
      <c r="J897" t="n">
        <v>0</v>
      </c>
      <c r="K897" t="n">
        <v>0</v>
      </c>
      <c r="L897" t="n">
        <v>0</v>
      </c>
      <c r="M897" t="n">
        <v>0</v>
      </c>
      <c r="N897" t="n">
        <v>0</v>
      </c>
      <c r="O897" t="n">
        <v>0</v>
      </c>
      <c r="P897" t="n">
        <v>0</v>
      </c>
      <c r="Q897" t="n">
        <v>0</v>
      </c>
      <c r="R897" s="2" t="inlineStr"/>
    </row>
    <row r="898" ht="15" customHeight="1">
      <c r="A898" t="inlineStr">
        <is>
          <t>A 35558-2022</t>
        </is>
      </c>
      <c r="B898" s="1" t="n">
        <v>44799.38560185185</v>
      </c>
      <c r="C898" s="1" t="n">
        <v>45927</v>
      </c>
      <c r="D898" t="inlineStr">
        <is>
          <t>VÄSTERBOTTENS LÄN</t>
        </is>
      </c>
      <c r="E898" t="inlineStr">
        <is>
          <t>SKELLEFTEÅ</t>
        </is>
      </c>
      <c r="F898" t="inlineStr">
        <is>
          <t>Sveaskog</t>
        </is>
      </c>
      <c r="G898" t="n">
        <v>21.8</v>
      </c>
      <c r="H898" t="n">
        <v>0</v>
      </c>
      <c r="I898" t="n">
        <v>0</v>
      </c>
      <c r="J898" t="n">
        <v>0</v>
      </c>
      <c r="K898" t="n">
        <v>0</v>
      </c>
      <c r="L898" t="n">
        <v>0</v>
      </c>
      <c r="M898" t="n">
        <v>0</v>
      </c>
      <c r="N898" t="n">
        <v>0</v>
      </c>
      <c r="O898" t="n">
        <v>0</v>
      </c>
      <c r="P898" t="n">
        <v>0</v>
      </c>
      <c r="Q898" t="n">
        <v>0</v>
      </c>
      <c r="R898" s="2" t="inlineStr"/>
    </row>
    <row r="899" ht="15" customHeight="1">
      <c r="A899" t="inlineStr">
        <is>
          <t>A 61378-2024</t>
        </is>
      </c>
      <c r="B899" s="1" t="n">
        <v>45645</v>
      </c>
      <c r="C899" s="1" t="n">
        <v>45927</v>
      </c>
      <c r="D899" t="inlineStr">
        <is>
          <t>VÄSTERBOTTENS LÄN</t>
        </is>
      </c>
      <c r="E899" t="inlineStr">
        <is>
          <t>SKELLEFTEÅ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38809-2023</t>
        </is>
      </c>
      <c r="B900" s="1" t="n">
        <v>45161</v>
      </c>
      <c r="C900" s="1" t="n">
        <v>45927</v>
      </c>
      <c r="D900" t="inlineStr">
        <is>
          <t>VÄSTERBOTTENS LÄN</t>
        </is>
      </c>
      <c r="E900" t="inlineStr">
        <is>
          <t>SKELLEFTEÅ</t>
        </is>
      </c>
      <c r="G900" t="n">
        <v>4</v>
      </c>
      <c r="H900" t="n">
        <v>0</v>
      </c>
      <c r="I900" t="n">
        <v>0</v>
      </c>
      <c r="J900" t="n">
        <v>0</v>
      </c>
      <c r="K900" t="n">
        <v>0</v>
      </c>
      <c r="L900" t="n">
        <v>0</v>
      </c>
      <c r="M900" t="n">
        <v>0</v>
      </c>
      <c r="N900" t="n">
        <v>0</v>
      </c>
      <c r="O900" t="n">
        <v>0</v>
      </c>
      <c r="P900" t="n">
        <v>0</v>
      </c>
      <c r="Q900" t="n">
        <v>0</v>
      </c>
      <c r="R900" s="2" t="inlineStr"/>
    </row>
    <row r="901" ht="15" customHeight="1">
      <c r="A901" t="inlineStr">
        <is>
          <t>A 23445-2024</t>
        </is>
      </c>
      <c r="B901" s="1" t="n">
        <v>45453</v>
      </c>
      <c r="C901" s="1" t="n">
        <v>45927</v>
      </c>
      <c r="D901" t="inlineStr">
        <is>
          <t>VÄSTERBOTTENS LÄN</t>
        </is>
      </c>
      <c r="E901" t="inlineStr">
        <is>
          <t>SKELLEFTEÅ</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33530-2024</t>
        </is>
      </c>
      <c r="B902" s="1" t="n">
        <v>45519.67211805555</v>
      </c>
      <c r="C902" s="1" t="n">
        <v>45927</v>
      </c>
      <c r="D902" t="inlineStr">
        <is>
          <t>VÄSTERBOTTENS LÄN</t>
        </is>
      </c>
      <c r="E902" t="inlineStr">
        <is>
          <t>SKELLEFTEÅ</t>
        </is>
      </c>
      <c r="G902" t="n">
        <v>5</v>
      </c>
      <c r="H902" t="n">
        <v>0</v>
      </c>
      <c r="I902" t="n">
        <v>0</v>
      </c>
      <c r="J902" t="n">
        <v>0</v>
      </c>
      <c r="K902" t="n">
        <v>0</v>
      </c>
      <c r="L902" t="n">
        <v>0</v>
      </c>
      <c r="M902" t="n">
        <v>0</v>
      </c>
      <c r="N902" t="n">
        <v>0</v>
      </c>
      <c r="O902" t="n">
        <v>0</v>
      </c>
      <c r="P902" t="n">
        <v>0</v>
      </c>
      <c r="Q902" t="n">
        <v>0</v>
      </c>
      <c r="R902" s="2" t="inlineStr"/>
    </row>
    <row r="903" ht="15" customHeight="1">
      <c r="A903" t="inlineStr">
        <is>
          <t>A 5133-2025</t>
        </is>
      </c>
      <c r="B903" s="1" t="n">
        <v>45691.57523148148</v>
      </c>
      <c r="C903" s="1" t="n">
        <v>45927</v>
      </c>
      <c r="D903" t="inlineStr">
        <is>
          <t>VÄSTERBOTTENS LÄN</t>
        </is>
      </c>
      <c r="E903" t="inlineStr">
        <is>
          <t>SKELLEFTEÅ</t>
        </is>
      </c>
      <c r="G903" t="n">
        <v>7.1</v>
      </c>
      <c r="H903" t="n">
        <v>0</v>
      </c>
      <c r="I903" t="n">
        <v>0</v>
      </c>
      <c r="J903" t="n">
        <v>0</v>
      </c>
      <c r="K903" t="n">
        <v>0</v>
      </c>
      <c r="L903" t="n">
        <v>0</v>
      </c>
      <c r="M903" t="n">
        <v>0</v>
      </c>
      <c r="N903" t="n">
        <v>0</v>
      </c>
      <c r="O903" t="n">
        <v>0</v>
      </c>
      <c r="P903" t="n">
        <v>0</v>
      </c>
      <c r="Q903" t="n">
        <v>0</v>
      </c>
      <c r="R903" s="2" t="inlineStr"/>
    </row>
    <row r="904" ht="15" customHeight="1">
      <c r="A904" t="inlineStr">
        <is>
          <t>A 5147-2025</t>
        </is>
      </c>
      <c r="B904" s="1" t="n">
        <v>45691.58826388889</v>
      </c>
      <c r="C904" s="1" t="n">
        <v>45927</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44301-2023</t>
        </is>
      </c>
      <c r="B905" s="1" t="n">
        <v>45188</v>
      </c>
      <c r="C905" s="1" t="n">
        <v>45927</v>
      </c>
      <c r="D905" t="inlineStr">
        <is>
          <t>VÄSTERBOTTENS LÄN</t>
        </is>
      </c>
      <c r="E905" t="inlineStr">
        <is>
          <t>SKELLEFTEÅ</t>
        </is>
      </c>
      <c r="G905" t="n">
        <v>2.4</v>
      </c>
      <c r="H905" t="n">
        <v>0</v>
      </c>
      <c r="I905" t="n">
        <v>0</v>
      </c>
      <c r="J905" t="n">
        <v>0</v>
      </c>
      <c r="K905" t="n">
        <v>0</v>
      </c>
      <c r="L905" t="n">
        <v>0</v>
      </c>
      <c r="M905" t="n">
        <v>0</v>
      </c>
      <c r="N905" t="n">
        <v>0</v>
      </c>
      <c r="O905" t="n">
        <v>0</v>
      </c>
      <c r="P905" t="n">
        <v>0</v>
      </c>
      <c r="Q905" t="n">
        <v>0</v>
      </c>
      <c r="R905" s="2" t="inlineStr"/>
    </row>
    <row r="906" ht="15" customHeight="1">
      <c r="A906" t="inlineStr">
        <is>
          <t>A 38398-2024</t>
        </is>
      </c>
      <c r="B906" s="1" t="n">
        <v>45546.33550925926</v>
      </c>
      <c r="C906" s="1" t="n">
        <v>45927</v>
      </c>
      <c r="D906" t="inlineStr">
        <is>
          <t>VÄSTERBOTTENS LÄN</t>
        </is>
      </c>
      <c r="E906" t="inlineStr">
        <is>
          <t>SKELLEFTEÅ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54162-2024</t>
        </is>
      </c>
      <c r="B907" s="1" t="n">
        <v>45616</v>
      </c>
      <c r="C907" s="1" t="n">
        <v>45927</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38818-2023</t>
        </is>
      </c>
      <c r="B908" s="1" t="n">
        <v>45161</v>
      </c>
      <c r="C908" s="1" t="n">
        <v>45927</v>
      </c>
      <c r="D908" t="inlineStr">
        <is>
          <t>VÄSTERBOTTENS LÄN</t>
        </is>
      </c>
      <c r="E908" t="inlineStr">
        <is>
          <t>SKELLEFTEÅ</t>
        </is>
      </c>
      <c r="G908" t="n">
        <v>2.8</v>
      </c>
      <c r="H908" t="n">
        <v>0</v>
      </c>
      <c r="I908" t="n">
        <v>0</v>
      </c>
      <c r="J908" t="n">
        <v>0</v>
      </c>
      <c r="K908" t="n">
        <v>0</v>
      </c>
      <c r="L908" t="n">
        <v>0</v>
      </c>
      <c r="M908" t="n">
        <v>0</v>
      </c>
      <c r="N908" t="n">
        <v>0</v>
      </c>
      <c r="O908" t="n">
        <v>0</v>
      </c>
      <c r="P908" t="n">
        <v>0</v>
      </c>
      <c r="Q908" t="n">
        <v>0</v>
      </c>
      <c r="R908" s="2" t="inlineStr"/>
    </row>
    <row r="909" ht="15" customHeight="1">
      <c r="A909" t="inlineStr">
        <is>
          <t>A 15332-2023</t>
        </is>
      </c>
      <c r="B909" s="1" t="n">
        <v>45016</v>
      </c>
      <c r="C909" s="1" t="n">
        <v>45927</v>
      </c>
      <c r="D909" t="inlineStr">
        <is>
          <t>VÄSTERBOTTENS LÄN</t>
        </is>
      </c>
      <c r="E909" t="inlineStr">
        <is>
          <t>SKELLEFTEÅ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54384-2021</t>
        </is>
      </c>
      <c r="B910" s="1" t="n">
        <v>44473</v>
      </c>
      <c r="C910" s="1" t="n">
        <v>45927</v>
      </c>
      <c r="D910" t="inlineStr">
        <is>
          <t>VÄSTERBOTTENS LÄN</t>
        </is>
      </c>
      <c r="E910" t="inlineStr">
        <is>
          <t>SKELLEFTEÅ</t>
        </is>
      </c>
      <c r="G910" t="n">
        <v>3.5</v>
      </c>
      <c r="H910" t="n">
        <v>0</v>
      </c>
      <c r="I910" t="n">
        <v>0</v>
      </c>
      <c r="J910" t="n">
        <v>0</v>
      </c>
      <c r="K910" t="n">
        <v>0</v>
      </c>
      <c r="L910" t="n">
        <v>0</v>
      </c>
      <c r="M910" t="n">
        <v>0</v>
      </c>
      <c r="N910" t="n">
        <v>0</v>
      </c>
      <c r="O910" t="n">
        <v>0</v>
      </c>
      <c r="P910" t="n">
        <v>0</v>
      </c>
      <c r="Q910" t="n">
        <v>0</v>
      </c>
      <c r="R910" s="2" t="inlineStr"/>
    </row>
    <row r="911" ht="15" customHeight="1">
      <c r="A911" t="inlineStr">
        <is>
          <t>A 19424-2023</t>
        </is>
      </c>
      <c r="B911" s="1" t="n">
        <v>45049.92751157407</v>
      </c>
      <c r="C911" s="1" t="n">
        <v>45927</v>
      </c>
      <c r="D911" t="inlineStr">
        <is>
          <t>VÄSTERBOTTENS LÄN</t>
        </is>
      </c>
      <c r="E911" t="inlineStr">
        <is>
          <t>SKELLEFTEÅ</t>
        </is>
      </c>
      <c r="G911" t="n">
        <v>5.6</v>
      </c>
      <c r="H911" t="n">
        <v>0</v>
      </c>
      <c r="I911" t="n">
        <v>0</v>
      </c>
      <c r="J911" t="n">
        <v>0</v>
      </c>
      <c r="K911" t="n">
        <v>0</v>
      </c>
      <c r="L911" t="n">
        <v>0</v>
      </c>
      <c r="M911" t="n">
        <v>0</v>
      </c>
      <c r="N911" t="n">
        <v>0</v>
      </c>
      <c r="O911" t="n">
        <v>0</v>
      </c>
      <c r="P911" t="n">
        <v>0</v>
      </c>
      <c r="Q911" t="n">
        <v>0</v>
      </c>
      <c r="R911" s="2" t="inlineStr"/>
    </row>
    <row r="912" ht="15" customHeight="1">
      <c r="A912" t="inlineStr">
        <is>
          <t>A 19428-2023</t>
        </is>
      </c>
      <c r="B912" s="1" t="n">
        <v>45049.92771990741</v>
      </c>
      <c r="C912" s="1" t="n">
        <v>45927</v>
      </c>
      <c r="D912" t="inlineStr">
        <is>
          <t>VÄSTERBOTTENS LÄN</t>
        </is>
      </c>
      <c r="E912" t="inlineStr">
        <is>
          <t>SKELLEFTEÅ</t>
        </is>
      </c>
      <c r="G912" t="n">
        <v>5.6</v>
      </c>
      <c r="H912" t="n">
        <v>0</v>
      </c>
      <c r="I912" t="n">
        <v>0</v>
      </c>
      <c r="J912" t="n">
        <v>0</v>
      </c>
      <c r="K912" t="n">
        <v>0</v>
      </c>
      <c r="L912" t="n">
        <v>0</v>
      </c>
      <c r="M912" t="n">
        <v>0</v>
      </c>
      <c r="N912" t="n">
        <v>0</v>
      </c>
      <c r="O912" t="n">
        <v>0</v>
      </c>
      <c r="P912" t="n">
        <v>0</v>
      </c>
      <c r="Q912" t="n">
        <v>0</v>
      </c>
      <c r="R912" s="2" t="inlineStr"/>
    </row>
    <row r="913" ht="15" customHeight="1">
      <c r="A913" t="inlineStr">
        <is>
          <t>A 10647-2023</t>
        </is>
      </c>
      <c r="B913" s="1" t="n">
        <v>44984</v>
      </c>
      <c r="C913" s="1" t="n">
        <v>45927</v>
      </c>
      <c r="D913" t="inlineStr">
        <is>
          <t>VÄSTERBOTTENS LÄN</t>
        </is>
      </c>
      <c r="E913" t="inlineStr">
        <is>
          <t>SKELLEFTEÅ</t>
        </is>
      </c>
      <c r="G913" t="n">
        <v>2.9</v>
      </c>
      <c r="H913" t="n">
        <v>0</v>
      </c>
      <c r="I913" t="n">
        <v>0</v>
      </c>
      <c r="J913" t="n">
        <v>0</v>
      </c>
      <c r="K913" t="n">
        <v>0</v>
      </c>
      <c r="L913" t="n">
        <v>0</v>
      </c>
      <c r="M913" t="n">
        <v>0</v>
      </c>
      <c r="N913" t="n">
        <v>0</v>
      </c>
      <c r="O913" t="n">
        <v>0</v>
      </c>
      <c r="P913" t="n">
        <v>0</v>
      </c>
      <c r="Q913" t="n">
        <v>0</v>
      </c>
      <c r="R913" s="2" t="inlineStr"/>
    </row>
    <row r="914" ht="15" customHeight="1">
      <c r="A914" t="inlineStr">
        <is>
          <t>A 27091-2025</t>
        </is>
      </c>
      <c r="B914" s="1" t="n">
        <v>45811.66915509259</v>
      </c>
      <c r="C914" s="1" t="n">
        <v>45927</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52141-2022</t>
        </is>
      </c>
      <c r="B915" s="1" t="n">
        <v>44868</v>
      </c>
      <c r="C915" s="1" t="n">
        <v>45927</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58119-2024</t>
        </is>
      </c>
      <c r="B916" s="1" t="n">
        <v>45632.39261574074</v>
      </c>
      <c r="C916" s="1" t="n">
        <v>45927</v>
      </c>
      <c r="D916" t="inlineStr">
        <is>
          <t>VÄSTERBOTTENS LÄN</t>
        </is>
      </c>
      <c r="E916" t="inlineStr">
        <is>
          <t>SKELLEFTEÅ</t>
        </is>
      </c>
      <c r="G916" t="n">
        <v>2.8</v>
      </c>
      <c r="H916" t="n">
        <v>0</v>
      </c>
      <c r="I916" t="n">
        <v>0</v>
      </c>
      <c r="J916" t="n">
        <v>0</v>
      </c>
      <c r="K916" t="n">
        <v>0</v>
      </c>
      <c r="L916" t="n">
        <v>0</v>
      </c>
      <c r="M916" t="n">
        <v>0</v>
      </c>
      <c r="N916" t="n">
        <v>0</v>
      </c>
      <c r="O916" t="n">
        <v>0</v>
      </c>
      <c r="P916" t="n">
        <v>0</v>
      </c>
      <c r="Q916" t="n">
        <v>0</v>
      </c>
      <c r="R916" s="2" t="inlineStr"/>
    </row>
    <row r="917" ht="15" customHeight="1">
      <c r="A917" t="inlineStr">
        <is>
          <t>A 29115-2021</t>
        </is>
      </c>
      <c r="B917" s="1" t="n">
        <v>44358</v>
      </c>
      <c r="C917" s="1" t="n">
        <v>45927</v>
      </c>
      <c r="D917" t="inlineStr">
        <is>
          <t>VÄSTERBOTTENS LÄN</t>
        </is>
      </c>
      <c r="E917" t="inlineStr">
        <is>
          <t>SKELLEFTEÅ</t>
        </is>
      </c>
      <c r="G917" t="n">
        <v>4.4</v>
      </c>
      <c r="H917" t="n">
        <v>0</v>
      </c>
      <c r="I917" t="n">
        <v>0</v>
      </c>
      <c r="J917" t="n">
        <v>0</v>
      </c>
      <c r="K917" t="n">
        <v>0</v>
      </c>
      <c r="L917" t="n">
        <v>0</v>
      </c>
      <c r="M917" t="n">
        <v>0</v>
      </c>
      <c r="N917" t="n">
        <v>0</v>
      </c>
      <c r="O917" t="n">
        <v>0</v>
      </c>
      <c r="P917" t="n">
        <v>0</v>
      </c>
      <c r="Q917" t="n">
        <v>0</v>
      </c>
      <c r="R917" s="2" t="inlineStr"/>
    </row>
    <row r="918" ht="15" customHeight="1">
      <c r="A918" t="inlineStr">
        <is>
          <t>A 50082-2024</t>
        </is>
      </c>
      <c r="B918" s="1" t="n">
        <v>45597</v>
      </c>
      <c r="C918" s="1" t="n">
        <v>45927</v>
      </c>
      <c r="D918" t="inlineStr">
        <is>
          <t>VÄSTERBOTTENS LÄN</t>
        </is>
      </c>
      <c r="E918" t="inlineStr">
        <is>
          <t>SKELLEFTEÅ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29152-2023</t>
        </is>
      </c>
      <c r="B919" s="1" t="n">
        <v>45105</v>
      </c>
      <c r="C919" s="1" t="n">
        <v>45927</v>
      </c>
      <c r="D919" t="inlineStr">
        <is>
          <t>VÄSTERBOTTENS LÄN</t>
        </is>
      </c>
      <c r="E919" t="inlineStr">
        <is>
          <t>SKELLEFTEÅ</t>
        </is>
      </c>
      <c r="F919" t="inlineStr">
        <is>
          <t>Holmen skog AB</t>
        </is>
      </c>
      <c r="G919" t="n">
        <v>18.5</v>
      </c>
      <c r="H919" t="n">
        <v>0</v>
      </c>
      <c r="I919" t="n">
        <v>0</v>
      </c>
      <c r="J919" t="n">
        <v>0</v>
      </c>
      <c r="K919" t="n">
        <v>0</v>
      </c>
      <c r="L919" t="n">
        <v>0</v>
      </c>
      <c r="M919" t="n">
        <v>0</v>
      </c>
      <c r="N919" t="n">
        <v>0</v>
      </c>
      <c r="O919" t="n">
        <v>0</v>
      </c>
      <c r="P919" t="n">
        <v>0</v>
      </c>
      <c r="Q919" t="n">
        <v>0</v>
      </c>
      <c r="R919" s="2" t="inlineStr"/>
    </row>
    <row r="920" ht="15" customHeight="1">
      <c r="A920" t="inlineStr">
        <is>
          <t>A 35102-2023</t>
        </is>
      </c>
      <c r="B920" s="1" t="n">
        <v>45145.46237268519</v>
      </c>
      <c r="C920" s="1" t="n">
        <v>45927</v>
      </c>
      <c r="D920" t="inlineStr">
        <is>
          <t>VÄSTERBOTTENS LÄN</t>
        </is>
      </c>
      <c r="E920" t="inlineStr">
        <is>
          <t>SKELLEFTEÅ</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26909-2025</t>
        </is>
      </c>
      <c r="B921" s="1" t="n">
        <v>45811.3458912037</v>
      </c>
      <c r="C921" s="1" t="n">
        <v>45927</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55907-2024</t>
        </is>
      </c>
      <c r="B922" s="1" t="n">
        <v>45623.58414351852</v>
      </c>
      <c r="C922" s="1" t="n">
        <v>45927</v>
      </c>
      <c r="D922" t="inlineStr">
        <is>
          <t>VÄSTERBOTTENS LÄN</t>
        </is>
      </c>
      <c r="E922" t="inlineStr">
        <is>
          <t>SKELLEFTEÅ</t>
        </is>
      </c>
      <c r="F922" t="inlineStr">
        <is>
          <t>Holmen skog AB</t>
        </is>
      </c>
      <c r="G922" t="n">
        <v>4.9</v>
      </c>
      <c r="H922" t="n">
        <v>0</v>
      </c>
      <c r="I922" t="n">
        <v>0</v>
      </c>
      <c r="J922" t="n">
        <v>0</v>
      </c>
      <c r="K922" t="n">
        <v>0</v>
      </c>
      <c r="L922" t="n">
        <v>0</v>
      </c>
      <c r="M922" t="n">
        <v>0</v>
      </c>
      <c r="N922" t="n">
        <v>0</v>
      </c>
      <c r="O922" t="n">
        <v>0</v>
      </c>
      <c r="P922" t="n">
        <v>0</v>
      </c>
      <c r="Q922" t="n">
        <v>0</v>
      </c>
      <c r="R922" s="2" t="inlineStr"/>
    </row>
    <row r="923" ht="15" customHeight="1">
      <c r="A923" t="inlineStr">
        <is>
          <t>A 34332-2024</t>
        </is>
      </c>
      <c r="B923" s="1" t="n">
        <v>45524.89719907408</v>
      </c>
      <c r="C923" s="1" t="n">
        <v>45927</v>
      </c>
      <c r="D923" t="inlineStr">
        <is>
          <t>VÄSTERBOTTENS LÄN</t>
        </is>
      </c>
      <c r="E923" t="inlineStr">
        <is>
          <t>SKELLEFTEÅ</t>
        </is>
      </c>
      <c r="F923" t="inlineStr">
        <is>
          <t>Sveaskog</t>
        </is>
      </c>
      <c r="G923" t="n">
        <v>9.5</v>
      </c>
      <c r="H923" t="n">
        <v>0</v>
      </c>
      <c r="I923" t="n">
        <v>0</v>
      </c>
      <c r="J923" t="n">
        <v>0</v>
      </c>
      <c r="K923" t="n">
        <v>0</v>
      </c>
      <c r="L923" t="n">
        <v>0</v>
      </c>
      <c r="M923" t="n">
        <v>0</v>
      </c>
      <c r="N923" t="n">
        <v>0</v>
      </c>
      <c r="O923" t="n">
        <v>0</v>
      </c>
      <c r="P923" t="n">
        <v>0</v>
      </c>
      <c r="Q923" t="n">
        <v>0</v>
      </c>
      <c r="R923" s="2" t="inlineStr"/>
    </row>
    <row r="924" ht="15" customHeight="1">
      <c r="A924" t="inlineStr">
        <is>
          <t>A 21066-2021</t>
        </is>
      </c>
      <c r="B924" s="1" t="n">
        <v>44319</v>
      </c>
      <c r="C924" s="1" t="n">
        <v>45927</v>
      </c>
      <c r="D924" t="inlineStr">
        <is>
          <t>VÄSTERBOTTENS LÄN</t>
        </is>
      </c>
      <c r="E924" t="inlineStr">
        <is>
          <t>SKELLEFTEÅ</t>
        </is>
      </c>
      <c r="G924" t="n">
        <v>3.5</v>
      </c>
      <c r="H924" t="n">
        <v>0</v>
      </c>
      <c r="I924" t="n">
        <v>0</v>
      </c>
      <c r="J924" t="n">
        <v>0</v>
      </c>
      <c r="K924" t="n">
        <v>0</v>
      </c>
      <c r="L924" t="n">
        <v>0</v>
      </c>
      <c r="M924" t="n">
        <v>0</v>
      </c>
      <c r="N924" t="n">
        <v>0</v>
      </c>
      <c r="O924" t="n">
        <v>0</v>
      </c>
      <c r="P924" t="n">
        <v>0</v>
      </c>
      <c r="Q924" t="n">
        <v>0</v>
      </c>
      <c r="R924" s="2" t="inlineStr"/>
    </row>
    <row r="925" ht="15" customHeight="1">
      <c r="A925" t="inlineStr">
        <is>
          <t>A 61348-2022</t>
        </is>
      </c>
      <c r="B925" s="1" t="n">
        <v>44915.69402777778</v>
      </c>
      <c r="C925" s="1" t="n">
        <v>45927</v>
      </c>
      <c r="D925" t="inlineStr">
        <is>
          <t>VÄSTERBOTTENS LÄN</t>
        </is>
      </c>
      <c r="E925" t="inlineStr">
        <is>
          <t>SKELLEFTEÅ</t>
        </is>
      </c>
      <c r="F925" t="inlineStr">
        <is>
          <t>Sveaskog</t>
        </is>
      </c>
      <c r="G925" t="n">
        <v>7.9</v>
      </c>
      <c r="H925" t="n">
        <v>0</v>
      </c>
      <c r="I925" t="n">
        <v>0</v>
      </c>
      <c r="J925" t="n">
        <v>0</v>
      </c>
      <c r="K925" t="n">
        <v>0</v>
      </c>
      <c r="L925" t="n">
        <v>0</v>
      </c>
      <c r="M925" t="n">
        <v>0</v>
      </c>
      <c r="N925" t="n">
        <v>0</v>
      </c>
      <c r="O925" t="n">
        <v>0</v>
      </c>
      <c r="P925" t="n">
        <v>0</v>
      </c>
      <c r="Q925" t="n">
        <v>0</v>
      </c>
      <c r="R925" s="2" t="inlineStr"/>
    </row>
    <row r="926" ht="15" customHeight="1">
      <c r="A926" t="inlineStr">
        <is>
          <t>A 35114-2024</t>
        </is>
      </c>
      <c r="B926" s="1" t="n">
        <v>45529.92038194444</v>
      </c>
      <c r="C926" s="1" t="n">
        <v>45927</v>
      </c>
      <c r="D926" t="inlineStr">
        <is>
          <t>VÄSTERBOTTENS LÄN</t>
        </is>
      </c>
      <c r="E926" t="inlineStr">
        <is>
          <t>SKELLEFTEÅ</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24238-2021</t>
        </is>
      </c>
      <c r="B927" s="1" t="n">
        <v>44336.9187962963</v>
      </c>
      <c r="C927" s="1" t="n">
        <v>45927</v>
      </c>
      <c r="D927" t="inlineStr">
        <is>
          <t>VÄSTERBOTTENS LÄN</t>
        </is>
      </c>
      <c r="E927" t="inlineStr">
        <is>
          <t>SKELLEFTEÅ</t>
        </is>
      </c>
      <c r="G927" t="n">
        <v>2.3</v>
      </c>
      <c r="H927" t="n">
        <v>0</v>
      </c>
      <c r="I927" t="n">
        <v>0</v>
      </c>
      <c r="J927" t="n">
        <v>0</v>
      </c>
      <c r="K927" t="n">
        <v>0</v>
      </c>
      <c r="L927" t="n">
        <v>0</v>
      </c>
      <c r="M927" t="n">
        <v>0</v>
      </c>
      <c r="N927" t="n">
        <v>0</v>
      </c>
      <c r="O927" t="n">
        <v>0</v>
      </c>
      <c r="P927" t="n">
        <v>0</v>
      </c>
      <c r="Q927" t="n">
        <v>0</v>
      </c>
      <c r="R927" s="2" t="inlineStr"/>
    </row>
    <row r="928" ht="15" customHeight="1">
      <c r="A928" t="inlineStr">
        <is>
          <t>A 121-2023</t>
        </is>
      </c>
      <c r="B928" s="1" t="n">
        <v>44918</v>
      </c>
      <c r="C928" s="1" t="n">
        <v>45927</v>
      </c>
      <c r="D928" t="inlineStr">
        <is>
          <t>VÄSTERBOTTENS LÄN</t>
        </is>
      </c>
      <c r="E928" t="inlineStr">
        <is>
          <t>SKELLEFTEÅ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27010-2025</t>
        </is>
      </c>
      <c r="B929" s="1" t="n">
        <v>45811.56021990741</v>
      </c>
      <c r="C929" s="1" t="n">
        <v>45927</v>
      </c>
      <c r="D929" t="inlineStr">
        <is>
          <t>VÄSTERBOTTENS LÄN</t>
        </is>
      </c>
      <c r="E929" t="inlineStr">
        <is>
          <t>SKELLEFTEÅ</t>
        </is>
      </c>
      <c r="G929" t="n">
        <v>10.4</v>
      </c>
      <c r="H929" t="n">
        <v>0</v>
      </c>
      <c r="I929" t="n">
        <v>0</v>
      </c>
      <c r="J929" t="n">
        <v>0</v>
      </c>
      <c r="K929" t="n">
        <v>0</v>
      </c>
      <c r="L929" t="n">
        <v>0</v>
      </c>
      <c r="M929" t="n">
        <v>0</v>
      </c>
      <c r="N929" t="n">
        <v>0</v>
      </c>
      <c r="O929" t="n">
        <v>0</v>
      </c>
      <c r="P929" t="n">
        <v>0</v>
      </c>
      <c r="Q929" t="n">
        <v>0</v>
      </c>
      <c r="R929" s="2" t="inlineStr"/>
    </row>
    <row r="930" ht="15" customHeight="1">
      <c r="A930" t="inlineStr">
        <is>
          <t>A 25473-2021</t>
        </is>
      </c>
      <c r="B930" s="1" t="n">
        <v>44342.76399305555</v>
      </c>
      <c r="C930" s="1" t="n">
        <v>45927</v>
      </c>
      <c r="D930" t="inlineStr">
        <is>
          <t>VÄSTERBOTTENS LÄN</t>
        </is>
      </c>
      <c r="E930" t="inlineStr">
        <is>
          <t>SKELLEFTEÅ</t>
        </is>
      </c>
      <c r="G930" t="n">
        <v>6.6</v>
      </c>
      <c r="H930" t="n">
        <v>0</v>
      </c>
      <c r="I930" t="n">
        <v>0</v>
      </c>
      <c r="J930" t="n">
        <v>0</v>
      </c>
      <c r="K930" t="n">
        <v>0</v>
      </c>
      <c r="L930" t="n">
        <v>0</v>
      </c>
      <c r="M930" t="n">
        <v>0</v>
      </c>
      <c r="N930" t="n">
        <v>0</v>
      </c>
      <c r="O930" t="n">
        <v>0</v>
      </c>
      <c r="P930" t="n">
        <v>0</v>
      </c>
      <c r="Q930" t="n">
        <v>0</v>
      </c>
      <c r="R930" s="2" t="inlineStr"/>
    </row>
    <row r="931" ht="15" customHeight="1">
      <c r="A931" t="inlineStr">
        <is>
          <t>A 26601-2025</t>
        </is>
      </c>
      <c r="B931" s="1" t="n">
        <v>45808.88428240741</v>
      </c>
      <c r="C931" s="1" t="n">
        <v>45927</v>
      </c>
      <c r="D931" t="inlineStr">
        <is>
          <t>VÄSTERBOTTENS LÄN</t>
        </is>
      </c>
      <c r="E931" t="inlineStr">
        <is>
          <t>SKELLEFTEÅ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5602-2023</t>
        </is>
      </c>
      <c r="B932" s="1" t="n">
        <v>44960.55158564815</v>
      </c>
      <c r="C932" s="1" t="n">
        <v>45927</v>
      </c>
      <c r="D932" t="inlineStr">
        <is>
          <t>VÄSTERBOTTENS LÄN</t>
        </is>
      </c>
      <c r="E932" t="inlineStr">
        <is>
          <t>SKELLEFTEÅ</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57770-2020</t>
        </is>
      </c>
      <c r="B933" s="1" t="n">
        <v>44141.33440972222</v>
      </c>
      <c r="C933" s="1" t="n">
        <v>45927</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7579-2022</t>
        </is>
      </c>
      <c r="B934" s="1" t="n">
        <v>44607</v>
      </c>
      <c r="C934" s="1" t="n">
        <v>45927</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62319-2022</t>
        </is>
      </c>
      <c r="B935" s="1" t="n">
        <v>44923</v>
      </c>
      <c r="C935" s="1" t="n">
        <v>45927</v>
      </c>
      <c r="D935" t="inlineStr">
        <is>
          <t>VÄSTERBOTTENS LÄN</t>
        </is>
      </c>
      <c r="E935" t="inlineStr">
        <is>
          <t>SKELLEFTEÅ</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52218-2024</t>
        </is>
      </c>
      <c r="B936" s="1" t="n">
        <v>45608.60149305555</v>
      </c>
      <c r="C936" s="1" t="n">
        <v>45927</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30901-2024</t>
        </is>
      </c>
      <c r="B937" s="1" t="n">
        <v>45498</v>
      </c>
      <c r="C937" s="1" t="n">
        <v>45927</v>
      </c>
      <c r="D937" t="inlineStr">
        <is>
          <t>VÄSTERBOTTENS LÄN</t>
        </is>
      </c>
      <c r="E937" t="inlineStr">
        <is>
          <t>SKELLEFTEÅ</t>
        </is>
      </c>
      <c r="G937" t="n">
        <v>4</v>
      </c>
      <c r="H937" t="n">
        <v>0</v>
      </c>
      <c r="I937" t="n">
        <v>0</v>
      </c>
      <c r="J937" t="n">
        <v>0</v>
      </c>
      <c r="K937" t="n">
        <v>0</v>
      </c>
      <c r="L937" t="n">
        <v>0</v>
      </c>
      <c r="M937" t="n">
        <v>0</v>
      </c>
      <c r="N937" t="n">
        <v>0</v>
      </c>
      <c r="O937" t="n">
        <v>0</v>
      </c>
      <c r="P937" t="n">
        <v>0</v>
      </c>
      <c r="Q937" t="n">
        <v>0</v>
      </c>
      <c r="R937" s="2" t="inlineStr"/>
    </row>
    <row r="938" ht="15" customHeight="1">
      <c r="A938" t="inlineStr">
        <is>
          <t>A 26646-2025</t>
        </is>
      </c>
      <c r="B938" s="1" t="n">
        <v>45810.38410879629</v>
      </c>
      <c r="C938" s="1" t="n">
        <v>45927</v>
      </c>
      <c r="D938" t="inlineStr">
        <is>
          <t>VÄSTERBOTTENS LÄN</t>
        </is>
      </c>
      <c r="E938" t="inlineStr">
        <is>
          <t>SKELLEFTEÅ</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11771-2023</t>
        </is>
      </c>
      <c r="B939" s="1" t="n">
        <v>44994.6418287037</v>
      </c>
      <c r="C939" s="1" t="n">
        <v>45927</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27082-2025</t>
        </is>
      </c>
      <c r="B940" s="1" t="n">
        <v>45811.65423611111</v>
      </c>
      <c r="C940" s="1" t="n">
        <v>45927</v>
      </c>
      <c r="D940" t="inlineStr">
        <is>
          <t>VÄSTERBOTTENS LÄN</t>
        </is>
      </c>
      <c r="E940" t="inlineStr">
        <is>
          <t>SKELLEFTEÅ</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57085-2023</t>
        </is>
      </c>
      <c r="B941" s="1" t="n">
        <v>45245.25636574074</v>
      </c>
      <c r="C941" s="1" t="n">
        <v>45927</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48501-2023</t>
        </is>
      </c>
      <c r="B942" s="1" t="n">
        <v>45207.82268518519</v>
      </c>
      <c r="C942" s="1" t="n">
        <v>45927</v>
      </c>
      <c r="D942" t="inlineStr">
        <is>
          <t>VÄSTERBOTTENS LÄN</t>
        </is>
      </c>
      <c r="E942" t="inlineStr">
        <is>
          <t>SKELLEFTEÅ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48516-2023</t>
        </is>
      </c>
      <c r="B943" s="1" t="n">
        <v>45208.32671296296</v>
      </c>
      <c r="C943" s="1" t="n">
        <v>45927</v>
      </c>
      <c r="D943" t="inlineStr">
        <is>
          <t>VÄSTERBOTTENS LÄN</t>
        </is>
      </c>
      <c r="E943" t="inlineStr">
        <is>
          <t>SKELLEFTEÅ</t>
        </is>
      </c>
      <c r="G943" t="n">
        <v>4.8</v>
      </c>
      <c r="H943" t="n">
        <v>0</v>
      </c>
      <c r="I943" t="n">
        <v>0</v>
      </c>
      <c r="J943" t="n">
        <v>0</v>
      </c>
      <c r="K943" t="n">
        <v>0</v>
      </c>
      <c r="L943" t="n">
        <v>0</v>
      </c>
      <c r="M943" t="n">
        <v>0</v>
      </c>
      <c r="N943" t="n">
        <v>0</v>
      </c>
      <c r="O943" t="n">
        <v>0</v>
      </c>
      <c r="P943" t="n">
        <v>0</v>
      </c>
      <c r="Q943" t="n">
        <v>0</v>
      </c>
      <c r="R943" s="2" t="inlineStr"/>
    </row>
    <row r="944" ht="15" customHeight="1">
      <c r="A944" t="inlineStr">
        <is>
          <t>A 38558-2024</t>
        </is>
      </c>
      <c r="B944" s="1" t="n">
        <v>45546.62606481482</v>
      </c>
      <c r="C944" s="1" t="n">
        <v>45927</v>
      </c>
      <c r="D944" t="inlineStr">
        <is>
          <t>VÄSTERBOTTENS LÄN</t>
        </is>
      </c>
      <c r="E944" t="inlineStr">
        <is>
          <t>SKELLEFTEÅ</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38568-2024</t>
        </is>
      </c>
      <c r="B945" s="1" t="n">
        <v>45546.63684027778</v>
      </c>
      <c r="C945" s="1" t="n">
        <v>45927</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528-2022</t>
        </is>
      </c>
      <c r="B946" s="1" t="n">
        <v>44566.59707175926</v>
      </c>
      <c r="C946" s="1" t="n">
        <v>45927</v>
      </c>
      <c r="D946" t="inlineStr">
        <is>
          <t>VÄSTERBOTTENS LÄN</t>
        </is>
      </c>
      <c r="E946" t="inlineStr">
        <is>
          <t>SKELLEFTEÅ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50263-2024</t>
        </is>
      </c>
      <c r="B947" s="1" t="n">
        <v>45600.58701388889</v>
      </c>
      <c r="C947" s="1" t="n">
        <v>45927</v>
      </c>
      <c r="D947" t="inlineStr">
        <is>
          <t>VÄSTERBOTTENS LÄN</t>
        </is>
      </c>
      <c r="E947" t="inlineStr">
        <is>
          <t>SKELLEFTEÅ</t>
        </is>
      </c>
      <c r="G947" t="n">
        <v>5.7</v>
      </c>
      <c r="H947" t="n">
        <v>0</v>
      </c>
      <c r="I947" t="n">
        <v>0</v>
      </c>
      <c r="J947" t="n">
        <v>0</v>
      </c>
      <c r="K947" t="n">
        <v>0</v>
      </c>
      <c r="L947" t="n">
        <v>0</v>
      </c>
      <c r="M947" t="n">
        <v>0</v>
      </c>
      <c r="N947" t="n">
        <v>0</v>
      </c>
      <c r="O947" t="n">
        <v>0</v>
      </c>
      <c r="P947" t="n">
        <v>0</v>
      </c>
      <c r="Q947" t="n">
        <v>0</v>
      </c>
      <c r="R947" s="2" t="inlineStr"/>
    </row>
    <row r="948" ht="15" customHeight="1">
      <c r="A948" t="inlineStr">
        <is>
          <t>A 26767-2025</t>
        </is>
      </c>
      <c r="B948" s="1" t="n">
        <v>45810.56726851852</v>
      </c>
      <c r="C948" s="1" t="n">
        <v>45927</v>
      </c>
      <c r="D948" t="inlineStr">
        <is>
          <t>VÄSTERBOTTENS LÄN</t>
        </is>
      </c>
      <c r="E948" t="inlineStr">
        <is>
          <t>SKELLEFTEÅ</t>
        </is>
      </c>
      <c r="F948" t="inlineStr">
        <is>
          <t>Holmen skog AB</t>
        </is>
      </c>
      <c r="G948" t="n">
        <v>9.9</v>
      </c>
      <c r="H948" t="n">
        <v>0</v>
      </c>
      <c r="I948" t="n">
        <v>0</v>
      </c>
      <c r="J948" t="n">
        <v>0</v>
      </c>
      <c r="K948" t="n">
        <v>0</v>
      </c>
      <c r="L948" t="n">
        <v>0</v>
      </c>
      <c r="M948" t="n">
        <v>0</v>
      </c>
      <c r="N948" t="n">
        <v>0</v>
      </c>
      <c r="O948" t="n">
        <v>0</v>
      </c>
      <c r="P948" t="n">
        <v>0</v>
      </c>
      <c r="Q948" t="n">
        <v>0</v>
      </c>
      <c r="R948" s="2" t="inlineStr"/>
    </row>
    <row r="949" ht="15" customHeight="1">
      <c r="A949" t="inlineStr">
        <is>
          <t>A 5636-2024</t>
        </is>
      </c>
      <c r="B949" s="1" t="n">
        <v>45334.61045138889</v>
      </c>
      <c r="C949" s="1" t="n">
        <v>45927</v>
      </c>
      <c r="D949" t="inlineStr">
        <is>
          <t>VÄSTERBOTTENS LÄN</t>
        </is>
      </c>
      <c r="E949" t="inlineStr">
        <is>
          <t>SKELLEFTEÅ</t>
        </is>
      </c>
      <c r="G949" t="n">
        <v>5.8</v>
      </c>
      <c r="H949" t="n">
        <v>0</v>
      </c>
      <c r="I949" t="n">
        <v>0</v>
      </c>
      <c r="J949" t="n">
        <v>0</v>
      </c>
      <c r="K949" t="n">
        <v>0</v>
      </c>
      <c r="L949" t="n">
        <v>0</v>
      </c>
      <c r="M949" t="n">
        <v>0</v>
      </c>
      <c r="N949" t="n">
        <v>0</v>
      </c>
      <c r="O949" t="n">
        <v>0</v>
      </c>
      <c r="P949" t="n">
        <v>0</v>
      </c>
      <c r="Q949" t="n">
        <v>0</v>
      </c>
      <c r="R949" s="2" t="inlineStr"/>
    </row>
    <row r="950" ht="15" customHeight="1">
      <c r="A950" t="inlineStr">
        <is>
          <t>A 59165-2023</t>
        </is>
      </c>
      <c r="B950" s="1" t="n">
        <v>45251</v>
      </c>
      <c r="C950" s="1" t="n">
        <v>45927</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12547-2025</t>
        </is>
      </c>
      <c r="B951" s="1" t="n">
        <v>45730.89319444444</v>
      </c>
      <c r="C951" s="1" t="n">
        <v>45927</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27477-2025</t>
        </is>
      </c>
      <c r="B952" s="1" t="n">
        <v>45813.37619212963</v>
      </c>
      <c r="C952" s="1" t="n">
        <v>45927</v>
      </c>
      <c r="D952" t="inlineStr">
        <is>
          <t>VÄSTERBOTTENS LÄN</t>
        </is>
      </c>
      <c r="E952" t="inlineStr">
        <is>
          <t>SKELLEFTEÅ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40347-2024</t>
        </is>
      </c>
      <c r="B953" s="1" t="n">
        <v>45555.35193287037</v>
      </c>
      <c r="C953" s="1" t="n">
        <v>45927</v>
      </c>
      <c r="D953" t="inlineStr">
        <is>
          <t>VÄSTERBOTTENS LÄN</t>
        </is>
      </c>
      <c r="E953" t="inlineStr">
        <is>
          <t>SKELLEFTEÅ</t>
        </is>
      </c>
      <c r="F953" t="inlineStr">
        <is>
          <t>Kommuner</t>
        </is>
      </c>
      <c r="G953" t="n">
        <v>2.1</v>
      </c>
      <c r="H953" t="n">
        <v>0</v>
      </c>
      <c r="I953" t="n">
        <v>0</v>
      </c>
      <c r="J953" t="n">
        <v>0</v>
      </c>
      <c r="K953" t="n">
        <v>0</v>
      </c>
      <c r="L953" t="n">
        <v>0</v>
      </c>
      <c r="M953" t="n">
        <v>0</v>
      </c>
      <c r="N953" t="n">
        <v>0</v>
      </c>
      <c r="O953" t="n">
        <v>0</v>
      </c>
      <c r="P953" t="n">
        <v>0</v>
      </c>
      <c r="Q953" t="n">
        <v>0</v>
      </c>
      <c r="R953" s="2" t="inlineStr"/>
    </row>
    <row r="954" ht="15" customHeight="1">
      <c r="A954" t="inlineStr">
        <is>
          <t>A 27851-2024</t>
        </is>
      </c>
      <c r="B954" s="1" t="n">
        <v>45475.6459837963</v>
      </c>
      <c r="C954" s="1" t="n">
        <v>45927</v>
      </c>
      <c r="D954" t="inlineStr">
        <is>
          <t>VÄSTERBOTTENS LÄN</t>
        </is>
      </c>
      <c r="E954" t="inlineStr">
        <is>
          <t>SKELLEFTEÅ</t>
        </is>
      </c>
      <c r="F954" t="inlineStr">
        <is>
          <t>Sveaskog</t>
        </is>
      </c>
      <c r="G954" t="n">
        <v>13.3</v>
      </c>
      <c r="H954" t="n">
        <v>0</v>
      </c>
      <c r="I954" t="n">
        <v>0</v>
      </c>
      <c r="J954" t="n">
        <v>0</v>
      </c>
      <c r="K954" t="n">
        <v>0</v>
      </c>
      <c r="L954" t="n">
        <v>0</v>
      </c>
      <c r="M954" t="n">
        <v>0</v>
      </c>
      <c r="N954" t="n">
        <v>0</v>
      </c>
      <c r="O954" t="n">
        <v>0</v>
      </c>
      <c r="P954" t="n">
        <v>0</v>
      </c>
      <c r="Q954" t="n">
        <v>0</v>
      </c>
      <c r="R954" s="2" t="inlineStr"/>
    </row>
    <row r="955" ht="15" customHeight="1">
      <c r="A955" t="inlineStr">
        <is>
          <t>A 52105-2023</t>
        </is>
      </c>
      <c r="B955" s="1" t="n">
        <v>45223.92668981481</v>
      </c>
      <c r="C955" s="1" t="n">
        <v>45927</v>
      </c>
      <c r="D955" t="inlineStr">
        <is>
          <t>VÄSTERBOTTENS LÄN</t>
        </is>
      </c>
      <c r="E955" t="inlineStr">
        <is>
          <t>SKELLEFTEÅ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27641-2025</t>
        </is>
      </c>
      <c r="B956" s="1" t="n">
        <v>45813.58498842592</v>
      </c>
      <c r="C956" s="1" t="n">
        <v>45927</v>
      </c>
      <c r="D956" t="inlineStr">
        <is>
          <t>VÄSTERBOTTENS LÄN</t>
        </is>
      </c>
      <c r="E956" t="inlineStr">
        <is>
          <t>SKELLEFTEÅ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27157-2025</t>
        </is>
      </c>
      <c r="B957" s="1" t="n">
        <v>45812.33298611111</v>
      </c>
      <c r="C957" s="1" t="n">
        <v>45927</v>
      </c>
      <c r="D957" t="inlineStr">
        <is>
          <t>VÄSTERBOTTENS LÄN</t>
        </is>
      </c>
      <c r="E957" t="inlineStr">
        <is>
          <t>SKELLEFTEÅ</t>
        </is>
      </c>
      <c r="G957" t="n">
        <v>1.7</v>
      </c>
      <c r="H957" t="n">
        <v>0</v>
      </c>
      <c r="I957" t="n">
        <v>0</v>
      </c>
      <c r="J957" t="n">
        <v>0</v>
      </c>
      <c r="K957" t="n">
        <v>0</v>
      </c>
      <c r="L957" t="n">
        <v>0</v>
      </c>
      <c r="M957" t="n">
        <v>0</v>
      </c>
      <c r="N957" t="n">
        <v>0</v>
      </c>
      <c r="O957" t="n">
        <v>0</v>
      </c>
      <c r="P957" t="n">
        <v>0</v>
      </c>
      <c r="Q957" t="n">
        <v>0</v>
      </c>
      <c r="R957" s="2" t="inlineStr"/>
    </row>
    <row r="958" ht="15" customHeight="1">
      <c r="A958" t="inlineStr">
        <is>
          <t>A 27219-2025</t>
        </is>
      </c>
      <c r="B958" s="1" t="n">
        <v>45812</v>
      </c>
      <c r="C958" s="1" t="n">
        <v>45927</v>
      </c>
      <c r="D958" t="inlineStr">
        <is>
          <t>VÄSTERBOTTENS LÄN</t>
        </is>
      </c>
      <c r="E958" t="inlineStr">
        <is>
          <t>SKELLEFTEÅ</t>
        </is>
      </c>
      <c r="G958" t="n">
        <v>5.1</v>
      </c>
      <c r="H958" t="n">
        <v>0</v>
      </c>
      <c r="I958" t="n">
        <v>0</v>
      </c>
      <c r="J958" t="n">
        <v>0</v>
      </c>
      <c r="K958" t="n">
        <v>0</v>
      </c>
      <c r="L958" t="n">
        <v>0</v>
      </c>
      <c r="M958" t="n">
        <v>0</v>
      </c>
      <c r="N958" t="n">
        <v>0</v>
      </c>
      <c r="O958" t="n">
        <v>0</v>
      </c>
      <c r="P958" t="n">
        <v>0</v>
      </c>
      <c r="Q958" t="n">
        <v>0</v>
      </c>
      <c r="R958" s="2" t="inlineStr"/>
    </row>
    <row r="959" ht="15" customHeight="1">
      <c r="A959" t="inlineStr">
        <is>
          <t>A 11076-2024</t>
        </is>
      </c>
      <c r="B959" s="1" t="n">
        <v>45370</v>
      </c>
      <c r="C959" s="1" t="n">
        <v>45927</v>
      </c>
      <c r="D959" t="inlineStr">
        <is>
          <t>VÄSTERBOTTENS LÄN</t>
        </is>
      </c>
      <c r="E959" t="inlineStr">
        <is>
          <t>SKELLEFTEÅ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1149-2021</t>
        </is>
      </c>
      <c r="B960" s="1" t="n">
        <v>44207</v>
      </c>
      <c r="C960" s="1" t="n">
        <v>45927</v>
      </c>
      <c r="D960" t="inlineStr">
        <is>
          <t>VÄSTERBOTTENS LÄN</t>
        </is>
      </c>
      <c r="E960" t="inlineStr">
        <is>
          <t>SKELLEFTEÅ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25596-2022</t>
        </is>
      </c>
      <c r="B961" s="1" t="n">
        <v>44732</v>
      </c>
      <c r="C961" s="1" t="n">
        <v>45927</v>
      </c>
      <c r="D961" t="inlineStr">
        <is>
          <t>VÄSTERBOTTENS LÄN</t>
        </is>
      </c>
      <c r="E961" t="inlineStr">
        <is>
          <t>SKELLEFTEÅ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27331-2025</t>
        </is>
      </c>
      <c r="B962" s="1" t="n">
        <v>45812</v>
      </c>
      <c r="C962" s="1" t="n">
        <v>45927</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27400-2025</t>
        </is>
      </c>
      <c r="B963" s="1" t="n">
        <v>45812.69835648148</v>
      </c>
      <c r="C963" s="1" t="n">
        <v>45927</v>
      </c>
      <c r="D963" t="inlineStr">
        <is>
          <t>VÄSTERBOTTENS LÄN</t>
        </is>
      </c>
      <c r="E963" t="inlineStr">
        <is>
          <t>SKELLEFTEÅ</t>
        </is>
      </c>
      <c r="G963" t="n">
        <v>5.1</v>
      </c>
      <c r="H963" t="n">
        <v>0</v>
      </c>
      <c r="I963" t="n">
        <v>0</v>
      </c>
      <c r="J963" t="n">
        <v>0</v>
      </c>
      <c r="K963" t="n">
        <v>0</v>
      </c>
      <c r="L963" t="n">
        <v>0</v>
      </c>
      <c r="M963" t="n">
        <v>0</v>
      </c>
      <c r="N963" t="n">
        <v>0</v>
      </c>
      <c r="O963" t="n">
        <v>0</v>
      </c>
      <c r="P963" t="n">
        <v>0</v>
      </c>
      <c r="Q963" t="n">
        <v>0</v>
      </c>
      <c r="R963" s="2" t="inlineStr"/>
    </row>
    <row r="964" ht="15" customHeight="1">
      <c r="A964" t="inlineStr">
        <is>
          <t>A 27437-2025</t>
        </is>
      </c>
      <c r="B964" s="1" t="n">
        <v>45813.31398148148</v>
      </c>
      <c r="C964" s="1" t="n">
        <v>45927</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52462-2021</t>
        </is>
      </c>
      <c r="B965" s="1" t="n">
        <v>44463</v>
      </c>
      <c r="C965" s="1" t="n">
        <v>45927</v>
      </c>
      <c r="D965" t="inlineStr">
        <is>
          <t>VÄSTERBOTTENS LÄN</t>
        </is>
      </c>
      <c r="E965" t="inlineStr">
        <is>
          <t>SKELLEFTEÅ</t>
        </is>
      </c>
      <c r="G965" t="n">
        <v>3</v>
      </c>
      <c r="H965" t="n">
        <v>0</v>
      </c>
      <c r="I965" t="n">
        <v>0</v>
      </c>
      <c r="J965" t="n">
        <v>0</v>
      </c>
      <c r="K965" t="n">
        <v>0</v>
      </c>
      <c r="L965" t="n">
        <v>0</v>
      </c>
      <c r="M965" t="n">
        <v>0</v>
      </c>
      <c r="N965" t="n">
        <v>0</v>
      </c>
      <c r="O965" t="n">
        <v>0</v>
      </c>
      <c r="P965" t="n">
        <v>0</v>
      </c>
      <c r="Q965" t="n">
        <v>0</v>
      </c>
      <c r="R965" s="2" t="inlineStr"/>
    </row>
    <row r="966" ht="15" customHeight="1">
      <c r="A966" t="inlineStr">
        <is>
          <t>A 10568-2023</t>
        </is>
      </c>
      <c r="B966" s="1" t="n">
        <v>44981</v>
      </c>
      <c r="C966" s="1" t="n">
        <v>45927</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27442-2025</t>
        </is>
      </c>
      <c r="B967" s="1" t="n">
        <v>45813.31957175926</v>
      </c>
      <c r="C967" s="1" t="n">
        <v>45927</v>
      </c>
      <c r="D967" t="inlineStr">
        <is>
          <t>VÄSTERBOTTENS LÄN</t>
        </is>
      </c>
      <c r="E967" t="inlineStr">
        <is>
          <t>SKELLEFTEÅ</t>
        </is>
      </c>
      <c r="G967" t="n">
        <v>3.6</v>
      </c>
      <c r="H967" t="n">
        <v>0</v>
      </c>
      <c r="I967" t="n">
        <v>0</v>
      </c>
      <c r="J967" t="n">
        <v>0</v>
      </c>
      <c r="K967" t="n">
        <v>0</v>
      </c>
      <c r="L967" t="n">
        <v>0</v>
      </c>
      <c r="M967" t="n">
        <v>0</v>
      </c>
      <c r="N967" t="n">
        <v>0</v>
      </c>
      <c r="O967" t="n">
        <v>0</v>
      </c>
      <c r="P967" t="n">
        <v>0</v>
      </c>
      <c r="Q967" t="n">
        <v>0</v>
      </c>
      <c r="R967" s="2" t="inlineStr"/>
    </row>
    <row r="968" ht="15" customHeight="1">
      <c r="A968" t="inlineStr">
        <is>
          <t>A 27433-2025</t>
        </is>
      </c>
      <c r="B968" s="1" t="n">
        <v>45813.31068287037</v>
      </c>
      <c r="C968" s="1" t="n">
        <v>45927</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12320-2025</t>
        </is>
      </c>
      <c r="B969" s="1" t="n">
        <v>45730.24912037037</v>
      </c>
      <c r="C969" s="1" t="n">
        <v>45927</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15706-2023</t>
        </is>
      </c>
      <c r="B970" s="1" t="n">
        <v>45020</v>
      </c>
      <c r="C970" s="1" t="n">
        <v>45927</v>
      </c>
      <c r="D970" t="inlineStr">
        <is>
          <t>VÄSTERBOTTENS LÄN</t>
        </is>
      </c>
      <c r="E970" t="inlineStr">
        <is>
          <t>SKELLEFTEÅ</t>
        </is>
      </c>
      <c r="G970" t="n">
        <v>2.8</v>
      </c>
      <c r="H970" t="n">
        <v>0</v>
      </c>
      <c r="I970" t="n">
        <v>0</v>
      </c>
      <c r="J970" t="n">
        <v>0</v>
      </c>
      <c r="K970" t="n">
        <v>0</v>
      </c>
      <c r="L970" t="n">
        <v>0</v>
      </c>
      <c r="M970" t="n">
        <v>0</v>
      </c>
      <c r="N970" t="n">
        <v>0</v>
      </c>
      <c r="O970" t="n">
        <v>0</v>
      </c>
      <c r="P970" t="n">
        <v>0</v>
      </c>
      <c r="Q970" t="n">
        <v>0</v>
      </c>
      <c r="R970" s="2" t="inlineStr"/>
    </row>
    <row r="971" ht="15" customHeight="1">
      <c r="A971" t="inlineStr">
        <is>
          <t>A 56952-2024</t>
        </is>
      </c>
      <c r="B971" s="1" t="n">
        <v>45628</v>
      </c>
      <c r="C971" s="1" t="n">
        <v>45927</v>
      </c>
      <c r="D971" t="inlineStr">
        <is>
          <t>VÄSTERBOTTENS LÄN</t>
        </is>
      </c>
      <c r="E971" t="inlineStr">
        <is>
          <t>SKELLEFTEÅ</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50531-2022</t>
        </is>
      </c>
      <c r="B972" s="1" t="n">
        <v>44866.57714120371</v>
      </c>
      <c r="C972" s="1" t="n">
        <v>45927</v>
      </c>
      <c r="D972" t="inlineStr">
        <is>
          <t>VÄSTERBOTTENS LÄN</t>
        </is>
      </c>
      <c r="E972" t="inlineStr">
        <is>
          <t>SKELLEFTEÅ</t>
        </is>
      </c>
      <c r="G972" t="n">
        <v>8.1</v>
      </c>
      <c r="H972" t="n">
        <v>0</v>
      </c>
      <c r="I972" t="n">
        <v>0</v>
      </c>
      <c r="J972" t="n">
        <v>0</v>
      </c>
      <c r="K972" t="n">
        <v>0</v>
      </c>
      <c r="L972" t="n">
        <v>0</v>
      </c>
      <c r="M972" t="n">
        <v>0</v>
      </c>
      <c r="N972" t="n">
        <v>0</v>
      </c>
      <c r="O972" t="n">
        <v>0</v>
      </c>
      <c r="P972" t="n">
        <v>0</v>
      </c>
      <c r="Q972" t="n">
        <v>0</v>
      </c>
      <c r="R972" s="2" t="inlineStr"/>
    </row>
    <row r="973" ht="15" customHeight="1">
      <c r="A973" t="inlineStr">
        <is>
          <t>A 6286-2025</t>
        </is>
      </c>
      <c r="B973" s="1" t="n">
        <v>45698</v>
      </c>
      <c r="C973" s="1" t="n">
        <v>45927</v>
      </c>
      <c r="D973" t="inlineStr">
        <is>
          <t>VÄSTERBOTTENS LÄN</t>
        </is>
      </c>
      <c r="E973" t="inlineStr">
        <is>
          <t>SKELLEFTEÅ</t>
        </is>
      </c>
      <c r="G973" t="n">
        <v>3.9</v>
      </c>
      <c r="H973" t="n">
        <v>0</v>
      </c>
      <c r="I973" t="n">
        <v>0</v>
      </c>
      <c r="J973" t="n">
        <v>0</v>
      </c>
      <c r="K973" t="n">
        <v>0</v>
      </c>
      <c r="L973" t="n">
        <v>0</v>
      </c>
      <c r="M973" t="n">
        <v>0</v>
      </c>
      <c r="N973" t="n">
        <v>0</v>
      </c>
      <c r="O973" t="n">
        <v>0</v>
      </c>
      <c r="P973" t="n">
        <v>0</v>
      </c>
      <c r="Q973" t="n">
        <v>0</v>
      </c>
      <c r="R973" s="2" t="inlineStr"/>
    </row>
    <row r="974" ht="15" customHeight="1">
      <c r="A974" t="inlineStr">
        <is>
          <t>A 27578-2025</t>
        </is>
      </c>
      <c r="B974" s="1" t="n">
        <v>45813</v>
      </c>
      <c r="C974" s="1" t="n">
        <v>45927</v>
      </c>
      <c r="D974" t="inlineStr">
        <is>
          <t>VÄSTERBOTTENS LÄN</t>
        </is>
      </c>
      <c r="E974" t="inlineStr">
        <is>
          <t>SKELLEFTEÅ</t>
        </is>
      </c>
      <c r="G974" t="n">
        <v>0.3</v>
      </c>
      <c r="H974" t="n">
        <v>0</v>
      </c>
      <c r="I974" t="n">
        <v>0</v>
      </c>
      <c r="J974" t="n">
        <v>0</v>
      </c>
      <c r="K974" t="n">
        <v>0</v>
      </c>
      <c r="L974" t="n">
        <v>0</v>
      </c>
      <c r="M974" t="n">
        <v>0</v>
      </c>
      <c r="N974" t="n">
        <v>0</v>
      </c>
      <c r="O974" t="n">
        <v>0</v>
      </c>
      <c r="P974" t="n">
        <v>0</v>
      </c>
      <c r="Q974" t="n">
        <v>0</v>
      </c>
      <c r="R974" s="2" t="inlineStr"/>
    </row>
    <row r="975" ht="15" customHeight="1">
      <c r="A975" t="inlineStr">
        <is>
          <t>A 27579-2025</t>
        </is>
      </c>
      <c r="B975" s="1" t="n">
        <v>45813</v>
      </c>
      <c r="C975" s="1" t="n">
        <v>45927</v>
      </c>
      <c r="D975" t="inlineStr">
        <is>
          <t>VÄSTERBOTTENS LÄN</t>
        </is>
      </c>
      <c r="E975" t="inlineStr">
        <is>
          <t>SKELLEFTEÅ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56838-2024</t>
        </is>
      </c>
      <c r="B976" s="1" t="n">
        <v>45628.50866898148</v>
      </c>
      <c r="C976" s="1" t="n">
        <v>45927</v>
      </c>
      <c r="D976" t="inlineStr">
        <is>
          <t>VÄSTERBOTTENS LÄN</t>
        </is>
      </c>
      <c r="E976" t="inlineStr">
        <is>
          <t>SKELLEFTEÅ</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27144-2025</t>
        </is>
      </c>
      <c r="B977" s="1" t="n">
        <v>45812.28108796296</v>
      </c>
      <c r="C977" s="1" t="n">
        <v>45927</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16415-2025</t>
        </is>
      </c>
      <c r="B978" s="1" t="n">
        <v>45751.46192129629</v>
      </c>
      <c r="C978" s="1" t="n">
        <v>45927</v>
      </c>
      <c r="D978" t="inlineStr">
        <is>
          <t>VÄSTERBOTTENS LÄN</t>
        </is>
      </c>
      <c r="E978" t="inlineStr">
        <is>
          <t>SKELLEFTEÅ</t>
        </is>
      </c>
      <c r="G978" t="n">
        <v>1.4</v>
      </c>
      <c r="H978" t="n">
        <v>0</v>
      </c>
      <c r="I978" t="n">
        <v>0</v>
      </c>
      <c r="J978" t="n">
        <v>0</v>
      </c>
      <c r="K978" t="n">
        <v>0</v>
      </c>
      <c r="L978" t="n">
        <v>0</v>
      </c>
      <c r="M978" t="n">
        <v>0</v>
      </c>
      <c r="N978" t="n">
        <v>0</v>
      </c>
      <c r="O978" t="n">
        <v>0</v>
      </c>
      <c r="P978" t="n">
        <v>0</v>
      </c>
      <c r="Q978" t="n">
        <v>0</v>
      </c>
      <c r="R978" s="2" t="inlineStr"/>
    </row>
    <row r="979" ht="15" customHeight="1">
      <c r="A979" t="inlineStr">
        <is>
          <t>A 6448-2024</t>
        </is>
      </c>
      <c r="B979" s="1" t="n">
        <v>45338.67314814815</v>
      </c>
      <c r="C979" s="1" t="n">
        <v>45927</v>
      </c>
      <c r="D979" t="inlineStr">
        <is>
          <t>VÄSTERBOTTENS LÄN</t>
        </is>
      </c>
      <c r="E979" t="inlineStr">
        <is>
          <t>SKELLEFTEÅ</t>
        </is>
      </c>
      <c r="G979" t="n">
        <v>4.6</v>
      </c>
      <c r="H979" t="n">
        <v>0</v>
      </c>
      <c r="I979" t="n">
        <v>0</v>
      </c>
      <c r="J979" t="n">
        <v>0</v>
      </c>
      <c r="K979" t="n">
        <v>0</v>
      </c>
      <c r="L979" t="n">
        <v>0</v>
      </c>
      <c r="M979" t="n">
        <v>0</v>
      </c>
      <c r="N979" t="n">
        <v>0</v>
      </c>
      <c r="O979" t="n">
        <v>0</v>
      </c>
      <c r="P979" t="n">
        <v>0</v>
      </c>
      <c r="Q979" t="n">
        <v>0</v>
      </c>
      <c r="R979" s="2" t="inlineStr"/>
    </row>
    <row r="980" ht="15" customHeight="1">
      <c r="A980" t="inlineStr">
        <is>
          <t>A 55528-2023</t>
        </is>
      </c>
      <c r="B980" s="1" t="n">
        <v>45238.59362268518</v>
      </c>
      <c r="C980" s="1" t="n">
        <v>45927</v>
      </c>
      <c r="D980" t="inlineStr">
        <is>
          <t>VÄSTERBOTTENS LÄN</t>
        </is>
      </c>
      <c r="E980" t="inlineStr">
        <is>
          <t>SKELLEFTEÅ</t>
        </is>
      </c>
      <c r="G980" t="n">
        <v>9.6</v>
      </c>
      <c r="H980" t="n">
        <v>0</v>
      </c>
      <c r="I980" t="n">
        <v>0</v>
      </c>
      <c r="J980" t="n">
        <v>0</v>
      </c>
      <c r="K980" t="n">
        <v>0</v>
      </c>
      <c r="L980" t="n">
        <v>0</v>
      </c>
      <c r="M980" t="n">
        <v>0</v>
      </c>
      <c r="N980" t="n">
        <v>0</v>
      </c>
      <c r="O980" t="n">
        <v>0</v>
      </c>
      <c r="P980" t="n">
        <v>0</v>
      </c>
      <c r="Q980" t="n">
        <v>0</v>
      </c>
      <c r="R980" s="2" t="inlineStr"/>
    </row>
    <row r="981" ht="15" customHeight="1">
      <c r="A981" t="inlineStr">
        <is>
          <t>A 20163-2025</t>
        </is>
      </c>
      <c r="B981" s="1" t="n">
        <v>45772.57280092593</v>
      </c>
      <c r="C981" s="1" t="n">
        <v>45927</v>
      </c>
      <c r="D981" t="inlineStr">
        <is>
          <t>VÄSTERBOTTENS LÄN</t>
        </is>
      </c>
      <c r="E981" t="inlineStr">
        <is>
          <t>SKELLEFTEÅ</t>
        </is>
      </c>
      <c r="F981" t="inlineStr">
        <is>
          <t>Holmen skog AB</t>
        </is>
      </c>
      <c r="G981" t="n">
        <v>5.9</v>
      </c>
      <c r="H981" t="n">
        <v>0</v>
      </c>
      <c r="I981" t="n">
        <v>0</v>
      </c>
      <c r="J981" t="n">
        <v>0</v>
      </c>
      <c r="K981" t="n">
        <v>0</v>
      </c>
      <c r="L981" t="n">
        <v>0</v>
      </c>
      <c r="M981" t="n">
        <v>0</v>
      </c>
      <c r="N981" t="n">
        <v>0</v>
      </c>
      <c r="O981" t="n">
        <v>0</v>
      </c>
      <c r="P981" t="n">
        <v>0</v>
      </c>
      <c r="Q981" t="n">
        <v>0</v>
      </c>
      <c r="R981" s="2" t="inlineStr"/>
    </row>
    <row r="982" ht="15" customHeight="1">
      <c r="A982" t="inlineStr">
        <is>
          <t>A 20216-2025</t>
        </is>
      </c>
      <c r="B982" s="1" t="n">
        <v>45772</v>
      </c>
      <c r="C982" s="1" t="n">
        <v>45927</v>
      </c>
      <c r="D982" t="inlineStr">
        <is>
          <t>VÄSTERBOTTENS LÄN</t>
        </is>
      </c>
      <c r="E982" t="inlineStr">
        <is>
          <t>SKELLEFTEÅ</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20220-2025</t>
        </is>
      </c>
      <c r="B983" s="1" t="n">
        <v>45772</v>
      </c>
      <c r="C983" s="1" t="n">
        <v>45927</v>
      </c>
      <c r="D983" t="inlineStr">
        <is>
          <t>VÄSTERBOTTENS LÄN</t>
        </is>
      </c>
      <c r="E983" t="inlineStr">
        <is>
          <t>SKELLEFTEÅ</t>
        </is>
      </c>
      <c r="G983" t="n">
        <v>18.6</v>
      </c>
      <c r="H983" t="n">
        <v>0</v>
      </c>
      <c r="I983" t="n">
        <v>0</v>
      </c>
      <c r="J983" t="n">
        <v>0</v>
      </c>
      <c r="K983" t="n">
        <v>0</v>
      </c>
      <c r="L983" t="n">
        <v>0</v>
      </c>
      <c r="M983" t="n">
        <v>0</v>
      </c>
      <c r="N983" t="n">
        <v>0</v>
      </c>
      <c r="O983" t="n">
        <v>0</v>
      </c>
      <c r="P983" t="n">
        <v>0</v>
      </c>
      <c r="Q983" t="n">
        <v>0</v>
      </c>
      <c r="R983" s="2" t="inlineStr"/>
    </row>
    <row r="984" ht="15" customHeight="1">
      <c r="A984" t="inlineStr">
        <is>
          <t>A 16261-2025</t>
        </is>
      </c>
      <c r="B984" s="1" t="n">
        <v>45750.74388888889</v>
      </c>
      <c r="C984" s="1" t="n">
        <v>45927</v>
      </c>
      <c r="D984" t="inlineStr">
        <is>
          <t>VÄSTERBOTTENS LÄN</t>
        </is>
      </c>
      <c r="E984" t="inlineStr">
        <is>
          <t>SKELLEFTEÅ</t>
        </is>
      </c>
      <c r="G984" t="n">
        <v>5.3</v>
      </c>
      <c r="H984" t="n">
        <v>0</v>
      </c>
      <c r="I984" t="n">
        <v>0</v>
      </c>
      <c r="J984" t="n">
        <v>0</v>
      </c>
      <c r="K984" t="n">
        <v>0</v>
      </c>
      <c r="L984" t="n">
        <v>0</v>
      </c>
      <c r="M984" t="n">
        <v>0</v>
      </c>
      <c r="N984" t="n">
        <v>0</v>
      </c>
      <c r="O984" t="n">
        <v>0</v>
      </c>
      <c r="P984" t="n">
        <v>0</v>
      </c>
      <c r="Q984" t="n">
        <v>0</v>
      </c>
      <c r="R984" s="2" t="inlineStr"/>
    </row>
    <row r="985" ht="15" customHeight="1">
      <c r="A985" t="inlineStr">
        <is>
          <t>A 16409-2025</t>
        </is>
      </c>
      <c r="B985" s="1" t="n">
        <v>45751.45391203704</v>
      </c>
      <c r="C985" s="1" t="n">
        <v>45927</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57197-2021</t>
        </is>
      </c>
      <c r="B986" s="1" t="n">
        <v>44482.92284722222</v>
      </c>
      <c r="C986" s="1" t="n">
        <v>45927</v>
      </c>
      <c r="D986" t="inlineStr">
        <is>
          <t>VÄSTERBOTTENS LÄN</t>
        </is>
      </c>
      <c r="E986" t="inlineStr">
        <is>
          <t>SKELLEFTEÅ</t>
        </is>
      </c>
      <c r="G986" t="n">
        <v>4.9</v>
      </c>
      <c r="H986" t="n">
        <v>0</v>
      </c>
      <c r="I986" t="n">
        <v>0</v>
      </c>
      <c r="J986" t="n">
        <v>0</v>
      </c>
      <c r="K986" t="n">
        <v>0</v>
      </c>
      <c r="L986" t="n">
        <v>0</v>
      </c>
      <c r="M986" t="n">
        <v>0</v>
      </c>
      <c r="N986" t="n">
        <v>0</v>
      </c>
      <c r="O986" t="n">
        <v>0</v>
      </c>
      <c r="P986" t="n">
        <v>0</v>
      </c>
      <c r="Q986" t="n">
        <v>0</v>
      </c>
      <c r="R986" s="2" t="inlineStr"/>
    </row>
    <row r="987" ht="15" customHeight="1">
      <c r="A987" t="inlineStr">
        <is>
          <t>A 43599-2024</t>
        </is>
      </c>
      <c r="B987" s="1" t="n">
        <v>45569</v>
      </c>
      <c r="C987" s="1" t="n">
        <v>45927</v>
      </c>
      <c r="D987" t="inlineStr">
        <is>
          <t>VÄSTERBOTTENS LÄN</t>
        </is>
      </c>
      <c r="E987" t="inlineStr">
        <is>
          <t>SKELLEFTEÅ</t>
        </is>
      </c>
      <c r="G987" t="n">
        <v>5.5</v>
      </c>
      <c r="H987" t="n">
        <v>0</v>
      </c>
      <c r="I987" t="n">
        <v>0</v>
      </c>
      <c r="J987" t="n">
        <v>0</v>
      </c>
      <c r="K987" t="n">
        <v>0</v>
      </c>
      <c r="L987" t="n">
        <v>0</v>
      </c>
      <c r="M987" t="n">
        <v>0</v>
      </c>
      <c r="N987" t="n">
        <v>0</v>
      </c>
      <c r="O987" t="n">
        <v>0</v>
      </c>
      <c r="P987" t="n">
        <v>0</v>
      </c>
      <c r="Q987" t="n">
        <v>0</v>
      </c>
      <c r="R987" s="2" t="inlineStr"/>
    </row>
    <row r="988" ht="15" customHeight="1">
      <c r="A988" t="inlineStr">
        <is>
          <t>A 27875-2025</t>
        </is>
      </c>
      <c r="B988" s="1" t="n">
        <v>45817.43524305556</v>
      </c>
      <c r="C988" s="1" t="n">
        <v>45927</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27877-2025</t>
        </is>
      </c>
      <c r="B989" s="1" t="n">
        <v>45817.44212962963</v>
      </c>
      <c r="C989" s="1" t="n">
        <v>45927</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16201-2025</t>
        </is>
      </c>
      <c r="B990" s="1" t="n">
        <v>45750</v>
      </c>
      <c r="C990" s="1" t="n">
        <v>45927</v>
      </c>
      <c r="D990" t="inlineStr">
        <is>
          <t>VÄSTERBOTTENS LÄN</t>
        </is>
      </c>
      <c r="E990" t="inlineStr">
        <is>
          <t>SKELLEFTEÅ</t>
        </is>
      </c>
      <c r="G990" t="n">
        <v>4.3</v>
      </c>
      <c r="H990" t="n">
        <v>0</v>
      </c>
      <c r="I990" t="n">
        <v>0</v>
      </c>
      <c r="J990" t="n">
        <v>0</v>
      </c>
      <c r="K990" t="n">
        <v>0</v>
      </c>
      <c r="L990" t="n">
        <v>0</v>
      </c>
      <c r="M990" t="n">
        <v>0</v>
      </c>
      <c r="N990" t="n">
        <v>0</v>
      </c>
      <c r="O990" t="n">
        <v>0</v>
      </c>
      <c r="P990" t="n">
        <v>0</v>
      </c>
      <c r="Q990" t="n">
        <v>0</v>
      </c>
      <c r="R990" s="2" t="inlineStr"/>
    </row>
    <row r="991" ht="15" customHeight="1">
      <c r="A991" t="inlineStr">
        <is>
          <t>A 67893-2021</t>
        </is>
      </c>
      <c r="B991" s="1" t="n">
        <v>44525</v>
      </c>
      <c r="C991" s="1" t="n">
        <v>45927</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11956-2025</t>
        </is>
      </c>
      <c r="B992" s="1" t="n">
        <v>45728.56809027777</v>
      </c>
      <c r="C992" s="1" t="n">
        <v>45927</v>
      </c>
      <c r="D992" t="inlineStr">
        <is>
          <t>VÄSTERBOTTENS LÄN</t>
        </is>
      </c>
      <c r="E992" t="inlineStr">
        <is>
          <t>SKELLEFTEÅ</t>
        </is>
      </c>
      <c r="G992" t="n">
        <v>0.4</v>
      </c>
      <c r="H992" t="n">
        <v>0</v>
      </c>
      <c r="I992" t="n">
        <v>0</v>
      </c>
      <c r="J992" t="n">
        <v>0</v>
      </c>
      <c r="K992" t="n">
        <v>0</v>
      </c>
      <c r="L992" t="n">
        <v>0</v>
      </c>
      <c r="M992" t="n">
        <v>0</v>
      </c>
      <c r="N992" t="n">
        <v>0</v>
      </c>
      <c r="O992" t="n">
        <v>0</v>
      </c>
      <c r="P992" t="n">
        <v>0</v>
      </c>
      <c r="Q992" t="n">
        <v>0</v>
      </c>
      <c r="R992" s="2" t="inlineStr"/>
    </row>
    <row r="993" ht="15" customHeight="1">
      <c r="A993" t="inlineStr">
        <is>
          <t>A 11638-2023</t>
        </is>
      </c>
      <c r="B993" s="1" t="n">
        <v>44994.44827546296</v>
      </c>
      <c r="C993" s="1" t="n">
        <v>45927</v>
      </c>
      <c r="D993" t="inlineStr">
        <is>
          <t>VÄSTERBOTTENS LÄN</t>
        </is>
      </c>
      <c r="E993" t="inlineStr">
        <is>
          <t>SKELLEFTEÅ</t>
        </is>
      </c>
      <c r="G993" t="n">
        <v>19.8</v>
      </c>
      <c r="H993" t="n">
        <v>0</v>
      </c>
      <c r="I993" t="n">
        <v>0</v>
      </c>
      <c r="J993" t="n">
        <v>0</v>
      </c>
      <c r="K993" t="n">
        <v>0</v>
      </c>
      <c r="L993" t="n">
        <v>0</v>
      </c>
      <c r="M993" t="n">
        <v>0</v>
      </c>
      <c r="N993" t="n">
        <v>0</v>
      </c>
      <c r="O993" t="n">
        <v>0</v>
      </c>
      <c r="P993" t="n">
        <v>0</v>
      </c>
      <c r="Q993" t="n">
        <v>0</v>
      </c>
      <c r="R993" s="2" t="inlineStr"/>
    </row>
    <row r="994" ht="15" customHeight="1">
      <c r="A994" t="inlineStr">
        <is>
          <t>A 57620-2020</t>
        </is>
      </c>
      <c r="B994" s="1" t="n">
        <v>44140</v>
      </c>
      <c r="C994" s="1" t="n">
        <v>45927</v>
      </c>
      <c r="D994" t="inlineStr">
        <is>
          <t>VÄSTERBOTTENS LÄN</t>
        </is>
      </c>
      <c r="E994" t="inlineStr">
        <is>
          <t>SKELLEFTEÅ</t>
        </is>
      </c>
      <c r="G994" t="n">
        <v>1.4</v>
      </c>
      <c r="H994" t="n">
        <v>0</v>
      </c>
      <c r="I994" t="n">
        <v>0</v>
      </c>
      <c r="J994" t="n">
        <v>0</v>
      </c>
      <c r="K994" t="n">
        <v>0</v>
      </c>
      <c r="L994" t="n">
        <v>0</v>
      </c>
      <c r="M994" t="n">
        <v>0</v>
      </c>
      <c r="N994" t="n">
        <v>0</v>
      </c>
      <c r="O994" t="n">
        <v>0</v>
      </c>
      <c r="P994" t="n">
        <v>0</v>
      </c>
      <c r="Q994" t="n">
        <v>0</v>
      </c>
      <c r="R994" s="2" t="inlineStr"/>
    </row>
    <row r="995" ht="15" customHeight="1">
      <c r="A995" t="inlineStr">
        <is>
          <t>A 28327-2025</t>
        </is>
      </c>
      <c r="B995" s="1" t="n">
        <v>45817</v>
      </c>
      <c r="C995" s="1" t="n">
        <v>45927</v>
      </c>
      <c r="D995" t="inlineStr">
        <is>
          <t>VÄSTERBOTTENS LÄN</t>
        </is>
      </c>
      <c r="E995" t="inlineStr">
        <is>
          <t>SKELLEFTEÅ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3883-2025</t>
        </is>
      </c>
      <c r="B996" s="1" t="n">
        <v>45684.36168981482</v>
      </c>
      <c r="C996" s="1" t="n">
        <v>45927</v>
      </c>
      <c r="D996" t="inlineStr">
        <is>
          <t>VÄSTERBOTTENS LÄN</t>
        </is>
      </c>
      <c r="E996" t="inlineStr">
        <is>
          <t>SKELLEFTEÅ</t>
        </is>
      </c>
      <c r="G996" t="n">
        <v>27.6</v>
      </c>
      <c r="H996" t="n">
        <v>0</v>
      </c>
      <c r="I996" t="n">
        <v>0</v>
      </c>
      <c r="J996" t="n">
        <v>0</v>
      </c>
      <c r="K996" t="n">
        <v>0</v>
      </c>
      <c r="L996" t="n">
        <v>0</v>
      </c>
      <c r="M996" t="n">
        <v>0</v>
      </c>
      <c r="N996" t="n">
        <v>0</v>
      </c>
      <c r="O996" t="n">
        <v>0</v>
      </c>
      <c r="P996" t="n">
        <v>0</v>
      </c>
      <c r="Q996" t="n">
        <v>0</v>
      </c>
      <c r="R996" s="2" t="inlineStr"/>
    </row>
    <row r="997" ht="15" customHeight="1">
      <c r="A997" t="inlineStr">
        <is>
          <t>A 12009-2022</t>
        </is>
      </c>
      <c r="B997" s="1" t="n">
        <v>44635</v>
      </c>
      <c r="C997" s="1" t="n">
        <v>45927</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64723-2023</t>
        </is>
      </c>
      <c r="B998" s="1" t="n">
        <v>45281</v>
      </c>
      <c r="C998" s="1" t="n">
        <v>45927</v>
      </c>
      <c r="D998" t="inlineStr">
        <is>
          <t>VÄSTERBOTTENS LÄN</t>
        </is>
      </c>
      <c r="E998" t="inlineStr">
        <is>
          <t>SKELLEFTEÅ</t>
        </is>
      </c>
      <c r="G998" t="n">
        <v>0.1</v>
      </c>
      <c r="H998" t="n">
        <v>0</v>
      </c>
      <c r="I998" t="n">
        <v>0</v>
      </c>
      <c r="J998" t="n">
        <v>0</v>
      </c>
      <c r="K998" t="n">
        <v>0</v>
      </c>
      <c r="L998" t="n">
        <v>0</v>
      </c>
      <c r="M998" t="n">
        <v>0</v>
      </c>
      <c r="N998" t="n">
        <v>0</v>
      </c>
      <c r="O998" t="n">
        <v>0</v>
      </c>
      <c r="P998" t="n">
        <v>0</v>
      </c>
      <c r="Q998" t="n">
        <v>0</v>
      </c>
      <c r="R998" s="2" t="inlineStr"/>
    </row>
    <row r="999" ht="15" customHeight="1">
      <c r="A999" t="inlineStr">
        <is>
          <t>A 57569-2022</t>
        </is>
      </c>
      <c r="B999" s="1" t="n">
        <v>44896.92769675926</v>
      </c>
      <c r="C999" s="1" t="n">
        <v>45927</v>
      </c>
      <c r="D999" t="inlineStr">
        <is>
          <t>VÄSTERBOTTENS LÄN</t>
        </is>
      </c>
      <c r="E999" t="inlineStr">
        <is>
          <t>SKELLEFTEÅ</t>
        </is>
      </c>
      <c r="G999" t="n">
        <v>0.8</v>
      </c>
      <c r="H999" t="n">
        <v>0</v>
      </c>
      <c r="I999" t="n">
        <v>0</v>
      </c>
      <c r="J999" t="n">
        <v>0</v>
      </c>
      <c r="K999" t="n">
        <v>0</v>
      </c>
      <c r="L999" t="n">
        <v>0</v>
      </c>
      <c r="M999" t="n">
        <v>0</v>
      </c>
      <c r="N999" t="n">
        <v>0</v>
      </c>
      <c r="O999" t="n">
        <v>0</v>
      </c>
      <c r="P999" t="n">
        <v>0</v>
      </c>
      <c r="Q999" t="n">
        <v>0</v>
      </c>
      <c r="R999" s="2" t="inlineStr"/>
    </row>
    <row r="1000" ht="15" customHeight="1">
      <c r="A1000" t="inlineStr">
        <is>
          <t>A 57577-2022</t>
        </is>
      </c>
      <c r="B1000" s="1" t="n">
        <v>44896.92947916667</v>
      </c>
      <c r="C1000" s="1" t="n">
        <v>45927</v>
      </c>
      <c r="D1000" t="inlineStr">
        <is>
          <t>VÄSTERBOTTENS LÄN</t>
        </is>
      </c>
      <c r="E1000" t="inlineStr">
        <is>
          <t>SKELLEFTEÅ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26546-2024</t>
        </is>
      </c>
      <c r="B1001" s="1" t="n">
        <v>45469.61939814815</v>
      </c>
      <c r="C1001" s="1" t="n">
        <v>45927</v>
      </c>
      <c r="D1001" t="inlineStr">
        <is>
          <t>VÄSTERBOTTENS LÄN</t>
        </is>
      </c>
      <c r="E1001" t="inlineStr">
        <is>
          <t>SKELLEFTEÅ</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35168-2024</t>
        </is>
      </c>
      <c r="B1002" s="1" t="n">
        <v>45530.40608796296</v>
      </c>
      <c r="C1002" s="1" t="n">
        <v>45927</v>
      </c>
      <c r="D1002" t="inlineStr">
        <is>
          <t>VÄSTERBOTTENS LÄN</t>
        </is>
      </c>
      <c r="E1002" t="inlineStr">
        <is>
          <t>SKELLEFTEÅ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48620-2024</t>
        </is>
      </c>
      <c r="B1003" s="1" t="n">
        <v>45593</v>
      </c>
      <c r="C1003" s="1" t="n">
        <v>45927</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47039-2021</t>
        </is>
      </c>
      <c r="B1004" s="1" t="n">
        <v>44446</v>
      </c>
      <c r="C1004" s="1" t="n">
        <v>45927</v>
      </c>
      <c r="D1004" t="inlineStr">
        <is>
          <t>VÄSTERBOTTENS LÄN</t>
        </is>
      </c>
      <c r="E1004" t="inlineStr">
        <is>
          <t>SKELLEFTEÅ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57899-2022</t>
        </is>
      </c>
      <c r="B1005" s="1" t="n">
        <v>44900</v>
      </c>
      <c r="C1005" s="1" t="n">
        <v>45927</v>
      </c>
      <c r="D1005" t="inlineStr">
        <is>
          <t>VÄSTERBOTTENS LÄN</t>
        </is>
      </c>
      <c r="E1005" t="inlineStr">
        <is>
          <t>SKELLEFTEÅ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9466-2024</t>
        </is>
      </c>
      <c r="B1006" s="1" t="n">
        <v>45359</v>
      </c>
      <c r="C1006" s="1" t="n">
        <v>45927</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28337-2025</t>
        </is>
      </c>
      <c r="B1007" s="1" t="n">
        <v>45817</v>
      </c>
      <c r="C1007" s="1" t="n">
        <v>45927</v>
      </c>
      <c r="D1007" t="inlineStr">
        <is>
          <t>VÄSTERBOTTENS LÄN</t>
        </is>
      </c>
      <c r="E1007" t="inlineStr">
        <is>
          <t>SKELLEFTEÅ</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27869-2025</t>
        </is>
      </c>
      <c r="B1008" s="1" t="n">
        <v>45817.42847222222</v>
      </c>
      <c r="C1008" s="1" t="n">
        <v>45927</v>
      </c>
      <c r="D1008" t="inlineStr">
        <is>
          <t>VÄSTERBOTTENS LÄN</t>
        </is>
      </c>
      <c r="E1008" t="inlineStr">
        <is>
          <t>SKELLEFTEÅ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27715-2025</t>
        </is>
      </c>
      <c r="B1009" s="1" t="n">
        <v>45813.92237268519</v>
      </c>
      <c r="C1009" s="1" t="n">
        <v>45927</v>
      </c>
      <c r="D1009" t="inlineStr">
        <is>
          <t>VÄSTERBOTTENS LÄN</t>
        </is>
      </c>
      <c r="E1009" t="inlineStr">
        <is>
          <t>SKELLEFTEÅ</t>
        </is>
      </c>
      <c r="F1009" t="inlineStr">
        <is>
          <t>Sveaskog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27876-2025</t>
        </is>
      </c>
      <c r="B1010" s="1" t="n">
        <v>45817.43787037037</v>
      </c>
      <c r="C1010" s="1" t="n">
        <v>45927</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48093-2024</t>
        </is>
      </c>
      <c r="B1011" s="1" t="n">
        <v>45589.60805555555</v>
      </c>
      <c r="C1011" s="1" t="n">
        <v>45927</v>
      </c>
      <c r="D1011" t="inlineStr">
        <is>
          <t>VÄSTERBOTTENS LÄN</t>
        </is>
      </c>
      <c r="E1011" t="inlineStr">
        <is>
          <t>SKELLEFTEÅ</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27727-2025</t>
        </is>
      </c>
      <c r="B1012" s="1" t="n">
        <v>45814.5343287037</v>
      </c>
      <c r="C1012" s="1" t="n">
        <v>45927</v>
      </c>
      <c r="D1012" t="inlineStr">
        <is>
          <t>VÄSTERBOTTENS LÄN</t>
        </is>
      </c>
      <c r="E1012" t="inlineStr">
        <is>
          <t>SKELLEFTEÅ</t>
        </is>
      </c>
      <c r="F1012" t="inlineStr">
        <is>
          <t>Sveaskog</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28221-2025</t>
        </is>
      </c>
      <c r="B1013" s="1" t="n">
        <v>45818</v>
      </c>
      <c r="C1013" s="1" t="n">
        <v>45927</v>
      </c>
      <c r="D1013" t="inlineStr">
        <is>
          <t>VÄSTERBOTTENS LÄN</t>
        </is>
      </c>
      <c r="E1013" t="inlineStr">
        <is>
          <t>SKELLEFTEÅ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27864-2025</t>
        </is>
      </c>
      <c r="B1014" s="1" t="n">
        <v>45817.42127314815</v>
      </c>
      <c r="C1014" s="1" t="n">
        <v>45927</v>
      </c>
      <c r="D1014" t="inlineStr">
        <is>
          <t>VÄSTERBOTTENS LÄN</t>
        </is>
      </c>
      <c r="E1014" t="inlineStr">
        <is>
          <t>SKELLEFTEÅ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28311-2025</t>
        </is>
      </c>
      <c r="B1015" s="1" t="n">
        <v>45818.62216435185</v>
      </c>
      <c r="C1015" s="1" t="n">
        <v>45927</v>
      </c>
      <c r="D1015" t="inlineStr">
        <is>
          <t>VÄSTERBOTTENS LÄN</t>
        </is>
      </c>
      <c r="E1015" t="inlineStr">
        <is>
          <t>SKELLEFTEÅ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28316-2025</t>
        </is>
      </c>
      <c r="B1016" s="1" t="n">
        <v>45818.62799768519</v>
      </c>
      <c r="C1016" s="1" t="n">
        <v>45927</v>
      </c>
      <c r="D1016" t="inlineStr">
        <is>
          <t>VÄSTERBOTTENS LÄN</t>
        </is>
      </c>
      <c r="E1016" t="inlineStr">
        <is>
          <t>SKELLEFTEÅ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38493-2024</t>
        </is>
      </c>
      <c r="B1017" s="1" t="n">
        <v>45546</v>
      </c>
      <c r="C1017" s="1" t="n">
        <v>45927</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41006-2023</t>
        </is>
      </c>
      <c r="B1018" s="1" t="n">
        <v>45173</v>
      </c>
      <c r="C1018" s="1" t="n">
        <v>45927</v>
      </c>
      <c r="D1018" t="inlineStr">
        <is>
          <t>VÄSTERBOTTENS LÄN</t>
        </is>
      </c>
      <c r="E1018" t="inlineStr">
        <is>
          <t>SKELLEFTEÅ</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17568-2024</t>
        </is>
      </c>
      <c r="B1019" s="1" t="n">
        <v>45415</v>
      </c>
      <c r="C1019" s="1" t="n">
        <v>45927</v>
      </c>
      <c r="D1019" t="inlineStr">
        <is>
          <t>VÄSTERBOTTENS LÄN</t>
        </is>
      </c>
      <c r="E1019" t="inlineStr">
        <is>
          <t>SKELLEFTEÅ</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28360-2025</t>
        </is>
      </c>
      <c r="B1020" s="1" t="n">
        <v>45818.80997685185</v>
      </c>
      <c r="C1020" s="1" t="n">
        <v>45927</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28359-2025</t>
        </is>
      </c>
      <c r="B1021" s="1" t="n">
        <v>45818.79951388889</v>
      </c>
      <c r="C1021" s="1" t="n">
        <v>45927</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28329-2025</t>
        </is>
      </c>
      <c r="B1022" s="1" t="n">
        <v>45818.65835648148</v>
      </c>
      <c r="C1022" s="1" t="n">
        <v>45927</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58555-2023</t>
        </is>
      </c>
      <c r="B1023" s="1" t="n">
        <v>45251.43552083334</v>
      </c>
      <c r="C1023" s="1" t="n">
        <v>45927</v>
      </c>
      <c r="D1023" t="inlineStr">
        <is>
          <t>VÄSTERBOTTENS LÄN</t>
        </is>
      </c>
      <c r="E1023" t="inlineStr">
        <is>
          <t>SKELLEFTEÅ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28577-2025</t>
        </is>
      </c>
      <c r="B1024" s="1" t="n">
        <v>45819</v>
      </c>
      <c r="C1024" s="1" t="n">
        <v>45927</v>
      </c>
      <c r="D1024" t="inlineStr">
        <is>
          <t>VÄSTERBOTTENS LÄN</t>
        </is>
      </c>
      <c r="E1024" t="inlineStr">
        <is>
          <t>SKELLEFTEÅ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16219-2025</t>
        </is>
      </c>
      <c r="B1025" s="1" t="n">
        <v>45750</v>
      </c>
      <c r="C1025" s="1" t="n">
        <v>45927</v>
      </c>
      <c r="D1025" t="inlineStr">
        <is>
          <t>VÄSTERBOTTENS LÄN</t>
        </is>
      </c>
      <c r="E1025" t="inlineStr">
        <is>
          <t>SKELLEFTEÅ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19731-2025</t>
        </is>
      </c>
      <c r="B1026" s="1" t="n">
        <v>45771.36564814814</v>
      </c>
      <c r="C1026" s="1" t="n">
        <v>45927</v>
      </c>
      <c r="D1026" t="inlineStr">
        <is>
          <t>VÄSTERBOTTENS LÄN</t>
        </is>
      </c>
      <c r="E1026" t="inlineStr">
        <is>
          <t>SKELLEFTEÅ</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28114-2025</t>
        </is>
      </c>
      <c r="B1027" s="1" t="n">
        <v>45817.96760416667</v>
      </c>
      <c r="C1027" s="1" t="n">
        <v>45927</v>
      </c>
      <c r="D1027" t="inlineStr">
        <is>
          <t>VÄSTERBOTTENS LÄN</t>
        </is>
      </c>
      <c r="E1027" t="inlineStr">
        <is>
          <t>SKELLEFTEÅ</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30212-2023</t>
        </is>
      </c>
      <c r="B1028" s="1" t="n">
        <v>45110</v>
      </c>
      <c r="C1028" s="1" t="n">
        <v>45927</v>
      </c>
      <c r="D1028" t="inlineStr">
        <is>
          <t>VÄSTERBOTTENS LÄN</t>
        </is>
      </c>
      <c r="E1028" t="inlineStr">
        <is>
          <t>SKELLEFTEÅ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3944-2022</t>
        </is>
      </c>
      <c r="B1029" s="1" t="n">
        <v>44587</v>
      </c>
      <c r="C1029" s="1" t="n">
        <v>45927</v>
      </c>
      <c r="D1029" t="inlineStr">
        <is>
          <t>VÄSTERBOTTENS LÄN</t>
        </is>
      </c>
      <c r="E1029" t="inlineStr">
        <is>
          <t>SKELLEFTEÅ</t>
        </is>
      </c>
      <c r="F1029" t="inlineStr">
        <is>
          <t>Kommuner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6635-2021</t>
        </is>
      </c>
      <c r="B1030" s="1" t="n">
        <v>44236</v>
      </c>
      <c r="C1030" s="1" t="n">
        <v>45927</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28373-2025</t>
        </is>
      </c>
      <c r="B1031" s="1" t="n">
        <v>45819</v>
      </c>
      <c r="C1031" s="1" t="n">
        <v>45927</v>
      </c>
      <c r="D1031" t="inlineStr">
        <is>
          <t>VÄSTERBOTTENS LÄN</t>
        </is>
      </c>
      <c r="E1031" t="inlineStr">
        <is>
          <t>SKELLEFTEÅ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37134-2023</t>
        </is>
      </c>
      <c r="B1032" s="1" t="n">
        <v>45155.57627314814</v>
      </c>
      <c r="C1032" s="1" t="n">
        <v>45927</v>
      </c>
      <c r="D1032" t="inlineStr">
        <is>
          <t>VÄSTERBOTTENS LÄN</t>
        </is>
      </c>
      <c r="E1032" t="inlineStr">
        <is>
          <t>SKELLEFTEÅ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53420-2024</t>
        </is>
      </c>
      <c r="B1033" s="1" t="n">
        <v>45614.51158564815</v>
      </c>
      <c r="C1033" s="1" t="n">
        <v>45927</v>
      </c>
      <c r="D1033" t="inlineStr">
        <is>
          <t>VÄSTERBOTTENS LÄN</t>
        </is>
      </c>
      <c r="E1033" t="inlineStr">
        <is>
          <t>SKELLEFTEÅ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44829-2024</t>
        </is>
      </c>
      <c r="B1034" s="1" t="n">
        <v>45574.67832175926</v>
      </c>
      <c r="C1034" s="1" t="n">
        <v>45927</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55739-2023</t>
        </is>
      </c>
      <c r="B1035" s="1" t="n">
        <v>45239</v>
      </c>
      <c r="C1035" s="1" t="n">
        <v>45927</v>
      </c>
      <c r="D1035" t="inlineStr">
        <is>
          <t>VÄSTERBOTTENS LÄN</t>
        </is>
      </c>
      <c r="E1035" t="inlineStr">
        <is>
          <t>SKELLEFTEÅ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55744-2023</t>
        </is>
      </c>
      <c r="B1036" s="1" t="n">
        <v>45239.4444212963</v>
      </c>
      <c r="C1036" s="1" t="n">
        <v>45927</v>
      </c>
      <c r="D1036" t="inlineStr">
        <is>
          <t>VÄSTERBOTTENS LÄN</t>
        </is>
      </c>
      <c r="E1036" t="inlineStr">
        <is>
          <t>SKELLEFTEÅ</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59945-2023</t>
        </is>
      </c>
      <c r="B1037" s="1" t="n">
        <v>45254</v>
      </c>
      <c r="C1037" s="1" t="n">
        <v>45927</v>
      </c>
      <c r="D1037" t="inlineStr">
        <is>
          <t>VÄSTERBOTTENS LÄN</t>
        </is>
      </c>
      <c r="E1037" t="inlineStr">
        <is>
          <t>SKELLEFTEÅ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57578-2022</t>
        </is>
      </c>
      <c r="B1038" s="1" t="n">
        <v>44896.93035879629</v>
      </c>
      <c r="C1038" s="1" t="n">
        <v>45927</v>
      </c>
      <c r="D1038" t="inlineStr">
        <is>
          <t>VÄSTERBOTTENS LÄN</t>
        </is>
      </c>
      <c r="E1038" t="inlineStr">
        <is>
          <t>SKELLEFTEÅ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57583-2022</t>
        </is>
      </c>
      <c r="B1039" s="1" t="n">
        <v>44896.9309375</v>
      </c>
      <c r="C1039" s="1" t="n">
        <v>45927</v>
      </c>
      <c r="D1039" t="inlineStr">
        <is>
          <t>VÄSTERBOTTENS LÄN</t>
        </is>
      </c>
      <c r="E1039" t="inlineStr">
        <is>
          <t>SKELLEFTEÅ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28573-2025</t>
        </is>
      </c>
      <c r="B1040" s="1" t="n">
        <v>45819</v>
      </c>
      <c r="C1040" s="1" t="n">
        <v>45927</v>
      </c>
      <c r="D1040" t="inlineStr">
        <is>
          <t>VÄSTERBOTTENS LÄN</t>
        </is>
      </c>
      <c r="E1040" t="inlineStr">
        <is>
          <t>SKELLEFTEÅ</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28377-2025</t>
        </is>
      </c>
      <c r="B1041" s="1" t="n">
        <v>45819</v>
      </c>
      <c r="C1041" s="1" t="n">
        <v>45927</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28408-2025</t>
        </is>
      </c>
      <c r="B1042" s="1" t="n">
        <v>45819.34600694444</v>
      </c>
      <c r="C1042" s="1" t="n">
        <v>45927</v>
      </c>
      <c r="D1042" t="inlineStr">
        <is>
          <t>VÄSTERBOTTENS LÄN</t>
        </is>
      </c>
      <c r="E1042" t="inlineStr">
        <is>
          <t>SKELLEFTEÅ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28354-2025</t>
        </is>
      </c>
      <c r="B1043" s="1" t="n">
        <v>45818.77484953704</v>
      </c>
      <c r="C1043" s="1" t="n">
        <v>45927</v>
      </c>
      <c r="D1043" t="inlineStr">
        <is>
          <t>VÄSTERBOTTENS LÄN</t>
        </is>
      </c>
      <c r="E1043" t="inlineStr">
        <is>
          <t>SKELLEFTEÅ</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28358-2025</t>
        </is>
      </c>
      <c r="B1044" s="1" t="n">
        <v>45818.79246527778</v>
      </c>
      <c r="C1044" s="1" t="n">
        <v>45927</v>
      </c>
      <c r="D1044" t="inlineStr">
        <is>
          <t>VÄSTERBOTTENS LÄN</t>
        </is>
      </c>
      <c r="E1044" t="inlineStr">
        <is>
          <t>SKELLEFTEÅ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28220-2025</t>
        </is>
      </c>
      <c r="B1045" s="1" t="n">
        <v>45818.47373842593</v>
      </c>
      <c r="C1045" s="1" t="n">
        <v>45927</v>
      </c>
      <c r="D1045" t="inlineStr">
        <is>
          <t>VÄSTERBOTTENS LÄN</t>
        </is>
      </c>
      <c r="E1045" t="inlineStr">
        <is>
          <t>SKELLEFTEÅ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23759-2023</t>
        </is>
      </c>
      <c r="B1046" s="1" t="n">
        <v>45077</v>
      </c>
      <c r="C1046" s="1" t="n">
        <v>45927</v>
      </c>
      <c r="D1046" t="inlineStr">
        <is>
          <t>VÄSTERBOTTENS LÄN</t>
        </is>
      </c>
      <c r="E1046" t="inlineStr">
        <is>
          <t>SKELLEFTEÅ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10852-2023</t>
        </is>
      </c>
      <c r="B1047" s="1" t="n">
        <v>44985</v>
      </c>
      <c r="C1047" s="1" t="n">
        <v>45927</v>
      </c>
      <c r="D1047" t="inlineStr">
        <is>
          <t>VÄSTERBOTTENS LÄN</t>
        </is>
      </c>
      <c r="E1047" t="inlineStr">
        <is>
          <t>SKELLEFTEÅ</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19066-2023</t>
        </is>
      </c>
      <c r="B1048" s="1" t="n">
        <v>45043</v>
      </c>
      <c r="C1048" s="1" t="n">
        <v>45927</v>
      </c>
      <c r="D1048" t="inlineStr">
        <is>
          <t>VÄSTERBOTTENS LÄN</t>
        </is>
      </c>
      <c r="E1048" t="inlineStr">
        <is>
          <t>SKELLEFTEÅ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29134-2025</t>
        </is>
      </c>
      <c r="B1049" s="1" t="n">
        <v>45821.60568287037</v>
      </c>
      <c r="C1049" s="1" t="n">
        <v>45927</v>
      </c>
      <c r="D1049" t="inlineStr">
        <is>
          <t>VÄSTERBOTTENS LÄN</t>
        </is>
      </c>
      <c r="E1049" t="inlineStr">
        <is>
          <t>SKELLEFTEÅ</t>
        </is>
      </c>
      <c r="F1049" t="inlineStr">
        <is>
          <t>Holmen skog AB</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29101-2025</t>
        </is>
      </c>
      <c r="B1050" s="1" t="n">
        <v>45821.56797453704</v>
      </c>
      <c r="C1050" s="1" t="n">
        <v>45927</v>
      </c>
      <c r="D1050" t="inlineStr">
        <is>
          <t>VÄSTERBOTTENS LÄN</t>
        </is>
      </c>
      <c r="E1050" t="inlineStr">
        <is>
          <t>SKELLEFTEÅ</t>
        </is>
      </c>
      <c r="F1050" t="inlineStr">
        <is>
          <t>Holmen skog AB</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17842-2023</t>
        </is>
      </c>
      <c r="B1051" s="1" t="n">
        <v>45037.65628472222</v>
      </c>
      <c r="C1051" s="1" t="n">
        <v>45927</v>
      </c>
      <c r="D1051" t="inlineStr">
        <is>
          <t>VÄSTERBOTTENS LÄN</t>
        </is>
      </c>
      <c r="E1051" t="inlineStr">
        <is>
          <t>SKELLEFTEÅ</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45421-2024</t>
        </is>
      </c>
      <c r="B1052" s="1" t="n">
        <v>45576.60200231482</v>
      </c>
      <c r="C1052" s="1" t="n">
        <v>45927</v>
      </c>
      <c r="D1052" t="inlineStr">
        <is>
          <t>VÄSTERBOTTENS LÄN</t>
        </is>
      </c>
      <c r="E1052" t="inlineStr">
        <is>
          <t>SKELLEFTEÅ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28787-2025</t>
        </is>
      </c>
      <c r="B1053" s="1" t="n">
        <v>45820.46806712963</v>
      </c>
      <c r="C1053" s="1" t="n">
        <v>45927</v>
      </c>
      <c r="D1053" t="inlineStr">
        <is>
          <t>VÄSTERBOTTENS LÄN</t>
        </is>
      </c>
      <c r="E1053" t="inlineStr">
        <is>
          <t>SKELLEFTEÅ</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4923-2025</t>
        </is>
      </c>
      <c r="B1054" s="1" t="n">
        <v>45688.6842824074</v>
      </c>
      <c r="C1054" s="1" t="n">
        <v>45927</v>
      </c>
      <c r="D1054" t="inlineStr">
        <is>
          <t>VÄSTERBOTTENS LÄN</t>
        </is>
      </c>
      <c r="E1054" t="inlineStr">
        <is>
          <t>SKELLEFTEÅ</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51332-2024</t>
        </is>
      </c>
      <c r="B1055" s="1" t="n">
        <v>45604.34377314815</v>
      </c>
      <c r="C1055" s="1" t="n">
        <v>45927</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43701-2024</t>
        </is>
      </c>
      <c r="B1056" s="1" t="n">
        <v>45569</v>
      </c>
      <c r="C1056" s="1" t="n">
        <v>45927</v>
      </c>
      <c r="D1056" t="inlineStr">
        <is>
          <t>VÄSTERBOTTENS LÄN</t>
        </is>
      </c>
      <c r="E1056" t="inlineStr">
        <is>
          <t>SKELLEFTEÅ</t>
        </is>
      </c>
      <c r="F1056" t="inlineStr">
        <is>
          <t>Kommuner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56444-2024</t>
        </is>
      </c>
      <c r="B1057" s="1" t="n">
        <v>45625.42461805556</v>
      </c>
      <c r="C1057" s="1" t="n">
        <v>45927</v>
      </c>
      <c r="D1057" t="inlineStr">
        <is>
          <t>VÄSTERBOTTENS LÄN</t>
        </is>
      </c>
      <c r="E1057" t="inlineStr">
        <is>
          <t>SKELLEFTEÅ</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40798-2024</t>
        </is>
      </c>
      <c r="B1058" s="1" t="n">
        <v>45558.52645833333</v>
      </c>
      <c r="C1058" s="1" t="n">
        <v>45927</v>
      </c>
      <c r="D1058" t="inlineStr">
        <is>
          <t>VÄSTERBOTTENS LÄN</t>
        </is>
      </c>
      <c r="E1058" t="inlineStr">
        <is>
          <t>SKELLEFTEÅ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45690-2024</t>
        </is>
      </c>
      <c r="B1059" s="1" t="n">
        <v>45579</v>
      </c>
      <c r="C1059" s="1" t="n">
        <v>45927</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28777-2025</t>
        </is>
      </c>
      <c r="B1060" s="1" t="n">
        <v>45820.44814814815</v>
      </c>
      <c r="C1060" s="1" t="n">
        <v>45927</v>
      </c>
      <c r="D1060" t="inlineStr">
        <is>
          <t>VÄSTERBOTTENS LÄN</t>
        </is>
      </c>
      <c r="E1060" t="inlineStr">
        <is>
          <t>SKELLEFTEÅ</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24505-2022</t>
        </is>
      </c>
      <c r="B1061" s="1" t="n">
        <v>44726.92622685185</v>
      </c>
      <c r="C1061" s="1" t="n">
        <v>45927</v>
      </c>
      <c r="D1061" t="inlineStr">
        <is>
          <t>VÄSTERBOTTENS LÄN</t>
        </is>
      </c>
      <c r="E1061" t="inlineStr">
        <is>
          <t>SKELLEFTEÅ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26690-2023</t>
        </is>
      </c>
      <c r="B1062" s="1" t="n">
        <v>45093</v>
      </c>
      <c r="C1062" s="1" t="n">
        <v>45927</v>
      </c>
      <c r="D1062" t="inlineStr">
        <is>
          <t>VÄSTERBOTTENS LÄN</t>
        </is>
      </c>
      <c r="E1062" t="inlineStr">
        <is>
          <t>SKELLEFTEÅ</t>
        </is>
      </c>
      <c r="F1062" t="inlineStr">
        <is>
          <t>Kyrkan</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54821-2023</t>
        </is>
      </c>
      <c r="B1063" s="1" t="n">
        <v>45236</v>
      </c>
      <c r="C1063" s="1" t="n">
        <v>45927</v>
      </c>
      <c r="D1063" t="inlineStr">
        <is>
          <t>VÄSTERBOTTENS LÄN</t>
        </is>
      </c>
      <c r="E1063" t="inlineStr">
        <is>
          <t>SKELLEFTEÅ</t>
        </is>
      </c>
      <c r="F1063" t="inlineStr">
        <is>
          <t>Kommuner</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27028-2022</t>
        </is>
      </c>
      <c r="B1064" s="1" t="n">
        <v>44740</v>
      </c>
      <c r="C1064" s="1" t="n">
        <v>45927</v>
      </c>
      <c r="D1064" t="inlineStr">
        <is>
          <t>VÄSTERBOTTENS LÄN</t>
        </is>
      </c>
      <c r="E1064" t="inlineStr">
        <is>
          <t>SKELLEFTEÅ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544-2025</t>
        </is>
      </c>
      <c r="B1065" s="1" t="n">
        <v>45660</v>
      </c>
      <c r="C1065" s="1" t="n">
        <v>45927</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15899-2023</t>
        </is>
      </c>
      <c r="B1066" s="1" t="n">
        <v>45021</v>
      </c>
      <c r="C1066" s="1" t="n">
        <v>45927</v>
      </c>
      <c r="D1066" t="inlineStr">
        <is>
          <t>VÄSTERBOTTENS LÄN</t>
        </is>
      </c>
      <c r="E1066" t="inlineStr">
        <is>
          <t>SKELLEFTEÅ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59180-2021</t>
        </is>
      </c>
      <c r="B1067" s="1" t="n">
        <v>44489</v>
      </c>
      <c r="C1067" s="1" t="n">
        <v>45927</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54024-2023</t>
        </is>
      </c>
      <c r="B1068" s="1" t="n">
        <v>45231</v>
      </c>
      <c r="C1068" s="1" t="n">
        <v>45927</v>
      </c>
      <c r="D1068" t="inlineStr">
        <is>
          <t>VÄSTERBOTTENS LÄN</t>
        </is>
      </c>
      <c r="E1068" t="inlineStr">
        <is>
          <t>SKELLEFTEÅ</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14846-2025</t>
        </is>
      </c>
      <c r="B1069" s="1" t="n">
        <v>45743.38820601852</v>
      </c>
      <c r="C1069" s="1" t="n">
        <v>45927</v>
      </c>
      <c r="D1069" t="inlineStr">
        <is>
          <t>VÄSTERBOTTENS LÄN</t>
        </is>
      </c>
      <c r="E1069" t="inlineStr">
        <is>
          <t>SKELLEFTEÅ</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28148-2023</t>
        </is>
      </c>
      <c r="B1070" s="1" t="n">
        <v>45099.48684027778</v>
      </c>
      <c r="C1070" s="1" t="n">
        <v>45927</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54880-2024</t>
        </is>
      </c>
      <c r="B1071" s="1" t="n">
        <v>45618.61046296296</v>
      </c>
      <c r="C1071" s="1" t="n">
        <v>45927</v>
      </c>
      <c r="D1071" t="inlineStr">
        <is>
          <t>VÄSTERBOTTENS LÄN</t>
        </is>
      </c>
      <c r="E1071" t="inlineStr">
        <is>
          <t>SKELLEFTEÅ</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28171-2023</t>
        </is>
      </c>
      <c r="B1072" s="1" t="n">
        <v>45096</v>
      </c>
      <c r="C1072" s="1" t="n">
        <v>45927</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3616-2022</t>
        </is>
      </c>
      <c r="B1073" s="1" t="n">
        <v>44586</v>
      </c>
      <c r="C1073" s="1" t="n">
        <v>45927</v>
      </c>
      <c r="D1073" t="inlineStr">
        <is>
          <t>VÄSTERBOTTENS LÄN</t>
        </is>
      </c>
      <c r="E1073" t="inlineStr">
        <is>
          <t>SKELLEFTEÅ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52062-2023</t>
        </is>
      </c>
      <c r="B1074" s="1" t="n">
        <v>45216</v>
      </c>
      <c r="C1074" s="1" t="n">
        <v>45927</v>
      </c>
      <c r="D1074" t="inlineStr">
        <is>
          <t>VÄSTERBOTTENS LÄN</t>
        </is>
      </c>
      <c r="E1074" t="inlineStr">
        <is>
          <t>SKELLEFTEÅ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61145-2023</t>
        </is>
      </c>
      <c r="B1075" s="1" t="n">
        <v>45261.96739583334</v>
      </c>
      <c r="C1075" s="1" t="n">
        <v>45927</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61983-2024</t>
        </is>
      </c>
      <c r="B1076" s="1" t="n">
        <v>45646</v>
      </c>
      <c r="C1076" s="1" t="n">
        <v>45927</v>
      </c>
      <c r="D1076" t="inlineStr">
        <is>
          <t>VÄSTERBOTTENS LÄN</t>
        </is>
      </c>
      <c r="E1076" t="inlineStr">
        <is>
          <t>SKELLEFTEÅ</t>
        </is>
      </c>
      <c r="F1076" t="inlineStr">
        <is>
          <t>Kommuner</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25515-2021</t>
        </is>
      </c>
      <c r="B1077" s="1" t="n">
        <v>44342.94759259259</v>
      </c>
      <c r="C1077" s="1" t="n">
        <v>45927</v>
      </c>
      <c r="D1077" t="inlineStr">
        <is>
          <t>VÄSTERBOTTENS LÄN</t>
        </is>
      </c>
      <c r="E1077" t="inlineStr">
        <is>
          <t>SKELLEFTEÅ</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29125-2024</t>
        </is>
      </c>
      <c r="B1078" s="1" t="n">
        <v>45481</v>
      </c>
      <c r="C1078" s="1" t="n">
        <v>45927</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70748-2021</t>
        </is>
      </c>
      <c r="B1079" s="1" t="n">
        <v>44537.63729166667</v>
      </c>
      <c r="C1079" s="1" t="n">
        <v>45927</v>
      </c>
      <c r="D1079" t="inlineStr">
        <is>
          <t>VÄSTERBOTTENS LÄN</t>
        </is>
      </c>
      <c r="E1079" t="inlineStr">
        <is>
          <t>SKELLEFTEÅ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62064-2024</t>
        </is>
      </c>
      <c r="B1080" s="1" t="n">
        <v>45656</v>
      </c>
      <c r="C1080" s="1" t="n">
        <v>45927</v>
      </c>
      <c r="D1080" t="inlineStr">
        <is>
          <t>VÄSTERBOTTENS LÄN</t>
        </is>
      </c>
      <c r="E1080" t="inlineStr">
        <is>
          <t>SKELLEFTEÅ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60356-2022</t>
        </is>
      </c>
      <c r="B1081" s="1" t="n">
        <v>44904</v>
      </c>
      <c r="C1081" s="1" t="n">
        <v>45927</v>
      </c>
      <c r="D1081" t="inlineStr">
        <is>
          <t>VÄSTERBOTTENS LÄN</t>
        </is>
      </c>
      <c r="E1081" t="inlineStr">
        <is>
          <t>SKELLEFTEÅ</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28291-2021</t>
        </is>
      </c>
      <c r="B1082" s="1" t="n">
        <v>44356.27717592593</v>
      </c>
      <c r="C1082" s="1" t="n">
        <v>45927</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35338-2023</t>
        </is>
      </c>
      <c r="B1083" s="1" t="n">
        <v>45145</v>
      </c>
      <c r="C1083" s="1" t="n">
        <v>45927</v>
      </c>
      <c r="D1083" t="inlineStr">
        <is>
          <t>VÄSTERBOTTENS LÄN</t>
        </is>
      </c>
      <c r="E1083" t="inlineStr">
        <is>
          <t>SKELLEFTEÅ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46268-2024</t>
        </is>
      </c>
      <c r="B1084" s="1" t="n">
        <v>45581</v>
      </c>
      <c r="C1084" s="1" t="n">
        <v>45927</v>
      </c>
      <c r="D1084" t="inlineStr">
        <is>
          <t>VÄSTERBOTTENS LÄN</t>
        </is>
      </c>
      <c r="E1084" t="inlineStr">
        <is>
          <t>SKELLEFTEÅ</t>
        </is>
      </c>
      <c r="F1084" t="inlineStr">
        <is>
          <t>Holmen skog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46377-2024</t>
        </is>
      </c>
      <c r="B1085" s="1" t="n">
        <v>45582</v>
      </c>
      <c r="C1085" s="1" t="n">
        <v>45927</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47007-2024</t>
        </is>
      </c>
      <c r="B1086" s="1" t="n">
        <v>45586.38399305556</v>
      </c>
      <c r="C1086" s="1" t="n">
        <v>45927</v>
      </c>
      <c r="D1086" t="inlineStr">
        <is>
          <t>VÄSTERBOTTENS LÄN</t>
        </is>
      </c>
      <c r="E1086" t="inlineStr">
        <is>
          <t>SKELLEFTEÅ</t>
        </is>
      </c>
      <c r="G1086" t="n">
        <v>22.2</v>
      </c>
      <c r="H1086" t="n">
        <v>0</v>
      </c>
      <c r="I1086" t="n">
        <v>0</v>
      </c>
      <c r="J1086" t="n">
        <v>0</v>
      </c>
      <c r="K1086" t="n">
        <v>0</v>
      </c>
      <c r="L1086" t="n">
        <v>0</v>
      </c>
      <c r="M1086" t="n">
        <v>0</v>
      </c>
      <c r="N1086" t="n">
        <v>0</v>
      </c>
      <c r="O1086" t="n">
        <v>0</v>
      </c>
      <c r="P1086" t="n">
        <v>0</v>
      </c>
      <c r="Q1086" t="n">
        <v>0</v>
      </c>
      <c r="R1086" s="2" t="inlineStr"/>
    </row>
    <row r="1087" ht="15" customHeight="1">
      <c r="A1087" t="inlineStr">
        <is>
          <t>A 52475-2022</t>
        </is>
      </c>
      <c r="B1087" s="1" t="n">
        <v>44869</v>
      </c>
      <c r="C1087" s="1" t="n">
        <v>45927</v>
      </c>
      <c r="D1087" t="inlineStr">
        <is>
          <t>VÄSTERBOTTENS LÄN</t>
        </is>
      </c>
      <c r="E1087" t="inlineStr">
        <is>
          <t>SKELLEFTEÅ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3164-2025</t>
        </is>
      </c>
      <c r="B1088" s="1" t="n">
        <v>45679.34158564815</v>
      </c>
      <c r="C1088" s="1" t="n">
        <v>45927</v>
      </c>
      <c r="D1088" t="inlineStr">
        <is>
          <t>VÄSTERBOTTENS LÄN</t>
        </is>
      </c>
      <c r="E1088" t="inlineStr">
        <is>
          <t>SKELLEFTEÅ</t>
        </is>
      </c>
      <c r="F1088" t="inlineStr">
        <is>
          <t>Holmen skog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58012-2023</t>
        </is>
      </c>
      <c r="B1089" s="1" t="n">
        <v>45244</v>
      </c>
      <c r="C1089" s="1" t="n">
        <v>45927</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1022-2025</t>
        </is>
      </c>
      <c r="B1090" s="1" t="n">
        <v>45665</v>
      </c>
      <c r="C1090" s="1" t="n">
        <v>45927</v>
      </c>
      <c r="D1090" t="inlineStr">
        <is>
          <t>VÄSTERBOTTENS LÄN</t>
        </is>
      </c>
      <c r="E1090" t="inlineStr">
        <is>
          <t>SKELLEFTEÅ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9925-2022</t>
        </is>
      </c>
      <c r="B1091" s="1" t="n">
        <v>44620.92208333333</v>
      </c>
      <c r="C1091" s="1" t="n">
        <v>45927</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59689-2024</t>
        </is>
      </c>
      <c r="B1092" s="1" t="n">
        <v>45639.40660879629</v>
      </c>
      <c r="C1092" s="1" t="n">
        <v>45927</v>
      </c>
      <c r="D1092" t="inlineStr">
        <is>
          <t>VÄSTERBOTTENS LÄN</t>
        </is>
      </c>
      <c r="E1092" t="inlineStr">
        <is>
          <t>SKELLEFTEÅ</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61064-2023</t>
        </is>
      </c>
      <c r="B1093" s="1" t="n">
        <v>45259</v>
      </c>
      <c r="C1093" s="1" t="n">
        <v>45927</v>
      </c>
      <c r="D1093" t="inlineStr">
        <is>
          <t>VÄSTERBOTTENS LÄN</t>
        </is>
      </c>
      <c r="E1093" t="inlineStr">
        <is>
          <t>SKELLEFTEÅ</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50464-2023</t>
        </is>
      </c>
      <c r="B1094" s="1" t="n">
        <v>45216.84891203704</v>
      </c>
      <c r="C1094" s="1" t="n">
        <v>45927</v>
      </c>
      <c r="D1094" t="inlineStr">
        <is>
          <t>VÄSTERBOTTENS LÄN</t>
        </is>
      </c>
      <c r="E1094" t="inlineStr">
        <is>
          <t>SKELLEFTEÅ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16494-2023</t>
        </is>
      </c>
      <c r="B1095" s="1" t="n">
        <v>45029.60325231482</v>
      </c>
      <c r="C1095" s="1" t="n">
        <v>45927</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26708-2024</t>
        </is>
      </c>
      <c r="B1096" s="1" t="n">
        <v>45470</v>
      </c>
      <c r="C1096" s="1" t="n">
        <v>45927</v>
      </c>
      <c r="D1096" t="inlineStr">
        <is>
          <t>VÄSTERBOTTENS LÄN</t>
        </is>
      </c>
      <c r="E1096" t="inlineStr">
        <is>
          <t>SKELLEFTEÅ</t>
        </is>
      </c>
      <c r="F1096" t="inlineStr">
        <is>
          <t>Sveaskog</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28778-2025</t>
        </is>
      </c>
      <c r="B1097" s="1" t="n">
        <v>45820.44819444444</v>
      </c>
      <c r="C1097" s="1" t="n">
        <v>45927</v>
      </c>
      <c r="D1097" t="inlineStr">
        <is>
          <t>VÄSTERBOTTENS LÄN</t>
        </is>
      </c>
      <c r="E1097" t="inlineStr">
        <is>
          <t>SKELLEFTEÅ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42357-2022</t>
        </is>
      </c>
      <c r="B1098" s="1" t="n">
        <v>44827</v>
      </c>
      <c r="C1098" s="1" t="n">
        <v>45927</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62284-2022</t>
        </is>
      </c>
      <c r="B1099" s="1" t="n">
        <v>44923.40487268518</v>
      </c>
      <c r="C1099" s="1" t="n">
        <v>45927</v>
      </c>
      <c r="D1099" t="inlineStr">
        <is>
          <t>VÄSTERBOTTENS LÄN</t>
        </is>
      </c>
      <c r="E1099" t="inlineStr">
        <is>
          <t>SKELLEFTEÅ</t>
        </is>
      </c>
      <c r="F1099" t="inlineStr">
        <is>
          <t>Sveaskog</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33521-2021</t>
        </is>
      </c>
      <c r="B1100" s="1" t="n">
        <v>44377</v>
      </c>
      <c r="C1100" s="1" t="n">
        <v>45927</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56471-2023</t>
        </is>
      </c>
      <c r="B1101" s="1" t="n">
        <v>45243</v>
      </c>
      <c r="C1101" s="1" t="n">
        <v>45927</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11945-2023</t>
        </is>
      </c>
      <c r="B1102" s="1" t="n">
        <v>44995</v>
      </c>
      <c r="C1102" s="1" t="n">
        <v>45927</v>
      </c>
      <c r="D1102" t="inlineStr">
        <is>
          <t>VÄSTERBOTTENS LÄN</t>
        </is>
      </c>
      <c r="E1102" t="inlineStr">
        <is>
          <t>SKELLEFTEÅ</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64920-2023</t>
        </is>
      </c>
      <c r="B1103" s="1" t="n">
        <v>45282.68806712963</v>
      </c>
      <c r="C1103" s="1" t="n">
        <v>45927</v>
      </c>
      <c r="D1103" t="inlineStr">
        <is>
          <t>VÄSTERBOTTENS LÄN</t>
        </is>
      </c>
      <c r="E1103" t="inlineStr">
        <is>
          <t>SKELLEFTEÅ</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35437-2023</t>
        </is>
      </c>
      <c r="B1104" s="1" t="n">
        <v>45146</v>
      </c>
      <c r="C1104" s="1" t="n">
        <v>45927</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28989-2025</t>
        </is>
      </c>
      <c r="B1105" s="1" t="n">
        <v>45821.37027777778</v>
      </c>
      <c r="C1105" s="1" t="n">
        <v>45927</v>
      </c>
      <c r="D1105" t="inlineStr">
        <is>
          <t>VÄSTERBOTTENS LÄN</t>
        </is>
      </c>
      <c r="E1105" t="inlineStr">
        <is>
          <t>SKELLEFTEÅ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30986-2024</t>
        </is>
      </c>
      <c r="B1106" s="1" t="n">
        <v>45499.52881944444</v>
      </c>
      <c r="C1106" s="1" t="n">
        <v>45927</v>
      </c>
      <c r="D1106" t="inlineStr">
        <is>
          <t>VÄSTERBOTTENS LÄN</t>
        </is>
      </c>
      <c r="E1106" t="inlineStr">
        <is>
          <t>SKELLEFTEÅ</t>
        </is>
      </c>
      <c r="F1106" t="inlineStr">
        <is>
          <t>Sveaskog</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32820-2023</t>
        </is>
      </c>
      <c r="B1107" s="1" t="n">
        <v>45112</v>
      </c>
      <c r="C1107" s="1" t="n">
        <v>45927</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38505-2021</t>
        </is>
      </c>
      <c r="B1108" s="1" t="n">
        <v>44407.49136574074</v>
      </c>
      <c r="C1108" s="1" t="n">
        <v>45927</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35732-2023</t>
        </is>
      </c>
      <c r="B1109" s="1" t="n">
        <v>45147</v>
      </c>
      <c r="C1109" s="1" t="n">
        <v>45927</v>
      </c>
      <c r="D1109" t="inlineStr">
        <is>
          <t>VÄSTERBOTTENS LÄN</t>
        </is>
      </c>
      <c r="E1109" t="inlineStr">
        <is>
          <t>SKELLEFTEÅ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53642-2022</t>
        </is>
      </c>
      <c r="B1110" s="1" t="n">
        <v>44879</v>
      </c>
      <c r="C1110" s="1" t="n">
        <v>45927</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28984-2025</t>
        </is>
      </c>
      <c r="B1111" s="1" t="n">
        <v>45821.36861111111</v>
      </c>
      <c r="C1111" s="1" t="n">
        <v>45927</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16539-2025</t>
        </is>
      </c>
      <c r="B1112" s="1" t="n">
        <v>45751.66283564815</v>
      </c>
      <c r="C1112" s="1" t="n">
        <v>45927</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19498-2023</t>
        </is>
      </c>
      <c r="B1113" s="1" t="n">
        <v>45049</v>
      </c>
      <c r="C1113" s="1" t="n">
        <v>45927</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53716-2024</t>
        </is>
      </c>
      <c r="B1114" s="1" t="n">
        <v>45615.43059027778</v>
      </c>
      <c r="C1114" s="1" t="n">
        <v>45927</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37855-2023</t>
        </is>
      </c>
      <c r="B1115" s="1" t="n">
        <v>45160.40148148148</v>
      </c>
      <c r="C1115" s="1" t="n">
        <v>45927</v>
      </c>
      <c r="D1115" t="inlineStr">
        <is>
          <t>VÄSTERBOTTENS LÄN</t>
        </is>
      </c>
      <c r="E1115" t="inlineStr">
        <is>
          <t>SKELLEFTEÅ</t>
        </is>
      </c>
      <c r="F1115" t="inlineStr">
        <is>
          <t>Holmen skog AB</t>
        </is>
      </c>
      <c r="G1115" t="n">
        <v>12.3</v>
      </c>
      <c r="H1115" t="n">
        <v>0</v>
      </c>
      <c r="I1115" t="n">
        <v>0</v>
      </c>
      <c r="J1115" t="n">
        <v>0</v>
      </c>
      <c r="K1115" t="n">
        <v>0</v>
      </c>
      <c r="L1115" t="n">
        <v>0</v>
      </c>
      <c r="M1115" t="n">
        <v>0</v>
      </c>
      <c r="N1115" t="n">
        <v>0</v>
      </c>
      <c r="O1115" t="n">
        <v>0</v>
      </c>
      <c r="P1115" t="n">
        <v>0</v>
      </c>
      <c r="Q1115" t="n">
        <v>0</v>
      </c>
      <c r="R1115" s="2" t="inlineStr"/>
    </row>
    <row r="1116" ht="15" customHeight="1">
      <c r="A1116" t="inlineStr">
        <is>
          <t>A 23169-2024</t>
        </is>
      </c>
      <c r="B1116" s="1" t="n">
        <v>45450</v>
      </c>
      <c r="C1116" s="1" t="n">
        <v>45927</v>
      </c>
      <c r="D1116" t="inlineStr">
        <is>
          <t>VÄSTERBOTTENS LÄN</t>
        </is>
      </c>
      <c r="E1116" t="inlineStr">
        <is>
          <t>SKELLEFTEÅ</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60488-2022</t>
        </is>
      </c>
      <c r="B1117" s="1" t="n">
        <v>44911.43144675926</v>
      </c>
      <c r="C1117" s="1" t="n">
        <v>45927</v>
      </c>
      <c r="D1117" t="inlineStr">
        <is>
          <t>VÄSTERBOTTENS LÄN</t>
        </is>
      </c>
      <c r="E1117" t="inlineStr">
        <is>
          <t>SKELLEFTEÅ</t>
        </is>
      </c>
      <c r="F1117" t="inlineStr">
        <is>
          <t>Sveaskog</t>
        </is>
      </c>
      <c r="G1117" t="n">
        <v>11.6</v>
      </c>
      <c r="H1117" t="n">
        <v>0</v>
      </c>
      <c r="I1117" t="n">
        <v>0</v>
      </c>
      <c r="J1117" t="n">
        <v>0</v>
      </c>
      <c r="K1117" t="n">
        <v>0</v>
      </c>
      <c r="L1117" t="n">
        <v>0</v>
      </c>
      <c r="M1117" t="n">
        <v>0</v>
      </c>
      <c r="N1117" t="n">
        <v>0</v>
      </c>
      <c r="O1117" t="n">
        <v>0</v>
      </c>
      <c r="P1117" t="n">
        <v>0</v>
      </c>
      <c r="Q1117" t="n">
        <v>0</v>
      </c>
      <c r="R1117" s="2" t="inlineStr"/>
      <c r="U1117">
        <f>HYPERLINK("https://klasma.github.io/Logging_2482/knärot/A 60488-2022 karta knärot.png", "A 60488-2022")</f>
        <v/>
      </c>
      <c r="V1117">
        <f>HYPERLINK("https://klasma.github.io/Logging_2482/klagomål/A 60488-2022 FSC-klagomål.docx", "A 60488-2022")</f>
        <v/>
      </c>
      <c r="W1117">
        <f>HYPERLINK("https://klasma.github.io/Logging_2482/klagomålsmail/A 60488-2022 FSC-klagomål mail.docx", "A 60488-2022")</f>
        <v/>
      </c>
      <c r="X1117">
        <f>HYPERLINK("https://klasma.github.io/Logging_2482/tillsyn/A 60488-2022 tillsynsbegäran.docx", "A 60488-2022")</f>
        <v/>
      </c>
      <c r="Y1117">
        <f>HYPERLINK("https://klasma.github.io/Logging_2482/tillsynsmail/A 60488-2022 tillsynsbegäran mail.docx", "A 60488-2022")</f>
        <v/>
      </c>
    </row>
    <row r="1118" ht="15" customHeight="1">
      <c r="A1118" t="inlineStr">
        <is>
          <t>A 32677-2022</t>
        </is>
      </c>
      <c r="B1118" s="1" t="n">
        <v>44783.55438657408</v>
      </c>
      <c r="C1118" s="1" t="n">
        <v>45927</v>
      </c>
      <c r="D1118" t="inlineStr">
        <is>
          <t>VÄSTERBOTTENS LÄN</t>
        </is>
      </c>
      <c r="E1118" t="inlineStr">
        <is>
          <t>SKELLEFTEÅ</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27560-2022</t>
        </is>
      </c>
      <c r="B1119" s="1" t="n">
        <v>44742.9269212963</v>
      </c>
      <c r="C1119" s="1" t="n">
        <v>45927</v>
      </c>
      <c r="D1119" t="inlineStr">
        <is>
          <t>VÄSTERBOTTENS LÄN</t>
        </is>
      </c>
      <c r="E1119" t="inlineStr">
        <is>
          <t>SKELLEFTEÅ</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43515-2022</t>
        </is>
      </c>
      <c r="B1120" s="1" t="n">
        <v>44837.3690162037</v>
      </c>
      <c r="C1120" s="1" t="n">
        <v>45927</v>
      </c>
      <c r="D1120" t="inlineStr">
        <is>
          <t>VÄSTERBOTTENS LÄN</t>
        </is>
      </c>
      <c r="E1120" t="inlineStr">
        <is>
          <t>SKELLEFTEÅ</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38995-2022</t>
        </is>
      </c>
      <c r="B1121" s="1" t="n">
        <v>44816</v>
      </c>
      <c r="C1121" s="1" t="n">
        <v>45927</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54813-2023</t>
        </is>
      </c>
      <c r="B1122" s="1" t="n">
        <v>45236</v>
      </c>
      <c r="C1122" s="1" t="n">
        <v>45927</v>
      </c>
      <c r="D1122" t="inlineStr">
        <is>
          <t>VÄSTERBOTTENS LÄN</t>
        </is>
      </c>
      <c r="E1122" t="inlineStr">
        <is>
          <t>SKELLEFTEÅ</t>
        </is>
      </c>
      <c r="F1122" t="inlineStr">
        <is>
          <t>Sveaskog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17478-2023</t>
        </is>
      </c>
      <c r="B1123" s="1" t="n">
        <v>45034</v>
      </c>
      <c r="C1123" s="1" t="n">
        <v>45927</v>
      </c>
      <c r="D1123" t="inlineStr">
        <is>
          <t>VÄSTERBOTTENS LÄN</t>
        </is>
      </c>
      <c r="E1123" t="inlineStr">
        <is>
          <t>SKELLEFTEÅ</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16602-2025</t>
        </is>
      </c>
      <c r="B1124" s="1" t="n">
        <v>45753.53373842593</v>
      </c>
      <c r="C1124" s="1" t="n">
        <v>45927</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18637-2025</t>
        </is>
      </c>
      <c r="B1125" s="1" t="n">
        <v>45763.56527777778</v>
      </c>
      <c r="C1125" s="1" t="n">
        <v>45927</v>
      </c>
      <c r="D1125" t="inlineStr">
        <is>
          <t>VÄSTERBOTTENS LÄN</t>
        </is>
      </c>
      <c r="E1125" t="inlineStr">
        <is>
          <t>SKELLEFTEÅ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45927</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53183-2023</t>
        </is>
      </c>
      <c r="B1127" s="1" t="n">
        <v>45229.41625</v>
      </c>
      <c r="C1127" s="1" t="n">
        <v>45927</v>
      </c>
      <c r="D1127" t="inlineStr">
        <is>
          <t>VÄSTERBOTTENS LÄN</t>
        </is>
      </c>
      <c r="E1127" t="inlineStr">
        <is>
          <t>SKELLEFTEÅ</t>
        </is>
      </c>
      <c r="F1127" t="inlineStr">
        <is>
          <t>Sveaskog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8241-2025</t>
        </is>
      </c>
      <c r="B1128" s="1" t="n">
        <v>45708.48162037037</v>
      </c>
      <c r="C1128" s="1" t="n">
        <v>45927</v>
      </c>
      <c r="D1128" t="inlineStr">
        <is>
          <t>VÄSTERBOTTENS LÄN</t>
        </is>
      </c>
      <c r="E1128" t="inlineStr">
        <is>
          <t>SKELLEFTEÅ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8301-2025</t>
        </is>
      </c>
      <c r="B1129" s="1" t="n">
        <v>45708</v>
      </c>
      <c r="C1129" s="1" t="n">
        <v>45927</v>
      </c>
      <c r="D1129" t="inlineStr">
        <is>
          <t>VÄSTERBOTTENS LÄN</t>
        </is>
      </c>
      <c r="E1129" t="inlineStr">
        <is>
          <t>SKELLEFTEÅ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48133-2022</t>
        </is>
      </c>
      <c r="B1130" s="1" t="n">
        <v>44857</v>
      </c>
      <c r="C1130" s="1" t="n">
        <v>45927</v>
      </c>
      <c r="D1130" t="inlineStr">
        <is>
          <t>VÄSTERBOTTENS LÄN</t>
        </is>
      </c>
      <c r="E1130" t="inlineStr">
        <is>
          <t>SKELLEFTEÅ</t>
        </is>
      </c>
      <c r="F1130" t="inlineStr">
        <is>
          <t>Sveaskog</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58557-2024</t>
        </is>
      </c>
      <c r="B1131" s="1" t="n">
        <v>45635.46780092592</v>
      </c>
      <c r="C1131" s="1" t="n">
        <v>45927</v>
      </c>
      <c r="D1131" t="inlineStr">
        <is>
          <t>VÄSTERBOTTENS LÄN</t>
        </is>
      </c>
      <c r="E1131" t="inlineStr">
        <is>
          <t>SKELLEFTEÅ</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45384-2021</t>
        </is>
      </c>
      <c r="B1132" s="1" t="n">
        <v>44440.3184375</v>
      </c>
      <c r="C1132" s="1" t="n">
        <v>45927</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42808-2022</t>
        </is>
      </c>
      <c r="B1133" s="1" t="n">
        <v>44832</v>
      </c>
      <c r="C1133" s="1" t="n">
        <v>45927</v>
      </c>
      <c r="D1133" t="inlineStr">
        <is>
          <t>VÄSTERBOTTENS LÄN</t>
        </is>
      </c>
      <c r="E1133" t="inlineStr">
        <is>
          <t>SKELLEFTEÅ</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59324-2024</t>
        </is>
      </c>
      <c r="B1134" s="1" t="n">
        <v>45637.72047453704</v>
      </c>
      <c r="C1134" s="1" t="n">
        <v>45927</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45927</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25182-2022</t>
        </is>
      </c>
      <c r="B1136" s="1" t="n">
        <v>44729.60717592593</v>
      </c>
      <c r="C1136" s="1" t="n">
        <v>45927</v>
      </c>
      <c r="D1136" t="inlineStr">
        <is>
          <t>VÄSTERBOTTENS LÄN</t>
        </is>
      </c>
      <c r="E1136" t="inlineStr">
        <is>
          <t>SKELLEFTEÅ</t>
        </is>
      </c>
      <c r="F1136" t="inlineStr">
        <is>
          <t>Holmen skog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55233-2024</t>
        </is>
      </c>
      <c r="B1137" s="1" t="n">
        <v>45620</v>
      </c>
      <c r="C1137" s="1" t="n">
        <v>45927</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55253-2024</t>
        </is>
      </c>
      <c r="B1138" s="1" t="n">
        <v>45620</v>
      </c>
      <c r="C1138" s="1" t="n">
        <v>45927</v>
      </c>
      <c r="D1138" t="inlineStr">
        <is>
          <t>VÄSTERBOTTENS LÄN</t>
        </is>
      </c>
      <c r="E1138" t="inlineStr">
        <is>
          <t>SKELLEFTEÅ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58376-2022</t>
        </is>
      </c>
      <c r="B1139" s="1" t="n">
        <v>44901</v>
      </c>
      <c r="C1139" s="1" t="n">
        <v>45927</v>
      </c>
      <c r="D1139" t="inlineStr">
        <is>
          <t>VÄSTERBOTTENS LÄN</t>
        </is>
      </c>
      <c r="E1139" t="inlineStr">
        <is>
          <t>SKELLEFTEÅ</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1964-2025</t>
        </is>
      </c>
      <c r="B1140" s="1" t="n">
        <v>45672.37693287037</v>
      </c>
      <c r="C1140" s="1" t="n">
        <v>45927</v>
      </c>
      <c r="D1140" t="inlineStr">
        <is>
          <t>VÄSTERBOTTENS LÄN</t>
        </is>
      </c>
      <c r="E1140" t="inlineStr">
        <is>
          <t>SKELLEFTEÅ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1980-2025</t>
        </is>
      </c>
      <c r="B1141" s="1" t="n">
        <v>45671</v>
      </c>
      <c r="C1141" s="1" t="n">
        <v>45927</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35189-2022</t>
        </is>
      </c>
      <c r="B1142" s="1" t="n">
        <v>44797</v>
      </c>
      <c r="C1142" s="1" t="n">
        <v>45927</v>
      </c>
      <c r="D1142" t="inlineStr">
        <is>
          <t>VÄSTERBOTTENS LÄN</t>
        </is>
      </c>
      <c r="E1142" t="inlineStr">
        <is>
          <t>SKELLEFTEÅ</t>
        </is>
      </c>
      <c r="F1142" t="inlineStr">
        <is>
          <t>Holmen skog AB</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38578-2022</t>
        </is>
      </c>
      <c r="B1143" s="1" t="n">
        <v>44813.48444444445</v>
      </c>
      <c r="C1143" s="1" t="n">
        <v>45927</v>
      </c>
      <c r="D1143" t="inlineStr">
        <is>
          <t>VÄSTERBOTTENS LÄN</t>
        </is>
      </c>
      <c r="E1143" t="inlineStr">
        <is>
          <t>SKELLEFTEÅ</t>
        </is>
      </c>
      <c r="F1143" t="inlineStr">
        <is>
          <t>Holmen skog AB</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57191-2023</t>
        </is>
      </c>
      <c r="B1144" s="1" t="n">
        <v>45245</v>
      </c>
      <c r="C1144" s="1" t="n">
        <v>45927</v>
      </c>
      <c r="D1144" t="inlineStr">
        <is>
          <t>VÄSTERBOTTENS LÄN</t>
        </is>
      </c>
      <c r="E1144" t="inlineStr">
        <is>
          <t>SKELLEFTEÅ</t>
        </is>
      </c>
      <c r="F1144" t="inlineStr">
        <is>
          <t>Sveaskog</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24963-2023</t>
        </is>
      </c>
      <c r="B1145" s="1" t="n">
        <v>45085</v>
      </c>
      <c r="C1145" s="1" t="n">
        <v>45927</v>
      </c>
      <c r="D1145" t="inlineStr">
        <is>
          <t>VÄSTERBOTTENS LÄN</t>
        </is>
      </c>
      <c r="E1145" t="inlineStr">
        <is>
          <t>SKELLEFTEÅ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4510-2025</t>
        </is>
      </c>
      <c r="B1146" s="1" t="n">
        <v>45686</v>
      </c>
      <c r="C1146" s="1" t="n">
        <v>45927</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33710-2023</t>
        </is>
      </c>
      <c r="B1147" s="1" t="n">
        <v>45132.92306712963</v>
      </c>
      <c r="C1147" s="1" t="n">
        <v>45927</v>
      </c>
      <c r="D1147" t="inlineStr">
        <is>
          <t>VÄSTERBOTTENS LÄN</t>
        </is>
      </c>
      <c r="E1147" t="inlineStr">
        <is>
          <t>SKELLEFTEÅ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59744-2022</t>
        </is>
      </c>
      <c r="B1148" s="1" t="n">
        <v>44908</v>
      </c>
      <c r="C1148" s="1" t="n">
        <v>45927</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8839-2025</t>
        </is>
      </c>
      <c r="B1149" s="1" t="n">
        <v>45713</v>
      </c>
      <c r="C1149" s="1" t="n">
        <v>45927</v>
      </c>
      <c r="D1149" t="inlineStr">
        <is>
          <t>VÄSTERBOTTENS LÄN</t>
        </is>
      </c>
      <c r="E1149" t="inlineStr">
        <is>
          <t>SKELLEFTEÅ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8840-2025</t>
        </is>
      </c>
      <c r="B1150" s="1" t="n">
        <v>45713.30810185185</v>
      </c>
      <c r="C1150" s="1" t="n">
        <v>45927</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56539-2024</t>
        </is>
      </c>
      <c r="B1151" s="1" t="n">
        <v>45625</v>
      </c>
      <c r="C1151" s="1" t="n">
        <v>45927</v>
      </c>
      <c r="D1151" t="inlineStr">
        <is>
          <t>VÄSTERBOTTENS LÄN</t>
        </is>
      </c>
      <c r="E1151" t="inlineStr">
        <is>
          <t>SKELLEFTEÅ</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10978-2025</t>
        </is>
      </c>
      <c r="B1152" s="1" t="n">
        <v>45723</v>
      </c>
      <c r="C1152" s="1" t="n">
        <v>45927</v>
      </c>
      <c r="D1152" t="inlineStr">
        <is>
          <t>VÄSTERBOTTENS LÄN</t>
        </is>
      </c>
      <c r="E1152" t="inlineStr">
        <is>
          <t>SKELLEFTEÅ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10980-2025</t>
        </is>
      </c>
      <c r="B1153" s="1" t="n">
        <v>45723</v>
      </c>
      <c r="C1153" s="1" t="n">
        <v>45927</v>
      </c>
      <c r="D1153" t="inlineStr">
        <is>
          <t>VÄSTERBOTTENS LÄN</t>
        </is>
      </c>
      <c r="E1153" t="inlineStr">
        <is>
          <t>SKELLEFTEÅ</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43723-2024</t>
        </is>
      </c>
      <c r="B1154" s="1" t="n">
        <v>45569.63114583334</v>
      </c>
      <c r="C1154" s="1" t="n">
        <v>45927</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43748-2024</t>
        </is>
      </c>
      <c r="B1155" s="1" t="n">
        <v>45569.66576388889</v>
      </c>
      <c r="C1155" s="1" t="n">
        <v>45927</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18368-2024</t>
        </is>
      </c>
      <c r="B1156" s="1" t="n">
        <v>45422</v>
      </c>
      <c r="C1156" s="1" t="n">
        <v>45927</v>
      </c>
      <c r="D1156" t="inlineStr">
        <is>
          <t>VÄSTERBOTTENS LÄN</t>
        </is>
      </c>
      <c r="E1156" t="inlineStr">
        <is>
          <t>SKELLEFTEÅ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22516-2023</t>
        </is>
      </c>
      <c r="B1157" s="1" t="n">
        <v>45069</v>
      </c>
      <c r="C1157" s="1" t="n">
        <v>45927</v>
      </c>
      <c r="D1157" t="inlineStr">
        <is>
          <t>VÄSTERBOTTENS LÄN</t>
        </is>
      </c>
      <c r="E1157" t="inlineStr">
        <is>
          <t>SKELLEFTEÅ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28804-2025</t>
        </is>
      </c>
      <c r="B1158" s="1" t="n">
        <v>45820.50423611111</v>
      </c>
      <c r="C1158" s="1" t="n">
        <v>45927</v>
      </c>
      <c r="D1158" t="inlineStr">
        <is>
          <t>VÄSTERBOTTENS LÄN</t>
        </is>
      </c>
      <c r="E1158" t="inlineStr">
        <is>
          <t>SKELLEFTEÅ</t>
        </is>
      </c>
      <c r="F1158" t="inlineStr">
        <is>
          <t>Holmen skog AB</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49981-2024</t>
        </is>
      </c>
      <c r="B1159" s="1" t="n">
        <v>45597.75133101852</v>
      </c>
      <c r="C1159" s="1" t="n">
        <v>45927</v>
      </c>
      <c r="D1159" t="inlineStr">
        <is>
          <t>VÄSTERBOTTENS LÄN</t>
        </is>
      </c>
      <c r="E1159" t="inlineStr">
        <is>
          <t>SKELLEFTEÅ</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5828-2022</t>
        </is>
      </c>
      <c r="B1160" s="1" t="n">
        <v>44596</v>
      </c>
      <c r="C1160" s="1" t="n">
        <v>45927</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10051-2021</t>
        </is>
      </c>
      <c r="B1161" s="1" t="n">
        <v>44256</v>
      </c>
      <c r="C1161" s="1" t="n">
        <v>45927</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38717-2023</t>
        </is>
      </c>
      <c r="B1162" s="1" t="n">
        <v>45160</v>
      </c>
      <c r="C1162" s="1" t="n">
        <v>45927</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48204-2024</t>
        </is>
      </c>
      <c r="B1163" s="1" t="n">
        <v>45589</v>
      </c>
      <c r="C1163" s="1" t="n">
        <v>45927</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8644-2025</t>
        </is>
      </c>
      <c r="B1164" s="1" t="n">
        <v>45712</v>
      </c>
      <c r="C1164" s="1" t="n">
        <v>45927</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29277-2025</t>
        </is>
      </c>
      <c r="B1165" s="1" t="n">
        <v>45824.41894675926</v>
      </c>
      <c r="C1165" s="1" t="n">
        <v>45927</v>
      </c>
      <c r="D1165" t="inlineStr">
        <is>
          <t>VÄSTERBOTTENS LÄN</t>
        </is>
      </c>
      <c r="E1165" t="inlineStr">
        <is>
          <t>SKELLEFTEÅ</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29455-2025</t>
        </is>
      </c>
      <c r="B1166" s="1" t="n">
        <v>45824.68148148148</v>
      </c>
      <c r="C1166" s="1" t="n">
        <v>45927</v>
      </c>
      <c r="D1166" t="inlineStr">
        <is>
          <t>VÄSTERBOTTENS LÄN</t>
        </is>
      </c>
      <c r="E1166" t="inlineStr">
        <is>
          <t>SKELLEFTEÅ</t>
        </is>
      </c>
      <c r="F1166" t="inlineStr">
        <is>
          <t>Holmen skog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32746-2023</t>
        </is>
      </c>
      <c r="B1167" s="1" t="n">
        <v>45122</v>
      </c>
      <c r="C1167" s="1" t="n">
        <v>45927</v>
      </c>
      <c r="D1167" t="inlineStr">
        <is>
          <t>VÄSTERBOTTENS LÄN</t>
        </is>
      </c>
      <c r="E1167" t="inlineStr">
        <is>
          <t>SKELLEFTEÅ</t>
        </is>
      </c>
      <c r="F1167" t="inlineStr">
        <is>
          <t>Holmen skog AB</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58429-2022</t>
        </is>
      </c>
      <c r="B1168" s="1" t="n">
        <v>44901</v>
      </c>
      <c r="C1168" s="1" t="n">
        <v>45927</v>
      </c>
      <c r="D1168" t="inlineStr">
        <is>
          <t>VÄSTERBOTTENS LÄN</t>
        </is>
      </c>
      <c r="E1168" t="inlineStr">
        <is>
          <t>SKELLEFTEÅ</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51734-2021</t>
        </is>
      </c>
      <c r="B1169" s="1" t="n">
        <v>44461</v>
      </c>
      <c r="C1169" s="1" t="n">
        <v>45927</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30743-2023</t>
        </is>
      </c>
      <c r="B1170" s="1" t="n">
        <v>45112.6362037037</v>
      </c>
      <c r="C1170" s="1" t="n">
        <v>45927</v>
      </c>
      <c r="D1170" t="inlineStr">
        <is>
          <t>VÄSTERBOTTENS LÄN</t>
        </is>
      </c>
      <c r="E1170" t="inlineStr">
        <is>
          <t>SKELLEFTEÅ</t>
        </is>
      </c>
      <c r="F1170" t="inlineStr">
        <is>
          <t>Sveaskog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10655-2024</t>
        </is>
      </c>
      <c r="B1171" s="1" t="n">
        <v>45368</v>
      </c>
      <c r="C1171" s="1" t="n">
        <v>45927</v>
      </c>
      <c r="D1171" t="inlineStr">
        <is>
          <t>VÄSTERBOTTENS LÄN</t>
        </is>
      </c>
      <c r="E1171" t="inlineStr">
        <is>
          <t>SKELLEFTEÅ</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16355-2025</t>
        </is>
      </c>
      <c r="B1172" s="1" t="n">
        <v>45751.38821759259</v>
      </c>
      <c r="C1172" s="1" t="n">
        <v>45927</v>
      </c>
      <c r="D1172" t="inlineStr">
        <is>
          <t>VÄSTERBOTTENS LÄN</t>
        </is>
      </c>
      <c r="E1172" t="inlineStr">
        <is>
          <t>SKELLEFTEÅ</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22044-2024</t>
        </is>
      </c>
      <c r="B1173" s="1" t="n">
        <v>45443</v>
      </c>
      <c r="C1173" s="1" t="n">
        <v>45927</v>
      </c>
      <c r="D1173" t="inlineStr">
        <is>
          <t>VÄSTERBOTTENS LÄN</t>
        </is>
      </c>
      <c r="E1173" t="inlineStr">
        <is>
          <t>SKELLEFTEÅ</t>
        </is>
      </c>
      <c r="F1173" t="inlineStr">
        <is>
          <t>Holmen skog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54081-2022</t>
        </is>
      </c>
      <c r="B1174" s="1" t="n">
        <v>44881</v>
      </c>
      <c r="C1174" s="1" t="n">
        <v>45927</v>
      </c>
      <c r="D1174" t="inlineStr">
        <is>
          <t>VÄSTERBOTTENS LÄN</t>
        </is>
      </c>
      <c r="E1174" t="inlineStr">
        <is>
          <t>SKELLEFTEÅ</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61242-2023</t>
        </is>
      </c>
      <c r="B1175" s="1" t="n">
        <v>45264.46740740741</v>
      </c>
      <c r="C1175" s="1" t="n">
        <v>45927</v>
      </c>
      <c r="D1175" t="inlineStr">
        <is>
          <t>VÄSTERBOTTENS LÄN</t>
        </is>
      </c>
      <c r="E1175" t="inlineStr">
        <is>
          <t>SKELLEFTEÅ</t>
        </is>
      </c>
      <c r="F1175" t="inlineStr">
        <is>
          <t>Holmen skog AB</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1955-2025</t>
        </is>
      </c>
      <c r="B1176" s="1" t="n">
        <v>45671</v>
      </c>
      <c r="C1176" s="1" t="n">
        <v>45927</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47544-2024</t>
        </is>
      </c>
      <c r="B1177" s="1" t="n">
        <v>45587</v>
      </c>
      <c r="C1177" s="1" t="n">
        <v>45927</v>
      </c>
      <c r="D1177" t="inlineStr">
        <is>
          <t>VÄSTERBOTTENS LÄN</t>
        </is>
      </c>
      <c r="E1177" t="inlineStr">
        <is>
          <t>SKELLEFTEÅ</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55873-2023</t>
        </is>
      </c>
      <c r="B1178" s="1" t="n">
        <v>45239</v>
      </c>
      <c r="C1178" s="1" t="n">
        <v>45927</v>
      </c>
      <c r="D1178" t="inlineStr">
        <is>
          <t>VÄSTERBOTTENS LÄN</t>
        </is>
      </c>
      <c r="E1178" t="inlineStr">
        <is>
          <t>SKELLEFTEÅ</t>
        </is>
      </c>
      <c r="F1178" t="inlineStr">
        <is>
          <t>Sveaskog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18101-2021</t>
        </is>
      </c>
      <c r="B1179" s="1" t="n">
        <v>44302</v>
      </c>
      <c r="C1179" s="1" t="n">
        <v>45927</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8442-2025</t>
        </is>
      </c>
      <c r="B1180" s="1" t="n">
        <v>45709.44940972222</v>
      </c>
      <c r="C1180" s="1" t="n">
        <v>45927</v>
      </c>
      <c r="D1180" t="inlineStr">
        <is>
          <t>VÄSTERBOTTENS LÄN</t>
        </is>
      </c>
      <c r="E1180" t="inlineStr">
        <is>
          <t>SKELLEFTEÅ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10841-2025</t>
        </is>
      </c>
      <c r="B1181" s="1" t="n">
        <v>45722.57315972223</v>
      </c>
      <c r="C1181" s="1" t="n">
        <v>45927</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51396-2023</t>
        </is>
      </c>
      <c r="B1182" s="1" t="n">
        <v>45219.67503472222</v>
      </c>
      <c r="C1182" s="1" t="n">
        <v>45927</v>
      </c>
      <c r="D1182" t="inlineStr">
        <is>
          <t>VÄSTERBOTTENS LÄN</t>
        </is>
      </c>
      <c r="E1182" t="inlineStr">
        <is>
          <t>SKELLEFTEÅ</t>
        </is>
      </c>
      <c r="F1182" t="inlineStr">
        <is>
          <t>Holmen skog AB</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26389-2024</t>
        </is>
      </c>
      <c r="B1183" s="1" t="n">
        <v>45469.43194444444</v>
      </c>
      <c r="C1183" s="1" t="n">
        <v>45927</v>
      </c>
      <c r="D1183" t="inlineStr">
        <is>
          <t>VÄSTERBOTTENS LÄN</t>
        </is>
      </c>
      <c r="E1183" t="inlineStr">
        <is>
          <t>SKELLEFTEÅ</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17628-2025</t>
        </is>
      </c>
      <c r="B1184" s="1" t="n">
        <v>45757.97299768519</v>
      </c>
      <c r="C1184" s="1" t="n">
        <v>45927</v>
      </c>
      <c r="D1184" t="inlineStr">
        <is>
          <t>VÄSTERBOTTENS LÄN</t>
        </is>
      </c>
      <c r="E1184" t="inlineStr">
        <is>
          <t>SKELLEFTEÅ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18584-2022</t>
        </is>
      </c>
      <c r="B1185" s="1" t="n">
        <v>44687</v>
      </c>
      <c r="C1185" s="1" t="n">
        <v>45927</v>
      </c>
      <c r="D1185" t="inlineStr">
        <is>
          <t>VÄSTERBOTTENS LÄN</t>
        </is>
      </c>
      <c r="E1185" t="inlineStr">
        <is>
          <t>SKELLEFTEÅ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52862-2024</t>
        </is>
      </c>
      <c r="B1186" s="1" t="n">
        <v>45610.61991898148</v>
      </c>
      <c r="C1186" s="1" t="n">
        <v>45927</v>
      </c>
      <c r="D1186" t="inlineStr">
        <is>
          <t>VÄSTERBOTTENS LÄN</t>
        </is>
      </c>
      <c r="E1186" t="inlineStr">
        <is>
          <t>SKELLEFTEÅ</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52864-2024</t>
        </is>
      </c>
      <c r="B1187" s="1" t="n">
        <v>45610.62194444444</v>
      </c>
      <c r="C1187" s="1" t="n">
        <v>45927</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37819-2022</t>
        </is>
      </c>
      <c r="B1188" s="1" t="n">
        <v>44810</v>
      </c>
      <c r="C1188" s="1" t="n">
        <v>45927</v>
      </c>
      <c r="D1188" t="inlineStr">
        <is>
          <t>VÄSTERBOTTENS LÄN</t>
        </is>
      </c>
      <c r="E1188" t="inlineStr">
        <is>
          <t>SKELLEFTEÅ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23704-2023</t>
        </is>
      </c>
      <c r="B1189" s="1" t="n">
        <v>45075</v>
      </c>
      <c r="C1189" s="1" t="n">
        <v>45927</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29413-2025</t>
        </is>
      </c>
      <c r="B1190" s="1" t="n">
        <v>45824.62412037037</v>
      </c>
      <c r="C1190" s="1" t="n">
        <v>45927</v>
      </c>
      <c r="D1190" t="inlineStr">
        <is>
          <t>VÄSTERBOTTENS LÄN</t>
        </is>
      </c>
      <c r="E1190" t="inlineStr">
        <is>
          <t>SKELLEFTEÅ</t>
        </is>
      </c>
      <c r="F1190" t="inlineStr">
        <is>
          <t>Holmen skog AB</t>
        </is>
      </c>
      <c r="G1190" t="n">
        <v>13.2</v>
      </c>
      <c r="H1190" t="n">
        <v>0</v>
      </c>
      <c r="I1190" t="n">
        <v>0</v>
      </c>
      <c r="J1190" t="n">
        <v>0</v>
      </c>
      <c r="K1190" t="n">
        <v>0</v>
      </c>
      <c r="L1190" t="n">
        <v>0</v>
      </c>
      <c r="M1190" t="n">
        <v>0</v>
      </c>
      <c r="N1190" t="n">
        <v>0</v>
      </c>
      <c r="O1190" t="n">
        <v>0</v>
      </c>
      <c r="P1190" t="n">
        <v>0</v>
      </c>
      <c r="Q1190" t="n">
        <v>0</v>
      </c>
      <c r="R1190" s="2" t="inlineStr"/>
    </row>
    <row r="1191" ht="15" customHeight="1">
      <c r="A1191" t="inlineStr">
        <is>
          <t>A 51592-2024</t>
        </is>
      </c>
      <c r="B1191" s="1" t="n">
        <v>45604.64886574074</v>
      </c>
      <c r="C1191" s="1" t="n">
        <v>45927</v>
      </c>
      <c r="D1191" t="inlineStr">
        <is>
          <t>VÄSTERBOTTENS LÄN</t>
        </is>
      </c>
      <c r="E1191" t="inlineStr">
        <is>
          <t>SKELLEFTEÅ</t>
        </is>
      </c>
      <c r="F1191" t="inlineStr">
        <is>
          <t>Sveaskog</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11077-2024</t>
        </is>
      </c>
      <c r="B1192" s="1" t="n">
        <v>45370.92724537037</v>
      </c>
      <c r="C1192" s="1" t="n">
        <v>45927</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11079-2024</t>
        </is>
      </c>
      <c r="B1193" s="1" t="n">
        <v>45370.92737268518</v>
      </c>
      <c r="C1193" s="1" t="n">
        <v>45927</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3265-2022</t>
        </is>
      </c>
      <c r="B1194" s="1" t="n">
        <v>44583.7693287037</v>
      </c>
      <c r="C1194" s="1" t="n">
        <v>45927</v>
      </c>
      <c r="D1194" t="inlineStr">
        <is>
          <t>VÄSTERBOTTENS LÄN</t>
        </is>
      </c>
      <c r="E1194" t="inlineStr">
        <is>
          <t>SKELLEFTEÅ</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21336-2023</t>
        </is>
      </c>
      <c r="B1195" s="1" t="n">
        <v>45062</v>
      </c>
      <c r="C1195" s="1" t="n">
        <v>45927</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35771-2022</t>
        </is>
      </c>
      <c r="B1196" s="1" t="n">
        <v>44801</v>
      </c>
      <c r="C1196" s="1" t="n">
        <v>45927</v>
      </c>
      <c r="D1196" t="inlineStr">
        <is>
          <t>VÄSTERBOTTENS LÄN</t>
        </is>
      </c>
      <c r="E1196" t="inlineStr">
        <is>
          <t>SKELLEFTEÅ</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713-2025</t>
        </is>
      </c>
      <c r="B1197" s="1" t="n">
        <v>45664</v>
      </c>
      <c r="C1197" s="1" t="n">
        <v>45927</v>
      </c>
      <c r="D1197" t="inlineStr">
        <is>
          <t>VÄSTERBOTTENS LÄN</t>
        </is>
      </c>
      <c r="E1197" t="inlineStr">
        <is>
          <t>SKELLEFTEÅ</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46304-2024</t>
        </is>
      </c>
      <c r="B1198" s="1" t="n">
        <v>45581</v>
      </c>
      <c r="C1198" s="1" t="n">
        <v>45927</v>
      </c>
      <c r="D1198" t="inlineStr">
        <is>
          <t>VÄSTERBOTTENS LÄN</t>
        </is>
      </c>
      <c r="E1198" t="inlineStr">
        <is>
          <t>SKELLEFTEÅ</t>
        </is>
      </c>
      <c r="F1198" t="inlineStr">
        <is>
          <t>Holmen skog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4102-2023</t>
        </is>
      </c>
      <c r="B1199" s="1" t="n">
        <v>44952</v>
      </c>
      <c r="C1199" s="1" t="n">
        <v>45927</v>
      </c>
      <c r="D1199" t="inlineStr">
        <is>
          <t>VÄSTERBOTTENS LÄN</t>
        </is>
      </c>
      <c r="E1199" t="inlineStr">
        <is>
          <t>SKELLEFTEÅ</t>
        </is>
      </c>
      <c r="F1199" t="inlineStr">
        <is>
          <t>Sveaskog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35736-2023</t>
        </is>
      </c>
      <c r="B1200" s="1" t="n">
        <v>45147</v>
      </c>
      <c r="C1200" s="1" t="n">
        <v>45927</v>
      </c>
      <c r="D1200" t="inlineStr">
        <is>
          <t>VÄSTERBOTTENS LÄN</t>
        </is>
      </c>
      <c r="E1200" t="inlineStr">
        <is>
          <t>SKELLEFTEÅ</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12928-2021</t>
        </is>
      </c>
      <c r="B1201" s="1" t="n">
        <v>44270</v>
      </c>
      <c r="C1201" s="1" t="n">
        <v>45927</v>
      </c>
      <c r="D1201" t="inlineStr">
        <is>
          <t>VÄSTERBOTTENS LÄN</t>
        </is>
      </c>
      <c r="E1201" t="inlineStr">
        <is>
          <t>SKELLEFTEÅ</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65096-2020</t>
        </is>
      </c>
      <c r="B1202" s="1" t="n">
        <v>44167</v>
      </c>
      <c r="C1202" s="1" t="n">
        <v>45927</v>
      </c>
      <c r="D1202" t="inlineStr">
        <is>
          <t>VÄSTERBOTTENS LÄN</t>
        </is>
      </c>
      <c r="E1202" t="inlineStr">
        <is>
          <t>SKELLEFTEÅ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29442-2025</t>
        </is>
      </c>
      <c r="B1203" s="1" t="n">
        <v>45824.66078703704</v>
      </c>
      <c r="C1203" s="1" t="n">
        <v>45927</v>
      </c>
      <c r="D1203" t="inlineStr">
        <is>
          <t>VÄSTERBOTTENS LÄN</t>
        </is>
      </c>
      <c r="E1203" t="inlineStr">
        <is>
          <t>SKELLEFTEÅ</t>
        </is>
      </c>
      <c r="F1203" t="inlineStr">
        <is>
          <t>Holmen skog AB</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27817-2022</t>
        </is>
      </c>
      <c r="B1204" s="1" t="n">
        <v>44743</v>
      </c>
      <c r="C1204" s="1" t="n">
        <v>45927</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53641-2022</t>
        </is>
      </c>
      <c r="B1205" s="1" t="n">
        <v>44879.93</v>
      </c>
      <c r="C1205" s="1" t="n">
        <v>45927</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29194-2025</t>
        </is>
      </c>
      <c r="B1206" s="1" t="n">
        <v>45822</v>
      </c>
      <c r="C1206" s="1" t="n">
        <v>45927</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41409-2022</t>
        </is>
      </c>
      <c r="B1207" s="1" t="n">
        <v>44826.63581018519</v>
      </c>
      <c r="C1207" s="1" t="n">
        <v>45927</v>
      </c>
      <c r="D1207" t="inlineStr">
        <is>
          <t>VÄSTERBOTTENS LÄN</t>
        </is>
      </c>
      <c r="E1207" t="inlineStr">
        <is>
          <t>SKELLEFTEÅ</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52444-2023</t>
        </is>
      </c>
      <c r="B1208" s="1" t="n">
        <v>45225.37877314815</v>
      </c>
      <c r="C1208" s="1" t="n">
        <v>45927</v>
      </c>
      <c r="D1208" t="inlineStr">
        <is>
          <t>VÄSTERBOTTENS LÄN</t>
        </is>
      </c>
      <c r="E1208" t="inlineStr">
        <is>
          <t>SKELLEFTEÅ</t>
        </is>
      </c>
      <c r="F1208" t="inlineStr">
        <is>
          <t>Sveaskog</t>
        </is>
      </c>
      <c r="G1208" t="n">
        <v>28.5</v>
      </c>
      <c r="H1208" t="n">
        <v>0</v>
      </c>
      <c r="I1208" t="n">
        <v>0</v>
      </c>
      <c r="J1208" t="n">
        <v>0</v>
      </c>
      <c r="K1208" t="n">
        <v>0</v>
      </c>
      <c r="L1208" t="n">
        <v>0</v>
      </c>
      <c r="M1208" t="n">
        <v>0</v>
      </c>
      <c r="N1208" t="n">
        <v>0</v>
      </c>
      <c r="O1208" t="n">
        <v>0</v>
      </c>
      <c r="P1208" t="n">
        <v>0</v>
      </c>
      <c r="Q1208" t="n">
        <v>0</v>
      </c>
      <c r="R1208" s="2" t="inlineStr"/>
    </row>
    <row r="1209" ht="15" customHeight="1">
      <c r="A1209" t="inlineStr">
        <is>
          <t>A 65009-2023</t>
        </is>
      </c>
      <c r="B1209" s="1" t="n">
        <v>45287.37836805556</v>
      </c>
      <c r="C1209" s="1" t="n">
        <v>45927</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10291-2023</t>
        </is>
      </c>
      <c r="B1210" s="1" t="n">
        <v>44986</v>
      </c>
      <c r="C1210" s="1" t="n">
        <v>45927</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27990-2024</t>
        </is>
      </c>
      <c r="B1211" s="1" t="n">
        <v>45476.42824074074</v>
      </c>
      <c r="C1211" s="1" t="n">
        <v>45927</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9465-2024</t>
        </is>
      </c>
      <c r="B1212" s="1" t="n">
        <v>45359.54578703704</v>
      </c>
      <c r="C1212" s="1" t="n">
        <v>45927</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51993-2024</t>
        </is>
      </c>
      <c r="B1213" s="1" t="n">
        <v>45607</v>
      </c>
      <c r="C1213" s="1" t="n">
        <v>45927</v>
      </c>
      <c r="D1213" t="inlineStr">
        <is>
          <t>VÄSTERBOTTENS LÄN</t>
        </is>
      </c>
      <c r="E1213" t="inlineStr">
        <is>
          <t>SKELLEFTEÅ</t>
        </is>
      </c>
      <c r="F1213" t="inlineStr">
        <is>
          <t>Kommuner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29694-2025</t>
        </is>
      </c>
      <c r="B1214" s="1" t="n">
        <v>45825.54637731481</v>
      </c>
      <c r="C1214" s="1" t="n">
        <v>45927</v>
      </c>
      <c r="D1214" t="inlineStr">
        <is>
          <t>VÄSTERBOTTENS LÄN</t>
        </is>
      </c>
      <c r="E1214" t="inlineStr">
        <is>
          <t>SKELLEFTEÅ</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51654-2020</t>
        </is>
      </c>
      <c r="B1215" s="1" t="n">
        <v>44109</v>
      </c>
      <c r="C1215" s="1" t="n">
        <v>45927</v>
      </c>
      <c r="D1215" t="inlineStr">
        <is>
          <t>VÄSTERBOTTENS LÄN</t>
        </is>
      </c>
      <c r="E1215" t="inlineStr">
        <is>
          <t>SKELLEFTEÅ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29750-2025</t>
        </is>
      </c>
      <c r="B1216" s="1" t="n">
        <v>45825.60854166667</v>
      </c>
      <c r="C1216" s="1" t="n">
        <v>45927</v>
      </c>
      <c r="D1216" t="inlineStr">
        <is>
          <t>VÄSTERBOTTENS LÄN</t>
        </is>
      </c>
      <c r="E1216" t="inlineStr">
        <is>
          <t>SKELLEFTEÅ</t>
        </is>
      </c>
      <c r="F1216" t="inlineStr">
        <is>
          <t>Holmen skog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29757-2025</t>
        </is>
      </c>
      <c r="B1217" s="1" t="n">
        <v>45825.61582175926</v>
      </c>
      <c r="C1217" s="1" t="n">
        <v>45927</v>
      </c>
      <c r="D1217" t="inlineStr">
        <is>
          <t>VÄSTERBOTTENS LÄN</t>
        </is>
      </c>
      <c r="E1217" t="inlineStr">
        <is>
          <t>SKELLEFTEÅ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46846-2024</t>
        </is>
      </c>
      <c r="B1218" s="1" t="n">
        <v>45583</v>
      </c>
      <c r="C1218" s="1" t="n">
        <v>45927</v>
      </c>
      <c r="D1218" t="inlineStr">
        <is>
          <t>VÄSTERBOTTENS LÄN</t>
        </is>
      </c>
      <c r="E1218" t="inlineStr">
        <is>
          <t>SKELLEFTEÅ</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58897-2022</t>
        </is>
      </c>
      <c r="B1219" s="1" t="n">
        <v>44895</v>
      </c>
      <c r="C1219" s="1" t="n">
        <v>45927</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52493-2023</t>
        </is>
      </c>
      <c r="B1220" s="1" t="n">
        <v>45225.45331018518</v>
      </c>
      <c r="C1220" s="1" t="n">
        <v>45927</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7462-2022</t>
        </is>
      </c>
      <c r="B1221" s="1" t="n">
        <v>44606</v>
      </c>
      <c r="C1221" s="1" t="n">
        <v>45927</v>
      </c>
      <c r="D1221" t="inlineStr">
        <is>
          <t>VÄSTERBOTTENS LÄN</t>
        </is>
      </c>
      <c r="E1221" t="inlineStr">
        <is>
          <t>SKELLEFTEÅ</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56993-2022</t>
        </is>
      </c>
      <c r="B1222" s="1" t="n">
        <v>44894</v>
      </c>
      <c r="C1222" s="1" t="n">
        <v>45927</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55063-2022</t>
        </is>
      </c>
      <c r="B1223" s="1" t="n">
        <v>44886</v>
      </c>
      <c r="C1223" s="1" t="n">
        <v>45927</v>
      </c>
      <c r="D1223" t="inlineStr">
        <is>
          <t>VÄSTERBOTTENS LÄN</t>
        </is>
      </c>
      <c r="E1223" t="inlineStr">
        <is>
          <t>SKELLEFTEÅ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41242-2024</t>
        </is>
      </c>
      <c r="B1224" s="1" t="n">
        <v>45559.57296296296</v>
      </c>
      <c r="C1224" s="1" t="n">
        <v>45927</v>
      </c>
      <c r="D1224" t="inlineStr">
        <is>
          <t>VÄSTERBOTTENS LÄN</t>
        </is>
      </c>
      <c r="E1224" t="inlineStr">
        <is>
          <t>SKELLEFTEÅ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33283-2021</t>
        </is>
      </c>
      <c r="B1225" s="1" t="n">
        <v>44377.38222222222</v>
      </c>
      <c r="C1225" s="1" t="n">
        <v>45927</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3143-2024</t>
        </is>
      </c>
      <c r="B1226" s="1" t="n">
        <v>45316.58484953704</v>
      </c>
      <c r="C1226" s="1" t="n">
        <v>45927</v>
      </c>
      <c r="D1226" t="inlineStr">
        <is>
          <t>VÄSTERBOTTENS LÄN</t>
        </is>
      </c>
      <c r="E1226" t="inlineStr">
        <is>
          <t>SKELLEFTEÅ</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19160-2025</t>
        </is>
      </c>
      <c r="B1227" s="1" t="n">
        <v>45769.36587962963</v>
      </c>
      <c r="C1227" s="1" t="n">
        <v>45927</v>
      </c>
      <c r="D1227" t="inlineStr">
        <is>
          <t>VÄSTERBOTTENS LÄN</t>
        </is>
      </c>
      <c r="E1227" t="inlineStr">
        <is>
          <t>SKELLEFTEÅ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34508-2023</t>
        </is>
      </c>
      <c r="B1228" s="1" t="n">
        <v>45133</v>
      </c>
      <c r="C1228" s="1" t="n">
        <v>45927</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54974-2024</t>
        </is>
      </c>
      <c r="B1229" s="1" t="n">
        <v>45620.67599537037</v>
      </c>
      <c r="C1229" s="1" t="n">
        <v>45927</v>
      </c>
      <c r="D1229" t="inlineStr">
        <is>
          <t>VÄSTERBOTTENS LÄN</t>
        </is>
      </c>
      <c r="E1229" t="inlineStr">
        <is>
          <t>SKELLEFTEÅ</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8887-2025</t>
        </is>
      </c>
      <c r="B1230" s="1" t="n">
        <v>45713.39284722223</v>
      </c>
      <c r="C1230" s="1" t="n">
        <v>45927</v>
      </c>
      <c r="D1230" t="inlineStr">
        <is>
          <t>VÄSTERBOTTENS LÄN</t>
        </is>
      </c>
      <c r="E1230" t="inlineStr">
        <is>
          <t>SKELLEFTEÅ</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8927-2025</t>
        </is>
      </c>
      <c r="B1231" s="1" t="n">
        <v>45713.44215277778</v>
      </c>
      <c r="C1231" s="1" t="n">
        <v>45927</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17071-2023</t>
        </is>
      </c>
      <c r="B1232" s="1" t="n">
        <v>45030</v>
      </c>
      <c r="C1232" s="1" t="n">
        <v>45927</v>
      </c>
      <c r="D1232" t="inlineStr">
        <is>
          <t>VÄSTERBOTTENS LÄN</t>
        </is>
      </c>
      <c r="E1232" t="inlineStr">
        <is>
          <t>SKELLEFTEÅ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50872-2022</t>
        </is>
      </c>
      <c r="B1233" s="1" t="n">
        <v>44867</v>
      </c>
      <c r="C1233" s="1" t="n">
        <v>45927</v>
      </c>
      <c r="D1233" t="inlineStr">
        <is>
          <t>VÄSTERBOTTENS LÄN</t>
        </is>
      </c>
      <c r="E1233" t="inlineStr">
        <is>
          <t>SKELLEFTEÅ</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12545-2025</t>
        </is>
      </c>
      <c r="B1234" s="1" t="n">
        <v>45730.86586805555</v>
      </c>
      <c r="C1234" s="1" t="n">
        <v>45927</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58776-2024</t>
        </is>
      </c>
      <c r="B1235" s="1" t="n">
        <v>45635.80726851852</v>
      </c>
      <c r="C1235" s="1" t="n">
        <v>45927</v>
      </c>
      <c r="D1235" t="inlineStr">
        <is>
          <t>VÄSTERBOTTENS LÄN</t>
        </is>
      </c>
      <c r="E1235" t="inlineStr">
        <is>
          <t>SKELLEFTEÅ</t>
        </is>
      </c>
      <c r="F1235" t="inlineStr">
        <is>
          <t>Sveaskog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642-2025</t>
        </is>
      </c>
      <c r="B1236" s="1" t="n">
        <v>45660</v>
      </c>
      <c r="C1236" s="1" t="n">
        <v>45927</v>
      </c>
      <c r="D1236" t="inlineStr">
        <is>
          <t>VÄSTERBOTTENS LÄN</t>
        </is>
      </c>
      <c r="E1236" t="inlineStr">
        <is>
          <t>SKELLEFTEÅ</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24604-2024</t>
        </is>
      </c>
      <c r="B1237" s="1" t="n">
        <v>45460</v>
      </c>
      <c r="C1237" s="1" t="n">
        <v>45927</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38301-2023</t>
        </is>
      </c>
      <c r="B1238" s="1" t="n">
        <v>45160</v>
      </c>
      <c r="C1238" s="1" t="n">
        <v>45927</v>
      </c>
      <c r="D1238" t="inlineStr">
        <is>
          <t>VÄSTERBOTTENS LÄN</t>
        </is>
      </c>
      <c r="E1238" t="inlineStr">
        <is>
          <t>SKELLEFTEÅ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39513-2023</t>
        </is>
      </c>
      <c r="B1239" s="1" t="n">
        <v>45167</v>
      </c>
      <c r="C1239" s="1" t="n">
        <v>45927</v>
      </c>
      <c r="D1239" t="inlineStr">
        <is>
          <t>VÄSTERBOTTENS LÄN</t>
        </is>
      </c>
      <c r="E1239" t="inlineStr">
        <is>
          <t>SKELLEFTEÅ</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25943-2024</t>
        </is>
      </c>
      <c r="B1240" s="1" t="n">
        <v>45467</v>
      </c>
      <c r="C1240" s="1" t="n">
        <v>45927</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6596-2023</t>
        </is>
      </c>
      <c r="B1241" s="1" t="n">
        <v>44963</v>
      </c>
      <c r="C1241" s="1" t="n">
        <v>45927</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61260-2020</t>
        </is>
      </c>
      <c r="B1242" s="1" t="n">
        <v>44153</v>
      </c>
      <c r="C1242" s="1" t="n">
        <v>45927</v>
      </c>
      <c r="D1242" t="inlineStr">
        <is>
          <t>VÄSTERBOTTENS LÄN</t>
        </is>
      </c>
      <c r="E1242" t="inlineStr">
        <is>
          <t>SKELLEFTEÅ</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38503-2024</t>
        </is>
      </c>
      <c r="B1243" s="1" t="n">
        <v>45546.52896990741</v>
      </c>
      <c r="C1243" s="1" t="n">
        <v>45927</v>
      </c>
      <c r="D1243" t="inlineStr">
        <is>
          <t>VÄSTERBOTTENS LÄN</t>
        </is>
      </c>
      <c r="E1243" t="inlineStr">
        <is>
          <t>SKELLEFTEÅ</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9470-2024</t>
        </is>
      </c>
      <c r="B1244" s="1" t="n">
        <v>45359.55322916667</v>
      </c>
      <c r="C1244" s="1" t="n">
        <v>45927</v>
      </c>
      <c r="D1244" t="inlineStr">
        <is>
          <t>VÄSTERBOTTENS LÄN</t>
        </is>
      </c>
      <c r="E1244" t="inlineStr">
        <is>
          <t>SKELLEFTEÅ</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20559-2024</t>
        </is>
      </c>
      <c r="B1245" s="1" t="n">
        <v>45436</v>
      </c>
      <c r="C1245" s="1" t="n">
        <v>45927</v>
      </c>
      <c r="D1245" t="inlineStr">
        <is>
          <t>VÄSTERBOTTENS LÄN</t>
        </is>
      </c>
      <c r="E1245" t="inlineStr">
        <is>
          <t>SKELLEFTEÅ</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32919-2024</t>
        </is>
      </c>
      <c r="B1246" s="1" t="n">
        <v>45516.95201388889</v>
      </c>
      <c r="C1246" s="1" t="n">
        <v>45927</v>
      </c>
      <c r="D1246" t="inlineStr">
        <is>
          <t>VÄSTERBOTTENS LÄN</t>
        </is>
      </c>
      <c r="E1246" t="inlineStr">
        <is>
          <t>SKELLEFTEÅ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13487-2025</t>
        </is>
      </c>
      <c r="B1247" s="1" t="n">
        <v>45736.42761574074</v>
      </c>
      <c r="C1247" s="1" t="n">
        <v>45927</v>
      </c>
      <c r="D1247" t="inlineStr">
        <is>
          <t>VÄSTERBOTTENS LÄN</t>
        </is>
      </c>
      <c r="E1247" t="inlineStr">
        <is>
          <t>SKELLEFTEÅ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12759-2024</t>
        </is>
      </c>
      <c r="B1248" s="1" t="n">
        <v>45384</v>
      </c>
      <c r="C1248" s="1" t="n">
        <v>45927</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4447-2023</t>
        </is>
      </c>
      <c r="B1249" s="1" t="n">
        <v>44951</v>
      </c>
      <c r="C1249" s="1" t="n">
        <v>45927</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2393-2023</t>
        </is>
      </c>
      <c r="B1250" s="1" t="n">
        <v>44942.9234375</v>
      </c>
      <c r="C1250" s="1" t="n">
        <v>45927</v>
      </c>
      <c r="D1250" t="inlineStr">
        <is>
          <t>VÄSTERBOTTENS LÄN</t>
        </is>
      </c>
      <c r="E1250" t="inlineStr">
        <is>
          <t>SKELLEFTEÅ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61089-2023</t>
        </is>
      </c>
      <c r="B1251" s="1" t="n">
        <v>45260</v>
      </c>
      <c r="C1251" s="1" t="n">
        <v>45927</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28169-2025</t>
        </is>
      </c>
      <c r="B1252" s="1" t="n">
        <v>45818</v>
      </c>
      <c r="C1252" s="1" t="n">
        <v>45927</v>
      </c>
      <c r="D1252" t="inlineStr">
        <is>
          <t>VÄSTERBOTTENS LÄN</t>
        </is>
      </c>
      <c r="E1252" t="inlineStr">
        <is>
          <t>SKELLEFTEÅ</t>
        </is>
      </c>
      <c r="F1252" t="inlineStr">
        <is>
          <t>Holmen skog AB</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28961-2025</t>
        </is>
      </c>
      <c r="B1253" s="1" t="n">
        <v>45821.32046296296</v>
      </c>
      <c r="C1253" s="1" t="n">
        <v>45927</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47514-2024</t>
        </is>
      </c>
      <c r="B1254" s="1" t="n">
        <v>45587</v>
      </c>
      <c r="C1254" s="1" t="n">
        <v>45927</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24653-2021</t>
        </is>
      </c>
      <c r="B1255" s="1" t="n">
        <v>44340</v>
      </c>
      <c r="C1255" s="1" t="n">
        <v>45927</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64598-2023</t>
        </is>
      </c>
      <c r="B1256" s="1" t="n">
        <v>45281</v>
      </c>
      <c r="C1256" s="1" t="n">
        <v>45927</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18104-2021</t>
        </is>
      </c>
      <c r="B1257" s="1" t="n">
        <v>44302</v>
      </c>
      <c r="C1257" s="1" t="n">
        <v>45927</v>
      </c>
      <c r="D1257" t="inlineStr">
        <is>
          <t>VÄSTERBOTTENS LÄN</t>
        </is>
      </c>
      <c r="E1257" t="inlineStr">
        <is>
          <t>SKELLEFTEÅ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56299-2022</t>
        </is>
      </c>
      <c r="B1258" s="1" t="n">
        <v>44887</v>
      </c>
      <c r="C1258" s="1" t="n">
        <v>45927</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36546-2024</t>
        </is>
      </c>
      <c r="B1259" s="1" t="n">
        <v>45537</v>
      </c>
      <c r="C1259" s="1" t="n">
        <v>45927</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29765-2025</t>
        </is>
      </c>
      <c r="B1260" s="1" t="n">
        <v>45825.61898148148</v>
      </c>
      <c r="C1260" s="1" t="n">
        <v>45927</v>
      </c>
      <c r="D1260" t="inlineStr">
        <is>
          <t>VÄSTERBOTTENS LÄN</t>
        </is>
      </c>
      <c r="E1260" t="inlineStr">
        <is>
          <t>SKELLEFTEÅ</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44479-2024</t>
        </is>
      </c>
      <c r="B1261" s="1" t="n">
        <v>45574</v>
      </c>
      <c r="C1261" s="1" t="n">
        <v>45927</v>
      </c>
      <c r="D1261" t="inlineStr">
        <is>
          <t>VÄSTERBOTTENS LÄN</t>
        </is>
      </c>
      <c r="E1261" t="inlineStr">
        <is>
          <t>SKELLEFTEÅ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7800-2024</t>
        </is>
      </c>
      <c r="B1262" s="1" t="n">
        <v>45348</v>
      </c>
      <c r="C1262" s="1" t="n">
        <v>45927</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7832-2024</t>
        </is>
      </c>
      <c r="B1263" s="1" t="n">
        <v>45349.80663194445</v>
      </c>
      <c r="C1263" s="1" t="n">
        <v>45927</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61101-2022</t>
        </is>
      </c>
      <c r="B1264" s="1" t="n">
        <v>44915</v>
      </c>
      <c r="C1264" s="1" t="n">
        <v>45927</v>
      </c>
      <c r="D1264" t="inlineStr">
        <is>
          <t>VÄSTERBOTTENS LÄN</t>
        </is>
      </c>
      <c r="E1264" t="inlineStr">
        <is>
          <t>SKELLEFTEÅ</t>
        </is>
      </c>
      <c r="F1264" t="inlineStr">
        <is>
          <t>Sveaskog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27698-2021</t>
        </is>
      </c>
      <c r="B1265" s="1" t="n">
        <v>44354.44306712963</v>
      </c>
      <c r="C1265" s="1" t="n">
        <v>45927</v>
      </c>
      <c r="D1265" t="inlineStr">
        <is>
          <t>VÄSTERBOTTENS LÄN</t>
        </is>
      </c>
      <c r="E1265" t="inlineStr">
        <is>
          <t>SKELLEFTEÅ</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9035-2021</t>
        </is>
      </c>
      <c r="B1266" s="1" t="n">
        <v>44249</v>
      </c>
      <c r="C1266" s="1" t="n">
        <v>45927</v>
      </c>
      <c r="D1266" t="inlineStr">
        <is>
          <t>VÄSTERBOTTENS LÄN</t>
        </is>
      </c>
      <c r="E1266" t="inlineStr">
        <is>
          <t>SKELLEFTEÅ</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1025-2025</t>
        </is>
      </c>
      <c r="B1267" s="1" t="n">
        <v>45665</v>
      </c>
      <c r="C1267" s="1" t="n">
        <v>45927</v>
      </c>
      <c r="D1267" t="inlineStr">
        <is>
          <t>VÄSTERBOTTENS LÄN</t>
        </is>
      </c>
      <c r="E1267" t="inlineStr">
        <is>
          <t>SKELLEFTEÅ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15906-2023</t>
        </is>
      </c>
      <c r="B1268" s="1" t="n">
        <v>45021</v>
      </c>
      <c r="C1268" s="1" t="n">
        <v>45927</v>
      </c>
      <c r="D1268" t="inlineStr">
        <is>
          <t>VÄSTERBOTTENS LÄN</t>
        </is>
      </c>
      <c r="E1268" t="inlineStr">
        <is>
          <t>SKELLEFTEÅ</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33792-2024</t>
        </is>
      </c>
      <c r="B1269" s="1" t="n">
        <v>45520</v>
      </c>
      <c r="C1269" s="1" t="n">
        <v>45927</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41710-2024</t>
        </is>
      </c>
      <c r="B1270" s="1" t="n">
        <v>45560.70313657408</v>
      </c>
      <c r="C1270" s="1" t="n">
        <v>45927</v>
      </c>
      <c r="D1270" t="inlineStr">
        <is>
          <t>VÄSTERBOTTENS LÄN</t>
        </is>
      </c>
      <c r="E1270" t="inlineStr">
        <is>
          <t>SKELLEFTEÅ</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44483-2024</t>
        </is>
      </c>
      <c r="B1271" s="1" t="n">
        <v>45574</v>
      </c>
      <c r="C1271" s="1" t="n">
        <v>45927</v>
      </c>
      <c r="D1271" t="inlineStr">
        <is>
          <t>VÄSTERBOTTENS LÄN</t>
        </is>
      </c>
      <c r="E1271" t="inlineStr">
        <is>
          <t>SKELLEFTEÅ</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13493-2025</t>
        </is>
      </c>
      <c r="B1272" s="1" t="n">
        <v>45736.43454861111</v>
      </c>
      <c r="C1272" s="1" t="n">
        <v>45927</v>
      </c>
      <c r="D1272" t="inlineStr">
        <is>
          <t>VÄSTERBOTTENS LÄN</t>
        </is>
      </c>
      <c r="E1272" t="inlineStr">
        <is>
          <t>SKELLEFTEÅ</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28153-2023</t>
        </is>
      </c>
      <c r="B1273" s="1" t="n">
        <v>45096</v>
      </c>
      <c r="C1273" s="1" t="n">
        <v>45927</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28158-2023</t>
        </is>
      </c>
      <c r="B1274" s="1" t="n">
        <v>45096</v>
      </c>
      <c r="C1274" s="1" t="n">
        <v>45927</v>
      </c>
      <c r="D1274" t="inlineStr">
        <is>
          <t>VÄSTERBOTTENS LÄN</t>
        </is>
      </c>
      <c r="E1274" t="inlineStr">
        <is>
          <t>SKELLEFTEÅ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9053-2022</t>
        </is>
      </c>
      <c r="B1275" s="1" t="n">
        <v>44615</v>
      </c>
      <c r="C1275" s="1" t="n">
        <v>45927</v>
      </c>
      <c r="D1275" t="inlineStr">
        <is>
          <t>VÄSTERBOTTENS LÄN</t>
        </is>
      </c>
      <c r="E1275" t="inlineStr">
        <is>
          <t>SKELLEFTEÅ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50338-2023</t>
        </is>
      </c>
      <c r="B1276" s="1" t="n">
        <v>45216</v>
      </c>
      <c r="C1276" s="1" t="n">
        <v>45927</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45200-2024</t>
        </is>
      </c>
      <c r="B1277" s="1" t="n">
        <v>45575.69085648148</v>
      </c>
      <c r="C1277" s="1" t="n">
        <v>45927</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64370-2023</t>
        </is>
      </c>
      <c r="B1278" s="1" t="n">
        <v>45280</v>
      </c>
      <c r="C1278" s="1" t="n">
        <v>45927</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53505-2024</t>
        </is>
      </c>
      <c r="B1279" s="1" t="n">
        <v>45614.59049768518</v>
      </c>
      <c r="C1279" s="1" t="n">
        <v>45927</v>
      </c>
      <c r="D1279" t="inlineStr">
        <is>
          <t>VÄSTERBOTTENS LÄN</t>
        </is>
      </c>
      <c r="E1279" t="inlineStr">
        <is>
          <t>SKELLEFTEÅ</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60506-2022</t>
        </is>
      </c>
      <c r="B1280" s="1" t="n">
        <v>44911.44916666667</v>
      </c>
      <c r="C1280" s="1" t="n">
        <v>45927</v>
      </c>
      <c r="D1280" t="inlineStr">
        <is>
          <t>VÄSTERBOTTENS LÄN</t>
        </is>
      </c>
      <c r="E1280" t="inlineStr">
        <is>
          <t>SKELLEFTEÅ</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29687-2021</t>
        </is>
      </c>
      <c r="B1281" s="1" t="n">
        <v>44362.37407407408</v>
      </c>
      <c r="C1281" s="1" t="n">
        <v>45927</v>
      </c>
      <c r="D1281" t="inlineStr">
        <is>
          <t>VÄSTERBOTTENS LÄN</t>
        </is>
      </c>
      <c r="E1281" t="inlineStr">
        <is>
          <t>SKELLEFTEÅ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1206-2023</t>
        </is>
      </c>
      <c r="B1282" s="1" t="n">
        <v>44930</v>
      </c>
      <c r="C1282" s="1" t="n">
        <v>45927</v>
      </c>
      <c r="D1282" t="inlineStr">
        <is>
          <t>VÄSTERBOTTENS LÄN</t>
        </is>
      </c>
      <c r="E1282" t="inlineStr">
        <is>
          <t>SKELLEFTEÅ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2720-2023</t>
        </is>
      </c>
      <c r="B1283" s="1" t="n">
        <v>44944</v>
      </c>
      <c r="C1283" s="1" t="n">
        <v>45927</v>
      </c>
      <c r="D1283" t="inlineStr">
        <is>
          <t>VÄSTERBOTTENS LÄN</t>
        </is>
      </c>
      <c r="E1283" t="inlineStr">
        <is>
          <t>SKELLEFTEÅ</t>
        </is>
      </c>
      <c r="G1283" t="n">
        <v>31.7</v>
      </c>
      <c r="H1283" t="n">
        <v>0</v>
      </c>
      <c r="I1283" t="n">
        <v>0</v>
      </c>
      <c r="J1283" t="n">
        <v>0</v>
      </c>
      <c r="K1283" t="n">
        <v>0</v>
      </c>
      <c r="L1283" t="n">
        <v>0</v>
      </c>
      <c r="M1283" t="n">
        <v>0</v>
      </c>
      <c r="N1283" t="n">
        <v>0</v>
      </c>
      <c r="O1283" t="n">
        <v>0</v>
      </c>
      <c r="P1283" t="n">
        <v>0</v>
      </c>
      <c r="Q1283" t="n">
        <v>0</v>
      </c>
      <c r="R1283" s="2" t="inlineStr"/>
    </row>
    <row r="1284" ht="15" customHeight="1">
      <c r="A1284" t="inlineStr">
        <is>
          <t>A 17961-2025</t>
        </is>
      </c>
      <c r="B1284" s="1" t="n">
        <v>45761.32622685185</v>
      </c>
      <c r="C1284" s="1" t="n">
        <v>45927</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64716-2023</t>
        </is>
      </c>
      <c r="B1285" s="1" t="n">
        <v>45281</v>
      </c>
      <c r="C1285" s="1" t="n">
        <v>45927</v>
      </c>
      <c r="D1285" t="inlineStr">
        <is>
          <t>VÄSTERBOTTENS LÄN</t>
        </is>
      </c>
      <c r="E1285" t="inlineStr">
        <is>
          <t>SKELLEFTEÅ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11942-2023</t>
        </is>
      </c>
      <c r="B1286" s="1" t="n">
        <v>44995.52376157408</v>
      </c>
      <c r="C1286" s="1" t="n">
        <v>45927</v>
      </c>
      <c r="D1286" t="inlineStr">
        <is>
          <t>VÄSTERBOTTENS LÄN</t>
        </is>
      </c>
      <c r="E1286" t="inlineStr">
        <is>
          <t>SKELLEFTEÅ</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52920-2024</t>
        </is>
      </c>
      <c r="B1287" s="1" t="n">
        <v>45610</v>
      </c>
      <c r="C1287" s="1" t="n">
        <v>45927</v>
      </c>
      <c r="D1287" t="inlineStr">
        <is>
          <t>VÄSTERBOTTENS LÄN</t>
        </is>
      </c>
      <c r="E1287" t="inlineStr">
        <is>
          <t>SKELLEFTEÅ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54476-2023</t>
        </is>
      </c>
      <c r="B1288" s="1" t="n">
        <v>45233.47082175926</v>
      </c>
      <c r="C1288" s="1" t="n">
        <v>45927</v>
      </c>
      <c r="D1288" t="inlineStr">
        <is>
          <t>VÄSTERBOTTENS LÄN</t>
        </is>
      </c>
      <c r="E1288" t="inlineStr">
        <is>
          <t>SKELLEFTEÅ</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15745-2025</t>
        </is>
      </c>
      <c r="B1289" s="1" t="n">
        <v>45748.5515162037</v>
      </c>
      <c r="C1289" s="1" t="n">
        <v>45927</v>
      </c>
      <c r="D1289" t="inlineStr">
        <is>
          <t>VÄSTERBOTTENS LÄN</t>
        </is>
      </c>
      <c r="E1289" t="inlineStr">
        <is>
          <t>SKELLEFTEÅ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54193-2021</t>
        </is>
      </c>
      <c r="B1290" s="1" t="n">
        <v>44470</v>
      </c>
      <c r="C1290" s="1" t="n">
        <v>45927</v>
      </c>
      <c r="D1290" t="inlineStr">
        <is>
          <t>VÄSTERBOTTENS LÄN</t>
        </is>
      </c>
      <c r="E1290" t="inlineStr">
        <is>
          <t>SKELLEFTEÅ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33109-2024</t>
        </is>
      </c>
      <c r="B1291" s="1" t="n">
        <v>45517</v>
      </c>
      <c r="C1291" s="1" t="n">
        <v>45927</v>
      </c>
      <c r="D1291" t="inlineStr">
        <is>
          <t>VÄSTERBOTTENS LÄN</t>
        </is>
      </c>
      <c r="E1291" t="inlineStr">
        <is>
          <t>SKELLEFTEÅ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14347-2025</t>
        </is>
      </c>
      <c r="B1292" s="1" t="n">
        <v>45741.34449074074</v>
      </c>
      <c r="C1292" s="1" t="n">
        <v>45927</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56157-2024</t>
        </is>
      </c>
      <c r="B1293" s="1" t="n">
        <v>45623</v>
      </c>
      <c r="C1293" s="1" t="n">
        <v>45927</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26031-2022</t>
        </is>
      </c>
      <c r="B1294" s="1" t="n">
        <v>44734.57721064815</v>
      </c>
      <c r="C1294" s="1" t="n">
        <v>45927</v>
      </c>
      <c r="D1294" t="inlineStr">
        <is>
          <t>VÄSTERBOTTENS LÄN</t>
        </is>
      </c>
      <c r="E1294" t="inlineStr">
        <is>
          <t>SKELLEFTEÅ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4138-2024</t>
        </is>
      </c>
      <c r="B1295" s="1" t="n">
        <v>45323</v>
      </c>
      <c r="C1295" s="1" t="n">
        <v>45927</v>
      </c>
      <c r="D1295" t="inlineStr">
        <is>
          <t>VÄSTERBOTTENS LÄN</t>
        </is>
      </c>
      <c r="E1295" t="inlineStr">
        <is>
          <t>SKELLEFTEÅ</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19422-2023</t>
        </is>
      </c>
      <c r="B1296" s="1" t="n">
        <v>45049</v>
      </c>
      <c r="C1296" s="1" t="n">
        <v>45927</v>
      </c>
      <c r="D1296" t="inlineStr">
        <is>
          <t>VÄSTERBOTTENS LÄN</t>
        </is>
      </c>
      <c r="E1296" t="inlineStr">
        <is>
          <t>SKELLEFTEÅ</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21883-2022</t>
        </is>
      </c>
      <c r="B1297" s="1" t="n">
        <v>44711</v>
      </c>
      <c r="C1297" s="1" t="n">
        <v>45927</v>
      </c>
      <c r="D1297" t="inlineStr">
        <is>
          <t>VÄSTERBOTTENS LÄN</t>
        </is>
      </c>
      <c r="E1297" t="inlineStr">
        <is>
          <t>SKELLEFTEÅ</t>
        </is>
      </c>
      <c r="F1297" t="inlineStr">
        <is>
          <t>Holmen skog AB</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55654-2024</t>
        </is>
      </c>
      <c r="B1298" s="1" t="n">
        <v>45621</v>
      </c>
      <c r="C1298" s="1" t="n">
        <v>45927</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29663-2025</t>
        </is>
      </c>
      <c r="B1299" s="1" t="n">
        <v>45825.48967592593</v>
      </c>
      <c r="C1299" s="1" t="n">
        <v>45927</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49171-2024</t>
        </is>
      </c>
      <c r="B1300" s="1" t="n">
        <v>45595.30685185185</v>
      </c>
      <c r="C1300" s="1" t="n">
        <v>45927</v>
      </c>
      <c r="D1300" t="inlineStr">
        <is>
          <t>VÄSTERBOTTENS LÄN</t>
        </is>
      </c>
      <c r="E1300" t="inlineStr">
        <is>
          <t>SKELLEFTEÅ</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28283-2024</t>
        </is>
      </c>
      <c r="B1301" s="1" t="n">
        <v>45477.46223379629</v>
      </c>
      <c r="C1301" s="1" t="n">
        <v>45927</v>
      </c>
      <c r="D1301" t="inlineStr">
        <is>
          <t>VÄSTERBOTTENS LÄN</t>
        </is>
      </c>
      <c r="E1301" t="inlineStr">
        <is>
          <t>SKELLEFTEÅ</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11989-2023</t>
        </is>
      </c>
      <c r="B1302" s="1" t="n">
        <v>44994</v>
      </c>
      <c r="C1302" s="1" t="n">
        <v>45927</v>
      </c>
      <c r="D1302" t="inlineStr">
        <is>
          <t>VÄSTERBOTTENS LÄN</t>
        </is>
      </c>
      <c r="E1302" t="inlineStr">
        <is>
          <t>SKELLEFTEÅ</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55500-2024</t>
        </is>
      </c>
      <c r="B1303" s="1" t="n">
        <v>45622.45622685185</v>
      </c>
      <c r="C1303" s="1" t="n">
        <v>45927</v>
      </c>
      <c r="D1303" t="inlineStr">
        <is>
          <t>VÄSTERBOTTENS LÄN</t>
        </is>
      </c>
      <c r="E1303" t="inlineStr">
        <is>
          <t>SKELLEFTEÅ</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25638-2023</t>
        </is>
      </c>
      <c r="B1304" s="1" t="n">
        <v>45084</v>
      </c>
      <c r="C1304" s="1" t="n">
        <v>45927</v>
      </c>
      <c r="D1304" t="inlineStr">
        <is>
          <t>VÄSTERBOTTENS LÄN</t>
        </is>
      </c>
      <c r="E1304" t="inlineStr">
        <is>
          <t>SKELLEFTEÅ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11707-2023</t>
        </is>
      </c>
      <c r="B1305" s="1" t="n">
        <v>44992</v>
      </c>
      <c r="C1305" s="1" t="n">
        <v>45927</v>
      </c>
      <c r="D1305" t="inlineStr">
        <is>
          <t>VÄSTERBOTTENS LÄN</t>
        </is>
      </c>
      <c r="E1305" t="inlineStr">
        <is>
          <t>SKELLEFTEÅ</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47496-2024</t>
        </is>
      </c>
      <c r="B1306" s="1" t="n">
        <v>45587</v>
      </c>
      <c r="C1306" s="1" t="n">
        <v>45927</v>
      </c>
      <c r="D1306" t="inlineStr">
        <is>
          <t>VÄSTERBOTTENS LÄN</t>
        </is>
      </c>
      <c r="E1306" t="inlineStr">
        <is>
          <t>SKELLEFTEÅ</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40967-2024</t>
        </is>
      </c>
      <c r="B1307" s="1" t="n">
        <v>45558.67306712963</v>
      </c>
      <c r="C1307" s="1" t="n">
        <v>45927</v>
      </c>
      <c r="D1307" t="inlineStr">
        <is>
          <t>VÄSTERBOTTENS LÄN</t>
        </is>
      </c>
      <c r="E1307" t="inlineStr">
        <is>
          <t>SKELLEFTEÅ</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29649-2021</t>
        </is>
      </c>
      <c r="B1308" s="1" t="n">
        <v>44362</v>
      </c>
      <c r="C1308" s="1" t="n">
        <v>45927</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14663-2024</t>
        </is>
      </c>
      <c r="B1309" s="1" t="n">
        <v>45397.41376157408</v>
      </c>
      <c r="C1309" s="1" t="n">
        <v>45927</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60601-2023</t>
        </is>
      </c>
      <c r="B1310" s="1" t="n">
        <v>45260</v>
      </c>
      <c r="C1310" s="1" t="n">
        <v>45927</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42249-2024</t>
        </is>
      </c>
      <c r="B1311" s="1" t="n">
        <v>45562.5778587963</v>
      </c>
      <c r="C1311" s="1" t="n">
        <v>45927</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65178-2023</t>
        </is>
      </c>
      <c r="B1312" s="1" t="n">
        <v>45288.93209490741</v>
      </c>
      <c r="C1312" s="1" t="n">
        <v>45927</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52548-2022</t>
        </is>
      </c>
      <c r="B1313" s="1" t="n">
        <v>44874</v>
      </c>
      <c r="C1313" s="1" t="n">
        <v>45927</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56995-2022</t>
        </is>
      </c>
      <c r="B1314" s="1" t="n">
        <v>44894</v>
      </c>
      <c r="C1314" s="1" t="n">
        <v>45927</v>
      </c>
      <c r="D1314" t="inlineStr">
        <is>
          <t>VÄSTERBOTTENS LÄN</t>
        </is>
      </c>
      <c r="E1314" t="inlineStr">
        <is>
          <t>SKELLEFTEÅ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61569-2022</t>
        </is>
      </c>
      <c r="B1315" s="1" t="n">
        <v>44916</v>
      </c>
      <c r="C1315" s="1" t="n">
        <v>45927</v>
      </c>
      <c r="D1315" t="inlineStr">
        <is>
          <t>VÄSTERBOTTENS LÄN</t>
        </is>
      </c>
      <c r="E1315" t="inlineStr">
        <is>
          <t>SKELLEFTEÅ</t>
        </is>
      </c>
      <c r="F1315" t="inlineStr">
        <is>
          <t>Holmen skog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55775-2023</t>
        </is>
      </c>
      <c r="B1316" s="1" t="n">
        <v>45232</v>
      </c>
      <c r="C1316" s="1" t="n">
        <v>45927</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28244-2021</t>
        </is>
      </c>
      <c r="B1317" s="1" t="n">
        <v>44355</v>
      </c>
      <c r="C1317" s="1" t="n">
        <v>45927</v>
      </c>
      <c r="D1317" t="inlineStr">
        <is>
          <t>VÄSTERBOTTENS LÄN</t>
        </is>
      </c>
      <c r="E1317" t="inlineStr">
        <is>
          <t>SKELLEFTEÅ</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12873-2025</t>
        </is>
      </c>
      <c r="B1318" s="1" t="n">
        <v>45733</v>
      </c>
      <c r="C1318" s="1" t="n">
        <v>45927</v>
      </c>
      <c r="D1318" t="inlineStr">
        <is>
          <t>VÄSTERBOTTENS LÄN</t>
        </is>
      </c>
      <c r="E1318" t="inlineStr">
        <is>
          <t>SKELLEFTEÅ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41038-2024</t>
        </is>
      </c>
      <c r="B1319" s="1" t="n">
        <v>45559.36113425926</v>
      </c>
      <c r="C1319" s="1" t="n">
        <v>45927</v>
      </c>
      <c r="D1319" t="inlineStr">
        <is>
          <t>VÄSTERBOTTENS LÄN</t>
        </is>
      </c>
      <c r="E1319" t="inlineStr">
        <is>
          <t>SKELLEFTEÅ</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54401-2023</t>
        </is>
      </c>
      <c r="B1320" s="1" t="n">
        <v>45226</v>
      </c>
      <c r="C1320" s="1" t="n">
        <v>45927</v>
      </c>
      <c r="D1320" t="inlineStr">
        <is>
          <t>VÄSTERBOTTENS LÄN</t>
        </is>
      </c>
      <c r="E1320" t="inlineStr">
        <is>
          <t>SKELLEFTEÅ</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24352-2024</t>
        </is>
      </c>
      <c r="B1321" s="1" t="n">
        <v>45457.59247685185</v>
      </c>
      <c r="C1321" s="1" t="n">
        <v>45927</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34614-2024</t>
        </is>
      </c>
      <c r="B1322" s="1" t="n">
        <v>45526</v>
      </c>
      <c r="C1322" s="1" t="n">
        <v>45927</v>
      </c>
      <c r="D1322" t="inlineStr">
        <is>
          <t>VÄSTERBOTTENS LÄN</t>
        </is>
      </c>
      <c r="E1322" t="inlineStr">
        <is>
          <t>SKELLEFTEÅ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46302-2023</t>
        </is>
      </c>
      <c r="B1323" s="1" t="n">
        <v>45191</v>
      </c>
      <c r="C1323" s="1" t="n">
        <v>45927</v>
      </c>
      <c r="D1323" t="inlineStr">
        <is>
          <t>VÄSTERBOTTENS LÄN</t>
        </is>
      </c>
      <c r="E1323" t="inlineStr">
        <is>
          <t>SKELLEFTEÅ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10883-2024</t>
        </is>
      </c>
      <c r="B1324" s="1" t="n">
        <v>45370</v>
      </c>
      <c r="C1324" s="1" t="n">
        <v>45927</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73159-2021</t>
        </is>
      </c>
      <c r="B1325" s="1" t="n">
        <v>44550</v>
      </c>
      <c r="C1325" s="1" t="n">
        <v>45927</v>
      </c>
      <c r="D1325" t="inlineStr">
        <is>
          <t>VÄSTERBOTTENS LÄN</t>
        </is>
      </c>
      <c r="E1325" t="inlineStr">
        <is>
          <t>SKELLEFTEÅ</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1627-2025</t>
        </is>
      </c>
      <c r="B1326" s="1" t="n">
        <v>45670.6259375</v>
      </c>
      <c r="C1326" s="1" t="n">
        <v>45927</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2308-2025</t>
        </is>
      </c>
      <c r="B1327" s="1" t="n">
        <v>45673.60113425926</v>
      </c>
      <c r="C1327" s="1" t="n">
        <v>45927</v>
      </c>
      <c r="D1327" t="inlineStr">
        <is>
          <t>VÄSTERBOTTENS LÄN</t>
        </is>
      </c>
      <c r="E1327" t="inlineStr">
        <is>
          <t>SKELLEFTEÅ</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4022-2024</t>
        </is>
      </c>
      <c r="B1328" s="1" t="n">
        <v>45323</v>
      </c>
      <c r="C1328" s="1" t="n">
        <v>45927</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4458-2023</t>
        </is>
      </c>
      <c r="B1329" s="1" t="n">
        <v>44952</v>
      </c>
      <c r="C1329" s="1" t="n">
        <v>45927</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50515-2024</t>
        </is>
      </c>
      <c r="B1330" s="1" t="n">
        <v>45601.55185185185</v>
      </c>
      <c r="C1330" s="1" t="n">
        <v>45927</v>
      </c>
      <c r="D1330" t="inlineStr">
        <is>
          <t>VÄSTERBOTTENS LÄN</t>
        </is>
      </c>
      <c r="E1330" t="inlineStr">
        <is>
          <t>SKELLEFTEÅ</t>
        </is>
      </c>
      <c r="F1330" t="inlineStr">
        <is>
          <t>Holmen skog AB</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2090-2024</t>
        </is>
      </c>
      <c r="B1331" s="1" t="n">
        <v>45309.434375</v>
      </c>
      <c r="C1331" s="1" t="n">
        <v>45927</v>
      </c>
      <c r="D1331" t="inlineStr">
        <is>
          <t>VÄSTERBOTTENS LÄN</t>
        </is>
      </c>
      <c r="E1331" t="inlineStr">
        <is>
          <t>SKELLEFTEÅ</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29665-2025</t>
        </is>
      </c>
      <c r="B1332" s="1" t="n">
        <v>45825.49140046296</v>
      </c>
      <c r="C1332" s="1" t="n">
        <v>45927</v>
      </c>
      <c r="D1332" t="inlineStr">
        <is>
          <t>VÄSTERBOTTENS LÄN</t>
        </is>
      </c>
      <c r="E1332" t="inlineStr">
        <is>
          <t>SKELLEFTEÅ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29613-2025</t>
        </is>
      </c>
      <c r="B1333" s="1" t="n">
        <v>45825</v>
      </c>
      <c r="C1333" s="1" t="n">
        <v>45927</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46108-2024</t>
        </is>
      </c>
      <c r="B1334" s="1" t="n">
        <v>45581</v>
      </c>
      <c r="C1334" s="1" t="n">
        <v>45927</v>
      </c>
      <c r="D1334" t="inlineStr">
        <is>
          <t>VÄSTERBOTTENS LÄN</t>
        </is>
      </c>
      <c r="E1334" t="inlineStr">
        <is>
          <t>SKELLEFTEÅ</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16642-2025</t>
        </is>
      </c>
      <c r="B1335" s="1" t="n">
        <v>45754.37208333334</v>
      </c>
      <c r="C1335" s="1" t="n">
        <v>45927</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2043-2024</t>
        </is>
      </c>
      <c r="B1336" s="1" t="n">
        <v>45308</v>
      </c>
      <c r="C1336" s="1" t="n">
        <v>45927</v>
      </c>
      <c r="D1336" t="inlineStr">
        <is>
          <t>VÄSTERBOTTENS LÄN</t>
        </is>
      </c>
      <c r="E1336" t="inlineStr">
        <is>
          <t>SKELLEFTEÅ</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9051-2021</t>
        </is>
      </c>
      <c r="B1337" s="1" t="n">
        <v>44249</v>
      </c>
      <c r="C1337" s="1" t="n">
        <v>45927</v>
      </c>
      <c r="D1337" t="inlineStr">
        <is>
          <t>VÄSTERBOTTENS LÄN</t>
        </is>
      </c>
      <c r="E1337" t="inlineStr">
        <is>
          <t>SKELLEFTEÅ</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30369-2023</t>
        </is>
      </c>
      <c r="B1338" s="1" t="n">
        <v>45111</v>
      </c>
      <c r="C1338" s="1" t="n">
        <v>45927</v>
      </c>
      <c r="D1338" t="inlineStr">
        <is>
          <t>VÄSTERBOTTENS LÄN</t>
        </is>
      </c>
      <c r="E1338" t="inlineStr">
        <is>
          <t>SKELLEFTEÅ</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4104-2023</t>
        </is>
      </c>
      <c r="B1339" s="1" t="n">
        <v>44952</v>
      </c>
      <c r="C1339" s="1" t="n">
        <v>45927</v>
      </c>
      <c r="D1339" t="inlineStr">
        <is>
          <t>VÄSTERBOTTENS LÄN</t>
        </is>
      </c>
      <c r="E1339" t="inlineStr">
        <is>
          <t>SKELLEFTEÅ</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5373-2023</t>
        </is>
      </c>
      <c r="B1340" s="1" t="n">
        <v>44957</v>
      </c>
      <c r="C1340" s="1" t="n">
        <v>45927</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58575-2023</t>
        </is>
      </c>
      <c r="B1341" s="1" t="n">
        <v>45251.44665509259</v>
      </c>
      <c r="C1341" s="1" t="n">
        <v>45927</v>
      </c>
      <c r="D1341" t="inlineStr">
        <is>
          <t>VÄSTERBOTTENS LÄN</t>
        </is>
      </c>
      <c r="E1341" t="inlineStr">
        <is>
          <t>SKELLEFTEÅ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21996-2022</t>
        </is>
      </c>
      <c r="B1342" s="1" t="n">
        <v>44711.56952546296</v>
      </c>
      <c r="C1342" s="1" t="n">
        <v>45927</v>
      </c>
      <c r="D1342" t="inlineStr">
        <is>
          <t>VÄSTERBOTTENS LÄN</t>
        </is>
      </c>
      <c r="E1342" t="inlineStr">
        <is>
          <t>SKELLEFTEÅ</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21842-2022</t>
        </is>
      </c>
      <c r="B1343" s="1" t="n">
        <v>44711.30804398148</v>
      </c>
      <c r="C1343" s="1" t="n">
        <v>45927</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26626-2024</t>
        </is>
      </c>
      <c r="B1344" s="1" t="n">
        <v>45469.78458333333</v>
      </c>
      <c r="C1344" s="1" t="n">
        <v>45927</v>
      </c>
      <c r="D1344" t="inlineStr">
        <is>
          <t>VÄSTERBOTTENS LÄN</t>
        </is>
      </c>
      <c r="E1344" t="inlineStr">
        <is>
          <t>SKELLEFTEÅ</t>
        </is>
      </c>
      <c r="F1344" t="inlineStr">
        <is>
          <t>Sveaskog</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62325-2022</t>
        </is>
      </c>
      <c r="B1345" s="1" t="n">
        <v>44916</v>
      </c>
      <c r="C1345" s="1" t="n">
        <v>45927</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45039-2023</t>
        </is>
      </c>
      <c r="B1346" s="1" t="n">
        <v>45191.32686342593</v>
      </c>
      <c r="C1346" s="1" t="n">
        <v>45927</v>
      </c>
      <c r="D1346" t="inlineStr">
        <is>
          <t>VÄSTERBOTTENS LÄN</t>
        </is>
      </c>
      <c r="E1346" t="inlineStr">
        <is>
          <t>SKELLEFTEÅ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7052-2022</t>
        </is>
      </c>
      <c r="B1347" s="1" t="n">
        <v>44603</v>
      </c>
      <c r="C1347" s="1" t="n">
        <v>45927</v>
      </c>
      <c r="D1347" t="inlineStr">
        <is>
          <t>VÄSTERBOTTENS LÄN</t>
        </is>
      </c>
      <c r="E1347" t="inlineStr">
        <is>
          <t>SKELLEFTEÅ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11907-2025</t>
        </is>
      </c>
      <c r="B1348" s="1" t="n">
        <v>45728</v>
      </c>
      <c r="C1348" s="1" t="n">
        <v>45927</v>
      </c>
      <c r="D1348" t="inlineStr">
        <is>
          <t>VÄSTERBOTTENS LÄN</t>
        </is>
      </c>
      <c r="E1348" t="inlineStr">
        <is>
          <t>SKELLEFTEÅ</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5744-2023</t>
        </is>
      </c>
      <c r="B1349" s="1" t="n">
        <v>44962.86746527778</v>
      </c>
      <c r="C1349" s="1" t="n">
        <v>45927</v>
      </c>
      <c r="D1349" t="inlineStr">
        <is>
          <t>VÄSTERBOTTENS LÄN</t>
        </is>
      </c>
      <c r="E1349" t="inlineStr">
        <is>
          <t>SKELLEFTEÅ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51874-2022</t>
        </is>
      </c>
      <c r="B1350" s="1" t="n">
        <v>44872.59645833333</v>
      </c>
      <c r="C1350" s="1" t="n">
        <v>45927</v>
      </c>
      <c r="D1350" t="inlineStr">
        <is>
          <t>VÄSTERBOTTENS LÄN</t>
        </is>
      </c>
      <c r="E1350" t="inlineStr">
        <is>
          <t>SKELLEFTEÅ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54264-2024</t>
        </is>
      </c>
      <c r="B1351" s="1" t="n">
        <v>45616</v>
      </c>
      <c r="C1351" s="1" t="n">
        <v>45927</v>
      </c>
      <c r="D1351" t="inlineStr">
        <is>
          <t>VÄSTERBOTTENS LÄN</t>
        </is>
      </c>
      <c r="E1351" t="inlineStr">
        <is>
          <t>SKELLEFTEÅ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55269-2024</t>
        </is>
      </c>
      <c r="B1352" s="1" t="n">
        <v>45621.61444444444</v>
      </c>
      <c r="C1352" s="1" t="n">
        <v>45927</v>
      </c>
      <c r="D1352" t="inlineStr">
        <is>
          <t>VÄSTERBOTTENS LÄN</t>
        </is>
      </c>
      <c r="E1352" t="inlineStr">
        <is>
          <t>SKELLEFTEÅ</t>
        </is>
      </c>
      <c r="F1352" t="inlineStr">
        <is>
          <t>Sveaskog</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36327-2023</t>
        </is>
      </c>
      <c r="B1353" s="1" t="n">
        <v>45152</v>
      </c>
      <c r="C1353" s="1" t="n">
        <v>45927</v>
      </c>
      <c r="D1353" t="inlineStr">
        <is>
          <t>VÄSTERBOTTENS LÄN</t>
        </is>
      </c>
      <c r="E1353" t="inlineStr">
        <is>
          <t>SKELLEFTEÅ</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35952-2023</t>
        </is>
      </c>
      <c r="B1354" s="1" t="n">
        <v>45148</v>
      </c>
      <c r="C1354" s="1" t="n">
        <v>45927</v>
      </c>
      <c r="D1354" t="inlineStr">
        <is>
          <t>VÄSTERBOTTENS LÄN</t>
        </is>
      </c>
      <c r="E1354" t="inlineStr">
        <is>
          <t>SKELLEFTEÅ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1076-2023</t>
        </is>
      </c>
      <c r="B1355" s="1" t="n">
        <v>44929</v>
      </c>
      <c r="C1355" s="1" t="n">
        <v>45927</v>
      </c>
      <c r="D1355" t="inlineStr">
        <is>
          <t>VÄSTERBOTTENS LÄN</t>
        </is>
      </c>
      <c r="E1355" t="inlineStr">
        <is>
          <t>SKELLEFTEÅ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10911-2024</t>
        </is>
      </c>
      <c r="B1356" s="1" t="n">
        <v>45370</v>
      </c>
      <c r="C1356" s="1" t="n">
        <v>45927</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18443-2025</t>
        </is>
      </c>
      <c r="B1357" s="1" t="n">
        <v>45762.65668981482</v>
      </c>
      <c r="C1357" s="1" t="n">
        <v>45927</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57714-2021</t>
        </is>
      </c>
      <c r="B1358" s="1" t="n">
        <v>44484.48947916667</v>
      </c>
      <c r="C1358" s="1" t="n">
        <v>45927</v>
      </c>
      <c r="D1358" t="inlineStr">
        <is>
          <t>VÄSTERBOTTENS LÄN</t>
        </is>
      </c>
      <c r="E1358" t="inlineStr">
        <is>
          <t>SKELLEFTEÅ</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7981-2025</t>
        </is>
      </c>
      <c r="B1359" s="1" t="n">
        <v>45707.46899305555</v>
      </c>
      <c r="C1359" s="1" t="n">
        <v>45927</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8010-2025</t>
        </is>
      </c>
      <c r="B1360" s="1" t="n">
        <v>45707.55104166667</v>
      </c>
      <c r="C1360" s="1" t="n">
        <v>45927</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7875-2023</t>
        </is>
      </c>
      <c r="B1361" s="1" t="n">
        <v>44967</v>
      </c>
      <c r="C1361" s="1" t="n">
        <v>45927</v>
      </c>
      <c r="D1361" t="inlineStr">
        <is>
          <t>VÄSTERBOTTENS LÄN</t>
        </is>
      </c>
      <c r="E1361" t="inlineStr">
        <is>
          <t>SKELLEFTEÅ</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53720-2024</t>
        </is>
      </c>
      <c r="B1362" s="1" t="n">
        <v>45615.43817129629</v>
      </c>
      <c r="C1362" s="1" t="n">
        <v>45927</v>
      </c>
      <c r="D1362" t="inlineStr">
        <is>
          <t>VÄSTERBOTTENS LÄN</t>
        </is>
      </c>
      <c r="E1362" t="inlineStr">
        <is>
          <t>SKELLEFTEÅ</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56960-2022</t>
        </is>
      </c>
      <c r="B1363" s="1" t="n">
        <v>44894</v>
      </c>
      <c r="C1363" s="1" t="n">
        <v>45927</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32747-2023</t>
        </is>
      </c>
      <c r="B1364" s="1" t="n">
        <v>45122</v>
      </c>
      <c r="C1364" s="1" t="n">
        <v>45927</v>
      </c>
      <c r="D1364" t="inlineStr">
        <is>
          <t>VÄSTERBOTTENS LÄN</t>
        </is>
      </c>
      <c r="E1364" t="inlineStr">
        <is>
          <t>SKELLEFTEÅ</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51222-2022</t>
        </is>
      </c>
      <c r="B1365" s="1" t="n">
        <v>44868.63834490741</v>
      </c>
      <c r="C1365" s="1" t="n">
        <v>45927</v>
      </c>
      <c r="D1365" t="inlineStr">
        <is>
          <t>VÄSTERBOTTENS LÄN</t>
        </is>
      </c>
      <c r="E1365" t="inlineStr">
        <is>
          <t>SKELLEFTEÅ</t>
        </is>
      </c>
      <c r="F1365" t="inlineStr">
        <is>
          <t>Holmen skog AB</t>
        </is>
      </c>
      <c r="G1365" t="n">
        <v>16.4</v>
      </c>
      <c r="H1365" t="n">
        <v>0</v>
      </c>
      <c r="I1365" t="n">
        <v>0</v>
      </c>
      <c r="J1365" t="n">
        <v>0</v>
      </c>
      <c r="K1365" t="n">
        <v>0</v>
      </c>
      <c r="L1365" t="n">
        <v>0</v>
      </c>
      <c r="M1365" t="n">
        <v>0</v>
      </c>
      <c r="N1365" t="n">
        <v>0</v>
      </c>
      <c r="O1365" t="n">
        <v>0</v>
      </c>
      <c r="P1365" t="n">
        <v>0</v>
      </c>
      <c r="Q1365" t="n">
        <v>0</v>
      </c>
      <c r="R1365" s="2" t="inlineStr"/>
    </row>
    <row r="1366" ht="15" customHeight="1">
      <c r="A1366" t="inlineStr">
        <is>
          <t>A 56627-2021</t>
        </is>
      </c>
      <c r="B1366" s="1" t="n">
        <v>44480.84313657408</v>
      </c>
      <c r="C1366" s="1" t="n">
        <v>45927</v>
      </c>
      <c r="D1366" t="inlineStr">
        <is>
          <t>VÄSTERBOTTENS LÄN</t>
        </is>
      </c>
      <c r="E1366" t="inlineStr">
        <is>
          <t>SKELLEFTEÅ</t>
        </is>
      </c>
      <c r="F1366" t="inlineStr">
        <is>
          <t>Sveaskog</t>
        </is>
      </c>
      <c r="G1366" t="n">
        <v>20.1</v>
      </c>
      <c r="H1366" t="n">
        <v>0</v>
      </c>
      <c r="I1366" t="n">
        <v>0</v>
      </c>
      <c r="J1366" t="n">
        <v>0</v>
      </c>
      <c r="K1366" t="n">
        <v>0</v>
      </c>
      <c r="L1366" t="n">
        <v>0</v>
      </c>
      <c r="M1366" t="n">
        <v>0</v>
      </c>
      <c r="N1366" t="n">
        <v>0</v>
      </c>
      <c r="O1366" t="n">
        <v>0</v>
      </c>
      <c r="P1366" t="n">
        <v>0</v>
      </c>
      <c r="Q1366" t="n">
        <v>0</v>
      </c>
      <c r="R1366" s="2" t="inlineStr"/>
    </row>
    <row r="1367" ht="15" customHeight="1">
      <c r="A1367" t="inlineStr">
        <is>
          <t>A 4972-2025</t>
        </is>
      </c>
      <c r="B1367" s="1" t="n">
        <v>45690.81362268519</v>
      </c>
      <c r="C1367" s="1" t="n">
        <v>45927</v>
      </c>
      <c r="D1367" t="inlineStr">
        <is>
          <t>VÄSTERBOTTENS LÄN</t>
        </is>
      </c>
      <c r="E1367" t="inlineStr">
        <is>
          <t>SKELLEFTEÅ</t>
        </is>
      </c>
      <c r="F1367" t="inlineStr">
        <is>
          <t>Sveaskog</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59648-2023</t>
        </is>
      </c>
      <c r="B1368" s="1" t="n">
        <v>45253</v>
      </c>
      <c r="C1368" s="1" t="n">
        <v>45927</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15089-2025</t>
        </is>
      </c>
      <c r="B1369" s="1" t="n">
        <v>45744.32665509259</v>
      </c>
      <c r="C1369" s="1" t="n">
        <v>45927</v>
      </c>
      <c r="D1369" t="inlineStr">
        <is>
          <t>VÄSTERBOTTENS LÄN</t>
        </is>
      </c>
      <c r="E1369" t="inlineStr">
        <is>
          <t>SKELLEFTEÅ</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54449-2023</t>
        </is>
      </c>
      <c r="B1370" s="1" t="n">
        <v>45226</v>
      </c>
      <c r="C1370" s="1" t="n">
        <v>45927</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50821-2023</t>
        </is>
      </c>
      <c r="B1371" s="1" t="n">
        <v>45217.92206018518</v>
      </c>
      <c r="C1371" s="1" t="n">
        <v>45927</v>
      </c>
      <c r="D1371" t="inlineStr">
        <is>
          <t>VÄSTERBOTTENS LÄN</t>
        </is>
      </c>
      <c r="E1371" t="inlineStr">
        <is>
          <t>SKELLEFTEÅ</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58298-2022</t>
        </is>
      </c>
      <c r="B1372" s="1" t="n">
        <v>44901</v>
      </c>
      <c r="C1372" s="1" t="n">
        <v>45927</v>
      </c>
      <c r="D1372" t="inlineStr">
        <is>
          <t>VÄSTERBOTTENS LÄN</t>
        </is>
      </c>
      <c r="E1372" t="inlineStr">
        <is>
          <t>SKELLEFTEÅ</t>
        </is>
      </c>
      <c r="F1372" t="inlineStr">
        <is>
          <t>Sveaskog</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28525-2021</t>
        </is>
      </c>
      <c r="B1373" s="1" t="n">
        <v>44356</v>
      </c>
      <c r="C1373" s="1" t="n">
        <v>45927</v>
      </c>
      <c r="D1373" t="inlineStr">
        <is>
          <t>VÄSTERBOTTENS LÄN</t>
        </is>
      </c>
      <c r="E1373" t="inlineStr">
        <is>
          <t>SKELLEFTEÅ</t>
        </is>
      </c>
      <c r="F1373" t="inlineStr">
        <is>
          <t>Kyrkan</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9841-2025</t>
        </is>
      </c>
      <c r="B1374" s="1" t="n">
        <v>45716.60512731481</v>
      </c>
      <c r="C1374" s="1" t="n">
        <v>45927</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31672-2023</t>
        </is>
      </c>
      <c r="B1375" s="1" t="n">
        <v>45117.65966435185</v>
      </c>
      <c r="C1375" s="1" t="n">
        <v>45927</v>
      </c>
      <c r="D1375" t="inlineStr">
        <is>
          <t>VÄSTERBOTTENS LÄN</t>
        </is>
      </c>
      <c r="E1375" t="inlineStr">
        <is>
          <t>SKELLEFTEÅ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30081-2025</t>
        </is>
      </c>
      <c r="B1376" s="1" t="n">
        <v>45826.65171296296</v>
      </c>
      <c r="C1376" s="1" t="n">
        <v>45927</v>
      </c>
      <c r="D1376" t="inlineStr">
        <is>
          <t>VÄSTERBOTTENS LÄN</t>
        </is>
      </c>
      <c r="E1376" t="inlineStr">
        <is>
          <t>SKELLEFTEÅ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10825-2024</t>
        </is>
      </c>
      <c r="B1377" s="1" t="n">
        <v>45369</v>
      </c>
      <c r="C1377" s="1" t="n">
        <v>45927</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11314-2025</t>
        </is>
      </c>
      <c r="B1378" s="1" t="n">
        <v>45726.45561342593</v>
      </c>
      <c r="C1378" s="1" t="n">
        <v>45927</v>
      </c>
      <c r="D1378" t="inlineStr">
        <is>
          <t>VÄSTERBOTTENS LÄN</t>
        </is>
      </c>
      <c r="E1378" t="inlineStr">
        <is>
          <t>SKELLEFTEÅ</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5996-2023</t>
        </is>
      </c>
      <c r="B1379" s="1" t="n">
        <v>44959</v>
      </c>
      <c r="C1379" s="1" t="n">
        <v>45927</v>
      </c>
      <c r="D1379" t="inlineStr">
        <is>
          <t>VÄSTERBOTTENS LÄN</t>
        </is>
      </c>
      <c r="E1379" t="inlineStr">
        <is>
          <t>SKELLEFTEÅ</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9740-2023</t>
        </is>
      </c>
      <c r="B1380" s="1" t="n">
        <v>44978</v>
      </c>
      <c r="C1380" s="1" t="n">
        <v>45927</v>
      </c>
      <c r="D1380" t="inlineStr">
        <is>
          <t>VÄSTERBOTTENS LÄN</t>
        </is>
      </c>
      <c r="E1380" t="inlineStr">
        <is>
          <t>SKELLEFTEÅ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58838-2023</t>
        </is>
      </c>
      <c r="B1381" s="1" t="n">
        <v>45252.41853009259</v>
      </c>
      <c r="C1381" s="1" t="n">
        <v>45927</v>
      </c>
      <c r="D1381" t="inlineStr">
        <is>
          <t>VÄSTERBOTTENS LÄN</t>
        </is>
      </c>
      <c r="E1381" t="inlineStr">
        <is>
          <t>SKELLEFTEÅ</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30438-2025</t>
        </is>
      </c>
      <c r="B1382" s="1" t="n">
        <v>45827.64153935185</v>
      </c>
      <c r="C1382" s="1" t="n">
        <v>45927</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30172-2025</t>
        </is>
      </c>
      <c r="B1383" s="1" t="n">
        <v>45827</v>
      </c>
      <c r="C1383" s="1" t="n">
        <v>45927</v>
      </c>
      <c r="D1383" t="inlineStr">
        <is>
          <t>VÄSTERBOTTENS LÄN</t>
        </is>
      </c>
      <c r="E1383" t="inlineStr">
        <is>
          <t>SKELLEFTEÅ</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47984-2022</t>
        </is>
      </c>
      <c r="B1384" s="1" t="n">
        <v>44853</v>
      </c>
      <c r="C1384" s="1" t="n">
        <v>45927</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47988-2022</t>
        </is>
      </c>
      <c r="B1385" s="1" t="n">
        <v>44853</v>
      </c>
      <c r="C1385" s="1" t="n">
        <v>45927</v>
      </c>
      <c r="D1385" t="inlineStr">
        <is>
          <t>VÄSTERBOTTENS LÄN</t>
        </is>
      </c>
      <c r="E1385" t="inlineStr">
        <is>
          <t>SKELLEFTEÅ</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42789-2023</t>
        </is>
      </c>
      <c r="B1386" s="1" t="n">
        <v>45181</v>
      </c>
      <c r="C1386" s="1" t="n">
        <v>45927</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60502-2022</t>
        </is>
      </c>
      <c r="B1387" s="1" t="n">
        <v>44911.44655092592</v>
      </c>
      <c r="C1387" s="1" t="n">
        <v>45927</v>
      </c>
      <c r="D1387" t="inlineStr">
        <is>
          <t>VÄSTERBOTTENS LÄN</t>
        </is>
      </c>
      <c r="E1387" t="inlineStr">
        <is>
          <t>SKELLEFTEÅ</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18081-2022</t>
        </is>
      </c>
      <c r="B1388" s="1" t="n">
        <v>44684</v>
      </c>
      <c r="C1388" s="1" t="n">
        <v>45927</v>
      </c>
      <c r="D1388" t="inlineStr">
        <is>
          <t>VÄSTERBOTTENS LÄN</t>
        </is>
      </c>
      <c r="E1388" t="inlineStr">
        <is>
          <t>SKELLEFTEÅ</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17026-2023</t>
        </is>
      </c>
      <c r="B1389" s="1" t="n">
        <v>45030</v>
      </c>
      <c r="C1389" s="1" t="n">
        <v>45927</v>
      </c>
      <c r="D1389" t="inlineStr">
        <is>
          <t>VÄSTERBOTTENS LÄN</t>
        </is>
      </c>
      <c r="E1389" t="inlineStr">
        <is>
          <t>SKELLEFTEÅ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28433-2023</t>
        </is>
      </c>
      <c r="B1390" s="1" t="n">
        <v>45102.60045138889</v>
      </c>
      <c r="C1390" s="1" t="n">
        <v>45927</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58752-2023</t>
        </is>
      </c>
      <c r="B1391" s="1" t="n">
        <v>45251.92969907408</v>
      </c>
      <c r="C1391" s="1" t="n">
        <v>45927</v>
      </c>
      <c r="D1391" t="inlineStr">
        <is>
          <t>VÄSTERBOTTENS LÄN</t>
        </is>
      </c>
      <c r="E1391" t="inlineStr">
        <is>
          <t>SKELLEFTEÅ</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58755-2023</t>
        </is>
      </c>
      <c r="B1392" s="1" t="n">
        <v>45251</v>
      </c>
      <c r="C1392" s="1" t="n">
        <v>45927</v>
      </c>
      <c r="D1392" t="inlineStr">
        <is>
          <t>VÄSTERBOTTENS LÄN</t>
        </is>
      </c>
      <c r="E1392" t="inlineStr">
        <is>
          <t>SKELLEFTEÅ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3674-2025</t>
        </is>
      </c>
      <c r="B1393" s="1" t="n">
        <v>45681.43738425926</v>
      </c>
      <c r="C1393" s="1" t="n">
        <v>45927</v>
      </c>
      <c r="D1393" t="inlineStr">
        <is>
          <t>VÄSTERBOTTENS LÄN</t>
        </is>
      </c>
      <c r="E1393" t="inlineStr">
        <is>
          <t>SKELLEFTEÅ</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39918-2022</t>
        </is>
      </c>
      <c r="B1394" s="1" t="n">
        <v>44819.8053125</v>
      </c>
      <c r="C1394" s="1" t="n">
        <v>45927</v>
      </c>
      <c r="D1394" t="inlineStr">
        <is>
          <t>VÄSTERBOTTENS LÄN</t>
        </is>
      </c>
      <c r="E1394" t="inlineStr">
        <is>
          <t>SKELLEFTEÅ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34670-2023</t>
        </is>
      </c>
      <c r="B1395" s="1" t="n">
        <v>45140.83440972222</v>
      </c>
      <c r="C1395" s="1" t="n">
        <v>45927</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34672-2023</t>
        </is>
      </c>
      <c r="B1396" s="1" t="n">
        <v>45140.84226851852</v>
      </c>
      <c r="C1396" s="1" t="n">
        <v>45927</v>
      </c>
      <c r="D1396" t="inlineStr">
        <is>
          <t>VÄSTERBOTTENS LÄN</t>
        </is>
      </c>
      <c r="E1396" t="inlineStr">
        <is>
          <t>SKELLEFTEÅ</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30195-2025</t>
        </is>
      </c>
      <c r="B1397" s="1" t="n">
        <v>45827.35383101852</v>
      </c>
      <c r="C1397" s="1" t="n">
        <v>45927</v>
      </c>
      <c r="D1397" t="inlineStr">
        <is>
          <t>VÄSTERBOTTENS LÄN</t>
        </is>
      </c>
      <c r="E1397" t="inlineStr">
        <is>
          <t>SKELLEFTEÅ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35881-2024</t>
        </is>
      </c>
      <c r="B1398" s="1" t="n">
        <v>45533.35347222222</v>
      </c>
      <c r="C1398" s="1" t="n">
        <v>45927</v>
      </c>
      <c r="D1398" t="inlineStr">
        <is>
          <t>VÄSTERBOTTENS LÄN</t>
        </is>
      </c>
      <c r="E1398" t="inlineStr">
        <is>
          <t>SKELLEFTEÅ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31077-2025</t>
        </is>
      </c>
      <c r="B1399" s="1" t="n">
        <v>45831</v>
      </c>
      <c r="C1399" s="1" t="n">
        <v>45927</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30711-2025</t>
        </is>
      </c>
      <c r="B1400" s="1" t="n">
        <v>45831.55188657407</v>
      </c>
      <c r="C1400" s="1" t="n">
        <v>45927</v>
      </c>
      <c r="D1400" t="inlineStr">
        <is>
          <t>VÄSTERBOTTENS LÄN</t>
        </is>
      </c>
      <c r="E1400" t="inlineStr">
        <is>
          <t>SKELLEFTEÅ</t>
        </is>
      </c>
      <c r="F1400" t="inlineStr">
        <is>
          <t>Sveaskog</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30791-2025</t>
        </is>
      </c>
      <c r="B1401" s="1" t="n">
        <v>45831.63576388889</v>
      </c>
      <c r="C1401" s="1" t="n">
        <v>45927</v>
      </c>
      <c r="D1401" t="inlineStr">
        <is>
          <t>VÄSTERBOTTENS LÄN</t>
        </is>
      </c>
      <c r="E1401" t="inlineStr">
        <is>
          <t>SKELLEFTEÅ</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52129-2022</t>
        </is>
      </c>
      <c r="B1402" s="1" t="n">
        <v>44868</v>
      </c>
      <c r="C1402" s="1" t="n">
        <v>45927</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43474-2023</t>
        </is>
      </c>
      <c r="B1403" s="1" t="n">
        <v>45184.42844907408</v>
      </c>
      <c r="C1403" s="1" t="n">
        <v>45927</v>
      </c>
      <c r="D1403" t="inlineStr">
        <is>
          <t>VÄSTERBOTTENS LÄN</t>
        </is>
      </c>
      <c r="E1403" t="inlineStr">
        <is>
          <t>SKELLEFTEÅ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56983-2024</t>
        </is>
      </c>
      <c r="B1404" s="1" t="n">
        <v>45628.69109953703</v>
      </c>
      <c r="C1404" s="1" t="n">
        <v>45927</v>
      </c>
      <c r="D1404" t="inlineStr">
        <is>
          <t>VÄSTERBOTTENS LÄN</t>
        </is>
      </c>
      <c r="E1404" t="inlineStr">
        <is>
          <t>SKELLEFTEÅ</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57003-2024</t>
        </is>
      </c>
      <c r="B1405" s="1" t="n">
        <v>45628.73037037037</v>
      </c>
      <c r="C1405" s="1" t="n">
        <v>45927</v>
      </c>
      <c r="D1405" t="inlineStr">
        <is>
          <t>VÄSTERBOTTENS LÄN</t>
        </is>
      </c>
      <c r="E1405" t="inlineStr">
        <is>
          <t>SKELLEFTEÅ</t>
        </is>
      </c>
      <c r="F1405" t="inlineStr">
        <is>
          <t>Holmen skog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59932-2024</t>
        </is>
      </c>
      <c r="B1406" s="1" t="n">
        <v>45642.31251157408</v>
      </c>
      <c r="C1406" s="1" t="n">
        <v>45927</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52245-2024</t>
        </is>
      </c>
      <c r="B1407" s="1" t="n">
        <v>45608.62322916667</v>
      </c>
      <c r="C1407" s="1" t="n">
        <v>45927</v>
      </c>
      <c r="D1407" t="inlineStr">
        <is>
          <t>VÄSTERBOTTENS LÄN</t>
        </is>
      </c>
      <c r="E1407" t="inlineStr">
        <is>
          <t>SKELLEFTEÅ</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42995-2024</t>
        </is>
      </c>
      <c r="B1408" s="1" t="n">
        <v>45567.37570601852</v>
      </c>
      <c r="C1408" s="1" t="n">
        <v>45927</v>
      </c>
      <c r="D1408" t="inlineStr">
        <is>
          <t>VÄSTERBOTTENS LÄN</t>
        </is>
      </c>
      <c r="E1408" t="inlineStr">
        <is>
          <t>SKELLEFTEÅ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41112-2024</t>
        </is>
      </c>
      <c r="B1409" s="1" t="n">
        <v>45559.45047453704</v>
      </c>
      <c r="C1409" s="1" t="n">
        <v>45927</v>
      </c>
      <c r="D1409" t="inlineStr">
        <is>
          <t>VÄSTERBOTTENS LÄN</t>
        </is>
      </c>
      <c r="E1409" t="inlineStr">
        <is>
          <t>SKELLEFTEÅ</t>
        </is>
      </c>
      <c r="F1409" t="inlineStr">
        <is>
          <t>Holmen skog AB</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41118-2024</t>
        </is>
      </c>
      <c r="B1410" s="1" t="n">
        <v>45559.45327546296</v>
      </c>
      <c r="C1410" s="1" t="n">
        <v>45927</v>
      </c>
      <c r="D1410" t="inlineStr">
        <is>
          <t>VÄSTERBOTTENS LÄN</t>
        </is>
      </c>
      <c r="E1410" t="inlineStr">
        <is>
          <t>SKELLEFTEÅ</t>
        </is>
      </c>
      <c r="F1410" t="inlineStr">
        <is>
          <t>Holmen skog AB</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23520-2024</t>
        </is>
      </c>
      <c r="B1411" s="1" t="n">
        <v>45453</v>
      </c>
      <c r="C1411" s="1" t="n">
        <v>45927</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26999-2022</t>
        </is>
      </c>
      <c r="B1412" s="1" t="n">
        <v>44740</v>
      </c>
      <c r="C1412" s="1" t="n">
        <v>45927</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46657-2024</t>
        </is>
      </c>
      <c r="B1413" s="1" t="n">
        <v>45583.36118055556</v>
      </c>
      <c r="C1413" s="1" t="n">
        <v>45927</v>
      </c>
      <c r="D1413" t="inlineStr">
        <is>
          <t>VÄSTERBOTTENS LÄN</t>
        </is>
      </c>
      <c r="E1413" t="inlineStr">
        <is>
          <t>SKELLEFTEÅ</t>
        </is>
      </c>
      <c r="F1413" t="inlineStr">
        <is>
          <t>Holmen skog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21152-2024</t>
        </is>
      </c>
      <c r="B1414" s="1" t="n">
        <v>45440</v>
      </c>
      <c r="C1414" s="1" t="n">
        <v>45927</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53124-2024</t>
        </is>
      </c>
      <c r="B1415" s="1" t="n">
        <v>45611.58855324074</v>
      </c>
      <c r="C1415" s="1" t="n">
        <v>45927</v>
      </c>
      <c r="D1415" t="inlineStr">
        <is>
          <t>VÄSTERBOTTENS LÄN</t>
        </is>
      </c>
      <c r="E1415" t="inlineStr">
        <is>
          <t>SKELLEFTEÅ</t>
        </is>
      </c>
      <c r="F1415" t="inlineStr">
        <is>
          <t>Holmen skog AB</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5660-2024</t>
        </is>
      </c>
      <c r="B1416" s="1" t="n">
        <v>45334.64248842592</v>
      </c>
      <c r="C1416" s="1" t="n">
        <v>45927</v>
      </c>
      <c r="D1416" t="inlineStr">
        <is>
          <t>VÄSTERBOTTENS LÄN</t>
        </is>
      </c>
      <c r="E1416" t="inlineStr">
        <is>
          <t>SKELLEFTEÅ</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1667-2025</t>
        </is>
      </c>
      <c r="B1417" s="1" t="n">
        <v>45670</v>
      </c>
      <c r="C1417" s="1" t="n">
        <v>45927</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11078-2024</t>
        </is>
      </c>
      <c r="B1418" s="1" t="n">
        <v>45370</v>
      </c>
      <c r="C1418" s="1" t="n">
        <v>45927</v>
      </c>
      <c r="D1418" t="inlineStr">
        <is>
          <t>VÄSTERBOTTENS LÄN</t>
        </is>
      </c>
      <c r="E1418" t="inlineStr">
        <is>
          <t>SKELLEFTEÅ</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900-2023</t>
        </is>
      </c>
      <c r="B1419" s="1" t="n">
        <v>44931.9255324074</v>
      </c>
      <c r="C1419" s="1" t="n">
        <v>45927</v>
      </c>
      <c r="D1419" t="inlineStr">
        <is>
          <t>VÄSTERBOTTENS LÄN</t>
        </is>
      </c>
      <c r="E1419" t="inlineStr">
        <is>
          <t>SKELLEFTEÅ</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53311-2023</t>
        </is>
      </c>
      <c r="B1420" s="1" t="n">
        <v>45229.59980324074</v>
      </c>
      <c r="C1420" s="1" t="n">
        <v>45927</v>
      </c>
      <c r="D1420" t="inlineStr">
        <is>
          <t>VÄSTERBOTTENS LÄN</t>
        </is>
      </c>
      <c r="E1420" t="inlineStr">
        <is>
          <t>SKELLEFTEÅ</t>
        </is>
      </c>
      <c r="F1420" t="inlineStr">
        <is>
          <t>Holmen skog AB</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43749-2024</t>
        </is>
      </c>
      <c r="B1421" s="1" t="n">
        <v>45569.66871527778</v>
      </c>
      <c r="C1421" s="1" t="n">
        <v>45927</v>
      </c>
      <c r="D1421" t="inlineStr">
        <is>
          <t>VÄSTERBOTTENS LÄN</t>
        </is>
      </c>
      <c r="E1421" t="inlineStr">
        <is>
          <t>SKELLEFTEÅ</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46282-2024</t>
        </is>
      </c>
      <c r="B1422" s="1" t="n">
        <v>45581.6378587963</v>
      </c>
      <c r="C1422" s="1" t="n">
        <v>45927</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56529-2024</t>
        </is>
      </c>
      <c r="B1423" s="1" t="n">
        <v>45625.5534837963</v>
      </c>
      <c r="C1423" s="1" t="n">
        <v>45927</v>
      </c>
      <c r="D1423" t="inlineStr">
        <is>
          <t>VÄSTERBOTTENS LÄN</t>
        </is>
      </c>
      <c r="E1423" t="inlineStr">
        <is>
          <t>SKELLEFTEÅ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56530-2024</t>
        </is>
      </c>
      <c r="B1424" s="1" t="n">
        <v>45625</v>
      </c>
      <c r="C1424" s="1" t="n">
        <v>45927</v>
      </c>
      <c r="D1424" t="inlineStr">
        <is>
          <t>VÄSTERBOTTENS LÄN</t>
        </is>
      </c>
      <c r="E1424" t="inlineStr">
        <is>
          <t>SKELLEFTEÅ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52453-2021</t>
        </is>
      </c>
      <c r="B1425" s="1" t="n">
        <v>44463</v>
      </c>
      <c r="C1425" s="1" t="n">
        <v>45927</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16239-2023</t>
        </is>
      </c>
      <c r="B1426" s="1" t="n">
        <v>45028</v>
      </c>
      <c r="C1426" s="1" t="n">
        <v>45927</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34242-2024</t>
        </is>
      </c>
      <c r="B1427" s="1" t="n">
        <v>45524.58086805556</v>
      </c>
      <c r="C1427" s="1" t="n">
        <v>45927</v>
      </c>
      <c r="D1427" t="inlineStr">
        <is>
          <t>VÄSTERBOTTENS LÄN</t>
        </is>
      </c>
      <c r="E1427" t="inlineStr">
        <is>
          <t>SKELLEFTEÅ</t>
        </is>
      </c>
      <c r="F1427" t="inlineStr">
        <is>
          <t>Sveaskog</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11454-2021</t>
        </is>
      </c>
      <c r="B1428" s="1" t="n">
        <v>44264</v>
      </c>
      <c r="C1428" s="1" t="n">
        <v>45927</v>
      </c>
      <c r="D1428" t="inlineStr">
        <is>
          <t>VÄSTERBOTTENS LÄN</t>
        </is>
      </c>
      <c r="E1428" t="inlineStr">
        <is>
          <t>SKELLEFTEÅ</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11499-2021</t>
        </is>
      </c>
      <c r="B1429" s="1" t="n">
        <v>44264.37333333334</v>
      </c>
      <c r="C1429" s="1" t="n">
        <v>45927</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6837-2022</t>
        </is>
      </c>
      <c r="B1430" s="1" t="n">
        <v>44602</v>
      </c>
      <c r="C1430" s="1" t="n">
        <v>45927</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1256-2024</t>
        </is>
      </c>
      <c r="B1431" s="1" t="n">
        <v>45302</v>
      </c>
      <c r="C1431" s="1" t="n">
        <v>45927</v>
      </c>
      <c r="D1431" t="inlineStr">
        <is>
          <t>VÄSTERBOTTENS LÄN</t>
        </is>
      </c>
      <c r="E1431" t="inlineStr">
        <is>
          <t>SKELLEFTEÅ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45788-2024</t>
        </is>
      </c>
      <c r="B1432" s="1" t="n">
        <v>45579</v>
      </c>
      <c r="C1432" s="1" t="n">
        <v>45927</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47910-2023</t>
        </is>
      </c>
      <c r="B1433" s="1" t="n">
        <v>45204.5140625</v>
      </c>
      <c r="C1433" s="1" t="n">
        <v>45927</v>
      </c>
      <c r="D1433" t="inlineStr">
        <is>
          <t>VÄSTERBOTTENS LÄN</t>
        </is>
      </c>
      <c r="E1433" t="inlineStr">
        <is>
          <t>SKELLEFTEÅ</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6244-2024</t>
        </is>
      </c>
      <c r="B1434" s="1" t="n">
        <v>45337</v>
      </c>
      <c r="C1434" s="1" t="n">
        <v>45927</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26920-2024</t>
        </is>
      </c>
      <c r="B1435" s="1" t="n">
        <v>45470.9305787037</v>
      </c>
      <c r="C1435" s="1" t="n">
        <v>45927</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62599-2023</t>
        </is>
      </c>
      <c r="B1436" s="1" t="n">
        <v>45267</v>
      </c>
      <c r="C1436" s="1" t="n">
        <v>45927</v>
      </c>
      <c r="D1436" t="inlineStr">
        <is>
          <t>VÄSTERBOTTENS LÄN</t>
        </is>
      </c>
      <c r="E1436" t="inlineStr">
        <is>
          <t>SKELLEFTEÅ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62601-2023</t>
        </is>
      </c>
      <c r="B1437" s="1" t="n">
        <v>45267</v>
      </c>
      <c r="C1437" s="1" t="n">
        <v>45927</v>
      </c>
      <c r="D1437" t="inlineStr">
        <is>
          <t>VÄSTERBOTTENS LÄN</t>
        </is>
      </c>
      <c r="E1437" t="inlineStr">
        <is>
          <t>SKELLEFTEÅ</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17751-2024</t>
        </is>
      </c>
      <c r="B1438" s="1" t="n">
        <v>45418.59936342593</v>
      </c>
      <c r="C1438" s="1" t="n">
        <v>45927</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16519-2024</t>
        </is>
      </c>
      <c r="B1439" s="1" t="n">
        <v>45408</v>
      </c>
      <c r="C1439" s="1" t="n">
        <v>45927</v>
      </c>
      <c r="D1439" t="inlineStr">
        <is>
          <t>VÄSTERBOTTENS LÄN</t>
        </is>
      </c>
      <c r="E1439" t="inlineStr">
        <is>
          <t>SKELLEFTEÅ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31168-2025</t>
        </is>
      </c>
      <c r="B1440" s="1" t="n">
        <v>45832.66167824074</v>
      </c>
      <c r="C1440" s="1" t="n">
        <v>45927</v>
      </c>
      <c r="D1440" t="inlineStr">
        <is>
          <t>VÄSTERBOTTENS LÄN</t>
        </is>
      </c>
      <c r="E1440" t="inlineStr">
        <is>
          <t>SKELLEFTEÅ</t>
        </is>
      </c>
      <c r="F1440" t="inlineStr">
        <is>
          <t>Holmen skog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23925-2024</t>
        </is>
      </c>
      <c r="B1441" s="1" t="n">
        <v>45455.93157407407</v>
      </c>
      <c r="C1441" s="1" t="n">
        <v>45927</v>
      </c>
      <c r="D1441" t="inlineStr">
        <is>
          <t>VÄSTERBOTTENS LÄN</t>
        </is>
      </c>
      <c r="E1441" t="inlineStr">
        <is>
          <t>SKELLEFTEÅ</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49573-2023</t>
        </is>
      </c>
      <c r="B1442" s="1" t="n">
        <v>45205</v>
      </c>
      <c r="C1442" s="1" t="n">
        <v>45927</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56072-2022</t>
        </is>
      </c>
      <c r="B1443" s="1" t="n">
        <v>44889.60342592592</v>
      </c>
      <c r="C1443" s="1" t="n">
        <v>45927</v>
      </c>
      <c r="D1443" t="inlineStr">
        <is>
          <t>VÄSTERBOTTENS LÄN</t>
        </is>
      </c>
      <c r="E1443" t="inlineStr">
        <is>
          <t>SKELLEFTEÅ</t>
        </is>
      </c>
      <c r="F1443" t="inlineStr">
        <is>
          <t>Holmen skog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50081-2023</t>
        </is>
      </c>
      <c r="B1444" s="1" t="n">
        <v>45215.58771990741</v>
      </c>
      <c r="C1444" s="1" t="n">
        <v>45927</v>
      </c>
      <c r="D1444" t="inlineStr">
        <is>
          <t>VÄSTERBOTTENS LÄN</t>
        </is>
      </c>
      <c r="E1444" t="inlineStr">
        <is>
          <t>SKELLEFTEÅ</t>
        </is>
      </c>
      <c r="F1444" t="inlineStr">
        <is>
          <t>Holmen skog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60210-2024</t>
        </is>
      </c>
      <c r="B1445" s="1" t="n">
        <v>45642</v>
      </c>
      <c r="C1445" s="1" t="n">
        <v>45927</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31178-2025</t>
        </is>
      </c>
      <c r="B1446" s="1" t="n">
        <v>45832.67209490741</v>
      </c>
      <c r="C1446" s="1" t="n">
        <v>45927</v>
      </c>
      <c r="D1446" t="inlineStr">
        <is>
          <t>VÄSTERBOTTENS LÄN</t>
        </is>
      </c>
      <c r="E1446" t="inlineStr">
        <is>
          <t>SKELLEFTEÅ</t>
        </is>
      </c>
      <c r="F1446" t="inlineStr">
        <is>
          <t>Holmen skog AB</t>
        </is>
      </c>
      <c r="G1446" t="n">
        <v>19.2</v>
      </c>
      <c r="H1446" t="n">
        <v>0</v>
      </c>
      <c r="I1446" t="n">
        <v>0</v>
      </c>
      <c r="J1446" t="n">
        <v>0</v>
      </c>
      <c r="K1446" t="n">
        <v>0</v>
      </c>
      <c r="L1446" t="n">
        <v>0</v>
      </c>
      <c r="M1446" t="n">
        <v>0</v>
      </c>
      <c r="N1446" t="n">
        <v>0</v>
      </c>
      <c r="O1446" t="n">
        <v>0</v>
      </c>
      <c r="P1446" t="n">
        <v>0</v>
      </c>
      <c r="Q1446" t="n">
        <v>0</v>
      </c>
      <c r="R1446" s="2" t="inlineStr"/>
    </row>
    <row r="1447" ht="15" customHeight="1">
      <c r="A1447" t="inlineStr">
        <is>
          <t>A 55907-2023</t>
        </is>
      </c>
      <c r="B1447" s="1" t="n">
        <v>45239</v>
      </c>
      <c r="C1447" s="1" t="n">
        <v>45927</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31355-2025</t>
        </is>
      </c>
      <c r="B1448" s="1" t="n">
        <v>45833.43050925926</v>
      </c>
      <c r="C1448" s="1" t="n">
        <v>45927</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58830-2024</t>
        </is>
      </c>
      <c r="B1449" s="1" t="n">
        <v>45636</v>
      </c>
      <c r="C1449" s="1" t="n">
        <v>45927</v>
      </c>
      <c r="D1449" t="inlineStr">
        <is>
          <t>VÄSTERBOTTENS LÄN</t>
        </is>
      </c>
      <c r="E1449" t="inlineStr">
        <is>
          <t>SKELLEFTEÅ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47312-2023</t>
        </is>
      </c>
      <c r="B1450" s="1" t="n">
        <v>45202</v>
      </c>
      <c r="C1450" s="1" t="n">
        <v>45927</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31108-2025</t>
        </is>
      </c>
      <c r="B1451" s="1" t="n">
        <v>45832</v>
      </c>
      <c r="C1451" s="1" t="n">
        <v>45927</v>
      </c>
      <c r="D1451" t="inlineStr">
        <is>
          <t>VÄSTERBOTTENS LÄN</t>
        </is>
      </c>
      <c r="E1451" t="inlineStr">
        <is>
          <t>SKELLEFTEÅ</t>
        </is>
      </c>
      <c r="F1451" t="inlineStr">
        <is>
          <t>Holmen skog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31271-2025</t>
        </is>
      </c>
      <c r="B1452" s="1" t="n">
        <v>45833.33717592592</v>
      </c>
      <c r="C1452" s="1" t="n">
        <v>45927</v>
      </c>
      <c r="D1452" t="inlineStr">
        <is>
          <t>VÄSTERBOTTENS LÄN</t>
        </is>
      </c>
      <c r="E1452" t="inlineStr">
        <is>
          <t>SKELLEFTEÅ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8648-2023</t>
        </is>
      </c>
      <c r="B1453" s="1" t="n">
        <v>44977.98358796296</v>
      </c>
      <c r="C1453" s="1" t="n">
        <v>45927</v>
      </c>
      <c r="D1453" t="inlineStr">
        <is>
          <t>VÄSTERBOTTENS LÄN</t>
        </is>
      </c>
      <c r="E1453" t="inlineStr">
        <is>
          <t>SKELLEFTEÅ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27980-2024</t>
        </is>
      </c>
      <c r="B1454" s="1" t="n">
        <v>45476.40489583334</v>
      </c>
      <c r="C1454" s="1" t="n">
        <v>45927</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39690-2024</t>
        </is>
      </c>
      <c r="B1455" s="1" t="n">
        <v>45552</v>
      </c>
      <c r="C1455" s="1" t="n">
        <v>45927</v>
      </c>
      <c r="D1455" t="inlineStr">
        <is>
          <t>VÄSTERBOTTENS LÄN</t>
        </is>
      </c>
      <c r="E1455" t="inlineStr">
        <is>
          <t>SKELLEFTEÅ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39691-2024</t>
        </is>
      </c>
      <c r="B1456" s="1" t="n">
        <v>45552</v>
      </c>
      <c r="C1456" s="1" t="n">
        <v>45927</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31520-2025</t>
        </is>
      </c>
      <c r="B1457" s="1" t="n">
        <v>45833.60758101852</v>
      </c>
      <c r="C1457" s="1" t="n">
        <v>45927</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31257-2025</t>
        </is>
      </c>
      <c r="B1458" s="1" t="n">
        <v>45833.32091435185</v>
      </c>
      <c r="C1458" s="1" t="n">
        <v>45927</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58993-2024</t>
        </is>
      </c>
      <c r="B1459" s="1" t="n">
        <v>45636.63711805556</v>
      </c>
      <c r="C1459" s="1" t="n">
        <v>45927</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25491-2021</t>
        </is>
      </c>
      <c r="B1460" s="1" t="n">
        <v>44342</v>
      </c>
      <c r="C1460" s="1" t="n">
        <v>45927</v>
      </c>
      <c r="D1460" t="inlineStr">
        <is>
          <t>VÄSTERBOTTENS LÄN</t>
        </is>
      </c>
      <c r="E1460" t="inlineStr">
        <is>
          <t>SKELLEFTEÅ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4791-2022</t>
        </is>
      </c>
      <c r="B1461" s="1" t="n">
        <v>44592</v>
      </c>
      <c r="C1461" s="1" t="n">
        <v>45927</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40274-2023</t>
        </is>
      </c>
      <c r="B1462" s="1" t="n">
        <v>45169.55936342593</v>
      </c>
      <c r="C1462" s="1" t="n">
        <v>45927</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50476-2024</t>
        </is>
      </c>
      <c r="B1463" s="1" t="n">
        <v>45601.47450231481</v>
      </c>
      <c r="C1463" s="1" t="n">
        <v>45927</v>
      </c>
      <c r="D1463" t="inlineStr">
        <is>
          <t>VÄSTERBOTTENS LÄN</t>
        </is>
      </c>
      <c r="E1463" t="inlineStr">
        <is>
          <t>SKELLEFTEÅ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33680-2021</t>
        </is>
      </c>
      <c r="B1464" s="1" t="n">
        <v>44378.41619212963</v>
      </c>
      <c r="C1464" s="1" t="n">
        <v>45927</v>
      </c>
      <c r="D1464" t="inlineStr">
        <is>
          <t>VÄSTERBOTTENS LÄN</t>
        </is>
      </c>
      <c r="E1464" t="inlineStr">
        <is>
          <t>SKELLEFTEÅ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57186-2024</t>
        </is>
      </c>
      <c r="B1465" s="1" t="n">
        <v>45629.45423611111</v>
      </c>
      <c r="C1465" s="1" t="n">
        <v>45927</v>
      </c>
      <c r="D1465" t="inlineStr">
        <is>
          <t>VÄSTERBOTTENS LÄN</t>
        </is>
      </c>
      <c r="E1465" t="inlineStr">
        <is>
          <t>SKELLEFTEÅ</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57199-2024</t>
        </is>
      </c>
      <c r="B1466" s="1" t="n">
        <v>45628</v>
      </c>
      <c r="C1466" s="1" t="n">
        <v>45927</v>
      </c>
      <c r="D1466" t="inlineStr">
        <is>
          <t>VÄSTERBOTTENS LÄN</t>
        </is>
      </c>
      <c r="E1466" t="inlineStr">
        <is>
          <t>SKELLEFTEÅ</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31780-2025</t>
        </is>
      </c>
      <c r="B1467" s="1" t="n">
        <v>45834.52940972222</v>
      </c>
      <c r="C1467" s="1" t="n">
        <v>45927</v>
      </c>
      <c r="D1467" t="inlineStr">
        <is>
          <t>VÄSTERBOTTENS LÄN</t>
        </is>
      </c>
      <c r="E1467" t="inlineStr">
        <is>
          <t>SKELLEFTEÅ</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31779-2025</t>
        </is>
      </c>
      <c r="B1468" s="1" t="n">
        <v>45834.52873842593</v>
      </c>
      <c r="C1468" s="1" t="n">
        <v>45927</v>
      </c>
      <c r="D1468" t="inlineStr">
        <is>
          <t>VÄSTERBOTTENS LÄN</t>
        </is>
      </c>
      <c r="E1468" t="inlineStr">
        <is>
          <t>SKELLEFTEÅ</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31743-2025</t>
        </is>
      </c>
      <c r="B1469" s="1" t="n">
        <v>45834.47671296296</v>
      </c>
      <c r="C1469" s="1" t="n">
        <v>45927</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13569-2025</t>
        </is>
      </c>
      <c r="B1470" s="1" t="n">
        <v>45736.57212962963</v>
      </c>
      <c r="C1470" s="1" t="n">
        <v>45927</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28567-2025</t>
        </is>
      </c>
      <c r="B1471" s="1" t="n">
        <v>45819</v>
      </c>
      <c r="C1471" s="1" t="n">
        <v>45927</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31628-2025</t>
        </is>
      </c>
      <c r="B1472" s="1" t="n">
        <v>45834.30734953703</v>
      </c>
      <c r="C1472" s="1" t="n">
        <v>45927</v>
      </c>
      <c r="D1472" t="inlineStr">
        <is>
          <t>VÄSTERBOTTENS LÄN</t>
        </is>
      </c>
      <c r="E1472" t="inlineStr">
        <is>
          <t>SKELLEFTEÅ</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31670-2025</t>
        </is>
      </c>
      <c r="B1473" s="1" t="n">
        <v>45834.36549768518</v>
      </c>
      <c r="C1473" s="1" t="n">
        <v>45927</v>
      </c>
      <c r="D1473" t="inlineStr">
        <is>
          <t>VÄSTERBOTTENS LÄN</t>
        </is>
      </c>
      <c r="E1473" t="inlineStr">
        <is>
          <t>SKELLEFTEÅ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32047-2025</t>
        </is>
      </c>
      <c r="B1474" s="1" t="n">
        <v>45835.44034722223</v>
      </c>
      <c r="C1474" s="1" t="n">
        <v>45927</v>
      </c>
      <c r="D1474" t="inlineStr">
        <is>
          <t>VÄSTERBOTTENS LÄN</t>
        </is>
      </c>
      <c r="E1474" t="inlineStr">
        <is>
          <t>SKELLEFTEÅ</t>
        </is>
      </c>
      <c r="F1474" t="inlineStr">
        <is>
          <t>Holmen skog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24430-2023</t>
        </is>
      </c>
      <c r="B1475" s="1" t="n">
        <v>45076</v>
      </c>
      <c r="C1475" s="1" t="n">
        <v>45927</v>
      </c>
      <c r="D1475" t="inlineStr">
        <is>
          <t>VÄSTERBOTTENS LÄN</t>
        </is>
      </c>
      <c r="E1475" t="inlineStr">
        <is>
          <t>SKELLEFTEÅ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38616-2024</t>
        </is>
      </c>
      <c r="B1476" s="1" t="n">
        <v>45546.70543981482</v>
      </c>
      <c r="C1476" s="1" t="n">
        <v>45927</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31627-2025</t>
        </is>
      </c>
      <c r="B1477" s="1" t="n">
        <v>45834.30527777778</v>
      </c>
      <c r="C1477" s="1" t="n">
        <v>45927</v>
      </c>
      <c r="D1477" t="inlineStr">
        <is>
          <t>VÄSTERBOTTENS LÄN</t>
        </is>
      </c>
      <c r="E1477" t="inlineStr">
        <is>
          <t>SKELLEFTEÅ</t>
        </is>
      </c>
      <c r="F1477" t="inlineStr">
        <is>
          <t>Holmen skog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31717-2025</t>
        </is>
      </c>
      <c r="B1478" s="1" t="n">
        <v>45834.46008101852</v>
      </c>
      <c r="C1478" s="1" t="n">
        <v>45927</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16236-2025</t>
        </is>
      </c>
      <c r="B1479" s="1" t="n">
        <v>45750</v>
      </c>
      <c r="C1479" s="1" t="n">
        <v>45927</v>
      </c>
      <c r="D1479" t="inlineStr">
        <is>
          <t>VÄSTERBOTTENS LÄN</t>
        </is>
      </c>
      <c r="E1479" t="inlineStr">
        <is>
          <t>SKELLEFTEÅ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31988-2025</t>
        </is>
      </c>
      <c r="B1480" s="1" t="n">
        <v>45835.363125</v>
      </c>
      <c r="C1480" s="1" t="n">
        <v>45927</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51664-2023</t>
        </is>
      </c>
      <c r="B1481" s="1" t="n">
        <v>45215</v>
      </c>
      <c r="C1481" s="1" t="n">
        <v>45927</v>
      </c>
      <c r="D1481" t="inlineStr">
        <is>
          <t>VÄSTERBOTTENS LÄN</t>
        </is>
      </c>
      <c r="E1481" t="inlineStr">
        <is>
          <t>SKELLEFTEÅ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31669-2025</t>
        </is>
      </c>
      <c r="B1482" s="1" t="n">
        <v>45834.36547453704</v>
      </c>
      <c r="C1482" s="1" t="n">
        <v>45927</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31688-2025</t>
        </is>
      </c>
      <c r="B1483" s="1" t="n">
        <v>45834.40149305556</v>
      </c>
      <c r="C1483" s="1" t="n">
        <v>45927</v>
      </c>
      <c r="D1483" t="inlineStr">
        <is>
          <t>VÄSTERBOTTENS LÄN</t>
        </is>
      </c>
      <c r="E1483" t="inlineStr">
        <is>
          <t>SKELLEFTEÅ</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7884-2024</t>
        </is>
      </c>
      <c r="B1484" s="1" t="n">
        <v>45349</v>
      </c>
      <c r="C1484" s="1" t="n">
        <v>45927</v>
      </c>
      <c r="D1484" t="inlineStr">
        <is>
          <t>VÄSTERBOTTENS LÄN</t>
        </is>
      </c>
      <c r="E1484" t="inlineStr">
        <is>
          <t>SKELLEFTEÅ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31727-2025</t>
        </is>
      </c>
      <c r="B1485" s="1" t="n">
        <v>45834.46859953704</v>
      </c>
      <c r="C1485" s="1" t="n">
        <v>45927</v>
      </c>
      <c r="D1485" t="inlineStr">
        <is>
          <t>VÄSTERBOTTENS LÄN</t>
        </is>
      </c>
      <c r="E1485" t="inlineStr">
        <is>
          <t>SKELLEFTEÅ</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42791-2024</t>
        </is>
      </c>
      <c r="B1486" s="1" t="n">
        <v>45566</v>
      </c>
      <c r="C1486" s="1" t="n">
        <v>45927</v>
      </c>
      <c r="D1486" t="inlineStr">
        <is>
          <t>VÄSTERBOTTENS LÄN</t>
        </is>
      </c>
      <c r="E1486" t="inlineStr">
        <is>
          <t>SKELLEFTEÅ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40373-2023</t>
        </is>
      </c>
      <c r="B1487" s="1" t="n">
        <v>45169</v>
      </c>
      <c r="C1487" s="1" t="n">
        <v>45927</v>
      </c>
      <c r="D1487" t="inlineStr">
        <is>
          <t>VÄSTERBOTTENS LÄN</t>
        </is>
      </c>
      <c r="E1487" t="inlineStr">
        <is>
          <t>SKELLEFTEÅ</t>
        </is>
      </c>
      <c r="F1487" t="inlineStr">
        <is>
          <t>Sveaskog</t>
        </is>
      </c>
      <c r="G1487" t="n">
        <v>16.6</v>
      </c>
      <c r="H1487" t="n">
        <v>0</v>
      </c>
      <c r="I1487" t="n">
        <v>0</v>
      </c>
      <c r="J1487" t="n">
        <v>0</v>
      </c>
      <c r="K1487" t="n">
        <v>0</v>
      </c>
      <c r="L1487" t="n">
        <v>0</v>
      </c>
      <c r="M1487" t="n">
        <v>0</v>
      </c>
      <c r="N1487" t="n">
        <v>0</v>
      </c>
      <c r="O1487" t="n">
        <v>0</v>
      </c>
      <c r="P1487" t="n">
        <v>0</v>
      </c>
      <c r="Q1487" t="n">
        <v>0</v>
      </c>
      <c r="R1487" s="2" t="inlineStr"/>
    </row>
    <row r="1488" ht="15" customHeight="1">
      <c r="A1488" t="inlineStr">
        <is>
          <t>A 31739-2025</t>
        </is>
      </c>
      <c r="B1488" s="1" t="n">
        <v>45834.47350694444</v>
      </c>
      <c r="C1488" s="1" t="n">
        <v>45927</v>
      </c>
      <c r="D1488" t="inlineStr">
        <is>
          <t>VÄSTERBOTTENS LÄN</t>
        </is>
      </c>
      <c r="E1488" t="inlineStr">
        <is>
          <t>SKELLEFTEÅ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31958-2025</t>
        </is>
      </c>
      <c r="B1489" s="1" t="n">
        <v>45835.34219907408</v>
      </c>
      <c r="C1489" s="1" t="n">
        <v>45927</v>
      </c>
      <c r="D1489" t="inlineStr">
        <is>
          <t>VÄSTERBOTTENS LÄN</t>
        </is>
      </c>
      <c r="E1489" t="inlineStr">
        <is>
          <t>SKELLEFTEÅ</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31997-2025</t>
        </is>
      </c>
      <c r="B1490" s="1" t="n">
        <v>45835.37637731482</v>
      </c>
      <c r="C1490" s="1" t="n">
        <v>45927</v>
      </c>
      <c r="D1490" t="inlineStr">
        <is>
          <t>VÄSTERBOTTENS LÄN</t>
        </is>
      </c>
      <c r="E1490" t="inlineStr">
        <is>
          <t>SKELLEFTEÅ</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45374-2024</t>
        </is>
      </c>
      <c r="B1491" s="1" t="n">
        <v>45576.51516203704</v>
      </c>
      <c r="C1491" s="1" t="n">
        <v>45927</v>
      </c>
      <c r="D1491" t="inlineStr">
        <is>
          <t>VÄSTERBOTTENS LÄN</t>
        </is>
      </c>
      <c r="E1491" t="inlineStr">
        <is>
          <t>SKELLEFTEÅ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62056-2024</t>
        </is>
      </c>
      <c r="B1492" s="1" t="n">
        <v>45656.37664351852</v>
      </c>
      <c r="C1492" s="1" t="n">
        <v>45927</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45403-2024</t>
        </is>
      </c>
      <c r="B1493" s="1" t="n">
        <v>45576.57667824074</v>
      </c>
      <c r="C1493" s="1" t="n">
        <v>45927</v>
      </c>
      <c r="D1493" t="inlineStr">
        <is>
          <t>VÄSTERBOTTENS LÄN</t>
        </is>
      </c>
      <c r="E1493" t="inlineStr">
        <is>
          <t>SKELLEFTEÅ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71798-2021</t>
        </is>
      </c>
      <c r="B1494" s="1" t="n">
        <v>44543.56943287037</v>
      </c>
      <c r="C1494" s="1" t="n">
        <v>45927</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26955-2023</t>
        </is>
      </c>
      <c r="B1495" s="1" t="n">
        <v>45091</v>
      </c>
      <c r="C1495" s="1" t="n">
        <v>45927</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5374-2025</t>
        </is>
      </c>
      <c r="B1496" s="1" t="n">
        <v>45692</v>
      </c>
      <c r="C1496" s="1" t="n">
        <v>45927</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31797-2025</t>
        </is>
      </c>
      <c r="B1497" s="1" t="n">
        <v>45834.55078703703</v>
      </c>
      <c r="C1497" s="1" t="n">
        <v>45927</v>
      </c>
      <c r="D1497" t="inlineStr">
        <is>
          <t>VÄSTERBOTTENS LÄN</t>
        </is>
      </c>
      <c r="E1497" t="inlineStr">
        <is>
          <t>SKELLEFTEÅ</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31938-2025</t>
        </is>
      </c>
      <c r="B1498" s="1" t="n">
        <v>45835.29355324074</v>
      </c>
      <c r="C1498" s="1" t="n">
        <v>45927</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4034-2024</t>
        </is>
      </c>
      <c r="B1499" s="1" t="n">
        <v>45323.41511574074</v>
      </c>
      <c r="C1499" s="1" t="n">
        <v>45927</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32066-2025</t>
        </is>
      </c>
      <c r="B1500" s="1" t="n">
        <v>45835.44824074074</v>
      </c>
      <c r="C1500" s="1" t="n">
        <v>45927</v>
      </c>
      <c r="D1500" t="inlineStr">
        <is>
          <t>VÄSTERBOTTENS LÄN</t>
        </is>
      </c>
      <c r="E1500" t="inlineStr">
        <is>
          <t>SKELLEFTEÅ</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5563-2025</t>
        </is>
      </c>
      <c r="B1501" s="1" t="n">
        <v>45693</v>
      </c>
      <c r="C1501" s="1" t="n">
        <v>45927</v>
      </c>
      <c r="D1501" t="inlineStr">
        <is>
          <t>VÄSTERBOTTENS LÄN</t>
        </is>
      </c>
      <c r="E1501" t="inlineStr">
        <is>
          <t>SKELLEFTEÅ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1419-2023</t>
        </is>
      </c>
      <c r="B1502" s="1" t="n">
        <v>44936</v>
      </c>
      <c r="C1502" s="1" t="n">
        <v>45927</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32780-2025</t>
        </is>
      </c>
      <c r="B1503" s="1" t="n">
        <v>45839.46975694445</v>
      </c>
      <c r="C1503" s="1" t="n">
        <v>45927</v>
      </c>
      <c r="D1503" t="inlineStr">
        <is>
          <t>VÄSTERBOTTENS LÄN</t>
        </is>
      </c>
      <c r="E1503" t="inlineStr">
        <is>
          <t>SKELLEFTEÅ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56945-2020</t>
        </is>
      </c>
      <c r="B1504" s="1" t="n">
        <v>44138</v>
      </c>
      <c r="C1504" s="1" t="n">
        <v>45927</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36882-2025</t>
        </is>
      </c>
      <c r="B1505" s="1" t="n">
        <v>45874</v>
      </c>
      <c r="C1505" s="1" t="n">
        <v>45927</v>
      </c>
      <c r="D1505" t="inlineStr">
        <is>
          <t>VÄSTERBOTTENS LÄN</t>
        </is>
      </c>
      <c r="E1505" t="inlineStr">
        <is>
          <t>SKELLEFTEÅ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32450-2025</t>
        </is>
      </c>
      <c r="B1506" s="1" t="n">
        <v>45838.38953703704</v>
      </c>
      <c r="C1506" s="1" t="n">
        <v>45927</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32601-2025</t>
        </is>
      </c>
      <c r="B1507" s="1" t="n">
        <v>45838.62275462963</v>
      </c>
      <c r="C1507" s="1" t="n">
        <v>45927</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32640-2025</t>
        </is>
      </c>
      <c r="B1508" s="1" t="n">
        <v>45838.65730324074</v>
      </c>
      <c r="C1508" s="1" t="n">
        <v>45927</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32638-2025</t>
        </is>
      </c>
      <c r="B1509" s="1" t="n">
        <v>45838.65724537037</v>
      </c>
      <c r="C1509" s="1" t="n">
        <v>45927</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3947-2024</t>
        </is>
      </c>
      <c r="B1510" s="1" t="n">
        <v>45322</v>
      </c>
      <c r="C1510" s="1" t="n">
        <v>45927</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3370-2025</t>
        </is>
      </c>
      <c r="B1511" s="1" t="n">
        <v>45679</v>
      </c>
      <c r="C1511" s="1" t="n">
        <v>45927</v>
      </c>
      <c r="D1511" t="inlineStr">
        <is>
          <t>VÄSTERBOTTENS LÄN</t>
        </is>
      </c>
      <c r="E1511" t="inlineStr">
        <is>
          <t>SKELLEFTEÅ</t>
        </is>
      </c>
      <c r="G1511" t="n">
        <v>15.7</v>
      </c>
      <c r="H1511" t="n">
        <v>0</v>
      </c>
      <c r="I1511" t="n">
        <v>0</v>
      </c>
      <c r="J1511" t="n">
        <v>0</v>
      </c>
      <c r="K1511" t="n">
        <v>0</v>
      </c>
      <c r="L1511" t="n">
        <v>0</v>
      </c>
      <c r="M1511" t="n">
        <v>0</v>
      </c>
      <c r="N1511" t="n">
        <v>0</v>
      </c>
      <c r="O1511" t="n">
        <v>0</v>
      </c>
      <c r="P1511" t="n">
        <v>0</v>
      </c>
      <c r="Q1511" t="n">
        <v>0</v>
      </c>
      <c r="R1511" s="2" t="inlineStr"/>
    </row>
    <row r="1512" ht="15" customHeight="1">
      <c r="A1512" t="inlineStr">
        <is>
          <t>A 17010-2025</t>
        </is>
      </c>
      <c r="B1512" s="1" t="n">
        <v>45754</v>
      </c>
      <c r="C1512" s="1" t="n">
        <v>45927</v>
      </c>
      <c r="D1512" t="inlineStr">
        <is>
          <t>VÄSTERBOTTENS LÄN</t>
        </is>
      </c>
      <c r="E1512" t="inlineStr">
        <is>
          <t>SKELLEFTEÅ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32781-2025</t>
        </is>
      </c>
      <c r="B1513" s="1" t="n">
        <v>45839.47243055556</v>
      </c>
      <c r="C1513" s="1" t="n">
        <v>45927</v>
      </c>
      <c r="D1513" t="inlineStr">
        <is>
          <t>VÄSTERBOTTENS LÄN</t>
        </is>
      </c>
      <c r="E1513" t="inlineStr">
        <is>
          <t>SKELLEFTEÅ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31387-2025</t>
        </is>
      </c>
      <c r="B1514" s="1" t="n">
        <v>45833.45296296296</v>
      </c>
      <c r="C1514" s="1" t="n">
        <v>45927</v>
      </c>
      <c r="D1514" t="inlineStr">
        <is>
          <t>VÄSTERBOTTENS LÄN</t>
        </is>
      </c>
      <c r="E1514" t="inlineStr">
        <is>
          <t>SKELLEFTEÅ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32550-2025</t>
        </is>
      </c>
      <c r="B1515" s="1" t="n">
        <v>45838.54916666666</v>
      </c>
      <c r="C1515" s="1" t="n">
        <v>45927</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32931-2025</t>
        </is>
      </c>
      <c r="B1516" s="1" t="n">
        <v>45839.66858796297</v>
      </c>
      <c r="C1516" s="1" t="n">
        <v>45927</v>
      </c>
      <c r="D1516" t="inlineStr">
        <is>
          <t>VÄSTERBOTTENS LÄN</t>
        </is>
      </c>
      <c r="E1516" t="inlineStr">
        <is>
          <t>SKELLEFTEÅ</t>
        </is>
      </c>
      <c r="F1516" t="inlineStr">
        <is>
          <t>Holmen skog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32955-2025</t>
        </is>
      </c>
      <c r="B1517" s="1" t="n">
        <v>45839</v>
      </c>
      <c r="C1517" s="1" t="n">
        <v>45927</v>
      </c>
      <c r="D1517" t="inlineStr">
        <is>
          <t>VÄSTERBOTTENS LÄN</t>
        </is>
      </c>
      <c r="E1517" t="inlineStr">
        <is>
          <t>SKELLEFTEÅ</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51526-2023</t>
        </is>
      </c>
      <c r="B1518" s="1" t="n">
        <v>45222</v>
      </c>
      <c r="C1518" s="1" t="n">
        <v>45927</v>
      </c>
      <c r="D1518" t="inlineStr">
        <is>
          <t>VÄSTERBOTTENS LÄN</t>
        </is>
      </c>
      <c r="E1518" t="inlineStr">
        <is>
          <t>SKELLEFTEÅ</t>
        </is>
      </c>
      <c r="F1518" t="inlineStr">
        <is>
          <t>Holmen skog AB</t>
        </is>
      </c>
      <c r="G1518" t="n">
        <v>14.1</v>
      </c>
      <c r="H1518" t="n">
        <v>0</v>
      </c>
      <c r="I1518" t="n">
        <v>0</v>
      </c>
      <c r="J1518" t="n">
        <v>0</v>
      </c>
      <c r="K1518" t="n">
        <v>0</v>
      </c>
      <c r="L1518" t="n">
        <v>0</v>
      </c>
      <c r="M1518" t="n">
        <v>0</v>
      </c>
      <c r="N1518" t="n">
        <v>0</v>
      </c>
      <c r="O1518" t="n">
        <v>0</v>
      </c>
      <c r="P1518" t="n">
        <v>0</v>
      </c>
      <c r="Q1518" t="n">
        <v>0</v>
      </c>
      <c r="R1518" s="2" t="inlineStr"/>
    </row>
    <row r="1519" ht="15" customHeight="1">
      <c r="A1519" t="inlineStr">
        <is>
          <t>A 52500-2022</t>
        </is>
      </c>
      <c r="B1519" s="1" t="n">
        <v>44869</v>
      </c>
      <c r="C1519" s="1" t="n">
        <v>45927</v>
      </c>
      <c r="D1519" t="inlineStr">
        <is>
          <t>VÄSTERBOTTENS LÄN</t>
        </is>
      </c>
      <c r="E1519" t="inlineStr">
        <is>
          <t>SKELLEFTEÅ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32329-2025</t>
        </is>
      </c>
      <c r="B1520" s="1" t="n">
        <v>45836.48517361111</v>
      </c>
      <c r="C1520" s="1" t="n">
        <v>45927</v>
      </c>
      <c r="D1520" t="inlineStr">
        <is>
          <t>VÄSTERBOTTENS LÄN</t>
        </is>
      </c>
      <c r="E1520" t="inlineStr">
        <is>
          <t>SKELLEFTEÅ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49811-2024</t>
        </is>
      </c>
      <c r="B1521" s="1" t="n">
        <v>45597.39033564815</v>
      </c>
      <c r="C1521" s="1" t="n">
        <v>45927</v>
      </c>
      <c r="D1521" t="inlineStr">
        <is>
          <t>VÄSTERBOTTENS LÄN</t>
        </is>
      </c>
      <c r="E1521" t="inlineStr">
        <is>
          <t>SKELLEFTEÅ</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32551-2025</t>
        </is>
      </c>
      <c r="B1522" s="1" t="n">
        <v>45838.5503587963</v>
      </c>
      <c r="C1522" s="1" t="n">
        <v>45927</v>
      </c>
      <c r="D1522" t="inlineStr">
        <is>
          <t>VÄSTERBOTTENS LÄN</t>
        </is>
      </c>
      <c r="E1522" t="inlineStr">
        <is>
          <t>SKELLEFTEÅ</t>
        </is>
      </c>
      <c r="F1522" t="inlineStr">
        <is>
          <t>Holmen skog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10892-2024</t>
        </is>
      </c>
      <c r="B1523" s="1" t="n">
        <v>45370.34435185185</v>
      </c>
      <c r="C1523" s="1" t="n">
        <v>45927</v>
      </c>
      <c r="D1523" t="inlineStr">
        <is>
          <t>VÄSTERBOTTENS LÄN</t>
        </is>
      </c>
      <c r="E1523" t="inlineStr">
        <is>
          <t>SKELLEFTEÅ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32485-2025</t>
        </is>
      </c>
      <c r="B1524" s="1" t="n">
        <v>45838.43662037037</v>
      </c>
      <c r="C1524" s="1" t="n">
        <v>45927</v>
      </c>
      <c r="D1524" t="inlineStr">
        <is>
          <t>VÄSTERBOTTENS LÄN</t>
        </is>
      </c>
      <c r="E1524" t="inlineStr">
        <is>
          <t>SKELLEFTEÅ</t>
        </is>
      </c>
      <c r="F1524" t="inlineStr">
        <is>
          <t>Holmen skog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32486-2025</t>
        </is>
      </c>
      <c r="B1525" s="1" t="n">
        <v>45838.44112268519</v>
      </c>
      <c r="C1525" s="1" t="n">
        <v>45927</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32639-2025</t>
        </is>
      </c>
      <c r="B1526" s="1" t="n">
        <v>45838.65726851852</v>
      </c>
      <c r="C1526" s="1" t="n">
        <v>45927</v>
      </c>
      <c r="D1526" t="inlineStr">
        <is>
          <t>VÄSTERBOTTENS LÄN</t>
        </is>
      </c>
      <c r="E1526" t="inlineStr">
        <is>
          <t>SKELLEFTEÅ</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8341-2024</t>
        </is>
      </c>
      <c r="B1527" s="1" t="n">
        <v>45351</v>
      </c>
      <c r="C1527" s="1" t="n">
        <v>45927</v>
      </c>
      <c r="D1527" t="inlineStr">
        <is>
          <t>VÄSTERBOTTENS LÄN</t>
        </is>
      </c>
      <c r="E1527" t="inlineStr">
        <is>
          <t>SKELLEFTEÅ</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1402-2025</t>
        </is>
      </c>
      <c r="B1528" s="1" t="n">
        <v>45667.70535879629</v>
      </c>
      <c r="C1528" s="1" t="n">
        <v>45927</v>
      </c>
      <c r="D1528" t="inlineStr">
        <is>
          <t>VÄSTERBOTTENS LÄN</t>
        </is>
      </c>
      <c r="E1528" t="inlineStr">
        <is>
          <t>SKELLEFTEÅ</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32451-2025</t>
        </is>
      </c>
      <c r="B1529" s="1" t="n">
        <v>45838.39283564815</v>
      </c>
      <c r="C1529" s="1" t="n">
        <v>45927</v>
      </c>
      <c r="D1529" t="inlineStr">
        <is>
          <t>VÄSTERBOTTENS LÄN</t>
        </is>
      </c>
      <c r="E1529" t="inlineStr">
        <is>
          <t>SKELLEFTEÅ</t>
        </is>
      </c>
      <c r="F1529" t="inlineStr">
        <is>
          <t>Holmen skog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32578-2025</t>
        </is>
      </c>
      <c r="B1530" s="1" t="n">
        <v>45838.59311342592</v>
      </c>
      <c r="C1530" s="1" t="n">
        <v>45927</v>
      </c>
      <c r="D1530" t="inlineStr">
        <is>
          <t>VÄSTERBOTTENS LÄN</t>
        </is>
      </c>
      <c r="E1530" t="inlineStr">
        <is>
          <t>SKELLEFTEÅ</t>
        </is>
      </c>
      <c r="F1530" t="inlineStr">
        <is>
          <t>Holmen skog AB</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31955-2025</t>
        </is>
      </c>
      <c r="B1531" s="1" t="n">
        <v>45835</v>
      </c>
      <c r="C1531" s="1" t="n">
        <v>45927</v>
      </c>
      <c r="D1531" t="inlineStr">
        <is>
          <t>VÄSTERBOTTENS LÄN</t>
        </is>
      </c>
      <c r="E1531" t="inlineStr">
        <is>
          <t>SKELLEFTEÅ</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32933-2025</t>
        </is>
      </c>
      <c r="B1532" s="1" t="n">
        <v>45839.67144675926</v>
      </c>
      <c r="C1532" s="1" t="n">
        <v>45927</v>
      </c>
      <c r="D1532" t="inlineStr">
        <is>
          <t>VÄSTERBOTTENS LÄN</t>
        </is>
      </c>
      <c r="E1532" t="inlineStr">
        <is>
          <t>SKELLEFTEÅ</t>
        </is>
      </c>
      <c r="F1532" t="inlineStr">
        <is>
          <t>Holmen skog AB</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62300-2023</t>
        </is>
      </c>
      <c r="B1533" s="1" t="n">
        <v>45266</v>
      </c>
      <c r="C1533" s="1" t="n">
        <v>45927</v>
      </c>
      <c r="D1533" t="inlineStr">
        <is>
          <t>VÄSTERBOTTENS LÄN</t>
        </is>
      </c>
      <c r="E1533" t="inlineStr">
        <is>
          <t>SKELLEFTEÅ</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5783-2025</t>
        </is>
      </c>
      <c r="B1534" s="1" t="n">
        <v>45694.63975694445</v>
      </c>
      <c r="C1534" s="1" t="n">
        <v>45927</v>
      </c>
      <c r="D1534" t="inlineStr">
        <is>
          <t>VÄSTERBOTTENS LÄN</t>
        </is>
      </c>
      <c r="E1534" t="inlineStr">
        <is>
          <t>SKELLEFTEÅ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16248-2025</t>
        </is>
      </c>
      <c r="B1535" s="1" t="n">
        <v>45750.67751157407</v>
      </c>
      <c r="C1535" s="1" t="n">
        <v>45927</v>
      </c>
      <c r="D1535" t="inlineStr">
        <is>
          <t>VÄSTERBOTTENS LÄN</t>
        </is>
      </c>
      <c r="E1535" t="inlineStr">
        <is>
          <t>SKELLEFTEÅ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16251-2025</t>
        </is>
      </c>
      <c r="B1536" s="1" t="n">
        <v>45750.69998842593</v>
      </c>
      <c r="C1536" s="1" t="n">
        <v>45927</v>
      </c>
      <c r="D1536" t="inlineStr">
        <is>
          <t>VÄSTERBOTTENS LÄN</t>
        </is>
      </c>
      <c r="E1536" t="inlineStr">
        <is>
          <t>SKELLEFTEÅ</t>
        </is>
      </c>
      <c r="F1536" t="inlineStr">
        <is>
          <t>Kommuner</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24496-2025</t>
        </is>
      </c>
      <c r="B1537" s="1" t="n">
        <v>45798</v>
      </c>
      <c r="C1537" s="1" t="n">
        <v>45927</v>
      </c>
      <c r="D1537" t="inlineStr">
        <is>
          <t>VÄSTERBOTTENS LÄN</t>
        </is>
      </c>
      <c r="E1537" t="inlineStr">
        <is>
          <t>SKELLEFTEÅ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33093-2025</t>
        </is>
      </c>
      <c r="B1538" s="1" t="n">
        <v>45840.47180555556</v>
      </c>
      <c r="C1538" s="1" t="n">
        <v>45927</v>
      </c>
      <c r="D1538" t="inlineStr">
        <is>
          <t>VÄSTERBOTTENS LÄN</t>
        </is>
      </c>
      <c r="E1538" t="inlineStr">
        <is>
          <t>SKELLEFTEÅ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25626-2023</t>
        </is>
      </c>
      <c r="B1539" s="1" t="n">
        <v>45084</v>
      </c>
      <c r="C1539" s="1" t="n">
        <v>45927</v>
      </c>
      <c r="D1539" t="inlineStr">
        <is>
          <t>VÄSTERBOTTENS LÄN</t>
        </is>
      </c>
      <c r="E1539" t="inlineStr">
        <is>
          <t>SKELLEFTEÅ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11527-2024</t>
        </is>
      </c>
      <c r="B1540" s="1" t="n">
        <v>45372</v>
      </c>
      <c r="C1540" s="1" t="n">
        <v>45927</v>
      </c>
      <c r="D1540" t="inlineStr">
        <is>
          <t>VÄSTERBOTTENS LÄN</t>
        </is>
      </c>
      <c r="E1540" t="inlineStr">
        <is>
          <t>SKELLEFTEÅ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9448-2025</t>
        </is>
      </c>
      <c r="B1541" s="1" t="n">
        <v>45715.42537037037</v>
      </c>
      <c r="C1541" s="1" t="n">
        <v>45927</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12537-2024</t>
        </is>
      </c>
      <c r="B1542" s="1" t="n">
        <v>45379</v>
      </c>
      <c r="C1542" s="1" t="n">
        <v>45927</v>
      </c>
      <c r="D1542" t="inlineStr">
        <is>
          <t>VÄSTERBOTTENS LÄN</t>
        </is>
      </c>
      <c r="E1542" t="inlineStr">
        <is>
          <t>SKELLEFTEÅ</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22205-2024</t>
        </is>
      </c>
      <c r="B1543" s="1" t="n">
        <v>45446.37524305555</v>
      </c>
      <c r="C1543" s="1" t="n">
        <v>45927</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19491-2023</t>
        </is>
      </c>
      <c r="B1544" s="1" t="n">
        <v>45049</v>
      </c>
      <c r="C1544" s="1" t="n">
        <v>45927</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33304-2025</t>
        </is>
      </c>
      <c r="B1545" s="1" t="n">
        <v>45841.29636574074</v>
      </c>
      <c r="C1545" s="1" t="n">
        <v>45927</v>
      </c>
      <c r="D1545" t="inlineStr">
        <is>
          <t>VÄSTERBOTTENS LÄN</t>
        </is>
      </c>
      <c r="E1545" t="inlineStr">
        <is>
          <t>SKELLEFTEÅ</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66061-2020</t>
        </is>
      </c>
      <c r="B1546" s="1" t="n">
        <v>44173</v>
      </c>
      <c r="C1546" s="1" t="n">
        <v>45927</v>
      </c>
      <c r="D1546" t="inlineStr">
        <is>
          <t>VÄSTERBOTTENS LÄN</t>
        </is>
      </c>
      <c r="E1546" t="inlineStr">
        <is>
          <t>SKELLEFTEÅ</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13641-2023</t>
        </is>
      </c>
      <c r="B1547" s="1" t="n">
        <v>45006</v>
      </c>
      <c r="C1547" s="1" t="n">
        <v>45927</v>
      </c>
      <c r="D1547" t="inlineStr">
        <is>
          <t>VÄSTERBOTTENS LÄN</t>
        </is>
      </c>
      <c r="E1547" t="inlineStr">
        <is>
          <t>SKELLEFTEÅ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29263-2025</t>
        </is>
      </c>
      <c r="B1548" s="1" t="n">
        <v>45824.39538194444</v>
      </c>
      <c r="C1548" s="1" t="n">
        <v>45927</v>
      </c>
      <c r="D1548" t="inlineStr">
        <is>
          <t>VÄSTERBOTTENS LÄN</t>
        </is>
      </c>
      <c r="E1548" t="inlineStr">
        <is>
          <t>SKELLEFTEÅ</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33073-2025</t>
        </is>
      </c>
      <c r="B1549" s="1" t="n">
        <v>45840.45332175926</v>
      </c>
      <c r="C1549" s="1" t="n">
        <v>45927</v>
      </c>
      <c r="D1549" t="inlineStr">
        <is>
          <t>VÄSTERBOTTENS LÄN</t>
        </is>
      </c>
      <c r="E1549" t="inlineStr">
        <is>
          <t>SKELLEFTEÅ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33303-2025</t>
        </is>
      </c>
      <c r="B1550" s="1" t="n">
        <v>45841.29267361111</v>
      </c>
      <c r="C1550" s="1" t="n">
        <v>45927</v>
      </c>
      <c r="D1550" t="inlineStr">
        <is>
          <t>VÄSTERBOTTENS LÄN</t>
        </is>
      </c>
      <c r="E1550" t="inlineStr">
        <is>
          <t>SKELLEFTEÅ</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33305-2025</t>
        </is>
      </c>
      <c r="B1551" s="1" t="n">
        <v>45841.30456018518</v>
      </c>
      <c r="C1551" s="1" t="n">
        <v>45927</v>
      </c>
      <c r="D1551" t="inlineStr">
        <is>
          <t>VÄSTERBOTTENS LÄN</t>
        </is>
      </c>
      <c r="E1551" t="inlineStr">
        <is>
          <t>SKELLEFTEÅ</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33579-2025</t>
        </is>
      </c>
      <c r="B1552" s="1" t="n">
        <v>45841.59310185185</v>
      </c>
      <c r="C1552" s="1" t="n">
        <v>45927</v>
      </c>
      <c r="D1552" t="inlineStr">
        <is>
          <t>VÄSTERBOTTENS LÄN</t>
        </is>
      </c>
      <c r="E1552" t="inlineStr">
        <is>
          <t>SKELLEFTEÅ</t>
        </is>
      </c>
      <c r="F1552" t="inlineStr">
        <is>
          <t>Holmen skog AB</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25632-2023</t>
        </is>
      </c>
      <c r="B1553" s="1" t="n">
        <v>45084</v>
      </c>
      <c r="C1553" s="1" t="n">
        <v>45927</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58821-2023</t>
        </is>
      </c>
      <c r="B1554" s="1" t="n">
        <v>45247</v>
      </c>
      <c r="C1554" s="1" t="n">
        <v>45927</v>
      </c>
      <c r="D1554" t="inlineStr">
        <is>
          <t>VÄSTERBOTTENS LÄN</t>
        </is>
      </c>
      <c r="E1554" t="inlineStr">
        <is>
          <t>SKELLEFTEÅ</t>
        </is>
      </c>
      <c r="G1554" t="n">
        <v>15.6</v>
      </c>
      <c r="H1554" t="n">
        <v>0</v>
      </c>
      <c r="I1554" t="n">
        <v>0</v>
      </c>
      <c r="J1554" t="n">
        <v>0</v>
      </c>
      <c r="K1554" t="n">
        <v>0</v>
      </c>
      <c r="L1554" t="n">
        <v>0</v>
      </c>
      <c r="M1554" t="n">
        <v>0</v>
      </c>
      <c r="N1554" t="n">
        <v>0</v>
      </c>
      <c r="O1554" t="n">
        <v>0</v>
      </c>
      <c r="P1554" t="n">
        <v>0</v>
      </c>
      <c r="Q1554" t="n">
        <v>0</v>
      </c>
      <c r="R1554" s="2" t="inlineStr"/>
    </row>
    <row r="1555" ht="15" customHeight="1">
      <c r="A1555" t="inlineStr">
        <is>
          <t>A 55241-2024</t>
        </is>
      </c>
      <c r="B1555" s="1" t="n">
        <v>45621.5884375</v>
      </c>
      <c r="C1555" s="1" t="n">
        <v>45927</v>
      </c>
      <c r="D1555" t="inlineStr">
        <is>
          <t>VÄSTERBOTTENS LÄN</t>
        </is>
      </c>
      <c r="E1555" t="inlineStr">
        <is>
          <t>SKELLEFTEÅ</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18564-2024</t>
        </is>
      </c>
      <c r="B1556" s="1" t="n">
        <v>45425</v>
      </c>
      <c r="C1556" s="1" t="n">
        <v>45927</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28365-2025</t>
        </is>
      </c>
      <c r="B1557" s="1" t="n">
        <v>45818.83288194444</v>
      </c>
      <c r="C1557" s="1" t="n">
        <v>45927</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33104-2025</t>
        </is>
      </c>
      <c r="B1558" s="1" t="n">
        <v>45840.48296296296</v>
      </c>
      <c r="C1558" s="1" t="n">
        <v>45927</v>
      </c>
      <c r="D1558" t="inlineStr">
        <is>
          <t>VÄSTERBOTTENS LÄN</t>
        </is>
      </c>
      <c r="E1558" t="inlineStr">
        <is>
          <t>SKELLEFTEÅ</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33154-2025</t>
        </is>
      </c>
      <c r="B1559" s="1" t="n">
        <v>45840.55459490741</v>
      </c>
      <c r="C1559" s="1" t="n">
        <v>45927</v>
      </c>
      <c r="D1559" t="inlineStr">
        <is>
          <t>VÄSTERBOTTENS LÄN</t>
        </is>
      </c>
      <c r="E1559" t="inlineStr">
        <is>
          <t>SKELLEFTEÅ</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9840-2025</t>
        </is>
      </c>
      <c r="B1560" s="1" t="n">
        <v>45716</v>
      </c>
      <c r="C1560" s="1" t="n">
        <v>45927</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31384-2024</t>
        </is>
      </c>
      <c r="B1561" s="1" t="n">
        <v>45505</v>
      </c>
      <c r="C1561" s="1" t="n">
        <v>45927</v>
      </c>
      <c r="D1561" t="inlineStr">
        <is>
          <t>VÄSTERBOTTENS LÄN</t>
        </is>
      </c>
      <c r="E1561" t="inlineStr">
        <is>
          <t>SKELLEFTEÅ</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58775-2024</t>
        </is>
      </c>
      <c r="B1562" s="1" t="n">
        <v>45635.80533564815</v>
      </c>
      <c r="C1562" s="1" t="n">
        <v>45927</v>
      </c>
      <c r="D1562" t="inlineStr">
        <is>
          <t>VÄSTERBOTTENS LÄN</t>
        </is>
      </c>
      <c r="E1562" t="inlineStr">
        <is>
          <t>SKELLEFTEÅ</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12939-2025</t>
        </is>
      </c>
      <c r="B1563" s="1" t="n">
        <v>45734.36378472222</v>
      </c>
      <c r="C1563" s="1" t="n">
        <v>45927</v>
      </c>
      <c r="D1563" t="inlineStr">
        <is>
          <t>VÄSTERBOTTENS LÄN</t>
        </is>
      </c>
      <c r="E1563" t="inlineStr">
        <is>
          <t>SKELLEFTEÅ</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34027-2025</t>
        </is>
      </c>
      <c r="B1564" s="1" t="n">
        <v>45845.35981481482</v>
      </c>
      <c r="C1564" s="1" t="n">
        <v>45927</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7745-2024</t>
        </is>
      </c>
      <c r="B1565" s="1" t="n">
        <v>45348</v>
      </c>
      <c r="C1565" s="1" t="n">
        <v>45927</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11629-2023</t>
        </is>
      </c>
      <c r="B1566" s="1" t="n">
        <v>44994.43855324074</v>
      </c>
      <c r="C1566" s="1" t="n">
        <v>45927</v>
      </c>
      <c r="D1566" t="inlineStr">
        <is>
          <t>VÄSTERBOTTENS LÄN</t>
        </is>
      </c>
      <c r="E1566" t="inlineStr">
        <is>
          <t>SKELLEFTEÅ</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11642-2023</t>
        </is>
      </c>
      <c r="B1567" s="1" t="n">
        <v>44994.45225694445</v>
      </c>
      <c r="C1567" s="1" t="n">
        <v>45927</v>
      </c>
      <c r="D1567" t="inlineStr">
        <is>
          <t>VÄSTERBOTTENS LÄN</t>
        </is>
      </c>
      <c r="E1567" t="inlineStr">
        <is>
          <t>SKELLEFTEÅ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38690-2025</t>
        </is>
      </c>
      <c r="B1568" s="1" t="n">
        <v>45884.67143518518</v>
      </c>
      <c r="C1568" s="1" t="n">
        <v>45927</v>
      </c>
      <c r="D1568" t="inlineStr">
        <is>
          <t>VÄSTERBOTTENS LÄN</t>
        </is>
      </c>
      <c r="E1568" t="inlineStr">
        <is>
          <t>SKELLEFTEÅ</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33918-2025</t>
        </is>
      </c>
      <c r="B1569" s="1" t="n">
        <v>45842.61505787037</v>
      </c>
      <c r="C1569" s="1" t="n">
        <v>45927</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38661-2025</t>
        </is>
      </c>
      <c r="B1570" s="1" t="n">
        <v>45884.61168981482</v>
      </c>
      <c r="C1570" s="1" t="n">
        <v>45927</v>
      </c>
      <c r="D1570" t="inlineStr">
        <is>
          <t>VÄSTERBOTTENS LÄN</t>
        </is>
      </c>
      <c r="E1570" t="inlineStr">
        <is>
          <t>SKELLEFTEÅ</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33994-2025</t>
        </is>
      </c>
      <c r="B1571" s="1" t="n">
        <v>45843.66199074074</v>
      </c>
      <c r="C1571" s="1" t="n">
        <v>45927</v>
      </c>
      <c r="D1571" t="inlineStr">
        <is>
          <t>VÄSTERBOTTENS LÄN</t>
        </is>
      </c>
      <c r="E1571" t="inlineStr">
        <is>
          <t>SKELLEFTEÅ</t>
        </is>
      </c>
      <c r="G1571" t="n">
        <v>13.2</v>
      </c>
      <c r="H1571" t="n">
        <v>0</v>
      </c>
      <c r="I1571" t="n">
        <v>0</v>
      </c>
      <c r="J1571" t="n">
        <v>0</v>
      </c>
      <c r="K1571" t="n">
        <v>0</v>
      </c>
      <c r="L1571" t="n">
        <v>0</v>
      </c>
      <c r="M1571" t="n">
        <v>0</v>
      </c>
      <c r="N1571" t="n">
        <v>0</v>
      </c>
      <c r="O1571" t="n">
        <v>0</v>
      </c>
      <c r="P1571" t="n">
        <v>0</v>
      </c>
      <c r="Q1571" t="n">
        <v>0</v>
      </c>
      <c r="R1571" s="2" t="inlineStr"/>
    </row>
    <row r="1572" ht="15" customHeight="1">
      <c r="A1572" t="inlineStr">
        <is>
          <t>A 36800-2024</t>
        </is>
      </c>
      <c r="B1572" s="1" t="n">
        <v>45538.45694444444</v>
      </c>
      <c r="C1572" s="1" t="n">
        <v>45927</v>
      </c>
      <c r="D1572" t="inlineStr">
        <is>
          <t>VÄSTERBOTTENS LÄN</t>
        </is>
      </c>
      <c r="E1572" t="inlineStr">
        <is>
          <t>SKELLEFTEÅ</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41297-2024</t>
        </is>
      </c>
      <c r="B1573" s="1" t="n">
        <v>45559.61015046296</v>
      </c>
      <c r="C1573" s="1" t="n">
        <v>45927</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72692-2021</t>
        </is>
      </c>
      <c r="B1574" s="1" t="n">
        <v>44545</v>
      </c>
      <c r="C1574" s="1" t="n">
        <v>45927</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10074-2025</t>
        </is>
      </c>
      <c r="B1575" s="1" t="n">
        <v>45719</v>
      </c>
      <c r="C1575" s="1" t="n">
        <v>45927</v>
      </c>
      <c r="D1575" t="inlineStr">
        <is>
          <t>VÄSTERBOTTENS LÄN</t>
        </is>
      </c>
      <c r="E1575" t="inlineStr">
        <is>
          <t>SKELLEFTEÅ</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38778-2025</t>
        </is>
      </c>
      <c r="B1576" s="1" t="n">
        <v>45887.43694444445</v>
      </c>
      <c r="C1576" s="1" t="n">
        <v>45927</v>
      </c>
      <c r="D1576" t="inlineStr">
        <is>
          <t>VÄSTERBOTTENS LÄN</t>
        </is>
      </c>
      <c r="E1576" t="inlineStr">
        <is>
          <t>SKELLEFTEÅ</t>
        </is>
      </c>
      <c r="G1576" t="n">
        <v>19.7</v>
      </c>
      <c r="H1576" t="n">
        <v>0</v>
      </c>
      <c r="I1576" t="n">
        <v>0</v>
      </c>
      <c r="J1576" t="n">
        <v>0</v>
      </c>
      <c r="K1576" t="n">
        <v>0</v>
      </c>
      <c r="L1576" t="n">
        <v>0</v>
      </c>
      <c r="M1576" t="n">
        <v>0</v>
      </c>
      <c r="N1576" t="n">
        <v>0</v>
      </c>
      <c r="O1576" t="n">
        <v>0</v>
      </c>
      <c r="P1576" t="n">
        <v>0</v>
      </c>
      <c r="Q1576" t="n">
        <v>0</v>
      </c>
      <c r="R1576" s="2" t="inlineStr"/>
    </row>
    <row r="1577" ht="15" customHeight="1">
      <c r="A1577" t="inlineStr">
        <is>
          <t>A 38590-2025</t>
        </is>
      </c>
      <c r="B1577" s="1" t="n">
        <v>45884.47512731481</v>
      </c>
      <c r="C1577" s="1" t="n">
        <v>45927</v>
      </c>
      <c r="D1577" t="inlineStr">
        <is>
          <t>VÄSTERBOTTENS LÄN</t>
        </is>
      </c>
      <c r="E1577" t="inlineStr">
        <is>
          <t>SKELLEFTEÅ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33736-2025</t>
        </is>
      </c>
      <c r="B1578" s="1" t="n">
        <v>45842.33180555556</v>
      </c>
      <c r="C1578" s="1" t="n">
        <v>45927</v>
      </c>
      <c r="D1578" t="inlineStr">
        <is>
          <t>VÄSTERBOTTENS LÄN</t>
        </is>
      </c>
      <c r="E1578" t="inlineStr">
        <is>
          <t>SKELLEFTEÅ</t>
        </is>
      </c>
      <c r="F1578" t="inlineStr">
        <is>
          <t>Holmen skog AB</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33737-2025</t>
        </is>
      </c>
      <c r="B1579" s="1" t="n">
        <v>45842.33768518519</v>
      </c>
      <c r="C1579" s="1" t="n">
        <v>45927</v>
      </c>
      <c r="D1579" t="inlineStr">
        <is>
          <t>VÄSTERBOTTENS LÄN</t>
        </is>
      </c>
      <c r="E1579" t="inlineStr">
        <is>
          <t>SKELLEFTEÅ</t>
        </is>
      </c>
      <c r="F1579" t="inlineStr">
        <is>
          <t>Holmen skog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54469-2023</t>
        </is>
      </c>
      <c r="B1580" s="1" t="n">
        <v>45226</v>
      </c>
      <c r="C1580" s="1" t="n">
        <v>45927</v>
      </c>
      <c r="D1580" t="inlineStr">
        <is>
          <t>VÄSTERBOTTENS LÄN</t>
        </is>
      </c>
      <c r="E1580" t="inlineStr">
        <is>
          <t>SKELLEFTEÅ</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26462-2023</t>
        </is>
      </c>
      <c r="B1581" s="1" t="n">
        <v>45092.4658449074</v>
      </c>
      <c r="C1581" s="1" t="n">
        <v>45927</v>
      </c>
      <c r="D1581" t="inlineStr">
        <is>
          <t>VÄSTERBOTTENS LÄN</t>
        </is>
      </c>
      <c r="E1581" t="inlineStr">
        <is>
          <t>SKELLEFTEÅ</t>
        </is>
      </c>
      <c r="F1581" t="inlineStr">
        <is>
          <t>Holmen skog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37796-2023</t>
        </is>
      </c>
      <c r="B1582" s="1" t="n">
        <v>45159.92447916666</v>
      </c>
      <c r="C1582" s="1" t="n">
        <v>45927</v>
      </c>
      <c r="D1582" t="inlineStr">
        <is>
          <t>VÄSTERBOTTENS LÄN</t>
        </is>
      </c>
      <c r="E1582" t="inlineStr">
        <is>
          <t>SKELLEFTEÅ</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41190-2024</t>
        </is>
      </c>
      <c r="B1583" s="1" t="n">
        <v>45559.50627314814</v>
      </c>
      <c r="C1583" s="1" t="n">
        <v>45927</v>
      </c>
      <c r="D1583" t="inlineStr">
        <is>
          <t>VÄSTERBOTTENS LÄN</t>
        </is>
      </c>
      <c r="E1583" t="inlineStr">
        <is>
          <t>SKELLEFTEÅ</t>
        </is>
      </c>
      <c r="F1583" t="inlineStr">
        <is>
          <t>Holmen skog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33810-2025</t>
        </is>
      </c>
      <c r="B1584" s="1" t="n">
        <v>45842.45144675926</v>
      </c>
      <c r="C1584" s="1" t="n">
        <v>45927</v>
      </c>
      <c r="D1584" t="inlineStr">
        <is>
          <t>VÄSTERBOTTENS LÄN</t>
        </is>
      </c>
      <c r="E1584" t="inlineStr">
        <is>
          <t>SKELLEFTEÅ</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34082-2025</t>
        </is>
      </c>
      <c r="B1585" s="1" t="n">
        <v>45845.46190972222</v>
      </c>
      <c r="C1585" s="1" t="n">
        <v>45927</v>
      </c>
      <c r="D1585" t="inlineStr">
        <is>
          <t>VÄSTERBOTTENS LÄN</t>
        </is>
      </c>
      <c r="E1585" t="inlineStr">
        <is>
          <t>SKELLEFTEÅ</t>
        </is>
      </c>
      <c r="F1585" t="inlineStr">
        <is>
          <t>Holmen skog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42946-2022</t>
        </is>
      </c>
      <c r="B1586" s="1" t="n">
        <v>44833.38583333333</v>
      </c>
      <c r="C1586" s="1" t="n">
        <v>45927</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38481-2025</t>
        </is>
      </c>
      <c r="B1587" s="1" t="n">
        <v>45884.33145833333</v>
      </c>
      <c r="C1587" s="1" t="n">
        <v>45927</v>
      </c>
      <c r="D1587" t="inlineStr">
        <is>
          <t>VÄSTERBOTTENS LÄN</t>
        </is>
      </c>
      <c r="E1587" t="inlineStr">
        <is>
          <t>SKELLEFTEÅ</t>
        </is>
      </c>
      <c r="F1587" t="inlineStr">
        <is>
          <t>Holmen skog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11528-2024</t>
        </is>
      </c>
      <c r="B1588" s="1" t="n">
        <v>45372</v>
      </c>
      <c r="C1588" s="1" t="n">
        <v>45927</v>
      </c>
      <c r="D1588" t="inlineStr">
        <is>
          <t>VÄSTERBOTTENS LÄN</t>
        </is>
      </c>
      <c r="E1588" t="inlineStr">
        <is>
          <t>SKELLEFTEÅ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33892-2025</t>
        </is>
      </c>
      <c r="B1589" s="1" t="n">
        <v>45842.5753125</v>
      </c>
      <c r="C1589" s="1" t="n">
        <v>45927</v>
      </c>
      <c r="D1589" t="inlineStr">
        <is>
          <t>VÄSTERBOTTENS LÄN</t>
        </is>
      </c>
      <c r="E1589" t="inlineStr">
        <is>
          <t>SKELLEFTEÅ</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27253-2024</t>
        </is>
      </c>
      <c r="B1590" s="1" t="n">
        <v>45471.70609953703</v>
      </c>
      <c r="C1590" s="1" t="n">
        <v>45927</v>
      </c>
      <c r="D1590" t="inlineStr">
        <is>
          <t>VÄSTERBOTTENS LÄN</t>
        </is>
      </c>
      <c r="E1590" t="inlineStr">
        <is>
          <t>SKELLEFTEÅ</t>
        </is>
      </c>
      <c r="F1590" t="inlineStr">
        <is>
          <t>Holmen skog AB</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45927</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59783-2024</t>
        </is>
      </c>
      <c r="B1592" s="1" t="n">
        <v>45639.57982638889</v>
      </c>
      <c r="C1592" s="1" t="n">
        <v>45927</v>
      </c>
      <c r="D1592" t="inlineStr">
        <is>
          <t>VÄSTERBOTTENS LÄN</t>
        </is>
      </c>
      <c r="E1592" t="inlineStr">
        <is>
          <t>SKELLEFTEÅ</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62227-2021</t>
        </is>
      </c>
      <c r="B1593" s="1" t="n">
        <v>44501</v>
      </c>
      <c r="C1593" s="1" t="n">
        <v>45927</v>
      </c>
      <c r="D1593" t="inlineStr">
        <is>
          <t>VÄSTERBOTTENS LÄN</t>
        </is>
      </c>
      <c r="E1593" t="inlineStr">
        <is>
          <t>SKELLEFTEÅ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31392-2024</t>
        </is>
      </c>
      <c r="B1594" s="1" t="n">
        <v>45505.4709375</v>
      </c>
      <c r="C1594" s="1" t="n">
        <v>45927</v>
      </c>
      <c r="D1594" t="inlineStr">
        <is>
          <t>VÄSTERBOTTENS LÄN</t>
        </is>
      </c>
      <c r="E1594" t="inlineStr">
        <is>
          <t>SKELLEFTEÅ</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52714-2020</t>
        </is>
      </c>
      <c r="B1595" s="1" t="n">
        <v>44119</v>
      </c>
      <c r="C1595" s="1" t="n">
        <v>45927</v>
      </c>
      <c r="D1595" t="inlineStr">
        <is>
          <t>VÄSTERBOTTENS LÄN</t>
        </is>
      </c>
      <c r="E1595" t="inlineStr">
        <is>
          <t>SKELLEFTEÅ</t>
        </is>
      </c>
      <c r="F1595" t="inlineStr">
        <is>
          <t>Holmen skog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61105-2022</t>
        </is>
      </c>
      <c r="B1596" s="1" t="n">
        <v>44915.41087962963</v>
      </c>
      <c r="C1596" s="1" t="n">
        <v>45927</v>
      </c>
      <c r="D1596" t="inlineStr">
        <is>
          <t>VÄSTERBOTTENS LÄN</t>
        </is>
      </c>
      <c r="E1596" t="inlineStr">
        <is>
          <t>SKELLEFTEÅ</t>
        </is>
      </c>
      <c r="F1596" t="inlineStr">
        <is>
          <t>Sveaskog</t>
        </is>
      </c>
      <c r="G1596" t="n">
        <v>19.5</v>
      </c>
      <c r="H1596" t="n">
        <v>0</v>
      </c>
      <c r="I1596" t="n">
        <v>0</v>
      </c>
      <c r="J1596" t="n">
        <v>0</v>
      </c>
      <c r="K1596" t="n">
        <v>0</v>
      </c>
      <c r="L1596" t="n">
        <v>0</v>
      </c>
      <c r="M1596" t="n">
        <v>0</v>
      </c>
      <c r="N1596" t="n">
        <v>0</v>
      </c>
      <c r="O1596" t="n">
        <v>0</v>
      </c>
      <c r="P1596" t="n">
        <v>0</v>
      </c>
      <c r="Q1596" t="n">
        <v>0</v>
      </c>
      <c r="R1596" s="2" t="inlineStr"/>
    </row>
    <row r="1597" ht="15" customHeight="1">
      <c r="A1597" t="inlineStr">
        <is>
          <t>A 54971-2024</t>
        </is>
      </c>
      <c r="B1597" s="1" t="n">
        <v>45620</v>
      </c>
      <c r="C1597" s="1" t="n">
        <v>45927</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3844-2025</t>
        </is>
      </c>
      <c r="B1598" s="1" t="n">
        <v>45683.67905092592</v>
      </c>
      <c r="C1598" s="1" t="n">
        <v>45927</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3892-2025</t>
        </is>
      </c>
      <c r="B1599" s="1" t="n">
        <v>45684.37506944445</v>
      </c>
      <c r="C1599" s="1" t="n">
        <v>45927</v>
      </c>
      <c r="D1599" t="inlineStr">
        <is>
          <t>VÄSTERBOTTENS LÄN</t>
        </is>
      </c>
      <c r="E1599" t="inlineStr">
        <is>
          <t>SKELLEFTEÅ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42367-2021</t>
        </is>
      </c>
      <c r="B1600" s="1" t="n">
        <v>44427</v>
      </c>
      <c r="C1600" s="1" t="n">
        <v>45927</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44398-2022</t>
        </is>
      </c>
      <c r="B1601" s="1" t="n">
        <v>44839</v>
      </c>
      <c r="C1601" s="1" t="n">
        <v>45927</v>
      </c>
      <c r="D1601" t="inlineStr">
        <is>
          <t>VÄSTERBOTTENS LÄN</t>
        </is>
      </c>
      <c r="E1601" t="inlineStr">
        <is>
          <t>SKELLEFTEÅ</t>
        </is>
      </c>
      <c r="F1601" t="inlineStr">
        <is>
          <t>Sveaskog</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61132-2022</t>
        </is>
      </c>
      <c r="B1602" s="1" t="n">
        <v>44915.44849537037</v>
      </c>
      <c r="C1602" s="1" t="n">
        <v>45927</v>
      </c>
      <c r="D1602" t="inlineStr">
        <is>
          <t>VÄSTERBOTTENS LÄN</t>
        </is>
      </c>
      <c r="E1602" t="inlineStr">
        <is>
          <t>SKELLEFTEÅ</t>
        </is>
      </c>
      <c r="F1602" t="inlineStr">
        <is>
          <t>Sveaskog</t>
        </is>
      </c>
      <c r="G1602" t="n">
        <v>14.5</v>
      </c>
      <c r="H1602" t="n">
        <v>0</v>
      </c>
      <c r="I1602" t="n">
        <v>0</v>
      </c>
      <c r="J1602" t="n">
        <v>0</v>
      </c>
      <c r="K1602" t="n">
        <v>0</v>
      </c>
      <c r="L1602" t="n">
        <v>0</v>
      </c>
      <c r="M1602" t="n">
        <v>0</v>
      </c>
      <c r="N1602" t="n">
        <v>0</v>
      </c>
      <c r="O1602" t="n">
        <v>0</v>
      </c>
      <c r="P1602" t="n">
        <v>0</v>
      </c>
      <c r="Q1602" t="n">
        <v>0</v>
      </c>
      <c r="R1602" s="2" t="inlineStr"/>
    </row>
    <row r="1603" ht="15" customHeight="1">
      <c r="A1603" t="inlineStr">
        <is>
          <t>A 3889-2025</t>
        </is>
      </c>
      <c r="B1603" s="1" t="n">
        <v>45684.36821759259</v>
      </c>
      <c r="C1603" s="1" t="n">
        <v>45927</v>
      </c>
      <c r="D1603" t="inlineStr">
        <is>
          <t>VÄSTERBOTTENS LÄN</t>
        </is>
      </c>
      <c r="E1603" t="inlineStr">
        <is>
          <t>SKELLEFTEÅ</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61559-2024</t>
        </is>
      </c>
      <c r="B1604" s="1" t="n">
        <v>45646.61180555556</v>
      </c>
      <c r="C1604" s="1" t="n">
        <v>45927</v>
      </c>
      <c r="D1604" t="inlineStr">
        <is>
          <t>VÄSTERBOTTENS LÄN</t>
        </is>
      </c>
      <c r="E1604" t="inlineStr">
        <is>
          <t>SKELLEFTEÅ</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7028-2025</t>
        </is>
      </c>
      <c r="B1605" s="1" t="n">
        <v>45701.63065972222</v>
      </c>
      <c r="C1605" s="1" t="n">
        <v>45927</v>
      </c>
      <c r="D1605" t="inlineStr">
        <is>
          <t>VÄSTERBOTTENS LÄN</t>
        </is>
      </c>
      <c r="E1605" t="inlineStr">
        <is>
          <t>SKELLEFTEÅ</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9425-2024</t>
        </is>
      </c>
      <c r="B1606" s="1" t="n">
        <v>45359</v>
      </c>
      <c r="C1606" s="1" t="n">
        <v>45927</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19658-2025</t>
        </is>
      </c>
      <c r="B1607" s="1" t="n">
        <v>45770</v>
      </c>
      <c r="C1607" s="1" t="n">
        <v>45927</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17015-2025</t>
        </is>
      </c>
      <c r="B1608" s="1" t="n">
        <v>45755.55318287037</v>
      </c>
      <c r="C1608" s="1" t="n">
        <v>45927</v>
      </c>
      <c r="D1608" t="inlineStr">
        <is>
          <t>VÄSTERBOTTENS LÄN</t>
        </is>
      </c>
      <c r="E1608" t="inlineStr">
        <is>
          <t>SKELLEFTEÅ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45927</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38500-2025</t>
        </is>
      </c>
      <c r="B1610" s="1" t="n">
        <v>45884.37513888889</v>
      </c>
      <c r="C1610" s="1" t="n">
        <v>45927</v>
      </c>
      <c r="D1610" t="inlineStr">
        <is>
          <t>VÄSTERBOTTENS LÄN</t>
        </is>
      </c>
      <c r="E1610" t="inlineStr">
        <is>
          <t>SKELLEFTEÅ</t>
        </is>
      </c>
      <c r="F1610" t="inlineStr">
        <is>
          <t>Holmen skog AB</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61631-2022</t>
        </is>
      </c>
      <c r="B1611" s="1" t="n">
        <v>44916.69783564815</v>
      </c>
      <c r="C1611" s="1" t="n">
        <v>45927</v>
      </c>
      <c r="D1611" t="inlineStr">
        <is>
          <t>VÄSTERBOTTENS LÄN</t>
        </is>
      </c>
      <c r="E1611" t="inlineStr">
        <is>
          <t>SKELLEFTEÅ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61635-2022</t>
        </is>
      </c>
      <c r="B1612" s="1" t="n">
        <v>44916.71002314815</v>
      </c>
      <c r="C1612" s="1" t="n">
        <v>45927</v>
      </c>
      <c r="D1612" t="inlineStr">
        <is>
          <t>VÄSTERBOTTENS LÄN</t>
        </is>
      </c>
      <c r="E1612" t="inlineStr">
        <is>
          <t>SKELLEFTEÅ</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34056-2025</t>
        </is>
      </c>
      <c r="B1613" s="1" t="n">
        <v>45845.41228009259</v>
      </c>
      <c r="C1613" s="1" t="n">
        <v>45927</v>
      </c>
      <c r="D1613" t="inlineStr">
        <is>
          <t>VÄSTERBOTTENS LÄN</t>
        </is>
      </c>
      <c r="E1613" t="inlineStr">
        <is>
          <t>SKELLEFTEÅ</t>
        </is>
      </c>
      <c r="F1613" t="inlineStr">
        <is>
          <t>Holmen skog AB</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38954-2025</t>
        </is>
      </c>
      <c r="B1614" s="1" t="n">
        <v>45887.66715277778</v>
      </c>
      <c r="C1614" s="1" t="n">
        <v>45927</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38539-2025</t>
        </is>
      </c>
      <c r="B1615" s="1" t="n">
        <v>45884.42550925926</v>
      </c>
      <c r="C1615" s="1" t="n">
        <v>45927</v>
      </c>
      <c r="D1615" t="inlineStr">
        <is>
          <t>VÄSTERBOTTENS LÄN</t>
        </is>
      </c>
      <c r="E1615" t="inlineStr">
        <is>
          <t>SKELLEFTEÅ</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33785-2025</t>
        </is>
      </c>
      <c r="B1616" s="1" t="n">
        <v>45842.40923611111</v>
      </c>
      <c r="C1616" s="1" t="n">
        <v>45927</v>
      </c>
      <c r="D1616" t="inlineStr">
        <is>
          <t>VÄSTERBOTTENS LÄN</t>
        </is>
      </c>
      <c r="E1616" t="inlineStr">
        <is>
          <t>SKELLEFTEÅ</t>
        </is>
      </c>
      <c r="F1616" t="inlineStr">
        <is>
          <t>Holmen skog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33800-2025</t>
        </is>
      </c>
      <c r="B1617" s="1" t="n">
        <v>45842.44159722222</v>
      </c>
      <c r="C1617" s="1" t="n">
        <v>45927</v>
      </c>
      <c r="D1617" t="inlineStr">
        <is>
          <t>VÄSTERBOTTENS LÄN</t>
        </is>
      </c>
      <c r="E1617" t="inlineStr">
        <is>
          <t>SKELLEFTEÅ</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11685-2022</t>
        </is>
      </c>
      <c r="B1618" s="1" t="n">
        <v>44634.31503472223</v>
      </c>
      <c r="C1618" s="1" t="n">
        <v>45927</v>
      </c>
      <c r="D1618" t="inlineStr">
        <is>
          <t>VÄSTERBOTTENS LÄN</t>
        </is>
      </c>
      <c r="E1618" t="inlineStr">
        <is>
          <t>SKELLEFTEÅ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34455-2023</t>
        </is>
      </c>
      <c r="B1619" s="1" t="n">
        <v>45139.68733796296</v>
      </c>
      <c r="C1619" s="1" t="n">
        <v>45927</v>
      </c>
      <c r="D1619" t="inlineStr">
        <is>
          <t>VÄSTERBOTTENS LÄN</t>
        </is>
      </c>
      <c r="E1619" t="inlineStr">
        <is>
          <t>SKELLEFTEÅ</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66500-2021</t>
        </is>
      </c>
      <c r="B1620" s="1" t="n">
        <v>44519.3160300926</v>
      </c>
      <c r="C1620" s="1" t="n">
        <v>45927</v>
      </c>
      <c r="D1620" t="inlineStr">
        <is>
          <t>VÄSTERBOTTENS LÄN</t>
        </is>
      </c>
      <c r="E1620" t="inlineStr">
        <is>
          <t>SKELLEFTEÅ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11790-2022</t>
        </is>
      </c>
      <c r="B1621" s="1" t="n">
        <v>44634</v>
      </c>
      <c r="C1621" s="1" t="n">
        <v>45927</v>
      </c>
      <c r="D1621" t="inlineStr">
        <is>
          <t>VÄSTERBOTTENS LÄN</t>
        </is>
      </c>
      <c r="E1621" t="inlineStr">
        <is>
          <t>SKELLEFTEÅ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38586-2025</t>
        </is>
      </c>
      <c r="B1622" s="1" t="n">
        <v>45884.47202546296</v>
      </c>
      <c r="C1622" s="1" t="n">
        <v>45927</v>
      </c>
      <c r="D1622" t="inlineStr">
        <is>
          <t>VÄSTERBOTTENS LÄN</t>
        </is>
      </c>
      <c r="E1622" t="inlineStr">
        <is>
          <t>SKELLEFTEÅ</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38694-2025</t>
        </is>
      </c>
      <c r="B1623" s="1" t="n">
        <v>45884.71439814815</v>
      </c>
      <c r="C1623" s="1" t="n">
        <v>45927</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34274-2025</t>
        </is>
      </c>
      <c r="B1624" s="1" t="n">
        <v>45845.86229166666</v>
      </c>
      <c r="C1624" s="1" t="n">
        <v>45927</v>
      </c>
      <c r="D1624" t="inlineStr">
        <is>
          <t>VÄSTERBOTTENS LÄN</t>
        </is>
      </c>
      <c r="E1624" t="inlineStr">
        <is>
          <t>SKELLEFTEÅ</t>
        </is>
      </c>
      <c r="G1624" t="n">
        <v>15.3</v>
      </c>
      <c r="H1624" t="n">
        <v>0</v>
      </c>
      <c r="I1624" t="n">
        <v>0</v>
      </c>
      <c r="J1624" t="n">
        <v>0</v>
      </c>
      <c r="K1624" t="n">
        <v>0</v>
      </c>
      <c r="L1624" t="n">
        <v>0</v>
      </c>
      <c r="M1624" t="n">
        <v>0</v>
      </c>
      <c r="N1624" t="n">
        <v>0</v>
      </c>
      <c r="O1624" t="n">
        <v>0</v>
      </c>
      <c r="P1624" t="n">
        <v>0</v>
      </c>
      <c r="Q1624" t="n">
        <v>0</v>
      </c>
      <c r="R1624" s="2" t="inlineStr"/>
    </row>
    <row r="1625" ht="15" customHeight="1">
      <c r="A1625" t="inlineStr">
        <is>
          <t>A 12715-2022</t>
        </is>
      </c>
      <c r="B1625" s="1" t="n">
        <v>44641</v>
      </c>
      <c r="C1625" s="1" t="n">
        <v>45927</v>
      </c>
      <c r="D1625" t="inlineStr">
        <is>
          <t>VÄSTERBOTTENS LÄN</t>
        </is>
      </c>
      <c r="E1625" t="inlineStr">
        <is>
          <t>SKELLEFTEÅ</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34315-2025</t>
        </is>
      </c>
      <c r="B1626" s="1" t="n">
        <v>45846.4034837963</v>
      </c>
      <c r="C1626" s="1" t="n">
        <v>45927</v>
      </c>
      <c r="D1626" t="inlineStr">
        <is>
          <t>VÄSTERBOTTENS LÄN</t>
        </is>
      </c>
      <c r="E1626" t="inlineStr">
        <is>
          <t>SKELLEFTEÅ</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37474-2023</t>
        </is>
      </c>
      <c r="B1627" s="1" t="n">
        <v>45156.92446759259</v>
      </c>
      <c r="C1627" s="1" t="n">
        <v>45927</v>
      </c>
      <c r="D1627" t="inlineStr">
        <is>
          <t>VÄSTERBOTTENS LÄN</t>
        </is>
      </c>
      <c r="E1627" t="inlineStr">
        <is>
          <t>SKELLEFTEÅ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62023-2024</t>
        </is>
      </c>
      <c r="B1628" s="1" t="n">
        <v>45656.06716435185</v>
      </c>
      <c r="C1628" s="1" t="n">
        <v>45927</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62058-2024</t>
        </is>
      </c>
      <c r="B1629" s="1" t="n">
        <v>45656.37960648148</v>
      </c>
      <c r="C1629" s="1" t="n">
        <v>45927</v>
      </c>
      <c r="D1629" t="inlineStr">
        <is>
          <t>VÄSTERBOTTENS LÄN</t>
        </is>
      </c>
      <c r="E1629" t="inlineStr">
        <is>
          <t>SKELLEFTEÅ</t>
        </is>
      </c>
      <c r="F1629" t="inlineStr">
        <is>
          <t>Sveaskog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34471-2025</t>
        </is>
      </c>
      <c r="B1630" s="1" t="n">
        <v>45847</v>
      </c>
      <c r="C1630" s="1" t="n">
        <v>45927</v>
      </c>
      <c r="D1630" t="inlineStr">
        <is>
          <t>VÄSTERBOTTENS LÄN</t>
        </is>
      </c>
      <c r="E1630" t="inlineStr">
        <is>
          <t>SKELLEFTEÅ</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19107-2025</t>
        </is>
      </c>
      <c r="B1631" s="1" t="n">
        <v>45768.37873842593</v>
      </c>
      <c r="C1631" s="1" t="n">
        <v>45927</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45111-2024</t>
        </is>
      </c>
      <c r="B1632" s="1" t="n">
        <v>45575</v>
      </c>
      <c r="C1632" s="1" t="n">
        <v>45927</v>
      </c>
      <c r="D1632" t="inlineStr">
        <is>
          <t>VÄSTERBOTTENS LÄN</t>
        </is>
      </c>
      <c r="E1632" t="inlineStr">
        <is>
          <t>SKELLEFTEÅ</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15479-2023</t>
        </is>
      </c>
      <c r="B1633" s="1" t="n">
        <v>45020.45726851852</v>
      </c>
      <c r="C1633" s="1" t="n">
        <v>45927</v>
      </c>
      <c r="D1633" t="inlineStr">
        <is>
          <t>VÄSTERBOTTENS LÄN</t>
        </is>
      </c>
      <c r="E1633" t="inlineStr">
        <is>
          <t>SKELLEFTEÅ</t>
        </is>
      </c>
      <c r="F1633" t="inlineStr">
        <is>
          <t>Sveaskog</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34273-2025</t>
        </is>
      </c>
      <c r="B1634" s="1" t="n">
        <v>45845.85751157408</v>
      </c>
      <c r="C1634" s="1" t="n">
        <v>45927</v>
      </c>
      <c r="D1634" t="inlineStr">
        <is>
          <t>VÄSTERBOTTENS LÄN</t>
        </is>
      </c>
      <c r="E1634" t="inlineStr">
        <is>
          <t>SKELLEFTEÅ</t>
        </is>
      </c>
      <c r="G1634" t="n">
        <v>28.4</v>
      </c>
      <c r="H1634" t="n">
        <v>0</v>
      </c>
      <c r="I1634" t="n">
        <v>0</v>
      </c>
      <c r="J1634" t="n">
        <v>0</v>
      </c>
      <c r="K1634" t="n">
        <v>0</v>
      </c>
      <c r="L1634" t="n">
        <v>0</v>
      </c>
      <c r="M1634" t="n">
        <v>0</v>
      </c>
      <c r="N1634" t="n">
        <v>0</v>
      </c>
      <c r="O1634" t="n">
        <v>0</v>
      </c>
      <c r="P1634" t="n">
        <v>0</v>
      </c>
      <c r="Q1634" t="n">
        <v>0</v>
      </c>
      <c r="R1634" s="2" t="inlineStr"/>
    </row>
    <row r="1635" ht="15" customHeight="1">
      <c r="A1635" t="inlineStr">
        <is>
          <t>A 1233-2025</t>
        </is>
      </c>
      <c r="B1635" s="1" t="n">
        <v>45667.44528935185</v>
      </c>
      <c r="C1635" s="1" t="n">
        <v>45927</v>
      </c>
      <c r="D1635" t="inlineStr">
        <is>
          <t>VÄSTERBOTTENS LÄN</t>
        </is>
      </c>
      <c r="E1635" t="inlineStr">
        <is>
          <t>SKELLEFTEÅ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39445-2025</t>
        </is>
      </c>
      <c r="B1636" s="1" t="n">
        <v>45889.7028125</v>
      </c>
      <c r="C1636" s="1" t="n">
        <v>45927</v>
      </c>
      <c r="D1636" t="inlineStr">
        <is>
          <t>VÄSTERBOTTENS LÄN</t>
        </is>
      </c>
      <c r="E1636" t="inlineStr">
        <is>
          <t>SKELLEFTEÅ</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39447-2025</t>
        </is>
      </c>
      <c r="B1637" s="1" t="n">
        <v>45889.70673611111</v>
      </c>
      <c r="C1637" s="1" t="n">
        <v>45927</v>
      </c>
      <c r="D1637" t="inlineStr">
        <is>
          <t>VÄSTERBOTTENS LÄN</t>
        </is>
      </c>
      <c r="E1637" t="inlineStr">
        <is>
          <t>SKELLEFTEÅ</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39166-2025</t>
        </is>
      </c>
      <c r="B1638" s="1" t="n">
        <v>45888.63756944444</v>
      </c>
      <c r="C1638" s="1" t="n">
        <v>45927</v>
      </c>
      <c r="D1638" t="inlineStr">
        <is>
          <t>VÄSTERBOTTENS LÄN</t>
        </is>
      </c>
      <c r="E1638" t="inlineStr">
        <is>
          <t>SKELLEFTEÅ</t>
        </is>
      </c>
      <c r="F1638" t="inlineStr">
        <is>
          <t>Holmen skog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39024-2025</t>
        </is>
      </c>
      <c r="B1639" s="1" t="n">
        <v>45888.3791550926</v>
      </c>
      <c r="C1639" s="1" t="n">
        <v>45927</v>
      </c>
      <c r="D1639" t="inlineStr">
        <is>
          <t>VÄSTERBOTTENS LÄN</t>
        </is>
      </c>
      <c r="E1639" t="inlineStr">
        <is>
          <t>SKELLEFTEÅ</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14096-2022</t>
        </is>
      </c>
      <c r="B1640" s="1" t="n">
        <v>44651</v>
      </c>
      <c r="C1640" s="1" t="n">
        <v>45927</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23709-2023</t>
        </is>
      </c>
      <c r="B1641" s="1" t="n">
        <v>45075</v>
      </c>
      <c r="C1641" s="1" t="n">
        <v>45927</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23760-2023</t>
        </is>
      </c>
      <c r="B1642" s="1" t="n">
        <v>45077</v>
      </c>
      <c r="C1642" s="1" t="n">
        <v>45927</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23761-2023</t>
        </is>
      </c>
      <c r="B1643" s="1" t="n">
        <v>45077</v>
      </c>
      <c r="C1643" s="1" t="n">
        <v>45927</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39254-2025</t>
        </is>
      </c>
      <c r="B1644" s="1" t="n">
        <v>45889.36454861111</v>
      </c>
      <c r="C1644" s="1" t="n">
        <v>45927</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39328-2025</t>
        </is>
      </c>
      <c r="B1645" s="1" t="n">
        <v>45889</v>
      </c>
      <c r="C1645" s="1" t="n">
        <v>45927</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57131-2024</t>
        </is>
      </c>
      <c r="B1646" s="1" t="n">
        <v>45629.38340277778</v>
      </c>
      <c r="C1646" s="1" t="n">
        <v>45927</v>
      </c>
      <c r="D1646" t="inlineStr">
        <is>
          <t>VÄSTERBOTTENS LÄN</t>
        </is>
      </c>
      <c r="E1646" t="inlineStr">
        <is>
          <t>SKELLEFTEÅ</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39064-2025</t>
        </is>
      </c>
      <c r="B1647" s="1" t="n">
        <v>45888.46336805556</v>
      </c>
      <c r="C1647" s="1" t="n">
        <v>45927</v>
      </c>
      <c r="D1647" t="inlineStr">
        <is>
          <t>VÄSTERBOTTENS LÄN</t>
        </is>
      </c>
      <c r="E1647" t="inlineStr">
        <is>
          <t>SKELLEFTEÅ</t>
        </is>
      </c>
      <c r="F1647" t="inlineStr">
        <is>
          <t>Holmen skog AB</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34362-2025</t>
        </is>
      </c>
      <c r="B1648" s="1" t="n">
        <v>45846.48827546297</v>
      </c>
      <c r="C1648" s="1" t="n">
        <v>45927</v>
      </c>
      <c r="D1648" t="inlineStr">
        <is>
          <t>VÄSTERBOTTENS LÄN</t>
        </is>
      </c>
      <c r="E1648" t="inlineStr">
        <is>
          <t>SKELLEFTEÅ</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23458-2023</t>
        </is>
      </c>
      <c r="B1649" s="1" t="n">
        <v>45076.61943287037</v>
      </c>
      <c r="C1649" s="1" t="n">
        <v>45927</v>
      </c>
      <c r="D1649" t="inlineStr">
        <is>
          <t>VÄSTERBOTTENS LÄN</t>
        </is>
      </c>
      <c r="E1649" t="inlineStr">
        <is>
          <t>SKELLEFTEÅ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34405-2025</t>
        </is>
      </c>
      <c r="B1650" s="1" t="n">
        <v>45846.6277662037</v>
      </c>
      <c r="C1650" s="1" t="n">
        <v>45927</v>
      </c>
      <c r="D1650" t="inlineStr">
        <is>
          <t>VÄSTERBOTTENS LÄN</t>
        </is>
      </c>
      <c r="E1650" t="inlineStr">
        <is>
          <t>SKELLEFTEÅ</t>
        </is>
      </c>
      <c r="G1650" t="n">
        <v>13.6</v>
      </c>
      <c r="H1650" t="n">
        <v>0</v>
      </c>
      <c r="I1650" t="n">
        <v>0</v>
      </c>
      <c r="J1650" t="n">
        <v>0</v>
      </c>
      <c r="K1650" t="n">
        <v>0</v>
      </c>
      <c r="L1650" t="n">
        <v>0</v>
      </c>
      <c r="M1650" t="n">
        <v>0</v>
      </c>
      <c r="N1650" t="n">
        <v>0</v>
      </c>
      <c r="O1650" t="n">
        <v>0</v>
      </c>
      <c r="P1650" t="n">
        <v>0</v>
      </c>
      <c r="Q1650" t="n">
        <v>0</v>
      </c>
      <c r="R1650" s="2" t="inlineStr"/>
    </row>
    <row r="1651" ht="15" customHeight="1">
      <c r="A1651" t="inlineStr">
        <is>
          <t>A 39105-2025</t>
        </is>
      </c>
      <c r="B1651" s="1" t="n">
        <v>45888.52792824074</v>
      </c>
      <c r="C1651" s="1" t="n">
        <v>45927</v>
      </c>
      <c r="D1651" t="inlineStr">
        <is>
          <t>VÄSTERBOTTENS LÄN</t>
        </is>
      </c>
      <c r="E1651" t="inlineStr">
        <is>
          <t>SKELLEFTEÅ</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39379-2025</t>
        </is>
      </c>
      <c r="B1652" s="1" t="n">
        <v>45889.59917824074</v>
      </c>
      <c r="C1652" s="1" t="n">
        <v>45927</v>
      </c>
      <c r="D1652" t="inlineStr">
        <is>
          <t>VÄSTERBOTTENS LÄN</t>
        </is>
      </c>
      <c r="E1652" t="inlineStr">
        <is>
          <t>SKELLEFTEÅ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61937-2020</t>
        </is>
      </c>
      <c r="B1653" s="1" t="n">
        <v>44155</v>
      </c>
      <c r="C1653" s="1" t="n">
        <v>45927</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39123-2025</t>
        </is>
      </c>
      <c r="B1654" s="1" t="n">
        <v>45888.57267361111</v>
      </c>
      <c r="C1654" s="1" t="n">
        <v>45927</v>
      </c>
      <c r="D1654" t="inlineStr">
        <is>
          <t>VÄSTERBOTTENS LÄN</t>
        </is>
      </c>
      <c r="E1654" t="inlineStr">
        <is>
          <t>SKELLEFTEÅ</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39349-2025</t>
        </is>
      </c>
      <c r="B1655" s="1" t="n">
        <v>45889.5431712963</v>
      </c>
      <c r="C1655" s="1" t="n">
        <v>45927</v>
      </c>
      <c r="D1655" t="inlineStr">
        <is>
          <t>VÄSTERBOTTENS LÄN</t>
        </is>
      </c>
      <c r="E1655" t="inlineStr">
        <is>
          <t>SKELLEFTEÅ</t>
        </is>
      </c>
      <c r="F1655" t="inlineStr">
        <is>
          <t>Kommuner</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34437-2025</t>
        </is>
      </c>
      <c r="B1656" s="1" t="n">
        <v>45846.68461805556</v>
      </c>
      <c r="C1656" s="1" t="n">
        <v>45927</v>
      </c>
      <c r="D1656" t="inlineStr">
        <is>
          <t>VÄSTERBOTTENS LÄN</t>
        </is>
      </c>
      <c r="E1656" t="inlineStr">
        <is>
          <t>SKELLEFTEÅ</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34672-2025</t>
        </is>
      </c>
      <c r="B1657" s="1" t="n">
        <v>45847</v>
      </c>
      <c r="C1657" s="1" t="n">
        <v>45927</v>
      </c>
      <c r="D1657" t="inlineStr">
        <is>
          <t>VÄSTERBOTTENS LÄN</t>
        </is>
      </c>
      <c r="E1657" t="inlineStr">
        <is>
          <t>SKELLEFTEÅ</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34536-2025</t>
        </is>
      </c>
      <c r="B1658" s="1" t="n">
        <v>45847.5141087963</v>
      </c>
      <c r="C1658" s="1" t="n">
        <v>45927</v>
      </c>
      <c r="D1658" t="inlineStr">
        <is>
          <t>VÄSTERBOTTENS LÄN</t>
        </is>
      </c>
      <c r="E1658" t="inlineStr">
        <is>
          <t>SKELLEFTEÅ</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18975-2023</t>
        </is>
      </c>
      <c r="B1659" s="1" t="n">
        <v>45044</v>
      </c>
      <c r="C1659" s="1" t="n">
        <v>45927</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39259-2025</t>
        </is>
      </c>
      <c r="B1660" s="1" t="n">
        <v>45889.37043981482</v>
      </c>
      <c r="C1660" s="1" t="n">
        <v>45927</v>
      </c>
      <c r="D1660" t="inlineStr">
        <is>
          <t>VÄSTERBOTTENS LÄN</t>
        </is>
      </c>
      <c r="E1660" t="inlineStr">
        <is>
          <t>SKELLEFTEÅ</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52871-2022</t>
        </is>
      </c>
      <c r="B1661" s="1" t="n">
        <v>44872</v>
      </c>
      <c r="C1661" s="1" t="n">
        <v>45927</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35435-2024</t>
        </is>
      </c>
      <c r="B1662" s="1" t="n">
        <v>45531.41481481482</v>
      </c>
      <c r="C1662" s="1" t="n">
        <v>45927</v>
      </c>
      <c r="D1662" t="inlineStr">
        <is>
          <t>VÄSTERBOTTENS LÄN</t>
        </is>
      </c>
      <c r="E1662" t="inlineStr">
        <is>
          <t>SKELLEFTEÅ</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32593-2024</t>
        </is>
      </c>
      <c r="B1663" s="1" t="n">
        <v>45513.60165509259</v>
      </c>
      <c r="C1663" s="1" t="n">
        <v>45927</v>
      </c>
      <c r="D1663" t="inlineStr">
        <is>
          <t>VÄSTERBOTTENS LÄN</t>
        </is>
      </c>
      <c r="E1663" t="inlineStr">
        <is>
          <t>SKELLEFTEÅ</t>
        </is>
      </c>
      <c r="F1663" t="inlineStr">
        <is>
          <t>Holmen skog AB</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39156-2023</t>
        </is>
      </c>
      <c r="B1664" s="1" t="n">
        <v>45166</v>
      </c>
      <c r="C1664" s="1" t="n">
        <v>45927</v>
      </c>
      <c r="D1664" t="inlineStr">
        <is>
          <t>VÄSTERBOTTENS LÄN</t>
        </is>
      </c>
      <c r="E1664" t="inlineStr">
        <is>
          <t>SKELLEFTEÅ</t>
        </is>
      </c>
      <c r="F1664" t="inlineStr">
        <is>
          <t>Sveaskog</t>
        </is>
      </c>
      <c r="G1664" t="n">
        <v>43.7</v>
      </c>
      <c r="H1664" t="n">
        <v>0</v>
      </c>
      <c r="I1664" t="n">
        <v>0</v>
      </c>
      <c r="J1664" t="n">
        <v>0</v>
      </c>
      <c r="K1664" t="n">
        <v>0</v>
      </c>
      <c r="L1664" t="n">
        <v>0</v>
      </c>
      <c r="M1664" t="n">
        <v>0</v>
      </c>
      <c r="N1664" t="n">
        <v>0</v>
      </c>
      <c r="O1664" t="n">
        <v>0</v>
      </c>
      <c r="P1664" t="n">
        <v>0</v>
      </c>
      <c r="Q1664" t="n">
        <v>0</v>
      </c>
      <c r="R1664" s="2" t="inlineStr"/>
    </row>
    <row r="1665" ht="15" customHeight="1">
      <c r="A1665" t="inlineStr">
        <is>
          <t>A 42764-2024</t>
        </is>
      </c>
      <c r="B1665" s="1" t="n">
        <v>45566.50524305556</v>
      </c>
      <c r="C1665" s="1" t="n">
        <v>45927</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39866-2025</t>
        </is>
      </c>
      <c r="B1666" s="1" t="n">
        <v>45891.60517361111</v>
      </c>
      <c r="C1666" s="1" t="n">
        <v>45927</v>
      </c>
      <c r="D1666" t="inlineStr">
        <is>
          <t>VÄSTERBOTTENS LÄN</t>
        </is>
      </c>
      <c r="E1666" t="inlineStr">
        <is>
          <t>SKELLEFTEÅ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39613-2025</t>
        </is>
      </c>
      <c r="B1667" s="1" t="n">
        <v>45890.56368055556</v>
      </c>
      <c r="C1667" s="1" t="n">
        <v>45927</v>
      </c>
      <c r="D1667" t="inlineStr">
        <is>
          <t>VÄSTERBOTTENS LÄN</t>
        </is>
      </c>
      <c r="E1667" t="inlineStr">
        <is>
          <t>SKELLEFTEÅ</t>
        </is>
      </c>
      <c r="F1667" t="inlineStr">
        <is>
          <t>Holmen skog AB</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12137-2023</t>
        </is>
      </c>
      <c r="B1668" s="1" t="n">
        <v>44995</v>
      </c>
      <c r="C1668" s="1" t="n">
        <v>45927</v>
      </c>
      <c r="D1668" t="inlineStr">
        <is>
          <t>VÄSTERBOTTENS LÄN</t>
        </is>
      </c>
      <c r="E1668" t="inlineStr">
        <is>
          <t>SKELLEFTEÅ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39888-2025</t>
        </is>
      </c>
      <c r="B1669" s="1" t="n">
        <v>45891</v>
      </c>
      <c r="C1669" s="1" t="n">
        <v>45927</v>
      </c>
      <c r="D1669" t="inlineStr">
        <is>
          <t>VÄSTERBOTTENS LÄN</t>
        </is>
      </c>
      <c r="E1669" t="inlineStr">
        <is>
          <t>SKELLEFTEÅ</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39921-2025</t>
        </is>
      </c>
      <c r="B1670" s="1" t="n">
        <v>45891.66770833333</v>
      </c>
      <c r="C1670" s="1" t="n">
        <v>45927</v>
      </c>
      <c r="D1670" t="inlineStr">
        <is>
          <t>VÄSTERBOTTENS LÄN</t>
        </is>
      </c>
      <c r="E1670" t="inlineStr">
        <is>
          <t>SKELLEFTEÅ</t>
        </is>
      </c>
      <c r="F1670" t="inlineStr">
        <is>
          <t>Holmen skog AB</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42248-2024</t>
        </is>
      </c>
      <c r="B1671" s="1" t="n">
        <v>45562.57457175926</v>
      </c>
      <c r="C1671" s="1" t="n">
        <v>45927</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26253-2024</t>
        </is>
      </c>
      <c r="B1672" s="1" t="n">
        <v>45468.64837962963</v>
      </c>
      <c r="C1672" s="1" t="n">
        <v>45927</v>
      </c>
      <c r="D1672" t="inlineStr">
        <is>
          <t>VÄSTERBOTTENS LÄN</t>
        </is>
      </c>
      <c r="E1672" t="inlineStr">
        <is>
          <t>SKELLEFTEÅ</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28203-2023</t>
        </is>
      </c>
      <c r="B1673" s="1" t="n">
        <v>45096</v>
      </c>
      <c r="C1673" s="1" t="n">
        <v>45927</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59404-2023</t>
        </is>
      </c>
      <c r="B1674" s="1" t="n">
        <v>45253.9267824074</v>
      </c>
      <c r="C1674" s="1" t="n">
        <v>45927</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59405-2023</t>
        </is>
      </c>
      <c r="B1675" s="1" t="n">
        <v>45253.9268287037</v>
      </c>
      <c r="C1675" s="1" t="n">
        <v>45927</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52203-2023</t>
        </is>
      </c>
      <c r="B1676" s="1" t="n">
        <v>45224.42537037037</v>
      </c>
      <c r="C1676" s="1" t="n">
        <v>45927</v>
      </c>
      <c r="D1676" t="inlineStr">
        <is>
          <t>VÄSTERBOTTENS LÄN</t>
        </is>
      </c>
      <c r="E1676" t="inlineStr">
        <is>
          <t>SKELLEFTEÅ</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39530-2025</t>
        </is>
      </c>
      <c r="B1677" s="1" t="n">
        <v>45890.44736111111</v>
      </c>
      <c r="C1677" s="1" t="n">
        <v>45927</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7991-2025</t>
        </is>
      </c>
      <c r="B1678" s="1" t="n">
        <v>45707.48981481481</v>
      </c>
      <c r="C1678" s="1" t="n">
        <v>45927</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54662-2024</t>
        </is>
      </c>
      <c r="B1679" s="1" t="n">
        <v>45618.31710648148</v>
      </c>
      <c r="C1679" s="1" t="n">
        <v>45927</v>
      </c>
      <c r="D1679" t="inlineStr">
        <is>
          <t>VÄSTERBOTTENS LÄN</t>
        </is>
      </c>
      <c r="E1679" t="inlineStr">
        <is>
          <t>SKELLEFTEÅ</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34678-2025</t>
        </is>
      </c>
      <c r="B1680" s="1" t="n">
        <v>45848.42638888889</v>
      </c>
      <c r="C1680" s="1" t="n">
        <v>45927</v>
      </c>
      <c r="D1680" t="inlineStr">
        <is>
          <t>VÄSTERBOTTENS LÄN</t>
        </is>
      </c>
      <c r="E1680" t="inlineStr">
        <is>
          <t>SKELLEFTEÅ</t>
        </is>
      </c>
      <c r="F1680" t="inlineStr">
        <is>
          <t>Holmen skog AB</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60209-2024</t>
        </is>
      </c>
      <c r="B1681" s="1" t="n">
        <v>45642</v>
      </c>
      <c r="C1681" s="1" t="n">
        <v>45927</v>
      </c>
      <c r="D1681" t="inlineStr">
        <is>
          <t>VÄSTERBOTTENS LÄN</t>
        </is>
      </c>
      <c r="E1681" t="inlineStr">
        <is>
          <t>SKELLEFTEÅ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18700-2025</t>
        </is>
      </c>
      <c r="B1682" s="1" t="n">
        <v>45763.62945601852</v>
      </c>
      <c r="C1682" s="1" t="n">
        <v>45927</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39522-2025</t>
        </is>
      </c>
      <c r="B1683" s="1" t="n">
        <v>45890.43673611111</v>
      </c>
      <c r="C1683" s="1" t="n">
        <v>45927</v>
      </c>
      <c r="D1683" t="inlineStr">
        <is>
          <t>VÄSTERBOTTENS LÄN</t>
        </is>
      </c>
      <c r="E1683" t="inlineStr">
        <is>
          <t>SKELLEFTEÅ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34724-2025</t>
        </is>
      </c>
      <c r="B1684" s="1" t="n">
        <v>45848.55504629629</v>
      </c>
      <c r="C1684" s="1" t="n">
        <v>45927</v>
      </c>
      <c r="D1684" t="inlineStr">
        <is>
          <t>VÄSTERBOTTENS LÄN</t>
        </is>
      </c>
      <c r="E1684" t="inlineStr">
        <is>
          <t>SKELLEFTEÅ</t>
        </is>
      </c>
      <c r="F1684" t="inlineStr">
        <is>
          <t>Holmen skog AB</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39589-2025</t>
        </is>
      </c>
      <c r="B1685" s="1" t="n">
        <v>45890.5162037037</v>
      </c>
      <c r="C1685" s="1" t="n">
        <v>45927</v>
      </c>
      <c r="D1685" t="inlineStr">
        <is>
          <t>VÄSTERBOTTENS LÄN</t>
        </is>
      </c>
      <c r="E1685" t="inlineStr">
        <is>
          <t>SKELLEFTEÅ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39681-2025</t>
        </is>
      </c>
      <c r="B1686" s="1" t="n">
        <v>45890.65736111111</v>
      </c>
      <c r="C1686" s="1" t="n">
        <v>45927</v>
      </c>
      <c r="D1686" t="inlineStr">
        <is>
          <t>VÄSTERBOTTENS LÄN</t>
        </is>
      </c>
      <c r="E1686" t="inlineStr">
        <is>
          <t>SKELLEFTEÅ</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39705-2025</t>
        </is>
      </c>
      <c r="B1687" s="1" t="n">
        <v>45890.73013888889</v>
      </c>
      <c r="C1687" s="1" t="n">
        <v>45927</v>
      </c>
      <c r="D1687" t="inlineStr">
        <is>
          <t>VÄSTERBOTTENS LÄN</t>
        </is>
      </c>
      <c r="E1687" t="inlineStr">
        <is>
          <t>SKELLEFTEÅ</t>
        </is>
      </c>
      <c r="F1687" t="inlineStr">
        <is>
          <t>Sveaskog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34657-2025</t>
        </is>
      </c>
      <c r="B1688" s="1" t="n">
        <v>45848.36267361111</v>
      </c>
      <c r="C1688" s="1" t="n">
        <v>45927</v>
      </c>
      <c r="D1688" t="inlineStr">
        <is>
          <t>VÄSTERBOTTENS LÄN</t>
        </is>
      </c>
      <c r="E1688" t="inlineStr">
        <is>
          <t>SKELLEFTEÅ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39871-2025</t>
        </is>
      </c>
      <c r="B1689" s="1" t="n">
        <v>45891.61135416666</v>
      </c>
      <c r="C1689" s="1" t="n">
        <v>45927</v>
      </c>
      <c r="D1689" t="inlineStr">
        <is>
          <t>VÄSTERBOTTENS LÄN</t>
        </is>
      </c>
      <c r="E1689" t="inlineStr">
        <is>
          <t>SKELLEFTEÅ</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49429-2024</t>
        </is>
      </c>
      <c r="B1690" s="1" t="n">
        <v>45595.80703703704</v>
      </c>
      <c r="C1690" s="1" t="n">
        <v>45927</v>
      </c>
      <c r="D1690" t="inlineStr">
        <is>
          <t>VÄSTERBOTTENS LÄN</t>
        </is>
      </c>
      <c r="E1690" t="inlineStr">
        <is>
          <t>SKELLEFTEÅ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3600-2023</t>
        </is>
      </c>
      <c r="B1691" s="1" t="n">
        <v>44946</v>
      </c>
      <c r="C1691" s="1" t="n">
        <v>45927</v>
      </c>
      <c r="D1691" t="inlineStr">
        <is>
          <t>VÄSTERBOTTENS LÄN</t>
        </is>
      </c>
      <c r="E1691" t="inlineStr">
        <is>
          <t>SKELLEFTEÅ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39477-2025</t>
        </is>
      </c>
      <c r="B1692" s="1" t="n">
        <v>45890.34474537037</v>
      </c>
      <c r="C1692" s="1" t="n">
        <v>45927</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6012-2023</t>
        </is>
      </c>
      <c r="B1693" s="1" t="n">
        <v>44959</v>
      </c>
      <c r="C1693" s="1" t="n">
        <v>45927</v>
      </c>
      <c r="D1693" t="inlineStr">
        <is>
          <t>VÄSTERBOTTENS LÄN</t>
        </is>
      </c>
      <c r="E1693" t="inlineStr">
        <is>
          <t>SKELLEFTEÅ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22020-2023</t>
        </is>
      </c>
      <c r="B1694" s="1" t="n">
        <v>45069</v>
      </c>
      <c r="C1694" s="1" t="n">
        <v>45927</v>
      </c>
      <c r="D1694" t="inlineStr">
        <is>
          <t>VÄSTERBOTTENS LÄN</t>
        </is>
      </c>
      <c r="E1694" t="inlineStr">
        <is>
          <t>SKELLEFTEÅ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5830-2025</t>
        </is>
      </c>
      <c r="B1695" s="1" t="n">
        <v>45694</v>
      </c>
      <c r="C1695" s="1" t="n">
        <v>45927</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5831-2025</t>
        </is>
      </c>
      <c r="B1696" s="1" t="n">
        <v>45694</v>
      </c>
      <c r="C1696" s="1" t="n">
        <v>45927</v>
      </c>
      <c r="D1696" t="inlineStr">
        <is>
          <t>VÄSTERBOTTENS LÄN</t>
        </is>
      </c>
      <c r="E1696" t="inlineStr">
        <is>
          <t>SKELLEFTEÅ</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34716-2025</t>
        </is>
      </c>
      <c r="B1697" s="1" t="n">
        <v>45848.52747685185</v>
      </c>
      <c r="C1697" s="1" t="n">
        <v>45927</v>
      </c>
      <c r="D1697" t="inlineStr">
        <is>
          <t>VÄSTERBOTTENS LÄN</t>
        </is>
      </c>
      <c r="E1697" t="inlineStr">
        <is>
          <t>SKELLEFTEÅ</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46557-2024</t>
        </is>
      </c>
      <c r="B1698" s="1" t="n">
        <v>45582.67056712963</v>
      </c>
      <c r="C1698" s="1" t="n">
        <v>45927</v>
      </c>
      <c r="D1698" t="inlineStr">
        <is>
          <t>VÄSTERBOTTENS LÄN</t>
        </is>
      </c>
      <c r="E1698" t="inlineStr">
        <is>
          <t>SKELLEFTEÅ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51476-2021</t>
        </is>
      </c>
      <c r="B1699" s="1" t="n">
        <v>44462</v>
      </c>
      <c r="C1699" s="1" t="n">
        <v>45927</v>
      </c>
      <c r="D1699" t="inlineStr">
        <is>
          <t>VÄSTERBOTTENS LÄN</t>
        </is>
      </c>
      <c r="E1699" t="inlineStr">
        <is>
          <t>SKELLEFTEÅ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34791-2025</t>
        </is>
      </c>
      <c r="B1700" s="1" t="n">
        <v>45848</v>
      </c>
      <c r="C1700" s="1" t="n">
        <v>45927</v>
      </c>
      <c r="D1700" t="inlineStr">
        <is>
          <t>VÄSTERBOTTENS LÄN</t>
        </is>
      </c>
      <c r="E1700" t="inlineStr">
        <is>
          <t>SKELLEFTEÅ</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39890-2025</t>
        </is>
      </c>
      <c r="B1701" s="1" t="n">
        <v>45891.62754629629</v>
      </c>
      <c r="C1701" s="1" t="n">
        <v>45927</v>
      </c>
      <c r="D1701" t="inlineStr">
        <is>
          <t>VÄSTERBOTTENS LÄN</t>
        </is>
      </c>
      <c r="E1701" t="inlineStr">
        <is>
          <t>SKELLEFTEÅ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39733-2025</t>
        </is>
      </c>
      <c r="B1702" s="1" t="n">
        <v>45891.36577546296</v>
      </c>
      <c r="C1702" s="1" t="n">
        <v>45927</v>
      </c>
      <c r="D1702" t="inlineStr">
        <is>
          <t>VÄSTERBOTTENS LÄN</t>
        </is>
      </c>
      <c r="E1702" t="inlineStr">
        <is>
          <t>SKELLEFTEÅ</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53255-2023</t>
        </is>
      </c>
      <c r="B1703" s="1" t="n">
        <v>45229.5280787037</v>
      </c>
      <c r="C1703" s="1" t="n">
        <v>45927</v>
      </c>
      <c r="D1703" t="inlineStr">
        <is>
          <t>VÄSTERBOTTENS LÄN</t>
        </is>
      </c>
      <c r="E1703" t="inlineStr">
        <is>
          <t>SKELLEFTEÅ</t>
        </is>
      </c>
      <c r="F1703" t="inlineStr">
        <is>
          <t>Sveaskog</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39870-2025</t>
        </is>
      </c>
      <c r="B1704" s="1" t="n">
        <v>45891</v>
      </c>
      <c r="C1704" s="1" t="n">
        <v>45927</v>
      </c>
      <c r="D1704" t="inlineStr">
        <is>
          <t>VÄSTERBOTTENS LÄN</t>
        </is>
      </c>
      <c r="E1704" t="inlineStr">
        <is>
          <t>SKELLEFTEÅ</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39875-2025</t>
        </is>
      </c>
      <c r="B1705" s="1" t="n">
        <v>45891.61512731481</v>
      </c>
      <c r="C1705" s="1" t="n">
        <v>45927</v>
      </c>
      <c r="D1705" t="inlineStr">
        <is>
          <t>VÄSTERBOTTENS LÄN</t>
        </is>
      </c>
      <c r="E1705" t="inlineStr">
        <is>
          <t>SKELLEFTEÅ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1746-2025</t>
        </is>
      </c>
      <c r="B1706" s="1" t="n">
        <v>45671.40643518518</v>
      </c>
      <c r="C1706" s="1" t="n">
        <v>45927</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33776-2024</t>
        </is>
      </c>
      <c r="B1707" s="1" t="n">
        <v>45520.57944444445</v>
      </c>
      <c r="C1707" s="1" t="n">
        <v>45927</v>
      </c>
      <c r="D1707" t="inlineStr">
        <is>
          <t>VÄSTERBOTTENS LÄN</t>
        </is>
      </c>
      <c r="E1707" t="inlineStr">
        <is>
          <t>SKELLEFTEÅ</t>
        </is>
      </c>
      <c r="F1707" t="inlineStr">
        <is>
          <t>Sveaskog</t>
        </is>
      </c>
      <c r="G1707" t="n">
        <v>16.4</v>
      </c>
      <c r="H1707" t="n">
        <v>0</v>
      </c>
      <c r="I1707" t="n">
        <v>0</v>
      </c>
      <c r="J1707" t="n">
        <v>0</v>
      </c>
      <c r="K1707" t="n">
        <v>0</v>
      </c>
      <c r="L1707" t="n">
        <v>0</v>
      </c>
      <c r="M1707" t="n">
        <v>0</v>
      </c>
      <c r="N1707" t="n">
        <v>0</v>
      </c>
      <c r="O1707" t="n">
        <v>0</v>
      </c>
      <c r="P1707" t="n">
        <v>0</v>
      </c>
      <c r="Q1707" t="n">
        <v>0</v>
      </c>
      <c r="R1707" s="2" t="inlineStr"/>
    </row>
    <row r="1708" ht="15" customHeight="1">
      <c r="A1708" t="inlineStr">
        <is>
          <t>A 31872-2024</t>
        </is>
      </c>
      <c r="B1708" s="1" t="n">
        <v>45509.9290625</v>
      </c>
      <c r="C1708" s="1" t="n">
        <v>45927</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64323-2023</t>
        </is>
      </c>
      <c r="B1709" s="1" t="n">
        <v>45280.40798611111</v>
      </c>
      <c r="C1709" s="1" t="n">
        <v>45927</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277-2025</t>
        </is>
      </c>
      <c r="B1710" s="1" t="n">
        <v>45660.49072916667</v>
      </c>
      <c r="C1710" s="1" t="n">
        <v>45927</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10567-2023</t>
        </is>
      </c>
      <c r="B1711" s="1" t="n">
        <v>44981</v>
      </c>
      <c r="C1711" s="1" t="n">
        <v>45927</v>
      </c>
      <c r="D1711" t="inlineStr">
        <is>
          <t>VÄSTERBOTTENS LÄN</t>
        </is>
      </c>
      <c r="E1711" t="inlineStr">
        <is>
          <t>SKELLEFTEÅ</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35090-2025</t>
        </is>
      </c>
      <c r="B1712" s="1" t="n">
        <v>45852.52563657407</v>
      </c>
      <c r="C1712" s="1" t="n">
        <v>45927</v>
      </c>
      <c r="D1712" t="inlineStr">
        <is>
          <t>VÄSTERBOTTENS LÄN</t>
        </is>
      </c>
      <c r="E1712" t="inlineStr">
        <is>
          <t>SKELLEFTEÅ</t>
        </is>
      </c>
      <c r="F1712" t="inlineStr">
        <is>
          <t>Holmen skog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52509-2024</t>
        </is>
      </c>
      <c r="B1713" s="1" t="n">
        <v>45609.59239583334</v>
      </c>
      <c r="C1713" s="1" t="n">
        <v>45927</v>
      </c>
      <c r="D1713" t="inlineStr">
        <is>
          <t>VÄSTERBOTTENS LÄN</t>
        </is>
      </c>
      <c r="E1713" t="inlineStr">
        <is>
          <t>SKELLEFTEÅ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40295-2025</t>
        </is>
      </c>
      <c r="B1714" s="1" t="n">
        <v>45895.38805555556</v>
      </c>
      <c r="C1714" s="1" t="n">
        <v>45927</v>
      </c>
      <c r="D1714" t="inlineStr">
        <is>
          <t>VÄSTERBOTTENS LÄN</t>
        </is>
      </c>
      <c r="E1714" t="inlineStr">
        <is>
          <t>SKELLEFTEÅ</t>
        </is>
      </c>
      <c r="F1714" t="inlineStr">
        <is>
          <t>Sveaskog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15846-2024</t>
        </is>
      </c>
      <c r="B1715" s="1" t="n">
        <v>45404.84630787037</v>
      </c>
      <c r="C1715" s="1" t="n">
        <v>45927</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15848-2024</t>
        </is>
      </c>
      <c r="B1716" s="1" t="n">
        <v>45404</v>
      </c>
      <c r="C1716" s="1" t="n">
        <v>45927</v>
      </c>
      <c r="D1716" t="inlineStr">
        <is>
          <t>VÄSTERBOTTENS LÄN</t>
        </is>
      </c>
      <c r="E1716" t="inlineStr">
        <is>
          <t>SKELLEFTEÅ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35223-2025</t>
        </is>
      </c>
      <c r="B1717" s="1" t="n">
        <v>45853.55226851852</v>
      </c>
      <c r="C1717" s="1" t="n">
        <v>45927</v>
      </c>
      <c r="D1717" t="inlineStr">
        <is>
          <t>VÄSTERBOTTENS LÄN</t>
        </is>
      </c>
      <c r="E1717" t="inlineStr">
        <is>
          <t>SKELLEFTEÅ</t>
        </is>
      </c>
      <c r="F1717" t="inlineStr">
        <is>
          <t>Holmen skog AB</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3268-2022</t>
        </is>
      </c>
      <c r="B1718" s="1" t="n">
        <v>44583.89641203704</v>
      </c>
      <c r="C1718" s="1" t="n">
        <v>45927</v>
      </c>
      <c r="D1718" t="inlineStr">
        <is>
          <t>VÄSTERBOTTENS LÄN</t>
        </is>
      </c>
      <c r="E1718" t="inlineStr">
        <is>
          <t>SKELLEFTEÅ</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64761-2021</t>
        </is>
      </c>
      <c r="B1719" s="1" t="n">
        <v>44511</v>
      </c>
      <c r="C1719" s="1" t="n">
        <v>45927</v>
      </c>
      <c r="D1719" t="inlineStr">
        <is>
          <t>VÄSTERBOTTENS LÄN</t>
        </is>
      </c>
      <c r="E1719" t="inlineStr">
        <is>
          <t>SKELLEFTEÅ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25404-2022</t>
        </is>
      </c>
      <c r="B1720" s="1" t="n">
        <v>44732</v>
      </c>
      <c r="C1720" s="1" t="n">
        <v>45927</v>
      </c>
      <c r="D1720" t="inlineStr">
        <is>
          <t>VÄSTERBOTTENS LÄN</t>
        </is>
      </c>
      <c r="E1720" t="inlineStr">
        <is>
          <t>SKELLEFTEÅ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3209-2025</t>
        </is>
      </c>
      <c r="B1721" s="1" t="n">
        <v>45679.45376157408</v>
      </c>
      <c r="C1721" s="1" t="n">
        <v>45927</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41064-2024</t>
        </is>
      </c>
      <c r="B1722" s="1" t="n">
        <v>45559.38644675926</v>
      </c>
      <c r="C1722" s="1" t="n">
        <v>45927</v>
      </c>
      <c r="D1722" t="inlineStr">
        <is>
          <t>VÄSTERBOTTENS LÄN</t>
        </is>
      </c>
      <c r="E1722" t="inlineStr">
        <is>
          <t>SKELLEFTEÅ</t>
        </is>
      </c>
      <c r="F1722" t="inlineStr">
        <is>
          <t>Holmen skog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54456-2022</t>
        </is>
      </c>
      <c r="B1723" s="1" t="n">
        <v>44880</v>
      </c>
      <c r="C1723" s="1" t="n">
        <v>45927</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14013-2025</t>
        </is>
      </c>
      <c r="B1724" s="1" t="n">
        <v>45740.31539351852</v>
      </c>
      <c r="C1724" s="1" t="n">
        <v>45927</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40271-2025</t>
        </is>
      </c>
      <c r="B1725" s="1" t="n">
        <v>45895.345625</v>
      </c>
      <c r="C1725" s="1" t="n">
        <v>45927</v>
      </c>
      <c r="D1725" t="inlineStr">
        <is>
          <t>VÄSTERBOTTENS LÄN</t>
        </is>
      </c>
      <c r="E1725" t="inlineStr">
        <is>
          <t>SKELLEFTEÅ</t>
        </is>
      </c>
      <c r="G1725" t="n">
        <v>12.1</v>
      </c>
      <c r="H1725" t="n">
        <v>0</v>
      </c>
      <c r="I1725" t="n">
        <v>0</v>
      </c>
      <c r="J1725" t="n">
        <v>0</v>
      </c>
      <c r="K1725" t="n">
        <v>0</v>
      </c>
      <c r="L1725" t="n">
        <v>0</v>
      </c>
      <c r="M1725" t="n">
        <v>0</v>
      </c>
      <c r="N1725" t="n">
        <v>0</v>
      </c>
      <c r="O1725" t="n">
        <v>0</v>
      </c>
      <c r="P1725" t="n">
        <v>0</v>
      </c>
      <c r="Q1725" t="n">
        <v>0</v>
      </c>
      <c r="R1725" s="2" t="inlineStr"/>
    </row>
    <row r="1726" ht="15" customHeight="1">
      <c r="A1726" t="inlineStr">
        <is>
          <t>A 10986-2025</t>
        </is>
      </c>
      <c r="B1726" s="1" t="n">
        <v>45723.41918981481</v>
      </c>
      <c r="C1726" s="1" t="n">
        <v>45927</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19778-2025</t>
        </is>
      </c>
      <c r="B1727" s="1" t="n">
        <v>45771.42734953704</v>
      </c>
      <c r="C1727" s="1" t="n">
        <v>45927</v>
      </c>
      <c r="D1727" t="inlineStr">
        <is>
          <t>VÄSTERBOTTENS LÄN</t>
        </is>
      </c>
      <c r="E1727" t="inlineStr">
        <is>
          <t>SKELLEFTEÅ</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40020-2025</t>
        </is>
      </c>
      <c r="B1728" s="1" t="n">
        <v>45894.35414351852</v>
      </c>
      <c r="C1728" s="1" t="n">
        <v>45927</v>
      </c>
      <c r="D1728" t="inlineStr">
        <is>
          <t>VÄSTERBOTTENS LÄN</t>
        </is>
      </c>
      <c r="E1728" t="inlineStr">
        <is>
          <t>SKELLEFTEÅ</t>
        </is>
      </c>
      <c r="F1728" t="inlineStr">
        <is>
          <t>Holmen skog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29264-2025</t>
        </is>
      </c>
      <c r="B1729" s="1" t="n">
        <v>45824.39657407408</v>
      </c>
      <c r="C1729" s="1" t="n">
        <v>45927</v>
      </c>
      <c r="D1729" t="inlineStr">
        <is>
          <t>VÄSTERBOTTENS LÄN</t>
        </is>
      </c>
      <c r="E1729" t="inlineStr">
        <is>
          <t>SKELLEFTEÅ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12701-2025</t>
        </is>
      </c>
      <c r="B1730" s="1" t="n">
        <v>45733.46592592593</v>
      </c>
      <c r="C1730" s="1" t="n">
        <v>45927</v>
      </c>
      <c r="D1730" t="inlineStr">
        <is>
          <t>VÄSTERBOTTENS LÄN</t>
        </is>
      </c>
      <c r="E1730" t="inlineStr">
        <is>
          <t>SKELLEFTEÅ</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62047-2024</t>
        </is>
      </c>
      <c r="B1731" s="1" t="n">
        <v>45656.36306712963</v>
      </c>
      <c r="C1731" s="1" t="n">
        <v>45927</v>
      </c>
      <c r="D1731" t="inlineStr">
        <is>
          <t>VÄSTERBOTTENS LÄN</t>
        </is>
      </c>
      <c r="E1731" t="inlineStr">
        <is>
          <t>SKELLEFTEÅ</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4617-2024</t>
        </is>
      </c>
      <c r="B1732" s="1" t="n">
        <v>45327</v>
      </c>
      <c r="C1732" s="1" t="n">
        <v>45927</v>
      </c>
      <c r="D1732" t="inlineStr">
        <is>
          <t>VÄSTERBOTTENS LÄN</t>
        </is>
      </c>
      <c r="E1732" t="inlineStr">
        <is>
          <t>SKELLEFTEÅ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4656-2024</t>
        </is>
      </c>
      <c r="B1733" s="1" t="n">
        <v>45327</v>
      </c>
      <c r="C1733" s="1" t="n">
        <v>45927</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35428-2025</t>
        </is>
      </c>
      <c r="B1734" s="1" t="n">
        <v>45855.44019675926</v>
      </c>
      <c r="C1734" s="1" t="n">
        <v>45927</v>
      </c>
      <c r="D1734" t="inlineStr">
        <is>
          <t>VÄSTERBOTTENS LÄN</t>
        </is>
      </c>
      <c r="E1734" t="inlineStr">
        <is>
          <t>SKELLEFTEÅ</t>
        </is>
      </c>
      <c r="F1734" t="inlineStr">
        <is>
          <t>Holmen skog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28113-2023</t>
        </is>
      </c>
      <c r="B1735" s="1" t="n">
        <v>45096</v>
      </c>
      <c r="C1735" s="1" t="n">
        <v>45927</v>
      </c>
      <c r="D1735" t="inlineStr">
        <is>
          <t>VÄSTERBOTTENS LÄN</t>
        </is>
      </c>
      <c r="E1735" t="inlineStr">
        <is>
          <t>SKELLEFTEÅ</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35135-2024</t>
        </is>
      </c>
      <c r="B1736" s="1" t="n">
        <v>45530.34371527778</v>
      </c>
      <c r="C1736" s="1" t="n">
        <v>45927</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13478-2025</t>
        </is>
      </c>
      <c r="B1737" s="1" t="n">
        <v>45736.41761574074</v>
      </c>
      <c r="C1737" s="1" t="n">
        <v>45927</v>
      </c>
      <c r="D1737" t="inlineStr">
        <is>
          <t>VÄSTERBOTTENS LÄN</t>
        </is>
      </c>
      <c r="E1737" t="inlineStr">
        <is>
          <t>SKELLEFTEÅ</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35433-2025</t>
        </is>
      </c>
      <c r="B1738" s="1" t="n">
        <v>45855.4525462963</v>
      </c>
      <c r="C1738" s="1" t="n">
        <v>45927</v>
      </c>
      <c r="D1738" t="inlineStr">
        <is>
          <t>VÄSTERBOTTENS LÄN</t>
        </is>
      </c>
      <c r="E1738" t="inlineStr">
        <is>
          <t>SKELLEFTEÅ</t>
        </is>
      </c>
      <c r="F1738" t="inlineStr">
        <is>
          <t>Holmen skog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40615-2025</t>
        </is>
      </c>
      <c r="B1739" s="1" t="n">
        <v>45896.57956018519</v>
      </c>
      <c r="C1739" s="1" t="n">
        <v>45927</v>
      </c>
      <c r="D1739" t="inlineStr">
        <is>
          <t>VÄSTERBOTTENS LÄN</t>
        </is>
      </c>
      <c r="E1739" t="inlineStr">
        <is>
          <t>SKELLEFTEÅ</t>
        </is>
      </c>
      <c r="F1739" t="inlineStr">
        <is>
          <t>Holmen skog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40771-2025</t>
        </is>
      </c>
      <c r="B1740" s="1" t="n">
        <v>45897.40736111111</v>
      </c>
      <c r="C1740" s="1" t="n">
        <v>45927</v>
      </c>
      <c r="D1740" t="inlineStr">
        <is>
          <t>VÄSTERBOTTENS LÄN</t>
        </is>
      </c>
      <c r="E1740" t="inlineStr">
        <is>
          <t>SKELLEFTEÅ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18979-2024</t>
        </is>
      </c>
      <c r="B1741" s="1" t="n">
        <v>45427</v>
      </c>
      <c r="C1741" s="1" t="n">
        <v>45927</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40730-2025</t>
        </is>
      </c>
      <c r="B1742" s="1" t="n">
        <v>45897.35766203704</v>
      </c>
      <c r="C1742" s="1" t="n">
        <v>45927</v>
      </c>
      <c r="D1742" t="inlineStr">
        <is>
          <t>VÄSTERBOTTENS LÄN</t>
        </is>
      </c>
      <c r="E1742" t="inlineStr">
        <is>
          <t>SKELLEFTEÅ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57848-2022</t>
        </is>
      </c>
      <c r="B1743" s="1" t="n">
        <v>44898.00032407408</v>
      </c>
      <c r="C1743" s="1" t="n">
        <v>45927</v>
      </c>
      <c r="D1743" t="inlineStr">
        <is>
          <t>VÄSTERBOTTENS LÄN</t>
        </is>
      </c>
      <c r="E1743" t="inlineStr">
        <is>
          <t>SKELLEFTEÅ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44938.92320601852</v>
      </c>
      <c r="C1744" s="1" t="n">
        <v>45927</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26154-2023</t>
        </is>
      </c>
      <c r="B1745" s="1" t="n">
        <v>45091.50071759259</v>
      </c>
      <c r="C1745" s="1" t="n">
        <v>45927</v>
      </c>
      <c r="D1745" t="inlineStr">
        <is>
          <t>VÄSTERBOTTENS LÄN</t>
        </is>
      </c>
      <c r="E1745" t="inlineStr">
        <is>
          <t>SKELLEFTEÅ</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5876-2025</t>
        </is>
      </c>
      <c r="B1746" s="1" t="n">
        <v>45694</v>
      </c>
      <c r="C1746" s="1" t="n">
        <v>45927</v>
      </c>
      <c r="D1746" t="inlineStr">
        <is>
          <t>VÄSTERBOTTENS LÄN</t>
        </is>
      </c>
      <c r="E1746" t="inlineStr">
        <is>
          <t>SKELLEFTEÅ</t>
        </is>
      </c>
      <c r="G1746" t="n">
        <v>60.7</v>
      </c>
      <c r="H1746" t="n">
        <v>0</v>
      </c>
      <c r="I1746" t="n">
        <v>0</v>
      </c>
      <c r="J1746" t="n">
        <v>0</v>
      </c>
      <c r="K1746" t="n">
        <v>0</v>
      </c>
      <c r="L1746" t="n">
        <v>0</v>
      </c>
      <c r="M1746" t="n">
        <v>0</v>
      </c>
      <c r="N1746" t="n">
        <v>0</v>
      </c>
      <c r="O1746" t="n">
        <v>0</v>
      </c>
      <c r="P1746" t="n">
        <v>0</v>
      </c>
      <c r="Q1746" t="n">
        <v>0</v>
      </c>
      <c r="R1746" s="2" t="inlineStr"/>
    </row>
    <row r="1747" ht="15" customHeight="1">
      <c r="A1747" t="inlineStr">
        <is>
          <t>A 28160-2023</t>
        </is>
      </c>
      <c r="B1747" s="1" t="n">
        <v>45099.49787037037</v>
      </c>
      <c r="C1747" s="1" t="n">
        <v>45927</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28192-2023</t>
        </is>
      </c>
      <c r="B1748" s="1" t="n">
        <v>45096</v>
      </c>
      <c r="C1748" s="1" t="n">
        <v>45927</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49949-2023</t>
        </is>
      </c>
      <c r="B1749" s="1" t="n">
        <v>45215.36532407408</v>
      </c>
      <c r="C1749" s="1" t="n">
        <v>45927</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2963-2025</t>
        </is>
      </c>
      <c r="B1750" s="1" t="n">
        <v>45678.45770833334</v>
      </c>
      <c r="C1750" s="1" t="n">
        <v>45927</v>
      </c>
      <c r="D1750" t="inlineStr">
        <is>
          <t>VÄSTERBOTTENS LÄN</t>
        </is>
      </c>
      <c r="E1750" t="inlineStr">
        <is>
          <t>SKELLEFTEÅ</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39089-2025</t>
        </is>
      </c>
      <c r="B1751" s="1" t="n">
        <v>45887</v>
      </c>
      <c r="C1751" s="1" t="n">
        <v>45927</v>
      </c>
      <c r="D1751" t="inlineStr">
        <is>
          <t>VÄSTERBOTTENS LÄN</t>
        </is>
      </c>
      <c r="E1751" t="inlineStr">
        <is>
          <t>SKELLEFTEÅ</t>
        </is>
      </c>
      <c r="G1751" t="n">
        <v>31.5</v>
      </c>
      <c r="H1751" t="n">
        <v>0</v>
      </c>
      <c r="I1751" t="n">
        <v>0</v>
      </c>
      <c r="J1751" t="n">
        <v>0</v>
      </c>
      <c r="K1751" t="n">
        <v>0</v>
      </c>
      <c r="L1751" t="n">
        <v>0</v>
      </c>
      <c r="M1751" t="n">
        <v>0</v>
      </c>
      <c r="N1751" t="n">
        <v>0</v>
      </c>
      <c r="O1751" t="n">
        <v>0</v>
      </c>
      <c r="P1751" t="n">
        <v>0</v>
      </c>
      <c r="Q1751" t="n">
        <v>0</v>
      </c>
      <c r="R1751" s="2" t="inlineStr"/>
    </row>
    <row r="1752" ht="15" customHeight="1">
      <c r="A1752" t="inlineStr">
        <is>
          <t>A 41534-2025</t>
        </is>
      </c>
      <c r="B1752" s="1" t="n">
        <v>45901.56</v>
      </c>
      <c r="C1752" s="1" t="n">
        <v>45927</v>
      </c>
      <c r="D1752" t="inlineStr">
        <is>
          <t>VÄSTERBOTTENS LÄN</t>
        </is>
      </c>
      <c r="E1752" t="inlineStr">
        <is>
          <t>SKELLEFTEÅ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50232-2024</t>
        </is>
      </c>
      <c r="B1753" s="1" t="n">
        <v>45600.55253472222</v>
      </c>
      <c r="C1753" s="1" t="n">
        <v>45927</v>
      </c>
      <c r="D1753" t="inlineStr">
        <is>
          <t>VÄSTERBOTTENS LÄN</t>
        </is>
      </c>
      <c r="E1753" t="inlineStr">
        <is>
          <t>SKELLEFTEÅ</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29267-2025</t>
        </is>
      </c>
      <c r="B1754" s="1" t="n">
        <v>45824.40275462963</v>
      </c>
      <c r="C1754" s="1" t="n">
        <v>45927</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61697-2022</t>
        </is>
      </c>
      <c r="B1755" s="1" t="n">
        <v>44911</v>
      </c>
      <c r="C1755" s="1" t="n">
        <v>45927</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4638-2025</t>
        </is>
      </c>
      <c r="B1756" s="1" t="n">
        <v>45687.64986111111</v>
      </c>
      <c r="C1756" s="1" t="n">
        <v>45927</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41326-2025</t>
        </is>
      </c>
      <c r="B1757" s="1" t="n">
        <v>45899.28303240741</v>
      </c>
      <c r="C1757" s="1" t="n">
        <v>45927</v>
      </c>
      <c r="D1757" t="inlineStr">
        <is>
          <t>VÄSTERBOTTENS LÄN</t>
        </is>
      </c>
      <c r="E1757" t="inlineStr">
        <is>
          <t>SKELLEFTEÅ</t>
        </is>
      </c>
      <c r="F1757" t="inlineStr">
        <is>
          <t>Holmen skog AB</t>
        </is>
      </c>
      <c r="G1757" t="n">
        <v>21.6</v>
      </c>
      <c r="H1757" t="n">
        <v>0</v>
      </c>
      <c r="I1757" t="n">
        <v>0</v>
      </c>
      <c r="J1757" t="n">
        <v>0</v>
      </c>
      <c r="K1757" t="n">
        <v>0</v>
      </c>
      <c r="L1757" t="n">
        <v>0</v>
      </c>
      <c r="M1757" t="n">
        <v>0</v>
      </c>
      <c r="N1757" t="n">
        <v>0</v>
      </c>
      <c r="O1757" t="n">
        <v>0</v>
      </c>
      <c r="P1757" t="n">
        <v>0</v>
      </c>
      <c r="Q1757" t="n">
        <v>0</v>
      </c>
      <c r="R1757" s="2" t="inlineStr"/>
    </row>
    <row r="1758" ht="15" customHeight="1">
      <c r="A1758" t="inlineStr">
        <is>
          <t>A 41507-2025</t>
        </is>
      </c>
      <c r="B1758" s="1" t="n">
        <v>45901.52850694444</v>
      </c>
      <c r="C1758" s="1" t="n">
        <v>45927</v>
      </c>
      <c r="D1758" t="inlineStr">
        <is>
          <t>VÄSTERBOTTENS LÄN</t>
        </is>
      </c>
      <c r="E1758" t="inlineStr">
        <is>
          <t>SKELLEFTEÅ</t>
        </is>
      </c>
      <c r="F1758" t="inlineStr">
        <is>
          <t>Holmen skog AB</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44962.79574074074</v>
      </c>
      <c r="C1759" s="1" t="n">
        <v>45927</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45643-2024</t>
        </is>
      </c>
      <c r="B1760" s="1" t="n">
        <v>45579</v>
      </c>
      <c r="C1760" s="1" t="n">
        <v>45927</v>
      </c>
      <c r="D1760" t="inlineStr">
        <is>
          <t>VÄSTERBOTTENS LÄN</t>
        </is>
      </c>
      <c r="E1760" t="inlineStr">
        <is>
          <t>SKELLEFTEÅ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41058-2025</t>
        </is>
      </c>
      <c r="B1761" s="1" t="n">
        <v>45898.40689814815</v>
      </c>
      <c r="C1761" s="1" t="n">
        <v>45927</v>
      </c>
      <c r="D1761" t="inlineStr">
        <is>
          <t>VÄSTERBOTTENS LÄN</t>
        </is>
      </c>
      <c r="E1761" t="inlineStr">
        <is>
          <t>SKELLEFTEÅ</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38457-2022</t>
        </is>
      </c>
      <c r="B1762" s="1" t="n">
        <v>44813</v>
      </c>
      <c r="C1762" s="1" t="n">
        <v>45927</v>
      </c>
      <c r="D1762" t="inlineStr">
        <is>
          <t>VÄSTERBOTTENS LÄN</t>
        </is>
      </c>
      <c r="E1762" t="inlineStr">
        <is>
          <t>SKELLEFTEÅ</t>
        </is>
      </c>
      <c r="F1762" t="inlineStr">
        <is>
          <t>Holmen skog AB</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41150-2025</t>
        </is>
      </c>
      <c r="B1763" s="1" t="n">
        <v>45898.50738425926</v>
      </c>
      <c r="C1763" s="1" t="n">
        <v>45927</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30395-2024</t>
        </is>
      </c>
      <c r="B1764" s="1" t="n">
        <v>45491</v>
      </c>
      <c r="C1764" s="1" t="n">
        <v>45927</v>
      </c>
      <c r="D1764" t="inlineStr">
        <is>
          <t>VÄSTERBOTTENS LÄN</t>
        </is>
      </c>
      <c r="E1764" t="inlineStr">
        <is>
          <t>SKELLEFTEÅ</t>
        </is>
      </c>
      <c r="F1764" t="inlineStr">
        <is>
          <t>Holmen skog AB</t>
        </is>
      </c>
      <c r="G1764" t="n">
        <v>15.8</v>
      </c>
      <c r="H1764" t="n">
        <v>0</v>
      </c>
      <c r="I1764" t="n">
        <v>0</v>
      </c>
      <c r="J1764" t="n">
        <v>0</v>
      </c>
      <c r="K1764" t="n">
        <v>0</v>
      </c>
      <c r="L1764" t="n">
        <v>0</v>
      </c>
      <c r="M1764" t="n">
        <v>0</v>
      </c>
      <c r="N1764" t="n">
        <v>0</v>
      </c>
      <c r="O1764" t="n">
        <v>0</v>
      </c>
      <c r="P1764" t="n">
        <v>0</v>
      </c>
      <c r="Q1764" t="n">
        <v>0</v>
      </c>
      <c r="R1764" s="2" t="inlineStr"/>
    </row>
    <row r="1765" ht="15" customHeight="1">
      <c r="A1765" t="inlineStr">
        <is>
          <t>A 37499-2024</t>
        </is>
      </c>
      <c r="B1765" s="1" t="n">
        <v>45541.36834490741</v>
      </c>
      <c r="C1765" s="1" t="n">
        <v>45927</v>
      </c>
      <c r="D1765" t="inlineStr">
        <is>
          <t>VÄSTERBOTTENS LÄN</t>
        </is>
      </c>
      <c r="E1765" t="inlineStr">
        <is>
          <t>SKELLEFTEÅ</t>
        </is>
      </c>
      <c r="F1765" t="inlineStr">
        <is>
          <t>Holmen skog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36867-2024</t>
        </is>
      </c>
      <c r="B1766" s="1" t="n">
        <v>45538.57938657407</v>
      </c>
      <c r="C1766" s="1" t="n">
        <v>45927</v>
      </c>
      <c r="D1766" t="inlineStr">
        <is>
          <t>VÄSTERBOTTENS LÄN</t>
        </is>
      </c>
      <c r="E1766" t="inlineStr">
        <is>
          <t>SKELLEFTEÅ</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8539-2022</t>
        </is>
      </c>
      <c r="B1767" s="1" t="n">
        <v>44613</v>
      </c>
      <c r="C1767" s="1" t="n">
        <v>45927</v>
      </c>
      <c r="D1767" t="inlineStr">
        <is>
          <t>VÄSTERBOTTENS LÄN</t>
        </is>
      </c>
      <c r="E1767" t="inlineStr">
        <is>
          <t>SKELLEFTEÅ</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20723-2024</t>
        </is>
      </c>
      <c r="B1768" s="1" t="n">
        <v>45436.65041666666</v>
      </c>
      <c r="C1768" s="1" t="n">
        <v>45927</v>
      </c>
      <c r="D1768" t="inlineStr">
        <is>
          <t>VÄSTERBOTTENS LÄN</t>
        </is>
      </c>
      <c r="E1768" t="inlineStr">
        <is>
          <t>SKELLEFTEÅ</t>
        </is>
      </c>
      <c r="F1768" t="inlineStr">
        <is>
          <t>Holmen skog AB</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10604-2024</t>
        </is>
      </c>
      <c r="B1769" s="1" t="n">
        <v>45366.93827546296</v>
      </c>
      <c r="C1769" s="1" t="n">
        <v>45927</v>
      </c>
      <c r="D1769" t="inlineStr">
        <is>
          <t>VÄSTERBOTTENS LÄN</t>
        </is>
      </c>
      <c r="E1769" t="inlineStr">
        <is>
          <t>SKELLEFTEÅ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59993-2024</t>
        </is>
      </c>
      <c r="B1770" s="1" t="n">
        <v>45642.40476851852</v>
      </c>
      <c r="C1770" s="1" t="n">
        <v>45927</v>
      </c>
      <c r="D1770" t="inlineStr">
        <is>
          <t>VÄSTERBOTTENS LÄN</t>
        </is>
      </c>
      <c r="E1770" t="inlineStr">
        <is>
          <t>SKELLEFTEÅ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41102-2025</t>
        </is>
      </c>
      <c r="B1771" s="1" t="n">
        <v>45898.45258101852</v>
      </c>
      <c r="C1771" s="1" t="n">
        <v>45927</v>
      </c>
      <c r="D1771" t="inlineStr">
        <is>
          <t>VÄSTERBOTTENS LÄN</t>
        </is>
      </c>
      <c r="E1771" t="inlineStr">
        <is>
          <t>SKELLEFTEÅ</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27439-2024</t>
        </is>
      </c>
      <c r="B1772" s="1" t="n">
        <v>45474</v>
      </c>
      <c r="C1772" s="1" t="n">
        <v>45927</v>
      </c>
      <c r="D1772" t="inlineStr">
        <is>
          <t>VÄSTERBOTTENS LÄN</t>
        </is>
      </c>
      <c r="E1772" t="inlineStr">
        <is>
          <t>SKELLEFTEÅ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44959-2023</t>
        </is>
      </c>
      <c r="B1773" s="1" t="n">
        <v>45190</v>
      </c>
      <c r="C1773" s="1" t="n">
        <v>45927</v>
      </c>
      <c r="D1773" t="inlineStr">
        <is>
          <t>VÄSTERBOTTENS LÄN</t>
        </is>
      </c>
      <c r="E1773" t="inlineStr">
        <is>
          <t>SKELLEFTEÅ</t>
        </is>
      </c>
      <c r="F1773" t="inlineStr">
        <is>
          <t>Sveaskog</t>
        </is>
      </c>
      <c r="G1773" t="n">
        <v>15.3</v>
      </c>
      <c r="H1773" t="n">
        <v>0</v>
      </c>
      <c r="I1773" t="n">
        <v>0</v>
      </c>
      <c r="J1773" t="n">
        <v>0</v>
      </c>
      <c r="K1773" t="n">
        <v>0</v>
      </c>
      <c r="L1773" t="n">
        <v>0</v>
      </c>
      <c r="M1773" t="n">
        <v>0</v>
      </c>
      <c r="N1773" t="n">
        <v>0</v>
      </c>
      <c r="O1773" t="n">
        <v>0</v>
      </c>
      <c r="P1773" t="n">
        <v>0</v>
      </c>
      <c r="Q1773" t="n">
        <v>0</v>
      </c>
      <c r="R1773" s="2" t="inlineStr"/>
    </row>
    <row r="1774" ht="15" customHeight="1">
      <c r="A1774" t="inlineStr">
        <is>
          <t>A 24181-2025</t>
        </is>
      </c>
      <c r="B1774" s="1" t="n">
        <v>45796.78885416667</v>
      </c>
      <c r="C1774" s="1" t="n">
        <v>45927</v>
      </c>
      <c r="D1774" t="inlineStr">
        <is>
          <t>VÄSTERBOTTENS LÄN</t>
        </is>
      </c>
      <c r="E1774" t="inlineStr">
        <is>
          <t>SKELLEFTEÅ</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50894-2024</t>
        </is>
      </c>
      <c r="B1775" s="1" t="n">
        <v>45602.67774305555</v>
      </c>
      <c r="C1775" s="1" t="n">
        <v>45927</v>
      </c>
      <c r="D1775" t="inlineStr">
        <is>
          <t>VÄSTERBOTTENS LÄN</t>
        </is>
      </c>
      <c r="E1775" t="inlineStr">
        <is>
          <t>SKELLEFTEÅ</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17506-2024</t>
        </is>
      </c>
      <c r="B1776" s="1" t="n">
        <v>45415</v>
      </c>
      <c r="C1776" s="1" t="n">
        <v>45927</v>
      </c>
      <c r="D1776" t="inlineStr">
        <is>
          <t>VÄSTERBOTTENS LÄN</t>
        </is>
      </c>
      <c r="E1776" t="inlineStr">
        <is>
          <t>SKELLEFTEÅ</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41554-2025</t>
        </is>
      </c>
      <c r="B1777" s="1" t="n">
        <v>45901.59134259259</v>
      </c>
      <c r="C1777" s="1" t="n">
        <v>45927</v>
      </c>
      <c r="D1777" t="inlineStr">
        <is>
          <t>VÄSTERBOTTENS LÄN</t>
        </is>
      </c>
      <c r="E1777" t="inlineStr">
        <is>
          <t>SKELLEFTEÅ</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1666-2023</t>
        </is>
      </c>
      <c r="B1778" s="1" t="n">
        <v>44938.36417824074</v>
      </c>
      <c r="C1778" s="1" t="n">
        <v>45927</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41532-2025</t>
        </is>
      </c>
      <c r="B1779" s="1" t="n">
        <v>45901.55744212963</v>
      </c>
      <c r="C1779" s="1" t="n">
        <v>45927</v>
      </c>
      <c r="D1779" t="inlineStr">
        <is>
          <t>VÄSTERBOTTENS LÄN</t>
        </is>
      </c>
      <c r="E1779" t="inlineStr">
        <is>
          <t>SKELLEFTEÅ</t>
        </is>
      </c>
      <c r="F1779" t="inlineStr">
        <is>
          <t>Holmen skog AB</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5220-2024</t>
        </is>
      </c>
      <c r="B1780" s="1" t="n">
        <v>45330</v>
      </c>
      <c r="C1780" s="1" t="n">
        <v>45927</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54913-2020</t>
        </is>
      </c>
      <c r="B1781" s="1" t="n">
        <v>44127</v>
      </c>
      <c r="C1781" s="1" t="n">
        <v>45927</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41697-2025</t>
        </is>
      </c>
      <c r="B1782" s="1" t="n">
        <v>45902.4074537037</v>
      </c>
      <c r="C1782" s="1" t="n">
        <v>45927</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50070-2024</t>
        </is>
      </c>
      <c r="B1783" s="1" t="n">
        <v>45600.35901620371</v>
      </c>
      <c r="C1783" s="1" t="n">
        <v>45927</v>
      </c>
      <c r="D1783" t="inlineStr">
        <is>
          <t>VÄSTERBOTTENS LÄN</t>
        </is>
      </c>
      <c r="E1783" t="inlineStr">
        <is>
          <t>SKELLEFTEÅ</t>
        </is>
      </c>
      <c r="F1783" t="inlineStr">
        <is>
          <t>Kommuner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32279-2022</t>
        </is>
      </c>
      <c r="B1784" s="1" t="n">
        <v>44781</v>
      </c>
      <c r="C1784" s="1" t="n">
        <v>45927</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1321-2025</t>
        </is>
      </c>
      <c r="B1785" s="1" t="n">
        <v>45667</v>
      </c>
      <c r="C1785" s="1" t="n">
        <v>45927</v>
      </c>
      <c r="D1785" t="inlineStr">
        <is>
          <t>VÄSTERBOTTENS LÄN</t>
        </is>
      </c>
      <c r="E1785" t="inlineStr">
        <is>
          <t>SKELLEFTEÅ</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1362-2025</t>
        </is>
      </c>
      <c r="B1786" s="1" t="n">
        <v>45667.63641203703</v>
      </c>
      <c r="C1786" s="1" t="n">
        <v>45927</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1367-2025</t>
        </is>
      </c>
      <c r="B1787" s="1" t="n">
        <v>45667.64177083333</v>
      </c>
      <c r="C1787" s="1" t="n">
        <v>45927</v>
      </c>
      <c r="D1787" t="inlineStr">
        <is>
          <t>VÄSTERBOTTENS LÄN</t>
        </is>
      </c>
      <c r="E1787" t="inlineStr">
        <is>
          <t>SKELLEFTEÅ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2087-2025</t>
        </is>
      </c>
      <c r="B1788" s="1" t="n">
        <v>45672.59090277777</v>
      </c>
      <c r="C1788" s="1" t="n">
        <v>45927</v>
      </c>
      <c r="D1788" t="inlineStr">
        <is>
          <t>VÄSTERBOTTENS LÄN</t>
        </is>
      </c>
      <c r="E1788" t="inlineStr">
        <is>
          <t>SKELLEFTEÅ</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44938.90767361111</v>
      </c>
      <c r="C1789" s="1" t="n">
        <v>45927</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35772-2025</t>
        </is>
      </c>
      <c r="B1790" s="1" t="n">
        <v>45860.67483796296</v>
      </c>
      <c r="C1790" s="1" t="n">
        <v>45927</v>
      </c>
      <c r="D1790" t="inlineStr">
        <is>
          <t>VÄSTERBOTTENS LÄN</t>
        </is>
      </c>
      <c r="E1790" t="inlineStr">
        <is>
          <t>SKELLEFTEÅ</t>
        </is>
      </c>
      <c r="F1790" t="inlineStr">
        <is>
          <t>Holmen skog AB</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41701-2025</t>
        </is>
      </c>
      <c r="B1791" s="1" t="n">
        <v>45902.41085648148</v>
      </c>
      <c r="C1791" s="1" t="n">
        <v>45927</v>
      </c>
      <c r="D1791" t="inlineStr">
        <is>
          <t>VÄSTERBOTTENS LÄN</t>
        </is>
      </c>
      <c r="E1791" t="inlineStr">
        <is>
          <t>SKELLEFTEÅ</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12772-2024</t>
        </is>
      </c>
      <c r="B1792" s="1" t="n">
        <v>45384</v>
      </c>
      <c r="C1792" s="1" t="n">
        <v>45927</v>
      </c>
      <c r="D1792" t="inlineStr">
        <is>
          <t>VÄSTERBOTTENS LÄN</t>
        </is>
      </c>
      <c r="E1792" t="inlineStr">
        <is>
          <t>SKELLEFTEÅ</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65382-2020</t>
        </is>
      </c>
      <c r="B1793" s="1" t="n">
        <v>44173</v>
      </c>
      <c r="C1793" s="1" t="n">
        <v>45927</v>
      </c>
      <c r="D1793" t="inlineStr">
        <is>
          <t>VÄSTERBOTTENS LÄN</t>
        </is>
      </c>
      <c r="E1793" t="inlineStr">
        <is>
          <t>SKELLEFTEÅ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44100-2024</t>
        </is>
      </c>
      <c r="B1794" s="1" t="n">
        <v>45572.62739583333</v>
      </c>
      <c r="C1794" s="1" t="n">
        <v>45927</v>
      </c>
      <c r="D1794" t="inlineStr">
        <is>
          <t>VÄSTERBOTTENS LÄN</t>
        </is>
      </c>
      <c r="E1794" t="inlineStr">
        <is>
          <t>SKELLEFTEÅ</t>
        </is>
      </c>
      <c r="F1794" t="inlineStr">
        <is>
          <t>Holmen skog AB</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42107-2025</t>
        </is>
      </c>
      <c r="B1795" s="1" t="n">
        <v>45903.90503472222</v>
      </c>
      <c r="C1795" s="1" t="n">
        <v>45927</v>
      </c>
      <c r="D1795" t="inlineStr">
        <is>
          <t>VÄSTERBOTTENS LÄN</t>
        </is>
      </c>
      <c r="E1795" t="inlineStr">
        <is>
          <t>SKELLEFTEÅ</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18291-2025</t>
        </is>
      </c>
      <c r="B1796" s="1" t="n">
        <v>45762.41027777778</v>
      </c>
      <c r="C1796" s="1" t="n">
        <v>45927</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41973-2025</t>
        </is>
      </c>
      <c r="B1797" s="1" t="n">
        <v>45903.49407407407</v>
      </c>
      <c r="C1797" s="1" t="n">
        <v>45927</v>
      </c>
      <c r="D1797" t="inlineStr">
        <is>
          <t>VÄSTERBOTTENS LÄN</t>
        </is>
      </c>
      <c r="E1797" t="inlineStr">
        <is>
          <t>SKELLEFTEÅ</t>
        </is>
      </c>
      <c r="F1797" t="inlineStr">
        <is>
          <t>Holmen skog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41992-2025</t>
        </is>
      </c>
      <c r="B1798" s="1" t="n">
        <v>45903.54805555556</v>
      </c>
      <c r="C1798" s="1" t="n">
        <v>45927</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45927</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33274-2023</t>
        </is>
      </c>
      <c r="B1800" s="1" t="n">
        <v>45127.59840277778</v>
      </c>
      <c r="C1800" s="1" t="n">
        <v>45927</v>
      </c>
      <c r="D1800" t="inlineStr">
        <is>
          <t>VÄSTERBOTTENS LÄN</t>
        </is>
      </c>
      <c r="E1800" t="inlineStr">
        <is>
          <t>SKELLEFTEÅ</t>
        </is>
      </c>
      <c r="F1800" t="inlineStr">
        <is>
          <t>Holmen skog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63525-2023</t>
        </is>
      </c>
      <c r="B1801" s="1" t="n">
        <v>45274</v>
      </c>
      <c r="C1801" s="1" t="n">
        <v>45927</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42020-2025</t>
        </is>
      </c>
      <c r="B1802" s="1" t="n">
        <v>45903.58728009259</v>
      </c>
      <c r="C1802" s="1" t="n">
        <v>45927</v>
      </c>
      <c r="D1802" t="inlineStr">
        <is>
          <t>VÄSTERBOTTENS LÄN</t>
        </is>
      </c>
      <c r="E1802" t="inlineStr">
        <is>
          <t>SKELLEFTEÅ</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42086-2025</t>
        </is>
      </c>
      <c r="B1803" s="1" t="n">
        <v>45903.69359953704</v>
      </c>
      <c r="C1803" s="1" t="n">
        <v>45927</v>
      </c>
      <c r="D1803" t="inlineStr">
        <is>
          <t>VÄSTERBOTTENS LÄN</t>
        </is>
      </c>
      <c r="E1803" t="inlineStr">
        <is>
          <t>SKELLEFTEÅ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41953-2025</t>
        </is>
      </c>
      <c r="B1804" s="1" t="n">
        <v>45903.45978009259</v>
      </c>
      <c r="C1804" s="1" t="n">
        <v>45927</v>
      </c>
      <c r="D1804" t="inlineStr">
        <is>
          <t>VÄSTERBOTTENS LÄN</t>
        </is>
      </c>
      <c r="E1804" t="inlineStr">
        <is>
          <t>SKELLEFTEÅ</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11963-2023</t>
        </is>
      </c>
      <c r="B1805" s="1" t="n">
        <v>44994</v>
      </c>
      <c r="C1805" s="1" t="n">
        <v>45927</v>
      </c>
      <c r="D1805" t="inlineStr">
        <is>
          <t>VÄSTERBOTTENS LÄN</t>
        </is>
      </c>
      <c r="E1805" t="inlineStr">
        <is>
          <t>SKELLEFTEÅ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1612-2023</t>
        </is>
      </c>
      <c r="B1806" s="1" t="n">
        <v>44935</v>
      </c>
      <c r="C1806" s="1" t="n">
        <v>45927</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35633-2025</t>
        </is>
      </c>
      <c r="B1807" s="1" t="n">
        <v>45859.45072916667</v>
      </c>
      <c r="C1807" s="1" t="n">
        <v>45927</v>
      </c>
      <c r="D1807" t="inlineStr">
        <is>
          <t>VÄSTERBOTTENS LÄN</t>
        </is>
      </c>
      <c r="E1807" t="inlineStr">
        <is>
          <t>SKELLEFTEÅ</t>
        </is>
      </c>
      <c r="F1807" t="inlineStr">
        <is>
          <t>Holmen skog AB</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41910-2025</t>
        </is>
      </c>
      <c r="B1808" s="1" t="n">
        <v>45903.40789351852</v>
      </c>
      <c r="C1808" s="1" t="n">
        <v>45927</v>
      </c>
      <c r="D1808" t="inlineStr">
        <is>
          <t>VÄSTERBOTTENS LÄN</t>
        </is>
      </c>
      <c r="E1808" t="inlineStr">
        <is>
          <t>SKELLEFTEÅ</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67678-2020</t>
        </is>
      </c>
      <c r="B1809" s="1" t="n">
        <v>44182</v>
      </c>
      <c r="C1809" s="1" t="n">
        <v>45927</v>
      </c>
      <c r="D1809" t="inlineStr">
        <is>
          <t>VÄSTERBOTTENS LÄN</t>
        </is>
      </c>
      <c r="E1809" t="inlineStr">
        <is>
          <t>SKELLEFTEÅ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54657-2024</t>
        </is>
      </c>
      <c r="B1810" s="1" t="n">
        <v>45617</v>
      </c>
      <c r="C1810" s="1" t="n">
        <v>45927</v>
      </c>
      <c r="D1810" t="inlineStr">
        <is>
          <t>VÄSTERBOTTENS LÄN</t>
        </is>
      </c>
      <c r="E1810" t="inlineStr">
        <is>
          <t>SKELLEFTEÅ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12694-2025</t>
        </is>
      </c>
      <c r="B1811" s="1" t="n">
        <v>45733.46015046296</v>
      </c>
      <c r="C1811" s="1" t="n">
        <v>45927</v>
      </c>
      <c r="D1811" t="inlineStr">
        <is>
          <t>VÄSTERBOTTENS LÄN</t>
        </is>
      </c>
      <c r="E1811" t="inlineStr">
        <is>
          <t>SKELLEFTEÅ</t>
        </is>
      </c>
      <c r="F1811" t="inlineStr">
        <is>
          <t>Kommuner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4005-2022</t>
        </is>
      </c>
      <c r="B1812" s="1" t="n">
        <v>44587.92012731481</v>
      </c>
      <c r="C1812" s="1" t="n">
        <v>45927</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63010-2023</t>
        </is>
      </c>
      <c r="B1813" s="1" t="n">
        <v>45272</v>
      </c>
      <c r="C1813" s="1" t="n">
        <v>45927</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35811-2025</t>
        </is>
      </c>
      <c r="B1814" s="1" t="n">
        <v>45861.43084490741</v>
      </c>
      <c r="C1814" s="1" t="n">
        <v>45927</v>
      </c>
      <c r="D1814" t="inlineStr">
        <is>
          <t>VÄSTERBOTTENS LÄN</t>
        </is>
      </c>
      <c r="E1814" t="inlineStr">
        <is>
          <t>SKELLEFTEÅ</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26545-2022</t>
        </is>
      </c>
      <c r="B1815" s="1" t="n">
        <v>44739.46318287037</v>
      </c>
      <c r="C1815" s="1" t="n">
        <v>45927</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19582-2024</t>
        </is>
      </c>
      <c r="B1816" s="1" t="n">
        <v>45429.92415509259</v>
      </c>
      <c r="C1816" s="1" t="n">
        <v>45927</v>
      </c>
      <c r="D1816" t="inlineStr">
        <is>
          <t>VÄSTERBOTTENS LÄN</t>
        </is>
      </c>
      <c r="E1816" t="inlineStr">
        <is>
          <t>SKELLEFTEÅ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41670-2025</t>
        </is>
      </c>
      <c r="B1817" s="1" t="n">
        <v>45902.361875</v>
      </c>
      <c r="C1817" s="1" t="n">
        <v>45927</v>
      </c>
      <c r="D1817" t="inlineStr">
        <is>
          <t>VÄSTERBOTTENS LÄN</t>
        </is>
      </c>
      <c r="E1817" t="inlineStr">
        <is>
          <t>SKELLEFTEÅ</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1640-2023</t>
        </is>
      </c>
      <c r="B1818" s="1" t="n">
        <v>44937</v>
      </c>
      <c r="C1818" s="1" t="n">
        <v>45927</v>
      </c>
      <c r="D1818" t="inlineStr">
        <is>
          <t>VÄSTERBOTTENS LÄN</t>
        </is>
      </c>
      <c r="E1818" t="inlineStr">
        <is>
          <t>SKELLEFTEÅ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41677-2025</t>
        </is>
      </c>
      <c r="B1819" s="1" t="n">
        <v>45902.37362268518</v>
      </c>
      <c r="C1819" s="1" t="n">
        <v>45927</v>
      </c>
      <c r="D1819" t="inlineStr">
        <is>
          <t>VÄSTERBOTTENS LÄN</t>
        </is>
      </c>
      <c r="E1819" t="inlineStr">
        <is>
          <t>SKELLEFTEÅ</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9079-2023</t>
        </is>
      </c>
      <c r="B1820" s="1" t="n">
        <v>44979.92408564815</v>
      </c>
      <c r="C1820" s="1" t="n">
        <v>45927</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31760-2023</t>
        </is>
      </c>
      <c r="B1821" s="1" t="n">
        <v>45106</v>
      </c>
      <c r="C1821" s="1" t="n">
        <v>45927</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41917-2025</t>
        </is>
      </c>
      <c r="B1822" s="1" t="n">
        <v>45903.42202546296</v>
      </c>
      <c r="C1822" s="1" t="n">
        <v>45927</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41909-2025</t>
        </is>
      </c>
      <c r="B1823" s="1" t="n">
        <v>45903.4078125</v>
      </c>
      <c r="C1823" s="1" t="n">
        <v>45927</v>
      </c>
      <c r="D1823" t="inlineStr">
        <is>
          <t>VÄSTERBOTTENS LÄN</t>
        </is>
      </c>
      <c r="E1823" t="inlineStr">
        <is>
          <t>SKELLEFTEÅ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20193-2025</t>
        </is>
      </c>
      <c r="B1824" s="1" t="n">
        <v>45772</v>
      </c>
      <c r="C1824" s="1" t="n">
        <v>45927</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40787-2024</t>
        </is>
      </c>
      <c r="B1825" s="1" t="n">
        <v>45558</v>
      </c>
      <c r="C1825" s="1" t="n">
        <v>45927</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20218-2025</t>
        </is>
      </c>
      <c r="B1826" s="1" t="n">
        <v>45772</v>
      </c>
      <c r="C1826" s="1" t="n">
        <v>45927</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42787-2023</t>
        </is>
      </c>
      <c r="B1827" s="1" t="n">
        <v>45181</v>
      </c>
      <c r="C1827" s="1" t="n">
        <v>45927</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3445-2024</t>
        </is>
      </c>
      <c r="B1828" s="1" t="n">
        <v>45320</v>
      </c>
      <c r="C1828" s="1" t="n">
        <v>45927</v>
      </c>
      <c r="D1828" t="inlineStr">
        <is>
          <t>VÄSTERBOTTENS LÄN</t>
        </is>
      </c>
      <c r="E1828" t="inlineStr">
        <is>
          <t>SKELLEFTEÅ</t>
        </is>
      </c>
      <c r="G1828" t="n">
        <v>19.1</v>
      </c>
      <c r="H1828" t="n">
        <v>0</v>
      </c>
      <c r="I1828" t="n">
        <v>0</v>
      </c>
      <c r="J1828" t="n">
        <v>0</v>
      </c>
      <c r="K1828" t="n">
        <v>0</v>
      </c>
      <c r="L1828" t="n">
        <v>0</v>
      </c>
      <c r="M1828" t="n">
        <v>0</v>
      </c>
      <c r="N1828" t="n">
        <v>0</v>
      </c>
      <c r="O1828" t="n">
        <v>0</v>
      </c>
      <c r="P1828" t="n">
        <v>0</v>
      </c>
      <c r="Q1828" t="n">
        <v>0</v>
      </c>
      <c r="R1828" s="2" t="inlineStr"/>
    </row>
    <row r="1829" ht="15" customHeight="1">
      <c r="A1829" t="inlineStr">
        <is>
          <t>A 3453-2024</t>
        </is>
      </c>
      <c r="B1829" s="1" t="n">
        <v>45320.39112268519</v>
      </c>
      <c r="C1829" s="1" t="n">
        <v>45927</v>
      </c>
      <c r="D1829" t="inlineStr">
        <is>
          <t>VÄSTERBOTTENS LÄN</t>
        </is>
      </c>
      <c r="E1829" t="inlineStr">
        <is>
          <t>SKELLEFTEÅ</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41908-2025</t>
        </is>
      </c>
      <c r="B1830" s="1" t="n">
        <v>45903.40730324074</v>
      </c>
      <c r="C1830" s="1" t="n">
        <v>45927</v>
      </c>
      <c r="D1830" t="inlineStr">
        <is>
          <t>VÄSTERBOTTENS LÄN</t>
        </is>
      </c>
      <c r="E1830" t="inlineStr">
        <is>
          <t>SKELLEFTEÅ</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41320-2024</t>
        </is>
      </c>
      <c r="B1831" s="1" t="n">
        <v>45559</v>
      </c>
      <c r="C1831" s="1" t="n">
        <v>45927</v>
      </c>
      <c r="D1831" t="inlineStr">
        <is>
          <t>VÄSTERBOTTENS LÄN</t>
        </is>
      </c>
      <c r="E1831" t="inlineStr">
        <is>
          <t>SKELLEFTEÅ</t>
        </is>
      </c>
      <c r="G1831" t="n">
        <v>24.7</v>
      </c>
      <c r="H1831" t="n">
        <v>0</v>
      </c>
      <c r="I1831" t="n">
        <v>0</v>
      </c>
      <c r="J1831" t="n">
        <v>0</v>
      </c>
      <c r="K1831" t="n">
        <v>0</v>
      </c>
      <c r="L1831" t="n">
        <v>0</v>
      </c>
      <c r="M1831" t="n">
        <v>0</v>
      </c>
      <c r="N1831" t="n">
        <v>0</v>
      </c>
      <c r="O1831" t="n">
        <v>0</v>
      </c>
      <c r="P1831" t="n">
        <v>0</v>
      </c>
      <c r="Q1831" t="n">
        <v>0</v>
      </c>
      <c r="R1831" s="2" t="inlineStr"/>
    </row>
    <row r="1832" ht="15" customHeight="1">
      <c r="A1832" t="inlineStr">
        <is>
          <t>A 42007-2025</t>
        </is>
      </c>
      <c r="B1832" s="1" t="n">
        <v>45903.55988425926</v>
      </c>
      <c r="C1832" s="1" t="n">
        <v>45927</v>
      </c>
      <c r="D1832" t="inlineStr">
        <is>
          <t>VÄSTERBOTTENS LÄN</t>
        </is>
      </c>
      <c r="E1832" t="inlineStr">
        <is>
          <t>SKELLEFTEÅ</t>
        </is>
      </c>
      <c r="F1832" t="inlineStr">
        <is>
          <t>Holmen skog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33519-2021</t>
        </is>
      </c>
      <c r="B1833" s="1" t="n">
        <v>44377.75302083333</v>
      </c>
      <c r="C1833" s="1" t="n">
        <v>45927</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26257-2024</t>
        </is>
      </c>
      <c r="B1834" s="1" t="n">
        <v>45468</v>
      </c>
      <c r="C1834" s="1" t="n">
        <v>45927</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28666-2021</t>
        </is>
      </c>
      <c r="B1835" s="1" t="n">
        <v>44357</v>
      </c>
      <c r="C1835" s="1" t="n">
        <v>45927</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41720-2025</t>
        </is>
      </c>
      <c r="B1836" s="1" t="n">
        <v>45902.4481712963</v>
      </c>
      <c r="C1836" s="1" t="n">
        <v>45927</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41721-2025</t>
        </is>
      </c>
      <c r="B1837" s="1" t="n">
        <v>45902.44825231482</v>
      </c>
      <c r="C1837" s="1" t="n">
        <v>45927</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22548-2023</t>
        </is>
      </c>
      <c r="B1838" s="1" t="n">
        <v>45069</v>
      </c>
      <c r="C1838" s="1" t="n">
        <v>45927</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42401-2025</t>
        </is>
      </c>
      <c r="B1839" s="1" t="n">
        <v>45905.37298611111</v>
      </c>
      <c r="C1839" s="1" t="n">
        <v>45927</v>
      </c>
      <c r="D1839" t="inlineStr">
        <is>
          <t>VÄSTERBOTTENS LÄN</t>
        </is>
      </c>
      <c r="E1839" t="inlineStr">
        <is>
          <t>SKELLEFTEÅ</t>
        </is>
      </c>
      <c r="F1839" t="inlineStr">
        <is>
          <t>Holmen skog AB</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42133-2025</t>
        </is>
      </c>
      <c r="B1840" s="1" t="n">
        <v>45904.34597222223</v>
      </c>
      <c r="C1840" s="1" t="n">
        <v>45927</v>
      </c>
      <c r="D1840" t="inlineStr">
        <is>
          <t>VÄSTERBOTTENS LÄN</t>
        </is>
      </c>
      <c r="E1840" t="inlineStr">
        <is>
          <t>SKELLEFTEÅ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60498-2022</t>
        </is>
      </c>
      <c r="B1841" s="1" t="n">
        <v>44911.44347222222</v>
      </c>
      <c r="C1841" s="1" t="n">
        <v>45927</v>
      </c>
      <c r="D1841" t="inlineStr">
        <is>
          <t>VÄSTERBOTTENS LÄN</t>
        </is>
      </c>
      <c r="E1841" t="inlineStr">
        <is>
          <t>SKELLEFTEÅ</t>
        </is>
      </c>
      <c r="F1841" t="inlineStr">
        <is>
          <t>Sveaskog</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14756-2022</t>
        </is>
      </c>
      <c r="B1842" s="1" t="n">
        <v>44656</v>
      </c>
      <c r="C1842" s="1" t="n">
        <v>45927</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33520-2021</t>
        </is>
      </c>
      <c r="B1843" s="1" t="n">
        <v>44377.75653935185</v>
      </c>
      <c r="C1843" s="1" t="n">
        <v>45927</v>
      </c>
      <c r="D1843" t="inlineStr">
        <is>
          <t>VÄSTERBOTTENS LÄN</t>
        </is>
      </c>
      <c r="E1843" t="inlineStr">
        <is>
          <t>SKELLEFTEÅ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64258-2023</t>
        </is>
      </c>
      <c r="B1844" s="1" t="n">
        <v>45279</v>
      </c>
      <c r="C1844" s="1" t="n">
        <v>45927</v>
      </c>
      <c r="D1844" t="inlineStr">
        <is>
          <t>VÄSTERBOTTENS LÄN</t>
        </is>
      </c>
      <c r="E1844" t="inlineStr">
        <is>
          <t>SKELLEFTEÅ</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42248-2025</t>
        </is>
      </c>
      <c r="B1845" s="1" t="n">
        <v>45903</v>
      </c>
      <c r="C1845" s="1" t="n">
        <v>45927</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42250-2025</t>
        </is>
      </c>
      <c r="B1846" s="1" t="n">
        <v>45903</v>
      </c>
      <c r="C1846" s="1" t="n">
        <v>45927</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8203-2022</t>
        </is>
      </c>
      <c r="B1847" s="1" t="n">
        <v>44609</v>
      </c>
      <c r="C1847" s="1" t="n">
        <v>45927</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24327-2023</t>
        </is>
      </c>
      <c r="B1848" s="1" t="n">
        <v>45080</v>
      </c>
      <c r="C1848" s="1" t="n">
        <v>45927</v>
      </c>
      <c r="D1848" t="inlineStr">
        <is>
          <t>VÄSTERBOTTENS LÄN</t>
        </is>
      </c>
      <c r="E1848" t="inlineStr">
        <is>
          <t>SKELLEFTEÅ</t>
        </is>
      </c>
      <c r="F1848" t="inlineStr">
        <is>
          <t>SCA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53639-2022</t>
        </is>
      </c>
      <c r="B1849" s="1" t="n">
        <v>44879.92975694445</v>
      </c>
      <c r="C1849" s="1" t="n">
        <v>45927</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35988-2025</t>
        </is>
      </c>
      <c r="B1850" s="1" t="n">
        <v>45863.46273148148</v>
      </c>
      <c r="C1850" s="1" t="n">
        <v>45927</v>
      </c>
      <c r="D1850" t="inlineStr">
        <is>
          <t>VÄSTERBOTTENS LÄN</t>
        </is>
      </c>
      <c r="E1850" t="inlineStr">
        <is>
          <t>SKELLEFTEÅ</t>
        </is>
      </c>
      <c r="F1850" t="inlineStr">
        <is>
          <t>Holmen skog AB</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26473-2021</t>
        </is>
      </c>
      <c r="B1851" s="1" t="n">
        <v>44348</v>
      </c>
      <c r="C1851" s="1" t="n">
        <v>45927</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35923-2025</t>
        </is>
      </c>
      <c r="B1852" s="1" t="n">
        <v>45862.57084490741</v>
      </c>
      <c r="C1852" s="1" t="n">
        <v>45927</v>
      </c>
      <c r="D1852" t="inlineStr">
        <is>
          <t>VÄSTERBOTTENS LÄN</t>
        </is>
      </c>
      <c r="E1852" t="inlineStr">
        <is>
          <t>SKELLEFTEÅ</t>
        </is>
      </c>
      <c r="F1852" t="inlineStr">
        <is>
          <t>Holmen skog AB</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35951-2025</t>
        </is>
      </c>
      <c r="B1853" s="1" t="n">
        <v>45863.30952546297</v>
      </c>
      <c r="C1853" s="1" t="n">
        <v>45927</v>
      </c>
      <c r="D1853" t="inlineStr">
        <is>
          <t>VÄSTERBOTTENS LÄN</t>
        </is>
      </c>
      <c r="E1853" t="inlineStr">
        <is>
          <t>SKELLEFTEÅ</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18498-2025</t>
        </is>
      </c>
      <c r="B1854" s="1" t="n">
        <v>45763.35789351852</v>
      </c>
      <c r="C1854" s="1" t="n">
        <v>45927</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531-2023</t>
        </is>
      </c>
      <c r="B1855" s="1" t="n">
        <v>44925</v>
      </c>
      <c r="C1855" s="1" t="n">
        <v>45927</v>
      </c>
      <c r="D1855" t="inlineStr">
        <is>
          <t>VÄSTERBOTTENS LÄN</t>
        </is>
      </c>
      <c r="E1855" t="inlineStr">
        <is>
          <t>SKELLEFTEÅ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45576-2023</t>
        </is>
      </c>
      <c r="B1856" s="1" t="n">
        <v>45188</v>
      </c>
      <c r="C1856" s="1" t="n">
        <v>45927</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35887-2025</t>
        </is>
      </c>
      <c r="B1857" s="1" t="n">
        <v>45862.43923611111</v>
      </c>
      <c r="C1857" s="1" t="n">
        <v>45927</v>
      </c>
      <c r="D1857" t="inlineStr">
        <is>
          <t>VÄSTERBOTTENS LÄN</t>
        </is>
      </c>
      <c r="E1857" t="inlineStr">
        <is>
          <t>SKELLEFTEÅ</t>
        </is>
      </c>
      <c r="F1857" t="inlineStr">
        <is>
          <t>Holmen skog AB</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35925-2025</t>
        </is>
      </c>
      <c r="B1858" s="1" t="n">
        <v>45862.5902662037</v>
      </c>
      <c r="C1858" s="1" t="n">
        <v>45927</v>
      </c>
      <c r="D1858" t="inlineStr">
        <is>
          <t>VÄSTERBOTTENS LÄN</t>
        </is>
      </c>
      <c r="E1858" t="inlineStr">
        <is>
          <t>SKELLEFTEÅ</t>
        </is>
      </c>
      <c r="F1858" t="inlineStr">
        <is>
          <t>Holmen skog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21836-2024</t>
        </is>
      </c>
      <c r="B1859" s="1" t="n">
        <v>45442.93028935185</v>
      </c>
      <c r="C1859" s="1" t="n">
        <v>45927</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42241-2025</t>
        </is>
      </c>
      <c r="B1860" s="1" t="n">
        <v>45903</v>
      </c>
      <c r="C1860" s="1" t="n">
        <v>45927</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25634-2023</t>
        </is>
      </c>
      <c r="B1861" s="1" t="n">
        <v>45084</v>
      </c>
      <c r="C1861" s="1" t="n">
        <v>45927</v>
      </c>
      <c r="D1861" t="inlineStr">
        <is>
          <t>VÄSTERBOTTENS LÄN</t>
        </is>
      </c>
      <c r="E1861" t="inlineStr">
        <is>
          <t>SKELLEFTEÅ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8821-2025</t>
        </is>
      </c>
      <c r="B1862" s="1" t="n">
        <v>45712.77956018518</v>
      </c>
      <c r="C1862" s="1" t="n">
        <v>45927</v>
      </c>
      <c r="D1862" t="inlineStr">
        <is>
          <t>VÄSTERBOTTENS LÄN</t>
        </is>
      </c>
      <c r="E1862" t="inlineStr">
        <is>
          <t>SKELLEFTEÅ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42114-2025</t>
        </is>
      </c>
      <c r="B1863" s="1" t="n">
        <v>45904.33050925926</v>
      </c>
      <c r="C1863" s="1" t="n">
        <v>45927</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42118-2025</t>
        </is>
      </c>
      <c r="B1864" s="1" t="n">
        <v>45904.33653935185</v>
      </c>
      <c r="C1864" s="1" t="n">
        <v>45927</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42121-2025</t>
        </is>
      </c>
      <c r="B1865" s="1" t="n">
        <v>45904.34252314815</v>
      </c>
      <c r="C1865" s="1" t="n">
        <v>45927</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42137-2025</t>
        </is>
      </c>
      <c r="B1866" s="1" t="n">
        <v>45904.35496527778</v>
      </c>
      <c r="C1866" s="1" t="n">
        <v>45927</v>
      </c>
      <c r="D1866" t="inlineStr">
        <is>
          <t>VÄSTERBOTTENS LÄN</t>
        </is>
      </c>
      <c r="E1866" t="inlineStr">
        <is>
          <t>SKELLEFTEÅ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36513-2024</t>
        </is>
      </c>
      <c r="B1867" s="1" t="n">
        <v>45537.42751157407</v>
      </c>
      <c r="C1867" s="1" t="n">
        <v>45927</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16183-2023</t>
        </is>
      </c>
      <c r="B1868" s="1" t="n">
        <v>45027</v>
      </c>
      <c r="C1868" s="1" t="n">
        <v>45927</v>
      </c>
      <c r="D1868" t="inlineStr">
        <is>
          <t>VÄSTERBOTTENS LÄN</t>
        </is>
      </c>
      <c r="E1868" t="inlineStr">
        <is>
          <t>SKELLEFTEÅ</t>
        </is>
      </c>
      <c r="G1868" t="n">
        <v>24.8</v>
      </c>
      <c r="H1868" t="n">
        <v>0</v>
      </c>
      <c r="I1868" t="n">
        <v>0</v>
      </c>
      <c r="J1868" t="n">
        <v>0</v>
      </c>
      <c r="K1868" t="n">
        <v>0</v>
      </c>
      <c r="L1868" t="n">
        <v>0</v>
      </c>
      <c r="M1868" t="n">
        <v>0</v>
      </c>
      <c r="N1868" t="n">
        <v>0</v>
      </c>
      <c r="O1868" t="n">
        <v>0</v>
      </c>
      <c r="P1868" t="n">
        <v>0</v>
      </c>
      <c r="Q1868" t="n">
        <v>0</v>
      </c>
      <c r="R1868" s="2" t="inlineStr"/>
    </row>
    <row r="1869" ht="15" customHeight="1">
      <c r="A1869" t="inlineStr">
        <is>
          <t>A 42116-2025</t>
        </is>
      </c>
      <c r="B1869" s="1" t="n">
        <v>45904.33420138889</v>
      </c>
      <c r="C1869" s="1" t="n">
        <v>45927</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35914-2025</t>
        </is>
      </c>
      <c r="B1870" s="1" t="n">
        <v>45862.5441087963</v>
      </c>
      <c r="C1870" s="1" t="n">
        <v>45927</v>
      </c>
      <c r="D1870" t="inlineStr">
        <is>
          <t>VÄSTERBOTTENS LÄN</t>
        </is>
      </c>
      <c r="E1870" t="inlineStr">
        <is>
          <t>SKELLEFTEÅ</t>
        </is>
      </c>
      <c r="F1870" t="inlineStr">
        <is>
          <t>Holmen skog AB</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2326-2025</t>
        </is>
      </c>
      <c r="B1871" s="1" t="n">
        <v>45673.63425925926</v>
      </c>
      <c r="C1871" s="1" t="n">
        <v>45927</v>
      </c>
      <c r="D1871" t="inlineStr">
        <is>
          <t>VÄSTERBOTTENS LÄN</t>
        </is>
      </c>
      <c r="E1871" t="inlineStr">
        <is>
          <t>SKELLEFTEÅ</t>
        </is>
      </c>
      <c r="F1871" t="inlineStr">
        <is>
          <t>Holmen skog AB</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35954-2025</t>
        </is>
      </c>
      <c r="B1872" s="1" t="n">
        <v>45863.31778935185</v>
      </c>
      <c r="C1872" s="1" t="n">
        <v>45927</v>
      </c>
      <c r="D1872" t="inlineStr">
        <is>
          <t>VÄSTERBOTTENS LÄN</t>
        </is>
      </c>
      <c r="E1872" t="inlineStr">
        <is>
          <t>SKELLEFTEÅ</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49356-2024</t>
        </is>
      </c>
      <c r="B1873" s="1" t="n">
        <v>45595</v>
      </c>
      <c r="C1873" s="1" t="n">
        <v>45927</v>
      </c>
      <c r="D1873" t="inlineStr">
        <is>
          <t>VÄSTERBOTTENS LÄN</t>
        </is>
      </c>
      <c r="E1873" t="inlineStr">
        <is>
          <t>SKELLEFTEÅ</t>
        </is>
      </c>
      <c r="F1873" t="inlineStr">
        <is>
          <t>Sveaskog</t>
        </is>
      </c>
      <c r="G1873" t="n">
        <v>12.8</v>
      </c>
      <c r="H1873" t="n">
        <v>0</v>
      </c>
      <c r="I1873" t="n">
        <v>0</v>
      </c>
      <c r="J1873" t="n">
        <v>0</v>
      </c>
      <c r="K1873" t="n">
        <v>0</v>
      </c>
      <c r="L1873" t="n">
        <v>0</v>
      </c>
      <c r="M1873" t="n">
        <v>0</v>
      </c>
      <c r="N1873" t="n">
        <v>0</v>
      </c>
      <c r="O1873" t="n">
        <v>0</v>
      </c>
      <c r="P1873" t="n">
        <v>0</v>
      </c>
      <c r="Q1873" t="n">
        <v>0</v>
      </c>
      <c r="R1873" s="2" t="inlineStr"/>
    </row>
    <row r="1874" ht="15" customHeight="1">
      <c r="A1874" t="inlineStr">
        <is>
          <t>A 42234-2025</t>
        </is>
      </c>
      <c r="B1874" s="1" t="n">
        <v>45903</v>
      </c>
      <c r="C1874" s="1" t="n">
        <v>45927</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42796-2025</t>
        </is>
      </c>
      <c r="B1875" s="1" t="n">
        <v>45908.52939814814</v>
      </c>
      <c r="C1875" s="1" t="n">
        <v>45927</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56797-2024</t>
        </is>
      </c>
      <c r="B1876" s="1" t="n">
        <v>45628.46482638889</v>
      </c>
      <c r="C1876" s="1" t="n">
        <v>45927</v>
      </c>
      <c r="D1876" t="inlineStr">
        <is>
          <t>VÄSTERBOTTENS LÄN</t>
        </is>
      </c>
      <c r="E1876" t="inlineStr">
        <is>
          <t>SKELLEFTEÅ</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5239-2024</t>
        </is>
      </c>
      <c r="B1877" s="1" t="n">
        <v>45330.85105324074</v>
      </c>
      <c r="C1877" s="1" t="n">
        <v>45927</v>
      </c>
      <c r="D1877" t="inlineStr">
        <is>
          <t>VÄSTERBOTTENS LÄN</t>
        </is>
      </c>
      <c r="E1877" t="inlineStr">
        <is>
          <t>SKELLEFTEÅ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19073-2023</t>
        </is>
      </c>
      <c r="B1878" s="1" t="n">
        <v>45048.37394675926</v>
      </c>
      <c r="C1878" s="1" t="n">
        <v>45927</v>
      </c>
      <c r="D1878" t="inlineStr">
        <is>
          <t>VÄSTERBOTTENS LÄN</t>
        </is>
      </c>
      <c r="E1878" t="inlineStr">
        <is>
          <t>SKELLEFTEÅ</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4958-2025</t>
        </is>
      </c>
      <c r="B1879" s="1" t="n">
        <v>45689.58603009259</v>
      </c>
      <c r="C1879" s="1" t="n">
        <v>45927</v>
      </c>
      <c r="D1879" t="inlineStr">
        <is>
          <t>VÄSTERBOTTENS LÄN</t>
        </is>
      </c>
      <c r="E1879" t="inlineStr">
        <is>
          <t>SKELLEFTEÅ</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4959-2025</t>
        </is>
      </c>
      <c r="B1880" s="1" t="n">
        <v>45689.59054398148</v>
      </c>
      <c r="C1880" s="1" t="n">
        <v>45927</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39590-2021</t>
        </is>
      </c>
      <c r="B1881" s="1" t="n">
        <v>44413</v>
      </c>
      <c r="C1881" s="1" t="n">
        <v>45927</v>
      </c>
      <c r="D1881" t="inlineStr">
        <is>
          <t>VÄSTERBOTTENS LÄN</t>
        </is>
      </c>
      <c r="E1881" t="inlineStr">
        <is>
          <t>SKELLEFTEÅ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46584-2023</t>
        </is>
      </c>
      <c r="B1882" s="1" t="n">
        <v>45198</v>
      </c>
      <c r="C1882" s="1" t="n">
        <v>45927</v>
      </c>
      <c r="D1882" t="inlineStr">
        <is>
          <t>VÄSTERBOTTENS LÄN</t>
        </is>
      </c>
      <c r="E1882" t="inlineStr">
        <is>
          <t>SKELLEFTEÅ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4299-2021</t>
        </is>
      </c>
      <c r="B1883" s="1" t="n">
        <v>44223</v>
      </c>
      <c r="C1883" s="1" t="n">
        <v>45927</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22758-2022</t>
        </is>
      </c>
      <c r="B1884" s="1" t="n">
        <v>44714</v>
      </c>
      <c r="C1884" s="1" t="n">
        <v>45927</v>
      </c>
      <c r="D1884" t="inlineStr">
        <is>
          <t>VÄSTERBOTTENS LÄN</t>
        </is>
      </c>
      <c r="E1884" t="inlineStr">
        <is>
          <t>SKELLEFTEÅ</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17154-2025</t>
        </is>
      </c>
      <c r="B1885" s="1" t="n">
        <v>45756.33802083333</v>
      </c>
      <c r="C1885" s="1" t="n">
        <v>45927</v>
      </c>
      <c r="D1885" t="inlineStr">
        <is>
          <t>VÄSTERBOTTENS LÄN</t>
        </is>
      </c>
      <c r="E1885" t="inlineStr">
        <is>
          <t>SKELLEFTEÅ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17160-2025</t>
        </is>
      </c>
      <c r="B1886" s="1" t="n">
        <v>45756.34784722222</v>
      </c>
      <c r="C1886" s="1" t="n">
        <v>45927</v>
      </c>
      <c r="D1886" t="inlineStr">
        <is>
          <t>VÄSTERBOTTENS LÄN</t>
        </is>
      </c>
      <c r="E1886" t="inlineStr">
        <is>
          <t>SKELLEFTEÅ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11254-2025</t>
        </is>
      </c>
      <c r="B1887" s="1" t="n">
        <v>45726.38625</v>
      </c>
      <c r="C1887" s="1" t="n">
        <v>45927</v>
      </c>
      <c r="D1887" t="inlineStr">
        <is>
          <t>VÄSTERBOTTENS LÄN</t>
        </is>
      </c>
      <c r="E1887" t="inlineStr">
        <is>
          <t>SKELLEFTEÅ</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37547-2024</t>
        </is>
      </c>
      <c r="B1888" s="1" t="n">
        <v>45541.42965277778</v>
      </c>
      <c r="C1888" s="1" t="n">
        <v>45927</v>
      </c>
      <c r="D1888" t="inlineStr">
        <is>
          <t>VÄSTERBOTTENS LÄN</t>
        </is>
      </c>
      <c r="E1888" t="inlineStr">
        <is>
          <t>SKELLEFTEÅ</t>
        </is>
      </c>
      <c r="F1888" t="inlineStr">
        <is>
          <t>Holmen skog AB</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35731-2023</t>
        </is>
      </c>
      <c r="B1889" s="1" t="n">
        <v>45147</v>
      </c>
      <c r="C1889" s="1" t="n">
        <v>45927</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36493-2023</t>
        </is>
      </c>
      <c r="B1890" s="1" t="n">
        <v>45152.92484953703</v>
      </c>
      <c r="C1890" s="1" t="n">
        <v>45927</v>
      </c>
      <c r="D1890" t="inlineStr">
        <is>
          <t>VÄSTERBOTTENS LÄN</t>
        </is>
      </c>
      <c r="E1890" t="inlineStr">
        <is>
          <t>SKELLEFTEÅ</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36495-2023</t>
        </is>
      </c>
      <c r="B1891" s="1" t="n">
        <v>45152.92496527778</v>
      </c>
      <c r="C1891" s="1" t="n">
        <v>45927</v>
      </c>
      <c r="D1891" t="inlineStr">
        <is>
          <t>VÄSTERBOTTENS LÄN</t>
        </is>
      </c>
      <c r="E1891" t="inlineStr">
        <is>
          <t>SKELLEFTEÅ</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45407-2024</t>
        </is>
      </c>
      <c r="B1892" s="1" t="n">
        <v>45576.58652777778</v>
      </c>
      <c r="C1892" s="1" t="n">
        <v>45927</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52686-2023</t>
        </is>
      </c>
      <c r="B1893" s="1" t="n">
        <v>45225.73399305555</v>
      </c>
      <c r="C1893" s="1" t="n">
        <v>45927</v>
      </c>
      <c r="D1893" t="inlineStr">
        <is>
          <t>VÄSTERBOTTENS LÄN</t>
        </is>
      </c>
      <c r="E1893" t="inlineStr">
        <is>
          <t>SKELLEFTEÅ</t>
        </is>
      </c>
      <c r="F1893" t="inlineStr">
        <is>
          <t>Sveaskog</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39589-2023</t>
        </is>
      </c>
      <c r="B1894" s="1" t="n">
        <v>45167.44805555556</v>
      </c>
      <c r="C1894" s="1" t="n">
        <v>45927</v>
      </c>
      <c r="D1894" t="inlineStr">
        <is>
          <t>VÄSTERBOTTENS LÄN</t>
        </is>
      </c>
      <c r="E1894" t="inlineStr">
        <is>
          <t>SKELLEFTEÅ</t>
        </is>
      </c>
      <c r="F1894" t="inlineStr">
        <is>
          <t>Holmen skog AB</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59664-2022</t>
        </is>
      </c>
      <c r="B1895" s="1" t="n">
        <v>44908.33321759259</v>
      </c>
      <c r="C1895" s="1" t="n">
        <v>45927</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42661-2025</t>
        </is>
      </c>
      <c r="B1896" s="1" t="n">
        <v>45907.60118055555</v>
      </c>
      <c r="C1896" s="1" t="n">
        <v>45927</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36215-2025</t>
        </is>
      </c>
      <c r="B1897" s="1" t="n">
        <v>45867.49079861111</v>
      </c>
      <c r="C1897" s="1" t="n">
        <v>45927</v>
      </c>
      <c r="D1897" t="inlineStr">
        <is>
          <t>VÄSTERBOTTENS LÄN</t>
        </is>
      </c>
      <c r="E1897" t="inlineStr">
        <is>
          <t>SKELLEFTEÅ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42059-2025</t>
        </is>
      </c>
      <c r="B1898" s="1" t="n">
        <v>45903</v>
      </c>
      <c r="C1898" s="1" t="n">
        <v>45927</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9080-2023</t>
        </is>
      </c>
      <c r="B1899" s="1" t="n">
        <v>44979</v>
      </c>
      <c r="C1899" s="1" t="n">
        <v>45927</v>
      </c>
      <c r="D1899" t="inlineStr">
        <is>
          <t>VÄSTERBOTTENS LÄN</t>
        </is>
      </c>
      <c r="E1899" t="inlineStr">
        <is>
          <t>SKELLEFTEÅ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38906-2025</t>
        </is>
      </c>
      <c r="B1900" s="1" t="n">
        <v>45887.60821759259</v>
      </c>
      <c r="C1900" s="1" t="n">
        <v>45927</v>
      </c>
      <c r="D1900" t="inlineStr">
        <is>
          <t>VÄSTERBOTTENS LÄN</t>
        </is>
      </c>
      <c r="E1900" t="inlineStr">
        <is>
          <t>SKELLEFTEÅ</t>
        </is>
      </c>
      <c r="F1900" t="inlineStr">
        <is>
          <t>Holmen skog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38450-2023</t>
        </is>
      </c>
      <c r="B1901" s="1" t="n">
        <v>45162</v>
      </c>
      <c r="C1901" s="1" t="n">
        <v>45927</v>
      </c>
      <c r="D1901" t="inlineStr">
        <is>
          <t>VÄSTERBOTTENS LÄN</t>
        </is>
      </c>
      <c r="E1901" t="inlineStr">
        <is>
          <t>SKELLEFTEÅ</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43307-2025</t>
        </is>
      </c>
      <c r="B1902" s="1" t="n">
        <v>45910.64238425926</v>
      </c>
      <c r="C1902" s="1" t="n">
        <v>45927</v>
      </c>
      <c r="D1902" t="inlineStr">
        <is>
          <t>VÄSTERBOTTENS LÄN</t>
        </is>
      </c>
      <c r="E1902" t="inlineStr">
        <is>
          <t>SKELLEFTEÅ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43309-2025</t>
        </is>
      </c>
      <c r="B1903" s="1" t="n">
        <v>45910.64689814814</v>
      </c>
      <c r="C1903" s="1" t="n">
        <v>45927</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43312-2025</t>
        </is>
      </c>
      <c r="B1904" s="1" t="n">
        <v>45910.65115740741</v>
      </c>
      <c r="C1904" s="1" t="n">
        <v>45927</v>
      </c>
      <c r="D1904" t="inlineStr">
        <is>
          <t>VÄSTERBOTTENS LÄN</t>
        </is>
      </c>
      <c r="E1904" t="inlineStr">
        <is>
          <t>SKELLEFTEÅ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43325-2025</t>
        </is>
      </c>
      <c r="B1905" s="1" t="n">
        <v>45910.66576388889</v>
      </c>
      <c r="C1905" s="1" t="n">
        <v>45927</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43427-2025</t>
        </is>
      </c>
      <c r="B1906" s="1" t="n">
        <v>45911.419375</v>
      </c>
      <c r="C1906" s="1" t="n">
        <v>45927</v>
      </c>
      <c r="D1906" t="inlineStr">
        <is>
          <t>VÄSTERBOTTENS LÄN</t>
        </is>
      </c>
      <c r="E1906" t="inlineStr">
        <is>
          <t>SKELLEFTEÅ</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21265-2021</t>
        </is>
      </c>
      <c r="B1907" s="1" t="n">
        <v>44320.5741087963</v>
      </c>
      <c r="C1907" s="1" t="n">
        <v>45927</v>
      </c>
      <c r="D1907" t="inlineStr">
        <is>
          <t>VÄSTERBOTTENS LÄN</t>
        </is>
      </c>
      <c r="E1907" t="inlineStr">
        <is>
          <t>SKELLEFTEÅ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14341-2023</t>
        </is>
      </c>
      <c r="B1908" s="1" t="n">
        <v>45009</v>
      </c>
      <c r="C1908" s="1" t="n">
        <v>45927</v>
      </c>
      <c r="D1908" t="inlineStr">
        <is>
          <t>VÄSTERBOTTENS LÄN</t>
        </is>
      </c>
      <c r="E1908" t="inlineStr">
        <is>
          <t>SKELLEFTEÅ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5143-2021</t>
        </is>
      </c>
      <c r="B1909" s="1" t="n">
        <v>44228</v>
      </c>
      <c r="C1909" s="1" t="n">
        <v>45927</v>
      </c>
      <c r="D1909" t="inlineStr">
        <is>
          <t>VÄSTERBOTTENS LÄN</t>
        </is>
      </c>
      <c r="E1909" t="inlineStr">
        <is>
          <t>SKELLEFTEÅ</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2279-2025</t>
        </is>
      </c>
      <c r="B1910" s="1" t="n">
        <v>45673.56776620371</v>
      </c>
      <c r="C1910" s="1" t="n">
        <v>45927</v>
      </c>
      <c r="D1910" t="inlineStr">
        <is>
          <t>VÄSTERBOTTENS LÄN</t>
        </is>
      </c>
      <c r="E1910" t="inlineStr">
        <is>
          <t>SKELLEFTEÅ</t>
        </is>
      </c>
      <c r="F1910" t="inlineStr">
        <is>
          <t>Holmen skog AB</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43600-2025</t>
        </is>
      </c>
      <c r="B1911" s="1" t="n">
        <v>45911.66473379629</v>
      </c>
      <c r="C1911" s="1" t="n">
        <v>45927</v>
      </c>
      <c r="D1911" t="inlineStr">
        <is>
          <t>VÄSTERBOTTENS LÄN</t>
        </is>
      </c>
      <c r="E1911" t="inlineStr">
        <is>
          <t>SKELLEFTEÅ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43318-2025</t>
        </is>
      </c>
      <c r="B1912" s="1" t="n">
        <v>45910</v>
      </c>
      <c r="C1912" s="1" t="n">
        <v>45927</v>
      </c>
      <c r="D1912" t="inlineStr">
        <is>
          <t>VÄSTERBOTTENS LÄN</t>
        </is>
      </c>
      <c r="E1912" t="inlineStr">
        <is>
          <t>SKELLEFTEÅ</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16156-2025</t>
        </is>
      </c>
      <c r="B1913" s="1" t="n">
        <v>45750.49013888889</v>
      </c>
      <c r="C1913" s="1" t="n">
        <v>45927</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904-2023</t>
        </is>
      </c>
      <c r="B1914" s="1" t="n">
        <v>44931</v>
      </c>
      <c r="C1914" s="1" t="n">
        <v>45927</v>
      </c>
      <c r="D1914" t="inlineStr">
        <is>
          <t>VÄSTERBOTTENS LÄN</t>
        </is>
      </c>
      <c r="E1914" t="inlineStr">
        <is>
          <t>SKELLEFTEÅ</t>
        </is>
      </c>
      <c r="G1914" t="n">
        <v>22.2</v>
      </c>
      <c r="H1914" t="n">
        <v>0</v>
      </c>
      <c r="I1914" t="n">
        <v>0</v>
      </c>
      <c r="J1914" t="n">
        <v>0</v>
      </c>
      <c r="K1914" t="n">
        <v>0</v>
      </c>
      <c r="L1914" t="n">
        <v>0</v>
      </c>
      <c r="M1914" t="n">
        <v>0</v>
      </c>
      <c r="N1914" t="n">
        <v>0</v>
      </c>
      <c r="O1914" t="n">
        <v>0</v>
      </c>
      <c r="P1914" t="n">
        <v>0</v>
      </c>
      <c r="Q1914" t="n">
        <v>0</v>
      </c>
      <c r="R1914" s="2" t="inlineStr"/>
    </row>
    <row r="1915" ht="15" customHeight="1">
      <c r="A1915" t="inlineStr">
        <is>
          <t>A 7916-2025</t>
        </is>
      </c>
      <c r="B1915" s="1" t="n">
        <v>45707.35113425926</v>
      </c>
      <c r="C1915" s="1" t="n">
        <v>45927</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21854-2024</t>
        </is>
      </c>
      <c r="B1916" s="1" t="n">
        <v>45442</v>
      </c>
      <c r="C1916" s="1" t="n">
        <v>45927</v>
      </c>
      <c r="D1916" t="inlineStr">
        <is>
          <t>VÄSTERBOTTENS LÄN</t>
        </is>
      </c>
      <c r="E1916" t="inlineStr">
        <is>
          <t>SKELLEFTEÅ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42861-2024</t>
        </is>
      </c>
      <c r="B1917" s="1" t="n">
        <v>45566.65780092592</v>
      </c>
      <c r="C1917" s="1" t="n">
        <v>45927</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10696-2023</t>
        </is>
      </c>
      <c r="B1918" s="1" t="n">
        <v>44984</v>
      </c>
      <c r="C1918" s="1" t="n">
        <v>45927</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58872-2021</t>
        </is>
      </c>
      <c r="B1919" s="1" t="n">
        <v>44489</v>
      </c>
      <c r="C1919" s="1" t="n">
        <v>45927</v>
      </c>
      <c r="D1919" t="inlineStr">
        <is>
          <t>VÄSTERBOTTENS LÄN</t>
        </is>
      </c>
      <c r="E1919" t="inlineStr">
        <is>
          <t>SKELLEFTEÅ</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43596-2025</t>
        </is>
      </c>
      <c r="B1920" s="1" t="n">
        <v>45911.66240740741</v>
      </c>
      <c r="C1920" s="1" t="n">
        <v>45927</v>
      </c>
      <c r="D1920" t="inlineStr">
        <is>
          <t>VÄSTERBOTTENS LÄN</t>
        </is>
      </c>
      <c r="E1920" t="inlineStr">
        <is>
          <t>SKELLEFTEÅ</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43317-2025</t>
        </is>
      </c>
      <c r="B1921" s="1" t="n">
        <v>45910.65524305555</v>
      </c>
      <c r="C1921" s="1" t="n">
        <v>45927</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4032-2024</t>
        </is>
      </c>
      <c r="B1922" s="1" t="n">
        <v>45323.40850694444</v>
      </c>
      <c r="C1922" s="1" t="n">
        <v>45927</v>
      </c>
      <c r="D1922" t="inlineStr">
        <is>
          <t>VÄSTERBOTTENS LÄN</t>
        </is>
      </c>
      <c r="E1922" t="inlineStr">
        <is>
          <t>SKELLEFTEÅ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33268-2022</t>
        </is>
      </c>
      <c r="B1923" s="1" t="n">
        <v>44788.32501157407</v>
      </c>
      <c r="C1923" s="1" t="n">
        <v>45927</v>
      </c>
      <c r="D1923" t="inlineStr">
        <is>
          <t>VÄSTERBOTTENS LÄN</t>
        </is>
      </c>
      <c r="E1923" t="inlineStr">
        <is>
          <t>SKELLEFTEÅ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29579-2024</t>
        </is>
      </c>
      <c r="B1924" s="1" t="n">
        <v>45484.57260416666</v>
      </c>
      <c r="C1924" s="1" t="n">
        <v>45927</v>
      </c>
      <c r="D1924" t="inlineStr">
        <is>
          <t>VÄSTERBOTTENS LÄN</t>
        </is>
      </c>
      <c r="E1924" t="inlineStr">
        <is>
          <t>SKELLEFTEÅ</t>
        </is>
      </c>
      <c r="F1924" t="inlineStr">
        <is>
          <t>Holmen skog AB</t>
        </is>
      </c>
      <c r="G1924" t="n">
        <v>10.1</v>
      </c>
      <c r="H1924" t="n">
        <v>0</v>
      </c>
      <c r="I1924" t="n">
        <v>0</v>
      </c>
      <c r="J1924" t="n">
        <v>0</v>
      </c>
      <c r="K1924" t="n">
        <v>0</v>
      </c>
      <c r="L1924" t="n">
        <v>0</v>
      </c>
      <c r="M1924" t="n">
        <v>0</v>
      </c>
      <c r="N1924" t="n">
        <v>0</v>
      </c>
      <c r="O1924" t="n">
        <v>0</v>
      </c>
      <c r="P1924" t="n">
        <v>0</v>
      </c>
      <c r="Q1924" t="n">
        <v>0</v>
      </c>
      <c r="R1924" s="2" t="inlineStr"/>
    </row>
    <row r="1925" ht="15" customHeight="1">
      <c r="A1925" t="inlineStr">
        <is>
          <t>A 49731-2024</t>
        </is>
      </c>
      <c r="B1925" s="1" t="n">
        <v>45596</v>
      </c>
      <c r="C1925" s="1" t="n">
        <v>45927</v>
      </c>
      <c r="D1925" t="inlineStr">
        <is>
          <t>VÄSTERBOTTENS LÄN</t>
        </is>
      </c>
      <c r="E1925" t="inlineStr">
        <is>
          <t>SKELLEFTEÅ</t>
        </is>
      </c>
      <c r="F1925" t="inlineStr">
        <is>
          <t>Sveaskog</t>
        </is>
      </c>
      <c r="G1925" t="n">
        <v>15.4</v>
      </c>
      <c r="H1925" t="n">
        <v>0</v>
      </c>
      <c r="I1925" t="n">
        <v>0</v>
      </c>
      <c r="J1925" t="n">
        <v>0</v>
      </c>
      <c r="K1925" t="n">
        <v>0</v>
      </c>
      <c r="L1925" t="n">
        <v>0</v>
      </c>
      <c r="M1925" t="n">
        <v>0</v>
      </c>
      <c r="N1925" t="n">
        <v>0</v>
      </c>
      <c r="O1925" t="n">
        <v>0</v>
      </c>
      <c r="P1925" t="n">
        <v>0</v>
      </c>
      <c r="Q1925" t="n">
        <v>0</v>
      </c>
      <c r="R1925" s="2" t="inlineStr"/>
    </row>
    <row r="1926" ht="15" customHeight="1">
      <c r="A1926" t="inlineStr">
        <is>
          <t>A 47686-2024</t>
        </is>
      </c>
      <c r="B1926" s="1" t="n">
        <v>45588.42978009259</v>
      </c>
      <c r="C1926" s="1" t="n">
        <v>45927</v>
      </c>
      <c r="D1926" t="inlineStr">
        <is>
          <t>VÄSTERBOTTENS LÄN</t>
        </is>
      </c>
      <c r="E1926" t="inlineStr">
        <is>
          <t>SKELLEFTEÅ</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34615-2024</t>
        </is>
      </c>
      <c r="B1927" s="1" t="n">
        <v>45526.41416666667</v>
      </c>
      <c r="C1927" s="1" t="n">
        <v>45927</v>
      </c>
      <c r="D1927" t="inlineStr">
        <is>
          <t>VÄSTERBOTTENS LÄN</t>
        </is>
      </c>
      <c r="E1927" t="inlineStr">
        <is>
          <t>SKELLEFTEÅ</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20340-2025</t>
        </is>
      </c>
      <c r="B1928" s="1" t="n">
        <v>45775.36581018518</v>
      </c>
      <c r="C1928" s="1" t="n">
        <v>45927</v>
      </c>
      <c r="D1928" t="inlineStr">
        <is>
          <t>VÄSTERBOTTENS LÄN</t>
        </is>
      </c>
      <c r="E1928" t="inlineStr">
        <is>
          <t>SKELLEFTEÅ</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58250-2022</t>
        </is>
      </c>
      <c r="B1929" s="1" t="n">
        <v>44894</v>
      </c>
      <c r="C1929" s="1" t="n">
        <v>45927</v>
      </c>
      <c r="D1929" t="inlineStr">
        <is>
          <t>VÄSTERBOTTENS LÄN</t>
        </is>
      </c>
      <c r="E1929" t="inlineStr">
        <is>
          <t>SKELLEFTEÅ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58008-2024</t>
        </is>
      </c>
      <c r="B1930" s="1" t="n">
        <v>45631.65482638889</v>
      </c>
      <c r="C1930" s="1" t="n">
        <v>45927</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25237-2023</t>
        </is>
      </c>
      <c r="B1931" s="1" t="n">
        <v>45079</v>
      </c>
      <c r="C1931" s="1" t="n">
        <v>45927</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11525-2024</t>
        </is>
      </c>
      <c r="B1932" s="1" t="n">
        <v>45372</v>
      </c>
      <c r="C1932" s="1" t="n">
        <v>45927</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38940-2022</t>
        </is>
      </c>
      <c r="B1933" s="1" t="n">
        <v>44816</v>
      </c>
      <c r="C1933" s="1" t="n">
        <v>45927</v>
      </c>
      <c r="D1933" t="inlineStr">
        <is>
          <t>VÄSTERBOTTENS LÄN</t>
        </is>
      </c>
      <c r="E1933" t="inlineStr">
        <is>
          <t>SKELLEFTEÅ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32709-2024</t>
        </is>
      </c>
      <c r="B1934" s="1" t="n">
        <v>45516.3629050926</v>
      </c>
      <c r="C1934" s="1" t="n">
        <v>45927</v>
      </c>
      <c r="D1934" t="inlineStr">
        <is>
          <t>VÄSTERBOTTENS LÄN</t>
        </is>
      </c>
      <c r="E1934" t="inlineStr">
        <is>
          <t>SKELLEFTEÅ</t>
        </is>
      </c>
      <c r="F1934" t="inlineStr">
        <is>
          <t>Holmen skog AB</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37946-2024</t>
        </is>
      </c>
      <c r="B1935" s="1" t="n">
        <v>45544.50325231482</v>
      </c>
      <c r="C1935" s="1" t="n">
        <v>45927</v>
      </c>
      <c r="D1935" t="inlineStr">
        <is>
          <t>VÄSTERBOTTENS LÄN</t>
        </is>
      </c>
      <c r="E1935" t="inlineStr">
        <is>
          <t>SKELLEFTEÅ</t>
        </is>
      </c>
      <c r="F1935" t="inlineStr">
        <is>
          <t>Holmen skog AB</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46565-2024</t>
        </is>
      </c>
      <c r="B1936" s="1" t="n">
        <v>45582</v>
      </c>
      <c r="C1936" s="1" t="n">
        <v>45927</v>
      </c>
      <c r="D1936" t="inlineStr">
        <is>
          <t>VÄSTERBOTTENS LÄN</t>
        </is>
      </c>
      <c r="E1936" t="inlineStr">
        <is>
          <t>SKELLEFTEÅ</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18819-2023</t>
        </is>
      </c>
      <c r="B1937" s="1" t="n">
        <v>45044</v>
      </c>
      <c r="C1937" s="1" t="n">
        <v>45927</v>
      </c>
      <c r="D1937" t="inlineStr">
        <is>
          <t>VÄSTERBOTTENS LÄN</t>
        </is>
      </c>
      <c r="E1937" t="inlineStr">
        <is>
          <t>SKELLEFTEÅ</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51810-2024</t>
        </is>
      </c>
      <c r="B1938" s="1" t="n">
        <v>45607.48707175926</v>
      </c>
      <c r="C1938" s="1" t="n">
        <v>45927</v>
      </c>
      <c r="D1938" t="inlineStr">
        <is>
          <t>VÄSTERBOTTENS LÄN</t>
        </is>
      </c>
      <c r="E1938" t="inlineStr">
        <is>
          <t>SKELLEFTEÅ</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46480-2024</t>
        </is>
      </c>
      <c r="B1939" s="1" t="n">
        <v>45582.57158564815</v>
      </c>
      <c r="C1939" s="1" t="n">
        <v>45927</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1959-2025</t>
        </is>
      </c>
      <c r="B1940" s="1" t="n">
        <v>45671</v>
      </c>
      <c r="C1940" s="1" t="n">
        <v>45927</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55743-2024</t>
        </is>
      </c>
      <c r="B1941" s="1" t="n">
        <v>45623.30952546297</v>
      </c>
      <c r="C1941" s="1" t="n">
        <v>45927</v>
      </c>
      <c r="D1941" t="inlineStr">
        <is>
          <t>VÄSTERBOTTENS LÄN</t>
        </is>
      </c>
      <c r="E1941" t="inlineStr">
        <is>
          <t>SKELLEFTEÅ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16663-2025</t>
        </is>
      </c>
      <c r="B1942" s="1" t="n">
        <v>45754.41936342593</v>
      </c>
      <c r="C1942" s="1" t="n">
        <v>45927</v>
      </c>
      <c r="D1942" t="inlineStr">
        <is>
          <t>VÄSTERBOTTENS LÄN</t>
        </is>
      </c>
      <c r="E1942" t="inlineStr">
        <is>
          <t>SKELLEFTEÅ</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5475-2025</t>
        </is>
      </c>
      <c r="B1943" s="1" t="n">
        <v>45693.33069444444</v>
      </c>
      <c r="C1943" s="1" t="n">
        <v>45927</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53000-2024</t>
        </is>
      </c>
      <c r="B1944" s="1" t="n">
        <v>45611.38673611111</v>
      </c>
      <c r="C1944" s="1" t="n">
        <v>45927</v>
      </c>
      <c r="D1944" t="inlineStr">
        <is>
          <t>VÄSTERBOTTENS LÄN</t>
        </is>
      </c>
      <c r="E1944" t="inlineStr">
        <is>
          <t>SKELLEFTEÅ</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61467-2022</t>
        </is>
      </c>
      <c r="B1945" s="1" t="n">
        <v>44916</v>
      </c>
      <c r="C1945" s="1" t="n">
        <v>45927</v>
      </c>
      <c r="D1945" t="inlineStr">
        <is>
          <t>VÄSTERBOTTENS LÄN</t>
        </is>
      </c>
      <c r="E1945" t="inlineStr">
        <is>
          <t>SKELLEFTEÅ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15116-2025</t>
        </is>
      </c>
      <c r="B1946" s="1" t="n">
        <v>45744.36479166667</v>
      </c>
      <c r="C1946" s="1" t="n">
        <v>45927</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10719-2024</t>
        </is>
      </c>
      <c r="B1947" s="1" t="n">
        <v>45369</v>
      </c>
      <c r="C1947" s="1" t="n">
        <v>45927</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29323-2024</t>
        </is>
      </c>
      <c r="B1948" s="1" t="n">
        <v>45483.43054398148</v>
      </c>
      <c r="C1948" s="1" t="n">
        <v>45927</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16959-2024</t>
        </is>
      </c>
      <c r="B1949" s="1" t="n">
        <v>45411</v>
      </c>
      <c r="C1949" s="1" t="n">
        <v>45927</v>
      </c>
      <c r="D1949" t="inlineStr">
        <is>
          <t>VÄSTERBOTTENS LÄN</t>
        </is>
      </c>
      <c r="E1949" t="inlineStr">
        <is>
          <t>SKELLEFTEÅ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20592-2024</t>
        </is>
      </c>
      <c r="B1950" s="1" t="n">
        <v>45436</v>
      </c>
      <c r="C1950" s="1" t="n">
        <v>45927</v>
      </c>
      <c r="D1950" t="inlineStr">
        <is>
          <t>VÄSTERBOTTENS LÄN</t>
        </is>
      </c>
      <c r="E1950" t="inlineStr">
        <is>
          <t>SKELLEFTEÅ</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16604-2025</t>
        </is>
      </c>
      <c r="B1951" s="1" t="n">
        <v>45753</v>
      </c>
      <c r="C1951" s="1" t="n">
        <v>45927</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12855-2025</t>
        </is>
      </c>
      <c r="B1952" s="1" t="n">
        <v>45733.66163194444</v>
      </c>
      <c r="C1952" s="1" t="n">
        <v>45927</v>
      </c>
      <c r="D1952" t="inlineStr">
        <is>
          <t>VÄSTERBOTTENS LÄN</t>
        </is>
      </c>
      <c r="E1952" t="inlineStr">
        <is>
          <t>SKELLEFTEÅ</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43463-2025</t>
        </is>
      </c>
      <c r="B1953" s="1" t="n">
        <v>45911.46953703704</v>
      </c>
      <c r="C1953" s="1" t="n">
        <v>45927</v>
      </c>
      <c r="D1953" t="inlineStr">
        <is>
          <t>VÄSTERBOTTENS LÄN</t>
        </is>
      </c>
      <c r="E1953" t="inlineStr">
        <is>
          <t>SKELLEFTEÅ</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43372-2025</t>
        </is>
      </c>
      <c r="B1954" s="1" t="n">
        <v>45911.35015046296</v>
      </c>
      <c r="C1954" s="1" t="n">
        <v>45927</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43327-2025</t>
        </is>
      </c>
      <c r="B1955" s="1" t="n">
        <v>45910.67043981481</v>
      </c>
      <c r="C1955" s="1" t="n">
        <v>45927</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2393-2025</t>
        </is>
      </c>
      <c r="B1956" s="1" t="n">
        <v>45674.33457175926</v>
      </c>
      <c r="C1956" s="1" t="n">
        <v>45927</v>
      </c>
      <c r="D1956" t="inlineStr">
        <is>
          <t>VÄSTERBOTTENS LÄN</t>
        </is>
      </c>
      <c r="E1956" t="inlineStr">
        <is>
          <t>SKELLEFTEÅ</t>
        </is>
      </c>
      <c r="G1956" t="n">
        <v>10.2</v>
      </c>
      <c r="H1956" t="n">
        <v>0</v>
      </c>
      <c r="I1956" t="n">
        <v>0</v>
      </c>
      <c r="J1956" t="n">
        <v>0</v>
      </c>
      <c r="K1956" t="n">
        <v>0</v>
      </c>
      <c r="L1956" t="n">
        <v>0</v>
      </c>
      <c r="M1956" t="n">
        <v>0</v>
      </c>
      <c r="N1956" t="n">
        <v>0</v>
      </c>
      <c r="O1956" t="n">
        <v>0</v>
      </c>
      <c r="P1956" t="n">
        <v>0</v>
      </c>
      <c r="Q1956" t="n">
        <v>0</v>
      </c>
      <c r="R1956" s="2" t="inlineStr"/>
    </row>
    <row r="1957" ht="15" customHeight="1">
      <c r="A1957" t="inlineStr">
        <is>
          <t>A 47062-2024</t>
        </is>
      </c>
      <c r="B1957" s="1" t="n">
        <v>45585</v>
      </c>
      <c r="C1957" s="1" t="n">
        <v>45927</v>
      </c>
      <c r="D1957" t="inlineStr">
        <is>
          <t>VÄSTERBOTTENS LÄN</t>
        </is>
      </c>
      <c r="E1957" t="inlineStr">
        <is>
          <t>SKELLEFTEÅ</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54653-2024</t>
        </is>
      </c>
      <c r="B1958" s="1" t="n">
        <v>45618.30525462963</v>
      </c>
      <c r="C1958" s="1" t="n">
        <v>45927</v>
      </c>
      <c r="D1958" t="inlineStr">
        <is>
          <t>VÄSTERBOTTENS LÄN</t>
        </is>
      </c>
      <c r="E1958" t="inlineStr">
        <is>
          <t>SKELLEFTEÅ</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54660-2024</t>
        </is>
      </c>
      <c r="B1959" s="1" t="n">
        <v>45618.3122337963</v>
      </c>
      <c r="C1959" s="1" t="n">
        <v>45927</v>
      </c>
      <c r="D1959" t="inlineStr">
        <is>
          <t>VÄSTERBOTTENS LÄN</t>
        </is>
      </c>
      <c r="E1959" t="inlineStr">
        <is>
          <t>SKELLEFTEÅ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38706-2024</t>
        </is>
      </c>
      <c r="B1960" s="1" t="n">
        <v>45547.37357638889</v>
      </c>
      <c r="C1960" s="1" t="n">
        <v>45927</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44120-2025</t>
        </is>
      </c>
      <c r="B1961" s="1" t="n">
        <v>45915.57791666667</v>
      </c>
      <c r="C1961" s="1" t="n">
        <v>45927</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60853-2022</t>
        </is>
      </c>
      <c r="B1962" s="1" t="n">
        <v>44914.51908564815</v>
      </c>
      <c r="C1962" s="1" t="n">
        <v>45927</v>
      </c>
      <c r="D1962" t="inlineStr">
        <is>
          <t>VÄSTERBOTTENS LÄN</t>
        </is>
      </c>
      <c r="E1962" t="inlineStr">
        <is>
          <t>SKELLEFTEÅ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18578-2024</t>
        </is>
      </c>
      <c r="B1963" s="1" t="n">
        <v>45425</v>
      </c>
      <c r="C1963" s="1" t="n">
        <v>45927</v>
      </c>
      <c r="D1963" t="inlineStr">
        <is>
          <t>VÄSTERBOTTENS LÄN</t>
        </is>
      </c>
      <c r="E1963" t="inlineStr">
        <is>
          <t>SKELLEFTEÅ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68251-2021</t>
        </is>
      </c>
      <c r="B1964" s="1" t="n">
        <v>44525</v>
      </c>
      <c r="C1964" s="1" t="n">
        <v>45927</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43861-2025</t>
        </is>
      </c>
      <c r="B1965" s="1" t="n">
        <v>45912.65596064815</v>
      </c>
      <c r="C1965" s="1" t="n">
        <v>45927</v>
      </c>
      <c r="D1965" t="inlineStr">
        <is>
          <t>VÄSTERBOTTENS LÄN</t>
        </is>
      </c>
      <c r="E1965" t="inlineStr">
        <is>
          <t>SKELLEFTEÅ</t>
        </is>
      </c>
      <c r="F1965" t="inlineStr">
        <is>
          <t>Sveaskog</t>
        </is>
      </c>
      <c r="G1965" t="n">
        <v>15.6</v>
      </c>
      <c r="H1965" t="n">
        <v>0</v>
      </c>
      <c r="I1965" t="n">
        <v>0</v>
      </c>
      <c r="J1965" t="n">
        <v>0</v>
      </c>
      <c r="K1965" t="n">
        <v>0</v>
      </c>
      <c r="L1965" t="n">
        <v>0</v>
      </c>
      <c r="M1965" t="n">
        <v>0</v>
      </c>
      <c r="N1965" t="n">
        <v>0</v>
      </c>
      <c r="O1965" t="n">
        <v>0</v>
      </c>
      <c r="P1965" t="n">
        <v>0</v>
      </c>
      <c r="Q1965" t="n">
        <v>0</v>
      </c>
      <c r="R1965" s="2" t="inlineStr"/>
    </row>
    <row r="1966" ht="15" customHeight="1">
      <c r="A1966" t="inlineStr">
        <is>
          <t>A 36771-2024</t>
        </is>
      </c>
      <c r="B1966" s="1" t="n">
        <v>45538.38226851852</v>
      </c>
      <c r="C1966" s="1" t="n">
        <v>45927</v>
      </c>
      <c r="D1966" t="inlineStr">
        <is>
          <t>VÄSTERBOTTENS LÄN</t>
        </is>
      </c>
      <c r="E1966" t="inlineStr">
        <is>
          <t>SKELLEFTEÅ</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62025-2022</t>
        </is>
      </c>
      <c r="B1967" s="1" t="n">
        <v>44914</v>
      </c>
      <c r="C1967" s="1" t="n">
        <v>45927</v>
      </c>
      <c r="D1967" t="inlineStr">
        <is>
          <t>VÄSTERBOTTENS LÄN</t>
        </is>
      </c>
      <c r="E1967" t="inlineStr">
        <is>
          <t>SKELLEFTEÅ</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62028-2022</t>
        </is>
      </c>
      <c r="B1968" s="1" t="n">
        <v>44914</v>
      </c>
      <c r="C1968" s="1" t="n">
        <v>45927</v>
      </c>
      <c r="D1968" t="inlineStr">
        <is>
          <t>VÄSTERBOTTENS LÄN</t>
        </is>
      </c>
      <c r="E1968" t="inlineStr">
        <is>
          <t>SKELLEFTEÅ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7364-2023</t>
        </is>
      </c>
      <c r="B1969" s="1" t="n">
        <v>44971</v>
      </c>
      <c r="C1969" s="1" t="n">
        <v>45927</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16198-2022</t>
        </is>
      </c>
      <c r="B1970" s="1" t="n">
        <v>44665</v>
      </c>
      <c r="C1970" s="1" t="n">
        <v>45927</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15903-2023</t>
        </is>
      </c>
      <c r="B1971" s="1" t="n">
        <v>45021</v>
      </c>
      <c r="C1971" s="1" t="n">
        <v>45927</v>
      </c>
      <c r="D1971" t="inlineStr">
        <is>
          <t>VÄSTERBOTTENS LÄN</t>
        </is>
      </c>
      <c r="E1971" t="inlineStr">
        <is>
          <t>SKELLEFTEÅ</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44113-2025</t>
        </is>
      </c>
      <c r="B1972" s="1" t="n">
        <v>45915.57501157407</v>
      </c>
      <c r="C1972" s="1" t="n">
        <v>45927</v>
      </c>
      <c r="D1972" t="inlineStr">
        <is>
          <t>VÄSTERBOTTENS LÄN</t>
        </is>
      </c>
      <c r="E1972" t="inlineStr">
        <is>
          <t>SKELLEFTEÅ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16708-2025</t>
        </is>
      </c>
      <c r="B1973" s="1" t="n">
        <v>45751</v>
      </c>
      <c r="C1973" s="1" t="n">
        <v>45927</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44182-2025</t>
        </is>
      </c>
      <c r="B1974" s="1" t="n">
        <v>45915.60943287037</v>
      </c>
      <c r="C1974" s="1" t="n">
        <v>45927</v>
      </c>
      <c r="D1974" t="inlineStr">
        <is>
          <t>VÄSTERBOTTENS LÄN</t>
        </is>
      </c>
      <c r="E1974" t="inlineStr">
        <is>
          <t>SKELLEFTEÅ</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44070-2025</t>
        </is>
      </c>
      <c r="B1975" s="1" t="n">
        <v>45915.54528935185</v>
      </c>
      <c r="C1975" s="1" t="n">
        <v>45927</v>
      </c>
      <c r="D1975" t="inlineStr">
        <is>
          <t>VÄSTERBOTTENS LÄN</t>
        </is>
      </c>
      <c r="E1975" t="inlineStr">
        <is>
          <t>SKELLEFTEÅ</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27555-2022</t>
        </is>
      </c>
      <c r="B1976" s="1" t="n">
        <v>44742.92666666667</v>
      </c>
      <c r="C1976" s="1" t="n">
        <v>45927</v>
      </c>
      <c r="D1976" t="inlineStr">
        <is>
          <t>VÄSTERBOTTENS LÄN</t>
        </is>
      </c>
      <c r="E1976" t="inlineStr">
        <is>
          <t>SKELLEFTEÅ</t>
        </is>
      </c>
      <c r="F1976" t="inlineStr">
        <is>
          <t>Kommuner</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3843-2025</t>
        </is>
      </c>
      <c r="B1977" s="1" t="n">
        <v>45683.66033564815</v>
      </c>
      <c r="C1977" s="1" t="n">
        <v>45927</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36379-2024</t>
        </is>
      </c>
      <c r="B1978" s="1" t="n">
        <v>45534.6965162037</v>
      </c>
      <c r="C1978" s="1" t="n">
        <v>45927</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43800-2025</t>
        </is>
      </c>
      <c r="B1979" s="1" t="n">
        <v>45912.57226851852</v>
      </c>
      <c r="C1979" s="1" t="n">
        <v>45927</v>
      </c>
      <c r="D1979" t="inlineStr">
        <is>
          <t>VÄSTERBOTTENS LÄN</t>
        </is>
      </c>
      <c r="E1979" t="inlineStr">
        <is>
          <t>SKELLEFTEÅ</t>
        </is>
      </c>
      <c r="F1979" t="inlineStr">
        <is>
          <t>Sveaskog</t>
        </is>
      </c>
      <c r="G1979" t="n">
        <v>25.3</v>
      </c>
      <c r="H1979" t="n">
        <v>0</v>
      </c>
      <c r="I1979" t="n">
        <v>0</v>
      </c>
      <c r="J1979" t="n">
        <v>0</v>
      </c>
      <c r="K1979" t="n">
        <v>0</v>
      </c>
      <c r="L1979" t="n">
        <v>0</v>
      </c>
      <c r="M1979" t="n">
        <v>0</v>
      </c>
      <c r="N1979" t="n">
        <v>0</v>
      </c>
      <c r="O1979" t="n">
        <v>0</v>
      </c>
      <c r="P1979" t="n">
        <v>0</v>
      </c>
      <c r="Q1979" t="n">
        <v>0</v>
      </c>
      <c r="R1979" s="2" t="inlineStr"/>
    </row>
    <row r="1980" ht="15" customHeight="1">
      <c r="A1980" t="inlineStr">
        <is>
          <t>A 22618-2022</t>
        </is>
      </c>
      <c r="B1980" s="1" t="n">
        <v>44714</v>
      </c>
      <c r="C1980" s="1" t="n">
        <v>45927</v>
      </c>
      <c r="D1980" t="inlineStr">
        <is>
          <t>VÄSTERBOTTENS LÄN</t>
        </is>
      </c>
      <c r="E1980" t="inlineStr">
        <is>
          <t>SKELLEFTEÅ</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45418-2024</t>
        </is>
      </c>
      <c r="B1981" s="1" t="n">
        <v>45576.59891203704</v>
      </c>
      <c r="C1981" s="1" t="n">
        <v>45927</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43825-2025</t>
        </is>
      </c>
      <c r="B1982" s="1" t="n">
        <v>45912.61891203704</v>
      </c>
      <c r="C1982" s="1" t="n">
        <v>45927</v>
      </c>
      <c r="D1982" t="inlineStr">
        <is>
          <t>VÄSTERBOTTENS LÄN</t>
        </is>
      </c>
      <c r="E1982" t="inlineStr">
        <is>
          <t>SKELLEFTEÅ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21495-2024</t>
        </is>
      </c>
      <c r="B1983" s="1" t="n">
        <v>45441</v>
      </c>
      <c r="C1983" s="1" t="n">
        <v>45927</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43948-2025</t>
        </is>
      </c>
      <c r="B1984" s="1" t="n">
        <v>45915.37621527778</v>
      </c>
      <c r="C1984" s="1" t="n">
        <v>45927</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34986-2023</t>
        </is>
      </c>
      <c r="B1985" s="1" t="n">
        <v>45142</v>
      </c>
      <c r="C1985" s="1" t="n">
        <v>45927</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57926-2023</t>
        </is>
      </c>
      <c r="B1986" s="1" t="n">
        <v>45247.54817129629</v>
      </c>
      <c r="C1986" s="1" t="n">
        <v>45927</v>
      </c>
      <c r="D1986" t="inlineStr">
        <is>
          <t>VÄSTERBOTTENS LÄN</t>
        </is>
      </c>
      <c r="E1986" t="inlineStr">
        <is>
          <t>SKELLEFTEÅ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43791-2025</t>
        </is>
      </c>
      <c r="B1987" s="1" t="n">
        <v>45912.54636574074</v>
      </c>
      <c r="C1987" s="1" t="n">
        <v>45927</v>
      </c>
      <c r="D1987" t="inlineStr">
        <is>
          <t>VÄSTERBOTTENS LÄN</t>
        </is>
      </c>
      <c r="E1987" t="inlineStr">
        <is>
          <t>SKELLEFTEÅ</t>
        </is>
      </c>
      <c r="F1987" t="inlineStr">
        <is>
          <t>Holmen skog AB</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43677-2025</t>
        </is>
      </c>
      <c r="B1988" s="1" t="n">
        <v>45912.3656712963</v>
      </c>
      <c r="C1988" s="1" t="n">
        <v>45927</v>
      </c>
      <c r="D1988" t="inlineStr">
        <is>
          <t>VÄSTERBOTTENS LÄN</t>
        </is>
      </c>
      <c r="E1988" t="inlineStr">
        <is>
          <t>SKELLEFTEÅ</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43683-2025</t>
        </is>
      </c>
      <c r="B1989" s="1" t="n">
        <v>45912.37668981482</v>
      </c>
      <c r="C1989" s="1" t="n">
        <v>45927</v>
      </c>
      <c r="D1989" t="inlineStr">
        <is>
          <t>VÄSTERBOTTENS LÄN</t>
        </is>
      </c>
      <c r="E1989" t="inlineStr">
        <is>
          <t>SKELLEFTEÅ</t>
        </is>
      </c>
      <c r="F1989" t="inlineStr">
        <is>
          <t>Holmen skog AB</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10082-2025</t>
        </is>
      </c>
      <c r="B1990" s="1" t="n">
        <v>45719</v>
      </c>
      <c r="C1990" s="1" t="n">
        <v>45927</v>
      </c>
      <c r="D1990" t="inlineStr">
        <is>
          <t>VÄSTERBOTTENS LÄN</t>
        </is>
      </c>
      <c r="E1990" t="inlineStr">
        <is>
          <t>SKELLEFTEÅ</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43797-2025</t>
        </is>
      </c>
      <c r="B1991" s="1" t="n">
        <v>45912.5659837963</v>
      </c>
      <c r="C1991" s="1" t="n">
        <v>45927</v>
      </c>
      <c r="D1991" t="inlineStr">
        <is>
          <t>VÄSTERBOTTENS LÄN</t>
        </is>
      </c>
      <c r="E1991" t="inlineStr">
        <is>
          <t>SKELLEFTEÅ</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12712-2025</t>
        </is>
      </c>
      <c r="B1992" s="1" t="n">
        <v>45733.47311342593</v>
      </c>
      <c r="C1992" s="1" t="n">
        <v>45927</v>
      </c>
      <c r="D1992" t="inlineStr">
        <is>
          <t>VÄSTERBOTTENS LÄN</t>
        </is>
      </c>
      <c r="E1992" t="inlineStr">
        <is>
          <t>SKELLEFTEÅ</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58053-2022</t>
        </is>
      </c>
      <c r="B1993" s="1" t="n">
        <v>44900</v>
      </c>
      <c r="C1993" s="1" t="n">
        <v>45927</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27542-2024</t>
        </is>
      </c>
      <c r="B1994" s="1" t="n">
        <v>45474.59413194445</v>
      </c>
      <c r="C1994" s="1" t="n">
        <v>45927</v>
      </c>
      <c r="D1994" t="inlineStr">
        <is>
          <t>VÄSTERBOTTENS LÄN</t>
        </is>
      </c>
      <c r="E1994" t="inlineStr">
        <is>
          <t>SKELLEFTEÅ</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33184-2023</t>
        </is>
      </c>
      <c r="B1995" s="1" t="n">
        <v>45114</v>
      </c>
      <c r="C1995" s="1" t="n">
        <v>45927</v>
      </c>
      <c r="D1995" t="inlineStr">
        <is>
          <t>VÄSTERBOTTENS LÄN</t>
        </is>
      </c>
      <c r="E1995" t="inlineStr">
        <is>
          <t>SKELLEFTEÅ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36761-2025</t>
        </is>
      </c>
      <c r="B1996" s="1" t="n">
        <v>45873.57328703703</v>
      </c>
      <c r="C1996" s="1" t="n">
        <v>45927</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44009-2025</t>
        </is>
      </c>
      <c r="B1997" s="1" t="n">
        <v>45915.46326388889</v>
      </c>
      <c r="C1997" s="1" t="n">
        <v>45927</v>
      </c>
      <c r="D1997" t="inlineStr">
        <is>
          <t>VÄSTERBOTTENS LÄN</t>
        </is>
      </c>
      <c r="E1997" t="inlineStr">
        <is>
          <t>SKELLEFTEÅ</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803-2022</t>
        </is>
      </c>
      <c r="B1998" s="1" t="n">
        <v>44568</v>
      </c>
      <c r="C1998" s="1" t="n">
        <v>45927</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32914-2024</t>
        </is>
      </c>
      <c r="B1999" s="1" t="n">
        <v>45516.95133101852</v>
      </c>
      <c r="C1999" s="1" t="n">
        <v>45927</v>
      </c>
      <c r="D1999" t="inlineStr">
        <is>
          <t>VÄSTERBOTTENS LÄN</t>
        </is>
      </c>
      <c r="E1999" t="inlineStr">
        <is>
          <t>SKELLEFTEÅ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57530-2021</t>
        </is>
      </c>
      <c r="B2000" s="1" t="n">
        <v>44483</v>
      </c>
      <c r="C2000" s="1" t="n">
        <v>45927</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14016-2025</t>
        </is>
      </c>
      <c r="B2001" s="1" t="n">
        <v>45740.31862268518</v>
      </c>
      <c r="C2001" s="1" t="n">
        <v>45927</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36640-2025</t>
        </is>
      </c>
      <c r="B2002" s="1" t="n">
        <v>45871.05299768518</v>
      </c>
      <c r="C2002" s="1" t="n">
        <v>45927</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8141-2025</t>
        </is>
      </c>
      <c r="B2003" s="1" t="n">
        <v>45708.27729166667</v>
      </c>
      <c r="C2003" s="1" t="n">
        <v>45927</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671-2024</t>
        </is>
      </c>
      <c r="B2004" s="1" t="n">
        <v>45299</v>
      </c>
      <c r="C2004" s="1" t="n">
        <v>45927</v>
      </c>
      <c r="D2004" t="inlineStr">
        <is>
          <t>VÄSTERBOTTENS LÄN</t>
        </is>
      </c>
      <c r="E2004" t="inlineStr">
        <is>
          <t>SKELLEFTEÅ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44106-2025</t>
        </is>
      </c>
      <c r="B2005" s="1" t="n">
        <v>45915.57119212963</v>
      </c>
      <c r="C2005" s="1" t="n">
        <v>45927</v>
      </c>
      <c r="D2005" t="inlineStr">
        <is>
          <t>VÄSTERBOTTENS LÄN</t>
        </is>
      </c>
      <c r="E2005" t="inlineStr">
        <is>
          <t>SKELLEFTEÅ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44101-2025</t>
        </is>
      </c>
      <c r="B2006" s="1" t="n">
        <v>45915.56788194444</v>
      </c>
      <c r="C2006" s="1" t="n">
        <v>45927</v>
      </c>
      <c r="D2006" t="inlineStr">
        <is>
          <t>VÄSTERBOTTENS LÄN</t>
        </is>
      </c>
      <c r="E2006" t="inlineStr">
        <is>
          <t>SKELLEFTEÅ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6016-2023</t>
        </is>
      </c>
      <c r="B2007" s="1" t="n">
        <v>44959</v>
      </c>
      <c r="C2007" s="1" t="n">
        <v>45927</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43727-2025</t>
        </is>
      </c>
      <c r="B2008" s="1" t="n">
        <v>45912.42981481482</v>
      </c>
      <c r="C2008" s="1" t="n">
        <v>45927</v>
      </c>
      <c r="D2008" t="inlineStr">
        <is>
          <t>VÄSTERBOTTENS LÄN</t>
        </is>
      </c>
      <c r="E2008" t="inlineStr">
        <is>
          <t>SKELLEFTEÅ</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58542-2024</t>
        </is>
      </c>
      <c r="B2009" s="1" t="n">
        <v>45635.45708333333</v>
      </c>
      <c r="C2009" s="1" t="n">
        <v>45927</v>
      </c>
      <c r="D2009" t="inlineStr">
        <is>
          <t>VÄSTERBOTTENS LÄN</t>
        </is>
      </c>
      <c r="E2009" t="inlineStr">
        <is>
          <t>SKELLEFTEÅ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43544-2022</t>
        </is>
      </c>
      <c r="B2010" s="1" t="n">
        <v>44837.42186342592</v>
      </c>
      <c r="C2010" s="1" t="n">
        <v>45927</v>
      </c>
      <c r="D2010" t="inlineStr">
        <is>
          <t>VÄSTERBOTTENS LÄN</t>
        </is>
      </c>
      <c r="E2010" t="inlineStr">
        <is>
          <t>SKELLEFTEÅ</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29164-2022</t>
        </is>
      </c>
      <c r="B2011" s="1" t="n">
        <v>44750.49505787037</v>
      </c>
      <c r="C2011" s="1" t="n">
        <v>45927</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8658-2025</t>
        </is>
      </c>
      <c r="B2012" s="1" t="n">
        <v>45712.38586805556</v>
      </c>
      <c r="C2012" s="1" t="n">
        <v>45927</v>
      </c>
      <c r="D2012" t="inlineStr">
        <is>
          <t>VÄSTERBOTTENS LÄN</t>
        </is>
      </c>
      <c r="E2012" t="inlineStr">
        <is>
          <t>SKELLEFTEÅ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40927-2024</t>
        </is>
      </c>
      <c r="B2013" s="1" t="n">
        <v>45558.64018518518</v>
      </c>
      <c r="C2013" s="1" t="n">
        <v>45927</v>
      </c>
      <c r="D2013" t="inlineStr">
        <is>
          <t>VÄSTERBOTTENS LÄN</t>
        </is>
      </c>
      <c r="E2013" t="inlineStr">
        <is>
          <t>SKELLEFTEÅ</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44063-2025</t>
        </is>
      </c>
      <c r="B2014" s="1" t="n">
        <v>45915.53975694445</v>
      </c>
      <c r="C2014" s="1" t="n">
        <v>45927</v>
      </c>
      <c r="D2014" t="inlineStr">
        <is>
          <t>VÄSTERBOTTENS LÄN</t>
        </is>
      </c>
      <c r="E2014" t="inlineStr">
        <is>
          <t>SKELLEFTEÅ</t>
        </is>
      </c>
      <c r="F2014" t="inlineStr">
        <is>
          <t>Sveaskog</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48264-2023</t>
        </is>
      </c>
      <c r="B2015" s="1" t="n">
        <v>45205.53902777778</v>
      </c>
      <c r="C2015" s="1" t="n">
        <v>45927</v>
      </c>
      <c r="D2015" t="inlineStr">
        <is>
          <t>VÄSTERBOTTENS LÄN</t>
        </is>
      </c>
      <c r="E2015" t="inlineStr">
        <is>
          <t>SKELLEFTEÅ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16186-2023</t>
        </is>
      </c>
      <c r="B2016" s="1" t="n">
        <v>45027.925625</v>
      </c>
      <c r="C2016" s="1" t="n">
        <v>45927</v>
      </c>
      <c r="D2016" t="inlineStr">
        <is>
          <t>VÄSTERBOTTENS LÄN</t>
        </is>
      </c>
      <c r="E2016" t="inlineStr">
        <is>
          <t>SKELLEFTEÅ</t>
        </is>
      </c>
      <c r="G2016" t="n">
        <v>12.4</v>
      </c>
      <c r="H2016" t="n">
        <v>0</v>
      </c>
      <c r="I2016" t="n">
        <v>0</v>
      </c>
      <c r="J2016" t="n">
        <v>0</v>
      </c>
      <c r="K2016" t="n">
        <v>0</v>
      </c>
      <c r="L2016" t="n">
        <v>0</v>
      </c>
      <c r="M2016" t="n">
        <v>0</v>
      </c>
      <c r="N2016" t="n">
        <v>0</v>
      </c>
      <c r="O2016" t="n">
        <v>0</v>
      </c>
      <c r="P2016" t="n">
        <v>0</v>
      </c>
      <c r="Q2016" t="n">
        <v>0</v>
      </c>
      <c r="R2016" s="2" t="inlineStr"/>
    </row>
    <row r="2017" ht="15" customHeight="1">
      <c r="A2017" t="inlineStr">
        <is>
          <t>A 43894-2025</t>
        </is>
      </c>
      <c r="B2017" s="1" t="n">
        <v>45912.73649305556</v>
      </c>
      <c r="C2017" s="1" t="n">
        <v>45927</v>
      </c>
      <c r="D2017" t="inlineStr">
        <is>
          <t>VÄSTERBOTTENS LÄN</t>
        </is>
      </c>
      <c r="E2017" t="inlineStr">
        <is>
          <t>SKELLEFTEÅ</t>
        </is>
      </c>
      <c r="F2017" t="inlineStr">
        <is>
          <t>Sveaskog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11843-2025</t>
        </is>
      </c>
      <c r="B2018" s="1" t="n">
        <v>45728</v>
      </c>
      <c r="C2018" s="1" t="n">
        <v>45927</v>
      </c>
      <c r="D2018" t="inlineStr">
        <is>
          <t>VÄSTERBOTTENS LÄN</t>
        </is>
      </c>
      <c r="E2018" t="inlineStr">
        <is>
          <t>SKELLEFTEÅ</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39146-2024</t>
        </is>
      </c>
      <c r="B2019" s="1" t="n">
        <v>45548.61752314815</v>
      </c>
      <c r="C2019" s="1" t="n">
        <v>45927</v>
      </c>
      <c r="D2019" t="inlineStr">
        <is>
          <t>VÄSTERBOTTENS LÄN</t>
        </is>
      </c>
      <c r="E2019" t="inlineStr">
        <is>
          <t>SKELLEFTEÅ</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44061-2025</t>
        </is>
      </c>
      <c r="B2020" s="1" t="n">
        <v>45915.53731481481</v>
      </c>
      <c r="C2020" s="1" t="n">
        <v>45927</v>
      </c>
      <c r="D2020" t="inlineStr">
        <is>
          <t>VÄSTERBOTTENS LÄN</t>
        </is>
      </c>
      <c r="E2020" t="inlineStr">
        <is>
          <t>SKELLEFTEÅ</t>
        </is>
      </c>
      <c r="F2020" t="inlineStr">
        <is>
          <t>Sveaskog</t>
        </is>
      </c>
      <c r="G2020" t="n">
        <v>11.8</v>
      </c>
      <c r="H2020" t="n">
        <v>0</v>
      </c>
      <c r="I2020" t="n">
        <v>0</v>
      </c>
      <c r="J2020" t="n">
        <v>0</v>
      </c>
      <c r="K2020" t="n">
        <v>0</v>
      </c>
      <c r="L2020" t="n">
        <v>0</v>
      </c>
      <c r="M2020" t="n">
        <v>0</v>
      </c>
      <c r="N2020" t="n">
        <v>0</v>
      </c>
      <c r="O2020" t="n">
        <v>0</v>
      </c>
      <c r="P2020" t="n">
        <v>0</v>
      </c>
      <c r="Q2020" t="n">
        <v>0</v>
      </c>
      <c r="R2020" s="2" t="inlineStr"/>
    </row>
    <row r="2021" ht="15" customHeight="1">
      <c r="A2021" t="inlineStr">
        <is>
          <t>A 44082-2025</t>
        </is>
      </c>
      <c r="B2021" s="1" t="n">
        <v>45915.55302083334</v>
      </c>
      <c r="C2021" s="1" t="n">
        <v>45927</v>
      </c>
      <c r="D2021" t="inlineStr">
        <is>
          <t>VÄSTERBOTTENS LÄN</t>
        </is>
      </c>
      <c r="E2021" t="inlineStr">
        <is>
          <t>SKELLEFTEÅ</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43895-2025</t>
        </is>
      </c>
      <c r="B2022" s="1" t="n">
        <v>45912.73758101852</v>
      </c>
      <c r="C2022" s="1" t="n">
        <v>45927</v>
      </c>
      <c r="D2022" t="inlineStr">
        <is>
          <t>VÄSTERBOTTENS LÄN</t>
        </is>
      </c>
      <c r="E2022" t="inlineStr">
        <is>
          <t>SKELLEFTEÅ</t>
        </is>
      </c>
      <c r="F2022" t="inlineStr">
        <is>
          <t>Sveaskog</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64942-2023</t>
        </is>
      </c>
      <c r="B2023" s="1" t="n">
        <v>45282</v>
      </c>
      <c r="C2023" s="1" t="n">
        <v>45927</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36763-2025</t>
        </is>
      </c>
      <c r="B2024" s="1" t="n">
        <v>45873.5733912037</v>
      </c>
      <c r="C2024" s="1" t="n">
        <v>45927</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2811-2025</t>
        </is>
      </c>
      <c r="B2025" s="1" t="n">
        <v>45677.59689814815</v>
      </c>
      <c r="C2025" s="1" t="n">
        <v>45927</v>
      </c>
      <c r="D2025" t="inlineStr">
        <is>
          <t>VÄSTERBOTTENS LÄN</t>
        </is>
      </c>
      <c r="E2025" t="inlineStr">
        <is>
          <t>SKELLEFTEÅ</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43729-2025</t>
        </is>
      </c>
      <c r="B2026" s="1" t="n">
        <v>45912.43429398148</v>
      </c>
      <c r="C2026" s="1" t="n">
        <v>45927</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42877-2024</t>
        </is>
      </c>
      <c r="B2027" s="1" t="n">
        <v>45566.68878472222</v>
      </c>
      <c r="C2027" s="1" t="n">
        <v>45927</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15542-2025</t>
        </is>
      </c>
      <c r="B2028" s="1" t="n">
        <v>45747.65768518519</v>
      </c>
      <c r="C2028" s="1" t="n">
        <v>45927</v>
      </c>
      <c r="D2028" t="inlineStr">
        <is>
          <t>VÄSTERBOTTENS LÄN</t>
        </is>
      </c>
      <c r="E2028" t="inlineStr">
        <is>
          <t>SKELLEFTEÅ</t>
        </is>
      </c>
      <c r="F2028" t="inlineStr">
        <is>
          <t>Övriga Aktiebolag</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44408-2025</t>
        </is>
      </c>
      <c r="B2029" s="1" t="n">
        <v>45916.53047453704</v>
      </c>
      <c r="C2029" s="1" t="n">
        <v>45927</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36888-2025</t>
        </is>
      </c>
      <c r="B2030" s="1" t="n">
        <v>45874.44873842593</v>
      </c>
      <c r="C2030" s="1" t="n">
        <v>45927</v>
      </c>
      <c r="D2030" t="inlineStr">
        <is>
          <t>VÄSTERBOTTENS LÄN</t>
        </is>
      </c>
      <c r="E2030" t="inlineStr">
        <is>
          <t>SKELLEFTEÅ</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41574-2025</t>
        </is>
      </c>
      <c r="B2031" s="1" t="n">
        <v>45901</v>
      </c>
      <c r="C2031" s="1" t="n">
        <v>45927</v>
      </c>
      <c r="D2031" t="inlineStr">
        <is>
          <t>VÄSTERBOTTENS LÄN</t>
        </is>
      </c>
      <c r="E2031" t="inlineStr">
        <is>
          <t>SKELLEFTEÅ</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44739-2025</t>
        </is>
      </c>
      <c r="B2032" s="1" t="n">
        <v>45917.66063657407</v>
      </c>
      <c r="C2032" s="1" t="n">
        <v>45927</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7668-2024</t>
        </is>
      </c>
      <c r="B2033" s="1" t="n">
        <v>45348</v>
      </c>
      <c r="C2033" s="1" t="n">
        <v>45927</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36954-2025</t>
        </is>
      </c>
      <c r="B2034" s="1" t="n">
        <v>45874.61121527778</v>
      </c>
      <c r="C2034" s="1" t="n">
        <v>45927</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43954-2024</t>
        </is>
      </c>
      <c r="B2035" s="1" t="n">
        <v>45572.47539351852</v>
      </c>
      <c r="C2035" s="1" t="n">
        <v>45927</v>
      </c>
      <c r="D2035" t="inlineStr">
        <is>
          <t>VÄSTERBOTTENS LÄN</t>
        </is>
      </c>
      <c r="E2035" t="inlineStr">
        <is>
          <t>SKELLEFTEÅ</t>
        </is>
      </c>
      <c r="F2035" t="inlineStr">
        <is>
          <t>Sveaskog</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49992-2022</t>
        </is>
      </c>
      <c r="B2036" s="1" t="n">
        <v>44860</v>
      </c>
      <c r="C2036" s="1" t="n">
        <v>45927</v>
      </c>
      <c r="D2036" t="inlineStr">
        <is>
          <t>VÄSTERBOTTENS LÄN</t>
        </is>
      </c>
      <c r="E2036" t="inlineStr">
        <is>
          <t>SKELLEFTEÅ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30332-2021</t>
        </is>
      </c>
      <c r="B2037" s="1" t="n">
        <v>44364</v>
      </c>
      <c r="C2037" s="1" t="n">
        <v>45927</v>
      </c>
      <c r="D2037" t="inlineStr">
        <is>
          <t>VÄSTERBOTTENS LÄN</t>
        </is>
      </c>
      <c r="E2037" t="inlineStr">
        <is>
          <t>SKELLEFTEÅ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39054-2024</t>
        </is>
      </c>
      <c r="B2038" s="1" t="n">
        <v>45548.49337962963</v>
      </c>
      <c r="C2038" s="1" t="n">
        <v>45927</v>
      </c>
      <c r="D2038" t="inlineStr">
        <is>
          <t>VÄSTERBOTTENS LÄN</t>
        </is>
      </c>
      <c r="E2038" t="inlineStr">
        <is>
          <t>SKELLEFTEÅ</t>
        </is>
      </c>
      <c r="F2038" t="inlineStr">
        <is>
          <t>Sveaskog</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31395-2021</t>
        </is>
      </c>
      <c r="B2039" s="1" t="n">
        <v>44369.31599537037</v>
      </c>
      <c r="C2039" s="1" t="n">
        <v>45927</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44726-2025</t>
        </is>
      </c>
      <c r="B2040" s="1" t="n">
        <v>45917.64392361111</v>
      </c>
      <c r="C2040" s="1" t="n">
        <v>45927</v>
      </c>
      <c r="D2040" t="inlineStr">
        <is>
          <t>VÄSTERBOTTENS LÄN</t>
        </is>
      </c>
      <c r="E2040" t="inlineStr">
        <is>
          <t>SKELLEFTEÅ</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44729-2025</t>
        </is>
      </c>
      <c r="B2041" s="1" t="n">
        <v>45917.64934027778</v>
      </c>
      <c r="C2041" s="1" t="n">
        <v>45927</v>
      </c>
      <c r="D2041" t="inlineStr">
        <is>
          <t>VÄSTERBOTTENS LÄN</t>
        </is>
      </c>
      <c r="E2041" t="inlineStr">
        <is>
          <t>SKELLEFTEÅ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44637-2025</t>
        </is>
      </c>
      <c r="B2042" s="1" t="n">
        <v>45917.50743055555</v>
      </c>
      <c r="C2042" s="1" t="n">
        <v>45927</v>
      </c>
      <c r="D2042" t="inlineStr">
        <is>
          <t>VÄSTERBOTTENS LÄN</t>
        </is>
      </c>
      <c r="E2042" t="inlineStr">
        <is>
          <t>SKELLEFTEÅ</t>
        </is>
      </c>
      <c r="F2042" t="inlineStr">
        <is>
          <t>Holmen skog AB</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36903-2025</t>
        </is>
      </c>
      <c r="B2043" s="1" t="n">
        <v>45874.48923611111</v>
      </c>
      <c r="C2043" s="1" t="n">
        <v>45927</v>
      </c>
      <c r="D2043" t="inlineStr">
        <is>
          <t>VÄSTERBOTTENS LÄN</t>
        </is>
      </c>
      <c r="E2043" t="inlineStr">
        <is>
          <t>SKELLEFTEÅ</t>
        </is>
      </c>
      <c r="F2043" t="inlineStr">
        <is>
          <t>Sveaskog</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44602-2025</t>
        </is>
      </c>
      <c r="B2044" s="1" t="n">
        <v>45917.43920138889</v>
      </c>
      <c r="C2044" s="1" t="n">
        <v>45927</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44714-2025</t>
        </is>
      </c>
      <c r="B2045" s="1" t="n">
        <v>45917.62650462963</v>
      </c>
      <c r="C2045" s="1" t="n">
        <v>45927</v>
      </c>
      <c r="D2045" t="inlineStr">
        <is>
          <t>VÄSTERBOTTENS LÄN</t>
        </is>
      </c>
      <c r="E2045" t="inlineStr">
        <is>
          <t>SKELLEFTEÅ</t>
        </is>
      </c>
      <c r="F2045" t="inlineStr">
        <is>
          <t>Sveaskog</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17168-2025</t>
        </is>
      </c>
      <c r="B2046" s="1" t="n">
        <v>45755</v>
      </c>
      <c r="C2046" s="1" t="n">
        <v>45927</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44353-2025</t>
        </is>
      </c>
      <c r="B2047" s="1" t="n">
        <v>45916.44612268519</v>
      </c>
      <c r="C2047" s="1" t="n">
        <v>45927</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4387-2025</t>
        </is>
      </c>
      <c r="B2048" s="1" t="n">
        <v>45686.40269675926</v>
      </c>
      <c r="C2048" s="1" t="n">
        <v>45927</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52441-2023</t>
        </is>
      </c>
      <c r="B2049" s="1" t="n">
        <v>45225.36881944445</v>
      </c>
      <c r="C2049" s="1" t="n">
        <v>45927</v>
      </c>
      <c r="D2049" t="inlineStr">
        <is>
          <t>VÄSTERBOTTENS LÄN</t>
        </is>
      </c>
      <c r="E2049" t="inlineStr">
        <is>
          <t>SKELLEFTEÅ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66366-2020</t>
        </is>
      </c>
      <c r="B2050" s="1" t="n">
        <v>44176</v>
      </c>
      <c r="C2050" s="1" t="n">
        <v>45927</v>
      </c>
      <c r="D2050" t="inlineStr">
        <is>
          <t>VÄSTERBOTTENS LÄN</t>
        </is>
      </c>
      <c r="E2050" t="inlineStr">
        <is>
          <t>SKELLEFTEÅ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36848-2025</t>
        </is>
      </c>
      <c r="B2051" s="1" t="n">
        <v>45874.38707175926</v>
      </c>
      <c r="C2051" s="1" t="n">
        <v>45927</v>
      </c>
      <c r="D2051" t="inlineStr">
        <is>
          <t>VÄSTERBOTTENS LÄN</t>
        </is>
      </c>
      <c r="E2051" t="inlineStr">
        <is>
          <t>SKELLEFTEÅ</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37192-2025</t>
        </is>
      </c>
      <c r="B2052" s="1" t="n">
        <v>45875.65143518519</v>
      </c>
      <c r="C2052" s="1" t="n">
        <v>45927</v>
      </c>
      <c r="D2052" t="inlineStr">
        <is>
          <t>VÄSTERBOTTENS LÄN</t>
        </is>
      </c>
      <c r="E2052" t="inlineStr">
        <is>
          <t>SKELLEFTEÅ</t>
        </is>
      </c>
      <c r="F2052" t="inlineStr">
        <is>
          <t>Sveaskog</t>
        </is>
      </c>
      <c r="G2052" t="n">
        <v>24.8</v>
      </c>
      <c r="H2052" t="n">
        <v>0</v>
      </c>
      <c r="I2052" t="n">
        <v>0</v>
      </c>
      <c r="J2052" t="n">
        <v>0</v>
      </c>
      <c r="K2052" t="n">
        <v>0</v>
      </c>
      <c r="L2052" t="n">
        <v>0</v>
      </c>
      <c r="M2052" t="n">
        <v>0</v>
      </c>
      <c r="N2052" t="n">
        <v>0</v>
      </c>
      <c r="O2052" t="n">
        <v>0</v>
      </c>
      <c r="P2052" t="n">
        <v>0</v>
      </c>
      <c r="Q2052" t="n">
        <v>0</v>
      </c>
      <c r="R2052" s="2" t="inlineStr"/>
    </row>
    <row r="2053" ht="15" customHeight="1">
      <c r="A2053" t="inlineStr">
        <is>
          <t>A 12090-2025</t>
        </is>
      </c>
      <c r="B2053" s="1" t="n">
        <v>45729.30722222223</v>
      </c>
      <c r="C2053" s="1" t="n">
        <v>45927</v>
      </c>
      <c r="D2053" t="inlineStr">
        <is>
          <t>VÄSTERBOTTENS LÄN</t>
        </is>
      </c>
      <c r="E2053" t="inlineStr">
        <is>
          <t>SKELLEFTEÅ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12645-2025</t>
        </is>
      </c>
      <c r="B2054" s="1" t="n">
        <v>45733.39303240741</v>
      </c>
      <c r="C2054" s="1" t="n">
        <v>45927</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36762-2025</t>
        </is>
      </c>
      <c r="B2055" s="1" t="n">
        <v>45873.57332175926</v>
      </c>
      <c r="C2055" s="1" t="n">
        <v>45927</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25099-2024</t>
        </is>
      </c>
      <c r="B2056" s="1" t="n">
        <v>45462.41755787037</v>
      </c>
      <c r="C2056" s="1" t="n">
        <v>45927</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36925-2025</t>
        </is>
      </c>
      <c r="B2057" s="1" t="n">
        <v>45874.5504050926</v>
      </c>
      <c r="C2057" s="1" t="n">
        <v>45927</v>
      </c>
      <c r="D2057" t="inlineStr">
        <is>
          <t>VÄSTERBOTTENS LÄN</t>
        </is>
      </c>
      <c r="E2057" t="inlineStr">
        <is>
          <t>SKELLEFTEÅ</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17162-2025</t>
        </is>
      </c>
      <c r="B2058" s="1" t="n">
        <v>45756.3552199074</v>
      </c>
      <c r="C2058" s="1" t="n">
        <v>45927</v>
      </c>
      <c r="D2058" t="inlineStr">
        <is>
          <t>VÄSTERBOTTENS LÄN</t>
        </is>
      </c>
      <c r="E2058" t="inlineStr">
        <is>
          <t>SKELLEFTEÅ</t>
        </is>
      </c>
      <c r="G2058" t="n">
        <v>23.9</v>
      </c>
      <c r="H2058" t="n">
        <v>0</v>
      </c>
      <c r="I2058" t="n">
        <v>0</v>
      </c>
      <c r="J2058" t="n">
        <v>0</v>
      </c>
      <c r="K2058" t="n">
        <v>0</v>
      </c>
      <c r="L2058" t="n">
        <v>0</v>
      </c>
      <c r="M2058" t="n">
        <v>0</v>
      </c>
      <c r="N2058" t="n">
        <v>0</v>
      </c>
      <c r="O2058" t="n">
        <v>0</v>
      </c>
      <c r="P2058" t="n">
        <v>0</v>
      </c>
      <c r="Q2058" t="n">
        <v>0</v>
      </c>
      <c r="R2058" s="2" t="inlineStr"/>
    </row>
    <row r="2059" ht="15" customHeight="1">
      <c r="A2059" t="inlineStr">
        <is>
          <t>A 36962-2025</t>
        </is>
      </c>
      <c r="B2059" s="1" t="n">
        <v>45874.63052083334</v>
      </c>
      <c r="C2059" s="1" t="n">
        <v>45927</v>
      </c>
      <c r="D2059" t="inlineStr">
        <is>
          <t>VÄSTERBOTTENS LÄN</t>
        </is>
      </c>
      <c r="E2059" t="inlineStr">
        <is>
          <t>SKELLEFTEÅ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65206-2023</t>
        </is>
      </c>
      <c r="B2060" s="1" t="n">
        <v>45289.45186342593</v>
      </c>
      <c r="C2060" s="1" t="n">
        <v>45927</v>
      </c>
      <c r="D2060" t="inlineStr">
        <is>
          <t>VÄSTERBOTTENS LÄN</t>
        </is>
      </c>
      <c r="E2060" t="inlineStr">
        <is>
          <t>SKELLEFTEÅ</t>
        </is>
      </c>
      <c r="G2060" t="n">
        <v>19.2</v>
      </c>
      <c r="H2060" t="n">
        <v>0</v>
      </c>
      <c r="I2060" t="n">
        <v>0</v>
      </c>
      <c r="J2060" t="n">
        <v>0</v>
      </c>
      <c r="K2060" t="n">
        <v>0</v>
      </c>
      <c r="L2060" t="n">
        <v>0</v>
      </c>
      <c r="M2060" t="n">
        <v>0</v>
      </c>
      <c r="N2060" t="n">
        <v>0</v>
      </c>
      <c r="O2060" t="n">
        <v>0</v>
      </c>
      <c r="P2060" t="n">
        <v>0</v>
      </c>
      <c r="Q2060" t="n">
        <v>0</v>
      </c>
      <c r="R2060" s="2" t="inlineStr"/>
    </row>
    <row r="2061" ht="15" customHeight="1">
      <c r="A2061" t="inlineStr">
        <is>
          <t>A 20378-2025</t>
        </is>
      </c>
      <c r="B2061" s="1" t="n">
        <v>45775.42729166667</v>
      </c>
      <c r="C2061" s="1" t="n">
        <v>45927</v>
      </c>
      <c r="D2061" t="inlineStr">
        <is>
          <t>VÄSTERBOTTENS LÄN</t>
        </is>
      </c>
      <c r="E2061" t="inlineStr">
        <is>
          <t>SKELLEFTEÅ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37313-2025</t>
        </is>
      </c>
      <c r="B2062" s="1" t="n">
        <v>45876.60814814815</v>
      </c>
      <c r="C2062" s="1" t="n">
        <v>45927</v>
      </c>
      <c r="D2062" t="inlineStr">
        <is>
          <t>VÄSTERBOTTENS LÄN</t>
        </is>
      </c>
      <c r="E2062" t="inlineStr">
        <is>
          <t>SKELLEFTEÅ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14774-2025</t>
        </is>
      </c>
      <c r="B2063" s="1" t="n">
        <v>45742.69414351852</v>
      </c>
      <c r="C2063" s="1" t="n">
        <v>45927</v>
      </c>
      <c r="D2063" t="inlineStr">
        <is>
          <t>VÄSTERBOTTENS LÄN</t>
        </is>
      </c>
      <c r="E2063" t="inlineStr">
        <is>
          <t>SKELLEFTEÅ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19119-2025</t>
        </is>
      </c>
      <c r="B2064" s="1" t="n">
        <v>45768.82230324074</v>
      </c>
      <c r="C2064" s="1" t="n">
        <v>45927</v>
      </c>
      <c r="D2064" t="inlineStr">
        <is>
          <t>VÄSTERBOTTENS LÄN</t>
        </is>
      </c>
      <c r="E2064" t="inlineStr">
        <is>
          <t>SKELLEFTEÅ</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42223-2024</t>
        </is>
      </c>
      <c r="B2065" s="1" t="n">
        <v>45562.55023148148</v>
      </c>
      <c r="C2065" s="1" t="n">
        <v>45927</v>
      </c>
      <c r="D2065" t="inlineStr">
        <is>
          <t>VÄSTERBOTTENS LÄN</t>
        </is>
      </c>
      <c r="E2065" t="inlineStr">
        <is>
          <t>SKELLEFTEÅ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45552-2023</t>
        </is>
      </c>
      <c r="B2066" s="1" t="n">
        <v>45194.57376157407</v>
      </c>
      <c r="C2066" s="1" t="n">
        <v>45927</v>
      </c>
      <c r="D2066" t="inlineStr">
        <is>
          <t>VÄSTERBOTTENS LÄN</t>
        </is>
      </c>
      <c r="E2066" t="inlineStr">
        <is>
          <t>SKELLEFTEÅ</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54874-2024</t>
        </is>
      </c>
      <c r="B2067" s="1" t="n">
        <v>45618.60230324074</v>
      </c>
      <c r="C2067" s="1" t="n">
        <v>45927</v>
      </c>
      <c r="D2067" t="inlineStr">
        <is>
          <t>VÄSTERBOTTENS LÄN</t>
        </is>
      </c>
      <c r="E2067" t="inlineStr">
        <is>
          <t>SKELLEFTEÅ</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37521-2025</t>
        </is>
      </c>
      <c r="B2068" s="1" t="n">
        <v>45877</v>
      </c>
      <c r="C2068" s="1" t="n">
        <v>45927</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22859-2024</t>
        </is>
      </c>
      <c r="B2069" s="1" t="n">
        <v>45448</v>
      </c>
      <c r="C2069" s="1" t="n">
        <v>45927</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37950-2022</t>
        </is>
      </c>
      <c r="B2070" s="1" t="n">
        <v>44811.48826388889</v>
      </c>
      <c r="C2070" s="1" t="n">
        <v>45927</v>
      </c>
      <c r="D2070" t="inlineStr">
        <is>
          <t>VÄSTERBOTTENS LÄN</t>
        </is>
      </c>
      <c r="E2070" t="inlineStr">
        <is>
          <t>SKELLEFTEÅ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12004-2024</t>
        </is>
      </c>
      <c r="B2071" s="1" t="n">
        <v>45377.31299768519</v>
      </c>
      <c r="C2071" s="1" t="n">
        <v>45927</v>
      </c>
      <c r="D2071" t="inlineStr">
        <is>
          <t>VÄSTERBOTTENS LÄN</t>
        </is>
      </c>
      <c r="E2071" t="inlineStr">
        <is>
          <t>SKELLEFTEÅ</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44826-2025</t>
        </is>
      </c>
      <c r="B2072" s="1" t="n">
        <v>45918.38855324074</v>
      </c>
      <c r="C2072" s="1" t="n">
        <v>45927</v>
      </c>
      <c r="D2072" t="inlineStr">
        <is>
          <t>VÄSTERBOTTENS LÄN</t>
        </is>
      </c>
      <c r="E2072" t="inlineStr">
        <is>
          <t>SKELLEFTEÅ</t>
        </is>
      </c>
      <c r="F2072" t="inlineStr">
        <is>
          <t>Holmen skog AB</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51991-2024</t>
        </is>
      </c>
      <c r="B2073" s="1" t="n">
        <v>45607</v>
      </c>
      <c r="C2073" s="1" t="n">
        <v>45927</v>
      </c>
      <c r="D2073" t="inlineStr">
        <is>
          <t>VÄSTERBOTTENS LÄN</t>
        </is>
      </c>
      <c r="E2073" t="inlineStr">
        <is>
          <t>SKELLEFTEÅ</t>
        </is>
      </c>
      <c r="F2073" t="inlineStr">
        <is>
          <t>Kommuner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49900-2023</t>
        </is>
      </c>
      <c r="B2074" s="1" t="n">
        <v>45213.86512731481</v>
      </c>
      <c r="C2074" s="1" t="n">
        <v>45927</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4620-2025</t>
        </is>
      </c>
      <c r="B2075" s="1" t="n">
        <v>45687.61184027778</v>
      </c>
      <c r="C2075" s="1" t="n">
        <v>45927</v>
      </c>
      <c r="D2075" t="inlineStr">
        <is>
          <t>VÄSTERBOTTENS LÄN</t>
        </is>
      </c>
      <c r="E2075" t="inlineStr">
        <is>
          <t>SKELLEFTEÅ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22351-2023</t>
        </is>
      </c>
      <c r="B2076" s="1" t="n">
        <v>45068</v>
      </c>
      <c r="C2076" s="1" t="n">
        <v>45927</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46841-2024</t>
        </is>
      </c>
      <c r="B2077" s="1" t="n">
        <v>45583</v>
      </c>
      <c r="C2077" s="1" t="n">
        <v>45927</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9192-2021</t>
        </is>
      </c>
      <c r="B2078" s="1" t="n">
        <v>44249</v>
      </c>
      <c r="C2078" s="1" t="n">
        <v>45927</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14697-2023</t>
        </is>
      </c>
      <c r="B2079" s="1" t="n">
        <v>45012</v>
      </c>
      <c r="C2079" s="1" t="n">
        <v>45927</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1891-2021</t>
        </is>
      </c>
      <c r="B2080" s="1" t="n">
        <v>44210</v>
      </c>
      <c r="C2080" s="1" t="n">
        <v>45927</v>
      </c>
      <c r="D2080" t="inlineStr">
        <is>
          <t>VÄSTERBOTTENS LÄN</t>
        </is>
      </c>
      <c r="E2080" t="inlineStr">
        <is>
          <t>SKELLEFTEÅ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44920-2025</t>
        </is>
      </c>
      <c r="B2081" s="1" t="n">
        <v>45918.55259259259</v>
      </c>
      <c r="C2081" s="1" t="n">
        <v>45927</v>
      </c>
      <c r="D2081" t="inlineStr">
        <is>
          <t>VÄSTERBOTTENS LÄN</t>
        </is>
      </c>
      <c r="E2081" t="inlineStr">
        <is>
          <t>SKELLEFTEÅ</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44922-2025</t>
        </is>
      </c>
      <c r="B2082" s="1" t="n">
        <v>45918.55274305555</v>
      </c>
      <c r="C2082" s="1" t="n">
        <v>45927</v>
      </c>
      <c r="D2082" t="inlineStr">
        <is>
          <t>VÄSTERBOTTENS LÄN</t>
        </is>
      </c>
      <c r="E2082" t="inlineStr">
        <is>
          <t>SKELLEFTEÅ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40409-2025</t>
        </is>
      </c>
      <c r="B2083" s="1" t="n">
        <v>45895</v>
      </c>
      <c r="C2083" s="1" t="n">
        <v>45927</v>
      </c>
      <c r="D2083" t="inlineStr">
        <is>
          <t>VÄSTERBOTTENS LÄN</t>
        </is>
      </c>
      <c r="E2083" t="inlineStr">
        <is>
          <t>SKELLEFTEÅ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30901-2024</t>
        </is>
      </c>
      <c r="B2084" s="1" t="n">
        <v>45498</v>
      </c>
      <c r="C2084" s="1" t="n">
        <v>45927</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27288-2024</t>
        </is>
      </c>
      <c r="B2085" s="1" t="n">
        <v>45471.92630787037</v>
      </c>
      <c r="C2085" s="1" t="n">
        <v>45927</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37318-2025</t>
        </is>
      </c>
      <c r="B2086" s="1" t="n">
        <v>45876.61952546296</v>
      </c>
      <c r="C2086" s="1" t="n">
        <v>45927</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55420-2023</t>
        </is>
      </c>
      <c r="B2087" s="1" t="n">
        <v>45231</v>
      </c>
      <c r="C2087" s="1" t="n">
        <v>45927</v>
      </c>
      <c r="D2087" t="inlineStr">
        <is>
          <t>VÄSTERBOTTENS LÄN</t>
        </is>
      </c>
      <c r="E2087" t="inlineStr">
        <is>
          <t>SKELLEFTEÅ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14394-2025</t>
        </is>
      </c>
      <c r="B2088" s="1" t="n">
        <v>45741</v>
      </c>
      <c r="C2088" s="1" t="n">
        <v>45927</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44910-2025</t>
        </is>
      </c>
      <c r="B2089" s="1" t="n">
        <v>45918.5321412037</v>
      </c>
      <c r="C2089" s="1" t="n">
        <v>45927</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44909-2025</t>
        </is>
      </c>
      <c r="B2090" s="1" t="n">
        <v>45918.53211805555</v>
      </c>
      <c r="C2090" s="1" t="n">
        <v>45927</v>
      </c>
      <c r="D2090" t="inlineStr">
        <is>
          <t>VÄSTERBOTTENS LÄN</t>
        </is>
      </c>
      <c r="E2090" t="inlineStr">
        <is>
          <t>SKELLEFTEÅ</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45183-2025</t>
        </is>
      </c>
      <c r="B2091" s="1" t="n">
        <v>45919.53484953703</v>
      </c>
      <c r="C2091" s="1" t="n">
        <v>45927</v>
      </c>
      <c r="D2091" t="inlineStr">
        <is>
          <t>VÄSTERBOTTENS LÄN</t>
        </is>
      </c>
      <c r="E2091" t="inlineStr">
        <is>
          <t>SKELLEFTEÅ</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22760-2022</t>
        </is>
      </c>
      <c r="B2092" s="1" t="n">
        <v>44714</v>
      </c>
      <c r="C2092" s="1" t="n">
        <v>45927</v>
      </c>
      <c r="D2092" t="inlineStr">
        <is>
          <t>VÄSTERBOTTENS LÄN</t>
        </is>
      </c>
      <c r="E2092" t="inlineStr">
        <is>
          <t>SKELLEFTEÅ</t>
        </is>
      </c>
      <c r="G2092" t="n">
        <v>12.2</v>
      </c>
      <c r="H2092" t="n">
        <v>0</v>
      </c>
      <c r="I2092" t="n">
        <v>0</v>
      </c>
      <c r="J2092" t="n">
        <v>0</v>
      </c>
      <c r="K2092" t="n">
        <v>0</v>
      </c>
      <c r="L2092" t="n">
        <v>0</v>
      </c>
      <c r="M2092" t="n">
        <v>0</v>
      </c>
      <c r="N2092" t="n">
        <v>0</v>
      </c>
      <c r="O2092" t="n">
        <v>0</v>
      </c>
      <c r="P2092" t="n">
        <v>0</v>
      </c>
      <c r="Q2092" t="n">
        <v>0</v>
      </c>
      <c r="R2092" s="2" t="inlineStr"/>
    </row>
    <row r="2093" ht="15" customHeight="1">
      <c r="A2093" t="inlineStr">
        <is>
          <t>A 3626-2025</t>
        </is>
      </c>
      <c r="B2093" s="1" t="n">
        <v>45681.37163194444</v>
      </c>
      <c r="C2093" s="1" t="n">
        <v>45927</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4403-2025</t>
        </is>
      </c>
      <c r="B2094" s="1" t="n">
        <v>45686.43848379629</v>
      </c>
      <c r="C2094" s="1" t="n">
        <v>45927</v>
      </c>
      <c r="D2094" t="inlineStr">
        <is>
          <t>VÄSTERBOTTENS LÄN</t>
        </is>
      </c>
      <c r="E2094" t="inlineStr">
        <is>
          <t>SKELLEFTEÅ</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37429-2025</t>
        </is>
      </c>
      <c r="B2095" s="1" t="n">
        <v>45877.50601851852</v>
      </c>
      <c r="C2095" s="1" t="n">
        <v>45927</v>
      </c>
      <c r="D2095" t="inlineStr">
        <is>
          <t>VÄSTERBOTTENS LÄN</t>
        </is>
      </c>
      <c r="E2095" t="inlineStr">
        <is>
          <t>SKELLEFTEÅ</t>
        </is>
      </c>
      <c r="F2095" t="inlineStr">
        <is>
          <t>Holmen skog AB</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40794-2025</t>
        </is>
      </c>
      <c r="B2096" s="1" t="n">
        <v>45897</v>
      </c>
      <c r="C2096" s="1" t="n">
        <v>45927</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45981-2024</t>
        </is>
      </c>
      <c r="B2097" s="1" t="n">
        <v>45580.60790509259</v>
      </c>
      <c r="C2097" s="1" t="n">
        <v>45927</v>
      </c>
      <c r="D2097" t="inlineStr">
        <is>
          <t>VÄSTERBOTTENS LÄN</t>
        </is>
      </c>
      <c r="E2097" t="inlineStr">
        <is>
          <t>SKELLEFTEÅ</t>
        </is>
      </c>
      <c r="F2097" t="inlineStr">
        <is>
          <t>Holmen skog AB</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46049-2024</t>
        </is>
      </c>
      <c r="B2098" s="1" t="n">
        <v>45580.85546296297</v>
      </c>
      <c r="C2098" s="1" t="n">
        <v>45927</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12045-2024</t>
        </is>
      </c>
      <c r="B2099" s="1" t="n">
        <v>45377</v>
      </c>
      <c r="C2099" s="1" t="n">
        <v>45927</v>
      </c>
      <c r="D2099" t="inlineStr">
        <is>
          <t>VÄSTERBOTTENS LÄN</t>
        </is>
      </c>
      <c r="E2099" t="inlineStr">
        <is>
          <t>SKELLEFTEÅ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7815-2025</t>
        </is>
      </c>
      <c r="B2100" s="1" t="n">
        <v>45706.63521990741</v>
      </c>
      <c r="C2100" s="1" t="n">
        <v>45927</v>
      </c>
      <c r="D2100" t="inlineStr">
        <is>
          <t>VÄSTERBOTTENS LÄN</t>
        </is>
      </c>
      <c r="E2100" t="inlineStr">
        <is>
          <t>SKELLEFTEÅ</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23521-2024</t>
        </is>
      </c>
      <c r="B2101" s="1" t="n">
        <v>45453.92469907407</v>
      </c>
      <c r="C2101" s="1" t="n">
        <v>45927</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24303-2021</t>
        </is>
      </c>
      <c r="B2102" s="1" t="n">
        <v>44337.33520833333</v>
      </c>
      <c r="C2102" s="1" t="n">
        <v>45927</v>
      </c>
      <c r="D2102" t="inlineStr">
        <is>
          <t>VÄSTERBOTTENS LÄN</t>
        </is>
      </c>
      <c r="E2102" t="inlineStr">
        <is>
          <t>SKELLEFTEÅ</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45210-2025</t>
        </is>
      </c>
      <c r="B2103" s="1" t="n">
        <v>45919.56964120371</v>
      </c>
      <c r="C2103" s="1" t="n">
        <v>45927</v>
      </c>
      <c r="D2103" t="inlineStr">
        <is>
          <t>VÄSTERBOTTENS LÄN</t>
        </is>
      </c>
      <c r="E2103" t="inlineStr">
        <is>
          <t>SKELLEFTEÅ</t>
        </is>
      </c>
      <c r="F2103" t="inlineStr">
        <is>
          <t>Holmen skog AB</t>
        </is>
      </c>
      <c r="G2103" t="n">
        <v>38.1</v>
      </c>
      <c r="H2103" t="n">
        <v>0</v>
      </c>
      <c r="I2103" t="n">
        <v>0</v>
      </c>
      <c r="J2103" t="n">
        <v>0</v>
      </c>
      <c r="K2103" t="n">
        <v>0</v>
      </c>
      <c r="L2103" t="n">
        <v>0</v>
      </c>
      <c r="M2103" t="n">
        <v>0</v>
      </c>
      <c r="N2103" t="n">
        <v>0</v>
      </c>
      <c r="O2103" t="n">
        <v>0</v>
      </c>
      <c r="P2103" t="n">
        <v>0</v>
      </c>
      <c r="Q2103" t="n">
        <v>0</v>
      </c>
      <c r="R2103" s="2" t="inlineStr"/>
    </row>
    <row r="2104" ht="15" customHeight="1">
      <c r="A2104" t="inlineStr">
        <is>
          <t>A 36149-2025</t>
        </is>
      </c>
      <c r="B2104" s="1" t="n">
        <v>45866</v>
      </c>
      <c r="C2104" s="1" t="n">
        <v>45927</v>
      </c>
      <c r="D2104" t="inlineStr">
        <is>
          <t>VÄSTERBOTTENS LÄN</t>
        </is>
      </c>
      <c r="E2104" t="inlineStr">
        <is>
          <t>SKELLEFTEÅ</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16856-2025</t>
        </is>
      </c>
      <c r="B2105" s="1" t="n">
        <v>45754</v>
      </c>
      <c r="C2105" s="1" t="n">
        <v>45927</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44823-2025</t>
        </is>
      </c>
      <c r="B2106" s="1" t="n">
        <v>45918.38574074074</v>
      </c>
      <c r="C2106" s="1" t="n">
        <v>45927</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37322-2025</t>
        </is>
      </c>
      <c r="B2107" s="1" t="n">
        <v>45876.62466435185</v>
      </c>
      <c r="C2107" s="1" t="n">
        <v>45927</v>
      </c>
      <c r="D2107" t="inlineStr">
        <is>
          <t>VÄSTERBOTTENS LÄN</t>
        </is>
      </c>
      <c r="E2107" t="inlineStr">
        <is>
          <t>SKELLEFTEÅ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44921-2025</t>
        </is>
      </c>
      <c r="B2108" s="1" t="n">
        <v>45918.55270833334</v>
      </c>
      <c r="C2108" s="1" t="n">
        <v>45927</v>
      </c>
      <c r="D2108" t="inlineStr">
        <is>
          <t>VÄSTERBOTTENS LÄN</t>
        </is>
      </c>
      <c r="E2108" t="inlineStr">
        <is>
          <t>SKELLEFTEÅ</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44908-2025</t>
        </is>
      </c>
      <c r="B2109" s="1" t="n">
        <v>45918.53197916667</v>
      </c>
      <c r="C2109" s="1" t="n">
        <v>45927</v>
      </c>
      <c r="D2109" t="inlineStr">
        <is>
          <t>VÄSTERBOTTENS LÄN</t>
        </is>
      </c>
      <c r="E2109" t="inlineStr">
        <is>
          <t>SKELLEFTEÅ</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44911-2025</t>
        </is>
      </c>
      <c r="B2110" s="1" t="n">
        <v>45918.53216435185</v>
      </c>
      <c r="C2110" s="1" t="n">
        <v>45927</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30953-2023</t>
        </is>
      </c>
      <c r="B2111" s="1" t="n">
        <v>45113.46905092592</v>
      </c>
      <c r="C2111" s="1" t="n">
        <v>45927</v>
      </c>
      <c r="D2111" t="inlineStr">
        <is>
          <t>VÄSTERBOTTENS LÄN</t>
        </is>
      </c>
      <c r="E2111" t="inlineStr">
        <is>
          <t>SKELLEFTEÅ</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12112-2024</t>
        </is>
      </c>
      <c r="B2112" s="1" t="n">
        <v>45376</v>
      </c>
      <c r="C2112" s="1" t="n">
        <v>45927</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14346-2025</t>
        </is>
      </c>
      <c r="B2113" s="1" t="n">
        <v>45741.3443287037</v>
      </c>
      <c r="C2113" s="1" t="n">
        <v>45927</v>
      </c>
      <c r="D2113" t="inlineStr">
        <is>
          <t>VÄSTERBOTTENS LÄN</t>
        </is>
      </c>
      <c r="E2113" t="inlineStr">
        <is>
          <t>SKELLEFTEÅ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37298-2024</t>
        </is>
      </c>
      <c r="B2114" s="1" t="n">
        <v>45540.45724537037</v>
      </c>
      <c r="C2114" s="1" t="n">
        <v>45927</v>
      </c>
      <c r="D2114" t="inlineStr">
        <is>
          <t>VÄSTERBOTTENS LÄN</t>
        </is>
      </c>
      <c r="E2114" t="inlineStr">
        <is>
          <t>SKELLEFTEÅ</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16410-2025</t>
        </is>
      </c>
      <c r="B2115" s="1" t="n">
        <v>45751.45734953704</v>
      </c>
      <c r="C2115" s="1" t="n">
        <v>45927</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c r="U2115">
        <f>HYPERLINK("https://klasma.github.io/Logging_2482/knärot/A 16410-2025 karta knärot.png", "A 16410-2025")</f>
        <v/>
      </c>
      <c r="V2115">
        <f>HYPERLINK("https://klasma.github.io/Logging_2482/klagomål/A 16410-2025 FSC-klagomål.docx", "A 16410-2025")</f>
        <v/>
      </c>
      <c r="W2115">
        <f>HYPERLINK("https://klasma.github.io/Logging_2482/klagomålsmail/A 16410-2025 FSC-klagomål mail.docx", "A 16410-2025")</f>
        <v/>
      </c>
      <c r="X2115">
        <f>HYPERLINK("https://klasma.github.io/Logging_2482/tillsyn/A 16410-2025 tillsynsbegäran.docx", "A 16410-2025")</f>
        <v/>
      </c>
      <c r="Y2115">
        <f>HYPERLINK("https://klasma.github.io/Logging_2482/tillsynsmail/A 16410-2025 tillsynsbegäran mail.docx", "A 16410-2025")</f>
        <v/>
      </c>
    </row>
    <row r="2116" ht="15" customHeight="1">
      <c r="A2116" t="inlineStr">
        <is>
          <t>A 45644-2025</t>
        </is>
      </c>
      <c r="B2116" s="1" t="n">
        <v>45923.29819444445</v>
      </c>
      <c r="C2116" s="1" t="n">
        <v>45927</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45760-2025</t>
        </is>
      </c>
      <c r="B2117" s="1" t="n">
        <v>45923.51121527778</v>
      </c>
      <c r="C2117" s="1" t="n">
        <v>45927</v>
      </c>
      <c r="D2117" t="inlineStr">
        <is>
          <t>VÄSTERBOTTENS LÄN</t>
        </is>
      </c>
      <c r="E2117" t="inlineStr">
        <is>
          <t>SKELLEFTEÅ</t>
        </is>
      </c>
      <c r="F2117" t="inlineStr">
        <is>
          <t>Holmen skog AB</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45787-2025</t>
        </is>
      </c>
      <c r="B2118" s="1" t="n">
        <v>45923.5621875</v>
      </c>
      <c r="C2118" s="1" t="n">
        <v>45927</v>
      </c>
      <c r="D2118" t="inlineStr">
        <is>
          <t>VÄSTERBOTTENS LÄN</t>
        </is>
      </c>
      <c r="E2118" t="inlineStr">
        <is>
          <t>SKELLEFTEÅ</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21343-2025</t>
        </is>
      </c>
      <c r="B2119" s="1" t="n">
        <v>45782.39872685185</v>
      </c>
      <c r="C2119" s="1" t="n">
        <v>45927</v>
      </c>
      <c r="D2119" t="inlineStr">
        <is>
          <t>VÄSTERBOTTENS LÄN</t>
        </is>
      </c>
      <c r="E2119" t="inlineStr">
        <is>
          <t>SKELLEFTEÅ</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11624-2023</t>
        </is>
      </c>
      <c r="B2120" s="1" t="n">
        <v>44994.42565972222</v>
      </c>
      <c r="C2120" s="1" t="n">
        <v>45927</v>
      </c>
      <c r="D2120" t="inlineStr">
        <is>
          <t>VÄSTERBOTTENS LÄN</t>
        </is>
      </c>
      <c r="E2120" t="inlineStr">
        <is>
          <t>SKELLEFTEÅ</t>
        </is>
      </c>
      <c r="G2120" t="n">
        <v>47.6</v>
      </c>
      <c r="H2120" t="n">
        <v>0</v>
      </c>
      <c r="I2120" t="n">
        <v>0</v>
      </c>
      <c r="J2120" t="n">
        <v>0</v>
      </c>
      <c r="K2120" t="n">
        <v>0</v>
      </c>
      <c r="L2120" t="n">
        <v>0</v>
      </c>
      <c r="M2120" t="n">
        <v>0</v>
      </c>
      <c r="N2120" t="n">
        <v>0</v>
      </c>
      <c r="O2120" t="n">
        <v>0</v>
      </c>
      <c r="P2120" t="n">
        <v>0</v>
      </c>
      <c r="Q2120" t="n">
        <v>0</v>
      </c>
      <c r="R2120" s="2" t="inlineStr"/>
    </row>
    <row r="2121" ht="15" customHeight="1">
      <c r="A2121" t="inlineStr">
        <is>
          <t>A 10287-2025</t>
        </is>
      </c>
      <c r="B2121" s="1" t="n">
        <v>45720</v>
      </c>
      <c r="C2121" s="1" t="n">
        <v>45927</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45598-2025</t>
        </is>
      </c>
      <c r="B2122" s="1" t="n">
        <v>45922.68771990741</v>
      </c>
      <c r="C2122" s="1" t="n">
        <v>45927</v>
      </c>
      <c r="D2122" t="inlineStr">
        <is>
          <t>VÄSTERBOTTENS LÄN</t>
        </is>
      </c>
      <c r="E2122" t="inlineStr">
        <is>
          <t>SKELLEFTEÅ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45485-2025</t>
        </is>
      </c>
      <c r="B2123" s="1" t="n">
        <v>45922.54546296296</v>
      </c>
      <c r="C2123" s="1" t="n">
        <v>45927</v>
      </c>
      <c r="D2123" t="inlineStr">
        <is>
          <t>VÄSTERBOTTENS LÄN</t>
        </is>
      </c>
      <c r="E2123" t="inlineStr">
        <is>
          <t>SKELLEFTEÅ</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45559-2025</t>
        </is>
      </c>
      <c r="B2124" s="1" t="n">
        <v>45922.64508101852</v>
      </c>
      <c r="C2124" s="1" t="n">
        <v>45927</v>
      </c>
      <c r="D2124" t="inlineStr">
        <is>
          <t>VÄSTERBOTTENS LÄN</t>
        </is>
      </c>
      <c r="E2124" t="inlineStr">
        <is>
          <t>SKELLEFTEÅ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45732-2025</t>
        </is>
      </c>
      <c r="B2125" s="1" t="n">
        <v>45923.46354166666</v>
      </c>
      <c r="C2125" s="1" t="n">
        <v>45927</v>
      </c>
      <c r="D2125" t="inlineStr">
        <is>
          <t>VÄSTERBOTTENS LÄN</t>
        </is>
      </c>
      <c r="E2125" t="inlineStr">
        <is>
          <t>SKELLEFTEÅ</t>
        </is>
      </c>
      <c r="F2125" t="inlineStr">
        <is>
          <t>Holmen skog AB</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37962-2025</t>
        </is>
      </c>
      <c r="B2126" s="1" t="n">
        <v>45881</v>
      </c>
      <c r="C2126" s="1" t="n">
        <v>45927</v>
      </c>
      <c r="D2126" t="inlineStr">
        <is>
          <t>VÄSTERBOTTENS LÄN</t>
        </is>
      </c>
      <c r="E2126" t="inlineStr">
        <is>
          <t>SKELLEFTEÅ</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59660-2024</t>
        </is>
      </c>
      <c r="B2127" s="1" t="n">
        <v>45639.35697916667</v>
      </c>
      <c r="C2127" s="1" t="n">
        <v>45927</v>
      </c>
      <c r="D2127" t="inlineStr">
        <is>
          <t>VÄSTERBOTTENS LÄN</t>
        </is>
      </c>
      <c r="E2127" t="inlineStr">
        <is>
          <t>SKELLEFTEÅ</t>
        </is>
      </c>
      <c r="F2127" t="inlineStr">
        <is>
          <t>Sveaskog</t>
        </is>
      </c>
      <c r="G2127" t="n">
        <v>13.9</v>
      </c>
      <c r="H2127" t="n">
        <v>0</v>
      </c>
      <c r="I2127" t="n">
        <v>0</v>
      </c>
      <c r="J2127" t="n">
        <v>0</v>
      </c>
      <c r="K2127" t="n">
        <v>0</v>
      </c>
      <c r="L2127" t="n">
        <v>0</v>
      </c>
      <c r="M2127" t="n">
        <v>0</v>
      </c>
      <c r="N2127" t="n">
        <v>0</v>
      </c>
      <c r="O2127" t="n">
        <v>0</v>
      </c>
      <c r="P2127" t="n">
        <v>0</v>
      </c>
      <c r="Q2127" t="n">
        <v>0</v>
      </c>
      <c r="R2127" s="2" t="inlineStr"/>
    </row>
    <row r="2128" ht="15" customHeight="1">
      <c r="A2128" t="inlineStr">
        <is>
          <t>A 37702-2025</t>
        </is>
      </c>
      <c r="B2128" s="1" t="n">
        <v>45880.58201388889</v>
      </c>
      <c r="C2128" s="1" t="n">
        <v>45927</v>
      </c>
      <c r="D2128" t="inlineStr">
        <is>
          <t>VÄSTERBOTTENS LÄN</t>
        </is>
      </c>
      <c r="E2128" t="inlineStr">
        <is>
          <t>SKELLEFTEÅ</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37711-2025</t>
        </is>
      </c>
      <c r="B2129" s="1" t="n">
        <v>45880.59618055556</v>
      </c>
      <c r="C2129" s="1" t="n">
        <v>45927</v>
      </c>
      <c r="D2129" t="inlineStr">
        <is>
          <t>VÄSTERBOTTENS LÄN</t>
        </is>
      </c>
      <c r="E2129" t="inlineStr">
        <is>
          <t>SKELLEFTEÅ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45779-2025</t>
        </is>
      </c>
      <c r="B2130" s="1" t="n">
        <v>45923</v>
      </c>
      <c r="C2130" s="1" t="n">
        <v>45927</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30432-2025</t>
        </is>
      </c>
      <c r="B2131" s="1" t="n">
        <v>45827.6325462963</v>
      </c>
      <c r="C2131" s="1" t="n">
        <v>45927</v>
      </c>
      <c r="D2131" t="inlineStr">
        <is>
          <t>VÄSTERBOTTENS LÄN</t>
        </is>
      </c>
      <c r="E2131" t="inlineStr">
        <is>
          <t>SKELLEFTEÅ</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45366-2025</t>
        </is>
      </c>
      <c r="B2132" s="1" t="n">
        <v>45922.38587962963</v>
      </c>
      <c r="C2132" s="1" t="n">
        <v>45927</v>
      </c>
      <c r="D2132" t="inlineStr">
        <is>
          <t>VÄSTERBOTTENS LÄN</t>
        </is>
      </c>
      <c r="E2132" t="inlineStr">
        <is>
          <t>SKELLEFTEÅ</t>
        </is>
      </c>
      <c r="G2132" t="n">
        <v>16.3</v>
      </c>
      <c r="H2132" t="n">
        <v>0</v>
      </c>
      <c r="I2132" t="n">
        <v>0</v>
      </c>
      <c r="J2132" t="n">
        <v>0</v>
      </c>
      <c r="K2132" t="n">
        <v>0</v>
      </c>
      <c r="L2132" t="n">
        <v>0</v>
      </c>
      <c r="M2132" t="n">
        <v>0</v>
      </c>
      <c r="N2132" t="n">
        <v>0</v>
      </c>
      <c r="O2132" t="n">
        <v>0</v>
      </c>
      <c r="P2132" t="n">
        <v>0</v>
      </c>
      <c r="Q2132" t="n">
        <v>0</v>
      </c>
      <c r="R2132" s="2" t="inlineStr"/>
    </row>
    <row r="2133" ht="15" customHeight="1">
      <c r="A2133" t="inlineStr">
        <is>
          <t>A 45393-2025</t>
        </is>
      </c>
      <c r="B2133" s="1" t="n">
        <v>45922.40796296296</v>
      </c>
      <c r="C2133" s="1" t="n">
        <v>45927</v>
      </c>
      <c r="D2133" t="inlineStr">
        <is>
          <t>VÄSTERBOTTENS LÄN</t>
        </is>
      </c>
      <c r="E2133" t="inlineStr">
        <is>
          <t>SKELLEFTEÅ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45398-2025</t>
        </is>
      </c>
      <c r="B2134" s="1" t="n">
        <v>45922.42065972222</v>
      </c>
      <c r="C2134" s="1" t="n">
        <v>45927</v>
      </c>
      <c r="D2134" t="inlineStr">
        <is>
          <t>VÄSTERBOTTENS LÄN</t>
        </is>
      </c>
      <c r="E2134" t="inlineStr">
        <is>
          <t>SKELLEFTEÅ</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45827-2025</t>
        </is>
      </c>
      <c r="B2135" s="1" t="n">
        <v>45923.60094907408</v>
      </c>
      <c r="C2135" s="1" t="n">
        <v>45927</v>
      </c>
      <c r="D2135" t="inlineStr">
        <is>
          <t>VÄSTERBOTTENS LÄN</t>
        </is>
      </c>
      <c r="E2135" t="inlineStr">
        <is>
          <t>SKELLEFTEÅ</t>
        </is>
      </c>
      <c r="F2135" t="inlineStr">
        <is>
          <t>Holmen skog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62052-2024</t>
        </is>
      </c>
      <c r="B2136" s="1" t="n">
        <v>45656.3674537037</v>
      </c>
      <c r="C2136" s="1" t="n">
        <v>45927</v>
      </c>
      <c r="D2136" t="inlineStr">
        <is>
          <t>VÄSTERBOTTENS LÄN</t>
        </is>
      </c>
      <c r="E2136" t="inlineStr">
        <is>
          <t>SKELLEFTEÅ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1249-2025</t>
        </is>
      </c>
      <c r="B2137" s="1" t="n">
        <v>45667.4634375</v>
      </c>
      <c r="C2137" s="1" t="n">
        <v>45927</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3193-2025</t>
        </is>
      </c>
      <c r="B2138" s="1" t="n">
        <v>45679.42042824074</v>
      </c>
      <c r="C2138" s="1" t="n">
        <v>45927</v>
      </c>
      <c r="D2138" t="inlineStr">
        <is>
          <t>VÄSTERBOTTENS LÄN</t>
        </is>
      </c>
      <c r="E2138" t="inlineStr">
        <is>
          <t>SKELLEFTEÅ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17874-2025</t>
        </is>
      </c>
      <c r="B2139" s="1" t="n">
        <v>45758.64266203704</v>
      </c>
      <c r="C2139" s="1" t="n">
        <v>45927</v>
      </c>
      <c r="D2139" t="inlineStr">
        <is>
          <t>VÄSTERBOTTENS LÄN</t>
        </is>
      </c>
      <c r="E2139" t="inlineStr">
        <is>
          <t>SKELLEFTEÅ</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44942-2025</t>
        </is>
      </c>
      <c r="B2140" s="1" t="n">
        <v>45918</v>
      </c>
      <c r="C2140" s="1" t="n">
        <v>45927</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45654-2025</t>
        </is>
      </c>
      <c r="B2141" s="1" t="n">
        <v>45923.33994212963</v>
      </c>
      <c r="C2141" s="1" t="n">
        <v>45927</v>
      </c>
      <c r="D2141" t="inlineStr">
        <is>
          <t>VÄSTERBOTTENS LÄN</t>
        </is>
      </c>
      <c r="E2141" t="inlineStr">
        <is>
          <t>SKELLEFTEÅ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37900-2025</t>
        </is>
      </c>
      <c r="B2142" s="1" t="n">
        <v>45881.56103009259</v>
      </c>
      <c r="C2142" s="1" t="n">
        <v>45927</v>
      </c>
      <c r="D2142" t="inlineStr">
        <is>
          <t>VÄSTERBOTTENS LÄN</t>
        </is>
      </c>
      <c r="E2142" t="inlineStr">
        <is>
          <t>SKELLEFTEÅ</t>
        </is>
      </c>
      <c r="F2142" t="inlineStr">
        <is>
          <t>Holmen skog AB</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19752-2025</t>
        </is>
      </c>
      <c r="B2143" s="1" t="n">
        <v>45771.38605324074</v>
      </c>
      <c r="C2143" s="1" t="n">
        <v>45927</v>
      </c>
      <c r="D2143" t="inlineStr">
        <is>
          <t>VÄSTERBOTTENS LÄN</t>
        </is>
      </c>
      <c r="E2143" t="inlineStr">
        <is>
          <t>SKELLEFTEÅ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45394-2025</t>
        </is>
      </c>
      <c r="B2144" s="1" t="n">
        <v>45922.40804398148</v>
      </c>
      <c r="C2144" s="1" t="n">
        <v>45927</v>
      </c>
      <c r="D2144" t="inlineStr">
        <is>
          <t>VÄSTERBOTTENS LÄN</t>
        </is>
      </c>
      <c r="E2144" t="inlineStr">
        <is>
          <t>SKELLEFTEÅ</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45409-2025</t>
        </is>
      </c>
      <c r="B2145" s="1" t="n">
        <v>45922.43385416667</v>
      </c>
      <c r="C2145" s="1" t="n">
        <v>45927</v>
      </c>
      <c r="D2145" t="inlineStr">
        <is>
          <t>VÄSTERBOTTENS LÄN</t>
        </is>
      </c>
      <c r="E2145" t="inlineStr">
        <is>
          <t>SKELLEFTEÅ</t>
        </is>
      </c>
      <c r="F2145" t="inlineStr">
        <is>
          <t>Holmen skog AB</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45429-2025</t>
        </is>
      </c>
      <c r="B2146" s="1" t="n">
        <v>45922.45540509259</v>
      </c>
      <c r="C2146" s="1" t="n">
        <v>45927</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58829-2024</t>
        </is>
      </c>
      <c r="B2147" s="1" t="n">
        <v>45636</v>
      </c>
      <c r="C2147" s="1" t="n">
        <v>45927</v>
      </c>
      <c r="D2147" t="inlineStr">
        <is>
          <t>VÄSTERBOTTENS LÄN</t>
        </is>
      </c>
      <c r="E2147" t="inlineStr">
        <is>
          <t>SKELLEFTEÅ</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37689-2025</t>
        </is>
      </c>
      <c r="B2148" s="1" t="n">
        <v>45880.56694444444</v>
      </c>
      <c r="C2148" s="1" t="n">
        <v>45927</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37692-2025</t>
        </is>
      </c>
      <c r="B2149" s="1" t="n">
        <v>45880.57291666666</v>
      </c>
      <c r="C2149" s="1" t="n">
        <v>45927</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45859-2025</t>
        </is>
      </c>
      <c r="B2150" s="1" t="n">
        <v>45923.6415162037</v>
      </c>
      <c r="C2150" s="1" t="n">
        <v>45927</v>
      </c>
      <c r="D2150" t="inlineStr">
        <is>
          <t>VÄSTERBOTTENS LÄN</t>
        </is>
      </c>
      <c r="E2150" t="inlineStr">
        <is>
          <t>SKELLEFTEÅ</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45885-2025</t>
        </is>
      </c>
      <c r="B2151" s="1" t="n">
        <v>45923.66508101852</v>
      </c>
      <c r="C2151" s="1" t="n">
        <v>45927</v>
      </c>
      <c r="D2151" t="inlineStr">
        <is>
          <t>VÄSTERBOTTENS LÄN</t>
        </is>
      </c>
      <c r="E2151" t="inlineStr">
        <is>
          <t>SKELLEFTEÅ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45555-2025</t>
        </is>
      </c>
      <c r="B2152" s="1" t="n">
        <v>45922.64210648148</v>
      </c>
      <c r="C2152" s="1" t="n">
        <v>45927</v>
      </c>
      <c r="D2152" t="inlineStr">
        <is>
          <t>VÄSTERBOTTENS LÄN</t>
        </is>
      </c>
      <c r="E2152" t="inlineStr">
        <is>
          <t>SKELLEFTEÅ</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45655-2025</t>
        </is>
      </c>
      <c r="B2153" s="1" t="n">
        <v>45923.34252314815</v>
      </c>
      <c r="C2153" s="1" t="n">
        <v>45927</v>
      </c>
      <c r="D2153" t="inlineStr">
        <is>
          <t>VÄSTERBOTTENS LÄN</t>
        </is>
      </c>
      <c r="E2153" t="inlineStr">
        <is>
          <t>SKELLEFTEÅ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45658-2025</t>
        </is>
      </c>
      <c r="B2154" s="1" t="n">
        <v>45923.34459490741</v>
      </c>
      <c r="C2154" s="1" t="n">
        <v>45927</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45365-2025</t>
        </is>
      </c>
      <c r="B2155" s="1" t="n">
        <v>45922.38581018519</v>
      </c>
      <c r="C2155" s="1" t="n">
        <v>45927</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45413-2025</t>
        </is>
      </c>
      <c r="B2156" s="1" t="n">
        <v>45922</v>
      </c>
      <c r="C2156" s="1" t="n">
        <v>45927</v>
      </c>
      <c r="D2156" t="inlineStr">
        <is>
          <t>VÄSTERBOTTENS LÄN</t>
        </is>
      </c>
      <c r="E2156" t="inlineStr">
        <is>
          <t>SKELLEFTEÅ</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24079-2025</t>
        </is>
      </c>
      <c r="B2157" s="1" t="n">
        <v>45796.5531712963</v>
      </c>
      <c r="C2157" s="1" t="n">
        <v>45927</v>
      </c>
      <c r="D2157" t="inlineStr">
        <is>
          <t>VÄSTERBOTTENS LÄN</t>
        </is>
      </c>
      <c r="E2157" t="inlineStr">
        <is>
          <t>SKELLEFTEÅ</t>
        </is>
      </c>
      <c r="F2157" t="inlineStr">
        <is>
          <t>Holmen skog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45364-2025</t>
        </is>
      </c>
      <c r="B2158" s="1" t="n">
        <v>45922.38574074074</v>
      </c>
      <c r="C2158" s="1" t="n">
        <v>45927</v>
      </c>
      <c r="D2158" t="inlineStr">
        <is>
          <t>VÄSTERBOTTENS LÄN</t>
        </is>
      </c>
      <c r="E2158" t="inlineStr">
        <is>
          <t>SKELLEFTEÅ</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45651-2025</t>
        </is>
      </c>
      <c r="B2159" s="1" t="n">
        <v>45923.32945601852</v>
      </c>
      <c r="C2159" s="1" t="n">
        <v>45927</v>
      </c>
      <c r="D2159" t="inlineStr">
        <is>
          <t>VÄSTERBOTTENS LÄN</t>
        </is>
      </c>
      <c r="E2159" t="inlineStr">
        <is>
          <t>SKELLEFTEÅ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45666-2025</t>
        </is>
      </c>
      <c r="B2160" s="1" t="n">
        <v>45923.34827546297</v>
      </c>
      <c r="C2160" s="1" t="n">
        <v>45927</v>
      </c>
      <c r="D2160" t="inlineStr">
        <is>
          <t>VÄSTERBOTTENS LÄN</t>
        </is>
      </c>
      <c r="E2160" t="inlineStr">
        <is>
          <t>SKELLEFTEÅ</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37815-2025</t>
        </is>
      </c>
      <c r="B2161" s="1" t="n">
        <v>45881.38259259259</v>
      </c>
      <c r="C2161" s="1" t="n">
        <v>45927</v>
      </c>
      <c r="D2161" t="inlineStr">
        <is>
          <t>VÄSTERBOTTENS LÄN</t>
        </is>
      </c>
      <c r="E2161" t="inlineStr">
        <is>
          <t>SKELLEFTEÅ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13207-2025</t>
        </is>
      </c>
      <c r="B2162" s="1" t="n">
        <v>45735.43693287037</v>
      </c>
      <c r="C2162" s="1" t="n">
        <v>45927</v>
      </c>
      <c r="D2162" t="inlineStr">
        <is>
          <t>VÄSTERBOTTENS LÄN</t>
        </is>
      </c>
      <c r="E2162" t="inlineStr">
        <is>
          <t>SKELLEFTEÅ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45392-2025</t>
        </is>
      </c>
      <c r="B2163" s="1" t="n">
        <v>45922.40791666666</v>
      </c>
      <c r="C2163" s="1" t="n">
        <v>45927</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37964-2025</t>
        </is>
      </c>
      <c r="B2164" s="1" t="n">
        <v>45881</v>
      </c>
      <c r="C2164" s="1" t="n">
        <v>45927</v>
      </c>
      <c r="D2164" t="inlineStr">
        <is>
          <t>VÄSTERBOTTENS LÄN</t>
        </is>
      </c>
      <c r="E2164" t="inlineStr">
        <is>
          <t>SKELLEFTEÅ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46103-2025</t>
        </is>
      </c>
      <c r="B2165" s="1" t="n">
        <v>45924.55184027777</v>
      </c>
      <c r="C2165" s="1" t="n">
        <v>45927</v>
      </c>
      <c r="D2165" t="inlineStr">
        <is>
          <t>VÄSTERBOTTENS LÄN</t>
        </is>
      </c>
      <c r="E2165" t="inlineStr">
        <is>
          <t>SKELLEFTEÅ</t>
        </is>
      </c>
      <c r="F2165" t="inlineStr">
        <is>
          <t>Holmen skog AB</t>
        </is>
      </c>
      <c r="G2165" t="n">
        <v>8.699999999999999</v>
      </c>
      <c r="H2165" t="n">
        <v>0</v>
      </c>
      <c r="I2165" t="n">
        <v>0</v>
      </c>
      <c r="J2165" t="n">
        <v>0</v>
      </c>
      <c r="K2165" t="n">
        <v>0</v>
      </c>
      <c r="L2165" t="n">
        <v>0</v>
      </c>
      <c r="M2165" t="n">
        <v>0</v>
      </c>
      <c r="N2165" t="n">
        <v>0</v>
      </c>
      <c r="O2165" t="n">
        <v>0</v>
      </c>
      <c r="P2165" t="n">
        <v>0</v>
      </c>
      <c r="Q2165" t="n">
        <v>0</v>
      </c>
      <c r="R2165" s="2" t="inlineStr"/>
      <c r="U2165">
        <f>HYPERLINK("https://klasma.github.io/Logging_2482/knärot/A 46103-2025 karta knärot.png", "A 46103-2025")</f>
        <v/>
      </c>
      <c r="V2165">
        <f>HYPERLINK("https://klasma.github.io/Logging_2482/klagomål/A 46103-2025 FSC-klagomål.docx", "A 46103-2025")</f>
        <v/>
      </c>
      <c r="W2165">
        <f>HYPERLINK("https://klasma.github.io/Logging_2482/klagomålsmail/A 46103-2025 FSC-klagomål mail.docx", "A 46103-2025")</f>
        <v/>
      </c>
      <c r="X2165">
        <f>HYPERLINK("https://klasma.github.io/Logging_2482/tillsyn/A 46103-2025 tillsynsbegäran.docx", "A 46103-2025")</f>
        <v/>
      </c>
      <c r="Y2165">
        <f>HYPERLINK("https://klasma.github.io/Logging_2482/tillsynsmail/A 46103-2025 tillsynsbegäran mail.docx", "A 46103-2025")</f>
        <v/>
      </c>
    </row>
    <row r="2166" ht="15" customHeight="1">
      <c r="A2166" t="inlineStr">
        <is>
          <t>A 46350-2025</t>
        </is>
      </c>
      <c r="B2166" s="1" t="n">
        <v>45925.48527777778</v>
      </c>
      <c r="C2166" s="1" t="n">
        <v>45927</v>
      </c>
      <c r="D2166" t="inlineStr">
        <is>
          <t>VÄSTERBOTTENS LÄN</t>
        </is>
      </c>
      <c r="E2166" t="inlineStr">
        <is>
          <t>SKELLEFTEÅ</t>
        </is>
      </c>
      <c r="F2166" t="inlineStr">
        <is>
          <t>Sveaskog</t>
        </is>
      </c>
      <c r="G2166" t="n">
        <v>21.2</v>
      </c>
      <c r="H2166" t="n">
        <v>0</v>
      </c>
      <c r="I2166" t="n">
        <v>0</v>
      </c>
      <c r="J2166" t="n">
        <v>0</v>
      </c>
      <c r="K2166" t="n">
        <v>0</v>
      </c>
      <c r="L2166" t="n">
        <v>0</v>
      </c>
      <c r="M2166" t="n">
        <v>0</v>
      </c>
      <c r="N2166" t="n">
        <v>0</v>
      </c>
      <c r="O2166" t="n">
        <v>0</v>
      </c>
      <c r="P2166" t="n">
        <v>0</v>
      </c>
      <c r="Q2166" t="n">
        <v>0</v>
      </c>
      <c r="R2166" s="2" t="inlineStr"/>
    </row>
    <row r="2167" ht="15" customHeight="1">
      <c r="A2167" t="inlineStr">
        <is>
          <t>A 38004-2025</t>
        </is>
      </c>
      <c r="B2167" s="1" t="n">
        <v>45881.92792824074</v>
      </c>
      <c r="C2167" s="1" t="n">
        <v>45927</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46291-2025</t>
        </is>
      </c>
      <c r="B2168" s="1" t="n">
        <v>45925</v>
      </c>
      <c r="C2168" s="1" t="n">
        <v>45927</v>
      </c>
      <c r="D2168" t="inlineStr">
        <is>
          <t>VÄSTERBOTTENS LÄN</t>
        </is>
      </c>
      <c r="E2168" t="inlineStr">
        <is>
          <t>SKELLEFTEÅ</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42136-2025</t>
        </is>
      </c>
      <c r="B2169" s="1" t="n">
        <v>45904</v>
      </c>
      <c r="C2169" s="1" t="n">
        <v>45927</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46278-2025</t>
        </is>
      </c>
      <c r="B2170" s="1" t="n">
        <v>45925.37530092592</v>
      </c>
      <c r="C2170" s="1" t="n">
        <v>45927</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38216-2025</t>
        </is>
      </c>
      <c r="B2171" s="1" t="n">
        <v>45883.29847222222</v>
      </c>
      <c r="C2171" s="1" t="n">
        <v>45927</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46276-2025</t>
        </is>
      </c>
      <c r="B2172" s="1" t="n">
        <v>45925.37224537037</v>
      </c>
      <c r="C2172" s="1" t="n">
        <v>45927</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46496-2025</t>
        </is>
      </c>
      <c r="B2173" s="1" t="n">
        <v>45925.83113425926</v>
      </c>
      <c r="C2173" s="1" t="n">
        <v>45927</v>
      </c>
      <c r="D2173" t="inlineStr">
        <is>
          <t>VÄSTERBOTTENS LÄN</t>
        </is>
      </c>
      <c r="E2173" t="inlineStr">
        <is>
          <t>SKELLEFTEÅ</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38070-2025</t>
        </is>
      </c>
      <c r="B2174" s="1" t="n">
        <v>45882.43864583333</v>
      </c>
      <c r="C2174" s="1" t="n">
        <v>45927</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45973-2025</t>
        </is>
      </c>
      <c r="B2175" s="1" t="n">
        <v>45924.36732638889</v>
      </c>
      <c r="C2175" s="1" t="n">
        <v>45927</v>
      </c>
      <c r="D2175" t="inlineStr">
        <is>
          <t>VÄSTERBOTTENS LÄN</t>
        </is>
      </c>
      <c r="E2175" t="inlineStr">
        <is>
          <t>SKELLEFTEÅ</t>
        </is>
      </c>
      <c r="F2175" t="inlineStr">
        <is>
          <t>Holmen skog AB</t>
        </is>
      </c>
      <c r="G2175" t="n">
        <v>16.9</v>
      </c>
      <c r="H2175" t="n">
        <v>0</v>
      </c>
      <c r="I2175" t="n">
        <v>0</v>
      </c>
      <c r="J2175" t="n">
        <v>0</v>
      </c>
      <c r="K2175" t="n">
        <v>0</v>
      </c>
      <c r="L2175" t="n">
        <v>0</v>
      </c>
      <c r="M2175" t="n">
        <v>0</v>
      </c>
      <c r="N2175" t="n">
        <v>0</v>
      </c>
      <c r="O2175" t="n">
        <v>0</v>
      </c>
      <c r="P2175" t="n">
        <v>0</v>
      </c>
      <c r="Q2175" t="n">
        <v>0</v>
      </c>
      <c r="R2175" s="2" t="inlineStr"/>
    </row>
    <row r="2176" ht="15" customHeight="1">
      <c r="A2176" t="inlineStr">
        <is>
          <t>A 45964-2025</t>
        </is>
      </c>
      <c r="B2176" s="1" t="n">
        <v>45924.3553587963</v>
      </c>
      <c r="C2176" s="1" t="n">
        <v>45927</v>
      </c>
      <c r="D2176" t="inlineStr">
        <is>
          <t>VÄSTERBOTTENS LÄN</t>
        </is>
      </c>
      <c r="E2176" t="inlineStr">
        <is>
          <t>SKELLEFTEÅ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37816-2025</t>
        </is>
      </c>
      <c r="B2177" s="1" t="n">
        <v>45881.38435185186</v>
      </c>
      <c r="C2177" s="1" t="n">
        <v>45927</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46480-2025</t>
        </is>
      </c>
      <c r="B2178" s="1" t="n">
        <v>45925.6988425926</v>
      </c>
      <c r="C2178" s="1" t="n">
        <v>45927</v>
      </c>
      <c r="D2178" t="inlineStr">
        <is>
          <t>VÄSTERBOTTENS LÄN</t>
        </is>
      </c>
      <c r="E2178" t="inlineStr">
        <is>
          <t>SKELLEFTEÅ</t>
        </is>
      </c>
      <c r="F2178" t="inlineStr">
        <is>
          <t>Sveaskog</t>
        </is>
      </c>
      <c r="G2178" t="n">
        <v>13.8</v>
      </c>
      <c r="H2178" t="n">
        <v>0</v>
      </c>
      <c r="I2178" t="n">
        <v>0</v>
      </c>
      <c r="J2178" t="n">
        <v>0</v>
      </c>
      <c r="K2178" t="n">
        <v>0</v>
      </c>
      <c r="L2178" t="n">
        <v>0</v>
      </c>
      <c r="M2178" t="n">
        <v>0</v>
      </c>
      <c r="N2178" t="n">
        <v>0</v>
      </c>
      <c r="O2178" t="n">
        <v>0</v>
      </c>
      <c r="P2178" t="n">
        <v>0</v>
      </c>
      <c r="Q2178" t="n">
        <v>0</v>
      </c>
      <c r="R2178" s="2" t="inlineStr"/>
    </row>
    <row r="2179" ht="15" customHeight="1">
      <c r="A2179" t="inlineStr">
        <is>
          <t>A 46273-2025</t>
        </is>
      </c>
      <c r="B2179" s="1" t="n">
        <v>45925.3700925926</v>
      </c>
      <c r="C2179" s="1" t="n">
        <v>45927</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38214-2025</t>
        </is>
      </c>
      <c r="B2180" s="1" t="n">
        <v>45883.27512731482</v>
      </c>
      <c r="C2180" s="1" t="n">
        <v>45927</v>
      </c>
      <c r="D2180" t="inlineStr">
        <is>
          <t>VÄSTERBOTTENS LÄN</t>
        </is>
      </c>
      <c r="E2180" t="inlineStr">
        <is>
          <t>SKELLEFTEÅ</t>
        </is>
      </c>
      <c r="G2180" t="n">
        <v>3.2</v>
      </c>
      <c r="H2180" t="n">
        <v>0</v>
      </c>
      <c r="I2180" t="n">
        <v>0</v>
      </c>
      <c r="J2180" t="n">
        <v>0</v>
      </c>
      <c r="K2180" t="n">
        <v>0</v>
      </c>
      <c r="L2180" t="n">
        <v>0</v>
      </c>
      <c r="M2180" t="n">
        <v>0</v>
      </c>
      <c r="N2180" t="n">
        <v>0</v>
      </c>
      <c r="O2180" t="n">
        <v>0</v>
      </c>
      <c r="P2180" t="n">
        <v>0</v>
      </c>
      <c r="Q2180" t="n">
        <v>0</v>
      </c>
      <c r="R2180" s="2" t="inlineStr"/>
    </row>
    <row r="2181">
      <c r="A2181" t="inlineStr">
        <is>
          <t>A 38458-2025</t>
        </is>
      </c>
      <c r="B2181" s="1" t="n">
        <v>45883.71289351852</v>
      </c>
      <c r="C2181" s="1" t="n">
        <v>45927</v>
      </c>
      <c r="D2181" t="inlineStr">
        <is>
          <t>VÄSTERBOTTENS LÄN</t>
        </is>
      </c>
      <c r="E2181" t="inlineStr">
        <is>
          <t>SKELLEFTEÅ</t>
        </is>
      </c>
      <c r="G2181" t="n">
        <v>7.2</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2025-09-27T11:59:26Z</dcterms:created>
  <dcterms:modified xmlns:dcterms="http://purl.org/dc/terms/" xmlns:xsi="http://www.w3.org/2001/XMLSchema-instance" xsi:type="dcterms:W3CDTF">2025-09-27T11:59:28Z</dcterms:modified>
</cp:coreProperties>
</file>