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45991</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45991</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45991</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45991</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45991</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45991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45991</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45991</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45991</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45991</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45991</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45991</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45991</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45991</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45991</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46526-2025</t>
        </is>
      </c>
      <c r="B23" s="1" t="n">
        <v>45926.33142361111</v>
      </c>
      <c r="C23" s="1" t="n">
        <v>45991</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9093-2025</t>
        </is>
      </c>
      <c r="B24" s="1" t="n">
        <v>45713</v>
      </c>
      <c r="C24" s="1" t="n">
        <v>45991</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45991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45991</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45991</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45991</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46103-2025</t>
        </is>
      </c>
      <c r="B29" s="1" t="n">
        <v>45924.55184027777</v>
      </c>
      <c r="C29" s="1" t="n">
        <v>45991</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45991</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45991</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45991</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45991</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45991</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45991</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45991</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45991</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45991</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45991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45991</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45991</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45991</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45991</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2801-2024</t>
        </is>
      </c>
      <c r="B44" s="1" t="n">
        <v>45314</v>
      </c>
      <c r="C44" s="1" t="n">
        <v>45991</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45973-2025</t>
        </is>
      </c>
      <c r="B45" s="1" t="n">
        <v>45924.36732638889</v>
      </c>
      <c r="C45" s="1" t="n">
        <v>45991</v>
      </c>
      <c r="D45" t="inlineStr">
        <is>
          <t>VÄSTERBOTTENS LÄN</t>
        </is>
      </c>
      <c r="E45" t="inlineStr">
        <is>
          <t>SKELLEFTEÅ</t>
        </is>
      </c>
      <c r="F45" t="inlineStr">
        <is>
          <t>Holmen skog AB</t>
        </is>
      </c>
      <c r="G45" t="n">
        <v>16.9</v>
      </c>
      <c r="H45" t="n">
        <v>2</v>
      </c>
      <c r="I45" t="n">
        <v>2</v>
      </c>
      <c r="J45" t="n">
        <v>4</v>
      </c>
      <c r="K45" t="n">
        <v>0</v>
      </c>
      <c r="L45" t="n">
        <v>0</v>
      </c>
      <c r="M45" t="n">
        <v>0</v>
      </c>
      <c r="N45" t="n">
        <v>0</v>
      </c>
      <c r="O45" t="n">
        <v>4</v>
      </c>
      <c r="P45" t="n">
        <v>0</v>
      </c>
      <c r="Q45" t="n">
        <v>6</v>
      </c>
      <c r="R45" s="2" t="inlineStr">
        <is>
          <t>Garnlav
Granticka
Spillkråka
Tretåig hackspett
Blodticka
Vedticka</t>
        </is>
      </c>
      <c r="S45">
        <f>HYPERLINK("https://klasma.github.io/Logging_2482/artfynd/A 45973-2025 artfynd.xlsx", "A 45973-2025")</f>
        <v/>
      </c>
      <c r="T45">
        <f>HYPERLINK("https://klasma.github.io/Logging_2482/kartor/A 45973-2025 karta.png", "A 45973-2025")</f>
        <v/>
      </c>
      <c r="V45">
        <f>HYPERLINK("https://klasma.github.io/Logging_2482/klagomål/A 45973-2025 FSC-klagomål.docx", "A 45973-2025")</f>
        <v/>
      </c>
      <c r="W45">
        <f>HYPERLINK("https://klasma.github.io/Logging_2482/klagomålsmail/A 45973-2025 FSC-klagomål mail.docx", "A 45973-2025")</f>
        <v/>
      </c>
      <c r="X45">
        <f>HYPERLINK("https://klasma.github.io/Logging_2482/tillsyn/A 45973-2025 tillsynsbegäran.docx", "A 45973-2025")</f>
        <v/>
      </c>
      <c r="Y45">
        <f>HYPERLINK("https://klasma.github.io/Logging_2482/tillsynsmail/A 45973-2025 tillsynsbegäran mail.docx", "A 45973-2025")</f>
        <v/>
      </c>
      <c r="Z45">
        <f>HYPERLINK("https://klasma.github.io/Logging_2482/fåglar/A 45973-2025 prioriterade fågelarter.docx", "A 45973-2025")</f>
        <v/>
      </c>
    </row>
    <row r="46" ht="15" customHeight="1">
      <c r="A46" t="inlineStr">
        <is>
          <t>A 902-2023</t>
        </is>
      </c>
      <c r="B46" s="1" t="n">
        <v>44931.92561342593</v>
      </c>
      <c r="C46" s="1" t="n">
        <v>45991</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45991</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45991</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45991</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45991</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45991</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45991</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52096-2025</t>
        </is>
      </c>
      <c r="B53" s="1" t="n">
        <v>45952.67902777778</v>
      </c>
      <c r="C53" s="1" t="n">
        <v>45991</v>
      </c>
      <c r="D53" t="inlineStr">
        <is>
          <t>VÄSTERBOTTENS LÄN</t>
        </is>
      </c>
      <c r="E53" t="inlineStr">
        <is>
          <t>SKELLEFTEÅ</t>
        </is>
      </c>
      <c r="G53" t="n">
        <v>4.3</v>
      </c>
      <c r="H53" t="n">
        <v>3</v>
      </c>
      <c r="I53" t="n">
        <v>0</v>
      </c>
      <c r="J53" t="n">
        <v>5</v>
      </c>
      <c r="K53" t="n">
        <v>0</v>
      </c>
      <c r="L53" t="n">
        <v>0</v>
      </c>
      <c r="M53" t="n">
        <v>0</v>
      </c>
      <c r="N53" t="n">
        <v>0</v>
      </c>
      <c r="O53" t="n">
        <v>5</v>
      </c>
      <c r="P53" t="n">
        <v>0</v>
      </c>
      <c r="Q53" t="n">
        <v>5</v>
      </c>
      <c r="R53" s="2" t="inlineStr">
        <is>
          <t>Gammelgransskål
Garnlav
Spillkråka
Talltita
Tretåig hackspett</t>
        </is>
      </c>
      <c r="S53">
        <f>HYPERLINK("https://klasma.github.io/Logging_2482/artfynd/A 52096-2025 artfynd.xlsx", "A 52096-2025")</f>
        <v/>
      </c>
      <c r="T53">
        <f>HYPERLINK("https://klasma.github.io/Logging_2482/kartor/A 52096-2025 karta.png", "A 52096-2025")</f>
        <v/>
      </c>
      <c r="V53">
        <f>HYPERLINK("https://klasma.github.io/Logging_2482/klagomål/A 52096-2025 FSC-klagomål.docx", "A 52096-2025")</f>
        <v/>
      </c>
      <c r="W53">
        <f>HYPERLINK("https://klasma.github.io/Logging_2482/klagomålsmail/A 52096-2025 FSC-klagomål mail.docx", "A 52096-2025")</f>
        <v/>
      </c>
      <c r="X53">
        <f>HYPERLINK("https://klasma.github.io/Logging_2482/tillsyn/A 52096-2025 tillsynsbegäran.docx", "A 52096-2025")</f>
        <v/>
      </c>
      <c r="Y53">
        <f>HYPERLINK("https://klasma.github.io/Logging_2482/tillsynsmail/A 52096-2025 tillsynsbegäran mail.docx", "A 52096-2025")</f>
        <v/>
      </c>
      <c r="Z53">
        <f>HYPERLINK("https://klasma.github.io/Logging_2482/fåglar/A 52096-2025 prioriterade fågelarter.docx", "A 52096-2025")</f>
        <v/>
      </c>
    </row>
    <row r="54" ht="15" customHeight="1">
      <c r="A54" t="inlineStr">
        <is>
          <t>A 33941-2024</t>
        </is>
      </c>
      <c r="B54" s="1" t="n">
        <v>45523.44668981482</v>
      </c>
      <c r="C54" s="1" t="n">
        <v>45991</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45210-2025</t>
        </is>
      </c>
      <c r="B55" s="1" t="n">
        <v>45919.56964120371</v>
      </c>
      <c r="C55" s="1" t="n">
        <v>45991</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45991</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35761-2025</t>
        </is>
      </c>
      <c r="B57" s="1" t="n">
        <v>45860.6172337963</v>
      </c>
      <c r="C57" s="1" t="n">
        <v>45991</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49243-2023</t>
        </is>
      </c>
      <c r="B58" s="1" t="n">
        <v>45210.65243055556</v>
      </c>
      <c r="C58" s="1" t="n">
        <v>45991</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45991</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45991</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45991</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45991</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45991</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45991</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45991</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45991</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51431-2025</t>
        </is>
      </c>
      <c r="B67" s="1" t="n">
        <v>45950.54863425926</v>
      </c>
      <c r="C67" s="1" t="n">
        <v>45991</v>
      </c>
      <c r="D67" t="inlineStr">
        <is>
          <t>VÄSTERBOTTENS LÄN</t>
        </is>
      </c>
      <c r="E67" t="inlineStr">
        <is>
          <t>SKELLEFTEÅ</t>
        </is>
      </c>
      <c r="F67" t="inlineStr">
        <is>
          <t>Holmen skog AB</t>
        </is>
      </c>
      <c r="G67" t="n">
        <v>3.2</v>
      </c>
      <c r="H67" t="n">
        <v>0</v>
      </c>
      <c r="I67" t="n">
        <v>1</v>
      </c>
      <c r="J67" t="n">
        <v>3</v>
      </c>
      <c r="K67" t="n">
        <v>0</v>
      </c>
      <c r="L67" t="n">
        <v>0</v>
      </c>
      <c r="M67" t="n">
        <v>0</v>
      </c>
      <c r="N67" t="n">
        <v>0</v>
      </c>
      <c r="O67" t="n">
        <v>3</v>
      </c>
      <c r="P67" t="n">
        <v>0</v>
      </c>
      <c r="Q67" t="n">
        <v>4</v>
      </c>
      <c r="R67" s="2" t="inlineStr">
        <is>
          <t>Blanksvart spiklav
Kolflarnlav
Svart taggsvamp
Dropptaggsvamp</t>
        </is>
      </c>
      <c r="S67">
        <f>HYPERLINK("https://klasma.github.io/Logging_2482/artfynd/A 51431-2025 artfynd.xlsx", "A 51431-2025")</f>
        <v/>
      </c>
      <c r="T67">
        <f>HYPERLINK("https://klasma.github.io/Logging_2482/kartor/A 51431-2025 karta.png", "A 51431-2025")</f>
        <v/>
      </c>
      <c r="V67">
        <f>HYPERLINK("https://klasma.github.io/Logging_2482/klagomål/A 51431-2025 FSC-klagomål.docx", "A 51431-2025")</f>
        <v/>
      </c>
      <c r="W67">
        <f>HYPERLINK("https://klasma.github.io/Logging_2482/klagomålsmail/A 51431-2025 FSC-klagomål mail.docx", "A 51431-2025")</f>
        <v/>
      </c>
      <c r="X67">
        <f>HYPERLINK("https://klasma.github.io/Logging_2482/tillsyn/A 51431-2025 tillsynsbegäran.docx", "A 51431-2025")</f>
        <v/>
      </c>
      <c r="Y67">
        <f>HYPERLINK("https://klasma.github.io/Logging_2482/tillsynsmail/A 51431-2025 tillsynsbegäran mail.docx", "A 51431-2025")</f>
        <v/>
      </c>
    </row>
    <row r="68" ht="15" customHeight="1">
      <c r="A68" t="inlineStr">
        <is>
          <t>A 35164-2025</t>
        </is>
      </c>
      <c r="B68" s="1" t="n">
        <v>45852</v>
      </c>
      <c r="C68" s="1" t="n">
        <v>45991</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58835-2021</t>
        </is>
      </c>
      <c r="B69" s="1" t="n">
        <v>44489</v>
      </c>
      <c r="C69" s="1" t="n">
        <v>45991</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38654-2025</t>
        </is>
      </c>
      <c r="B70" s="1" t="n">
        <v>45884.59638888889</v>
      </c>
      <c r="C70" s="1" t="n">
        <v>45991</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58867-2025</t>
        </is>
      </c>
      <c r="B71" s="1" t="n">
        <v>45987.45527777778</v>
      </c>
      <c r="C71" s="1" t="n">
        <v>45991</v>
      </c>
      <c r="D71" t="inlineStr">
        <is>
          <t>VÄSTERBOTTENS LÄN</t>
        </is>
      </c>
      <c r="E71" t="inlineStr">
        <is>
          <t>SKELLEFTEÅ</t>
        </is>
      </c>
      <c r="F71" t="inlineStr">
        <is>
          <t>Holmen skog AB</t>
        </is>
      </c>
      <c r="G71" t="n">
        <v>4.4</v>
      </c>
      <c r="H71" t="n">
        <v>0</v>
      </c>
      <c r="I71" t="n">
        <v>1</v>
      </c>
      <c r="J71" t="n">
        <v>3</v>
      </c>
      <c r="K71" t="n">
        <v>0</v>
      </c>
      <c r="L71" t="n">
        <v>0</v>
      </c>
      <c r="M71" t="n">
        <v>0</v>
      </c>
      <c r="N71" t="n">
        <v>0</v>
      </c>
      <c r="O71" t="n">
        <v>3</v>
      </c>
      <c r="P71" t="n">
        <v>0</v>
      </c>
      <c r="Q71" t="n">
        <v>4</v>
      </c>
      <c r="R71" s="2" t="inlineStr">
        <is>
          <t>Gammelgransskål
Garnlav
Granticka
Vedticka</t>
        </is>
      </c>
      <c r="S71">
        <f>HYPERLINK("https://klasma.github.io/Logging_2482/artfynd/A 58867-2025 artfynd.xlsx", "A 58867-2025")</f>
        <v/>
      </c>
      <c r="T71">
        <f>HYPERLINK("https://klasma.github.io/Logging_2482/kartor/A 58867-2025 karta.png", "A 58867-2025")</f>
        <v/>
      </c>
      <c r="V71">
        <f>HYPERLINK("https://klasma.github.io/Logging_2482/klagomål/A 58867-2025 FSC-klagomål.docx", "A 58867-2025")</f>
        <v/>
      </c>
      <c r="W71">
        <f>HYPERLINK("https://klasma.github.io/Logging_2482/klagomålsmail/A 58867-2025 FSC-klagomål mail.docx", "A 58867-2025")</f>
        <v/>
      </c>
      <c r="X71">
        <f>HYPERLINK("https://klasma.github.io/Logging_2482/tillsyn/A 58867-2025 tillsynsbegäran.docx", "A 58867-2025")</f>
        <v/>
      </c>
      <c r="Y71">
        <f>HYPERLINK("https://klasma.github.io/Logging_2482/tillsynsmail/A 58867-2025 tillsynsbegäran mail.docx", "A 58867-2025")</f>
        <v/>
      </c>
    </row>
    <row r="72" ht="15" customHeight="1">
      <c r="A72" t="inlineStr">
        <is>
          <t>A 18577-2024</t>
        </is>
      </c>
      <c r="B72" s="1" t="n">
        <v>45425</v>
      </c>
      <c r="C72" s="1" t="n">
        <v>45991</v>
      </c>
      <c r="D72" t="inlineStr">
        <is>
          <t>VÄSTERBOTTENS LÄN</t>
        </is>
      </c>
      <c r="E72" t="inlineStr">
        <is>
          <t>SKELLEFTEÅ</t>
        </is>
      </c>
      <c r="G72" t="n">
        <v>5.3</v>
      </c>
      <c r="H72" t="n">
        <v>1</v>
      </c>
      <c r="I72" t="n">
        <v>1</v>
      </c>
      <c r="J72" t="n">
        <v>2</v>
      </c>
      <c r="K72" t="n">
        <v>1</v>
      </c>
      <c r="L72" t="n">
        <v>0</v>
      </c>
      <c r="M72" t="n">
        <v>0</v>
      </c>
      <c r="N72" t="n">
        <v>0</v>
      </c>
      <c r="O72" t="n">
        <v>3</v>
      </c>
      <c r="P72" t="n">
        <v>1</v>
      </c>
      <c r="Q72" t="n">
        <v>4</v>
      </c>
      <c r="R72" s="2" t="inlineStr">
        <is>
          <t>Knärot
Gammelgransskål
Garnlav
Rävticka</t>
        </is>
      </c>
      <c r="S72">
        <f>HYPERLINK("https://klasma.github.io/Logging_2482/artfynd/A 18577-2024 artfynd.xlsx", "A 18577-2024")</f>
        <v/>
      </c>
      <c r="T72">
        <f>HYPERLINK("https://klasma.github.io/Logging_2482/kartor/A 18577-2024 karta.png", "A 18577-2024")</f>
        <v/>
      </c>
      <c r="U72">
        <f>HYPERLINK("https://klasma.github.io/Logging_2482/knärot/A 18577-2024 karta knärot.png", "A 18577-2024")</f>
        <v/>
      </c>
      <c r="V72">
        <f>HYPERLINK("https://klasma.github.io/Logging_2482/klagomål/A 18577-2024 FSC-klagomål.docx", "A 18577-2024")</f>
        <v/>
      </c>
      <c r="W72">
        <f>HYPERLINK("https://klasma.github.io/Logging_2482/klagomålsmail/A 18577-2024 FSC-klagomål mail.docx", "A 18577-2024")</f>
        <v/>
      </c>
      <c r="X72">
        <f>HYPERLINK("https://klasma.github.io/Logging_2482/tillsyn/A 18577-2024 tillsynsbegäran.docx", "A 18577-2024")</f>
        <v/>
      </c>
      <c r="Y72">
        <f>HYPERLINK("https://klasma.github.io/Logging_2482/tillsynsmail/A 18577-2024 tillsynsbegäran mail.docx", "A 18577-2024")</f>
        <v/>
      </c>
    </row>
    <row r="73" ht="15" customHeight="1">
      <c r="A73" t="inlineStr">
        <is>
          <t>A 62340-2021</t>
        </is>
      </c>
      <c r="B73" s="1" t="n">
        <v>44503</v>
      </c>
      <c r="C73" s="1" t="n">
        <v>45991</v>
      </c>
      <c r="D73" t="inlineStr">
        <is>
          <t>VÄSTERBOTTENS LÄN</t>
        </is>
      </c>
      <c r="E73" t="inlineStr">
        <is>
          <t>SKELLEFTEÅ</t>
        </is>
      </c>
      <c r="G73" t="n">
        <v>3.9</v>
      </c>
      <c r="H73" t="n">
        <v>0</v>
      </c>
      <c r="I73" t="n">
        <v>2</v>
      </c>
      <c r="J73" t="n">
        <v>2</v>
      </c>
      <c r="K73" t="n">
        <v>0</v>
      </c>
      <c r="L73" t="n">
        <v>0</v>
      </c>
      <c r="M73" t="n">
        <v>0</v>
      </c>
      <c r="N73" t="n">
        <v>0</v>
      </c>
      <c r="O73" t="n">
        <v>2</v>
      </c>
      <c r="P73" t="n">
        <v>0</v>
      </c>
      <c r="Q73" t="n">
        <v>4</v>
      </c>
      <c r="R73" s="2" t="inlineStr">
        <is>
          <t>Garnlav
Harticka
Dropptaggsvamp
Vedticka</t>
        </is>
      </c>
      <c r="S73">
        <f>HYPERLINK("https://klasma.github.io/Logging_2482/artfynd/A 62340-2021 artfynd.xlsx", "A 62340-2021")</f>
        <v/>
      </c>
      <c r="T73">
        <f>HYPERLINK("https://klasma.github.io/Logging_2482/kartor/A 62340-2021 karta.png", "A 62340-2021")</f>
        <v/>
      </c>
      <c r="U73">
        <f>HYPERLINK("https://klasma.github.io/Logging_2482/knärot/A 62340-2021 karta knärot.png", "A 62340-2021")</f>
        <v/>
      </c>
      <c r="V73">
        <f>HYPERLINK("https://klasma.github.io/Logging_2482/klagomål/A 62340-2021 FSC-klagomål.docx", "A 62340-2021")</f>
        <v/>
      </c>
      <c r="W73">
        <f>HYPERLINK("https://klasma.github.io/Logging_2482/klagomålsmail/A 62340-2021 FSC-klagomål mail.docx", "A 62340-2021")</f>
        <v/>
      </c>
      <c r="X73">
        <f>HYPERLINK("https://klasma.github.io/Logging_2482/tillsyn/A 62340-2021 tillsynsbegäran.docx", "A 62340-2021")</f>
        <v/>
      </c>
      <c r="Y73">
        <f>HYPERLINK("https://klasma.github.io/Logging_2482/tillsynsmail/A 62340-2021 tillsynsbegäran mail.docx", "A 62340-2021")</f>
        <v/>
      </c>
    </row>
    <row r="74" ht="15" customHeight="1">
      <c r="A74" t="inlineStr">
        <is>
          <t>A 55235-2024</t>
        </is>
      </c>
      <c r="B74" s="1" t="n">
        <v>45620</v>
      </c>
      <c r="C74" s="1" t="n">
        <v>45991</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55242-2024</t>
        </is>
      </c>
      <c r="B75" s="1" t="n">
        <v>45620</v>
      </c>
      <c r="C75" s="1" t="n">
        <v>45991</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62393-2023</t>
        </is>
      </c>
      <c r="B76" s="1" t="n">
        <v>45268</v>
      </c>
      <c r="C76" s="1" t="n">
        <v>45991</v>
      </c>
      <c r="D76" t="inlineStr">
        <is>
          <t>VÄSTERBOTTENS LÄN</t>
        </is>
      </c>
      <c r="E76" t="inlineStr">
        <is>
          <t>SKELLEFTEÅ</t>
        </is>
      </c>
      <c r="F76" t="inlineStr">
        <is>
          <t>Sveaskog</t>
        </is>
      </c>
      <c r="G76" t="n">
        <v>6.7</v>
      </c>
      <c r="H76" t="n">
        <v>0</v>
      </c>
      <c r="I76" t="n">
        <v>1</v>
      </c>
      <c r="J76" t="n">
        <v>3</v>
      </c>
      <c r="K76" t="n">
        <v>0</v>
      </c>
      <c r="L76" t="n">
        <v>0</v>
      </c>
      <c r="M76" t="n">
        <v>0</v>
      </c>
      <c r="N76" t="n">
        <v>0</v>
      </c>
      <c r="O76" t="n">
        <v>3</v>
      </c>
      <c r="P76" t="n">
        <v>0</v>
      </c>
      <c r="Q76" t="n">
        <v>4</v>
      </c>
      <c r="R76" s="2" t="inlineStr">
        <is>
          <t>Garnlav
Lunglav
Violettgrå tagellav
Bårdlav</t>
        </is>
      </c>
      <c r="S76">
        <f>HYPERLINK("https://klasma.github.io/Logging_2482/artfynd/A 62393-2023 artfynd.xlsx", "A 62393-2023")</f>
        <v/>
      </c>
      <c r="T76">
        <f>HYPERLINK("https://klasma.github.io/Logging_2482/kartor/A 62393-2023 karta.png", "A 62393-2023")</f>
        <v/>
      </c>
      <c r="V76">
        <f>HYPERLINK("https://klasma.github.io/Logging_2482/klagomål/A 62393-2023 FSC-klagomål.docx", "A 62393-2023")</f>
        <v/>
      </c>
      <c r="W76">
        <f>HYPERLINK("https://klasma.github.io/Logging_2482/klagomålsmail/A 62393-2023 FSC-klagomål mail.docx", "A 62393-2023")</f>
        <v/>
      </c>
      <c r="X76">
        <f>HYPERLINK("https://klasma.github.io/Logging_2482/tillsyn/A 62393-2023 tillsynsbegäran.docx", "A 62393-2023")</f>
        <v/>
      </c>
      <c r="Y76">
        <f>HYPERLINK("https://klasma.github.io/Logging_2482/tillsynsmail/A 62393-2023 tillsynsbegäran mail.docx", "A 62393-2023")</f>
        <v/>
      </c>
    </row>
    <row r="77" ht="15" customHeight="1">
      <c r="A77" t="inlineStr">
        <is>
          <t>A 57409-2021</t>
        </is>
      </c>
      <c r="B77" s="1" t="n">
        <v>44483</v>
      </c>
      <c r="C77" s="1" t="n">
        <v>45991</v>
      </c>
      <c r="D77" t="inlineStr">
        <is>
          <t>VÄSTERBOTTENS LÄN</t>
        </is>
      </c>
      <c r="E77" t="inlineStr">
        <is>
          <t>SKELLEFTEÅ</t>
        </is>
      </c>
      <c r="G77" t="n">
        <v>20.3</v>
      </c>
      <c r="H77" t="n">
        <v>0</v>
      </c>
      <c r="I77" t="n">
        <v>1</v>
      </c>
      <c r="J77" t="n">
        <v>3</v>
      </c>
      <c r="K77" t="n">
        <v>0</v>
      </c>
      <c r="L77" t="n">
        <v>0</v>
      </c>
      <c r="M77" t="n">
        <v>0</v>
      </c>
      <c r="N77" t="n">
        <v>0</v>
      </c>
      <c r="O77" t="n">
        <v>3</v>
      </c>
      <c r="P77" t="n">
        <v>0</v>
      </c>
      <c r="Q77" t="n">
        <v>4</v>
      </c>
      <c r="R77" s="2" t="inlineStr">
        <is>
          <t>Gammelgransskål
Garnlav
Ullticka
Vedticka</t>
        </is>
      </c>
      <c r="S77">
        <f>HYPERLINK("https://klasma.github.io/Logging_2482/artfynd/A 57409-2021 artfynd.xlsx", "A 57409-2021")</f>
        <v/>
      </c>
      <c r="T77">
        <f>HYPERLINK("https://klasma.github.io/Logging_2482/kartor/A 57409-2021 karta.png", "A 57409-2021")</f>
        <v/>
      </c>
      <c r="V77">
        <f>HYPERLINK("https://klasma.github.io/Logging_2482/klagomål/A 57409-2021 FSC-klagomål.docx", "A 57409-2021")</f>
        <v/>
      </c>
      <c r="W77">
        <f>HYPERLINK("https://klasma.github.io/Logging_2482/klagomålsmail/A 57409-2021 FSC-klagomål mail.docx", "A 57409-2021")</f>
        <v/>
      </c>
      <c r="X77">
        <f>HYPERLINK("https://klasma.github.io/Logging_2482/tillsyn/A 57409-2021 tillsynsbegäran.docx", "A 57409-2021")</f>
        <v/>
      </c>
      <c r="Y77">
        <f>HYPERLINK("https://klasma.github.io/Logging_2482/tillsynsmail/A 57409-2021 tillsynsbegäran mail.docx", "A 57409-2021")</f>
        <v/>
      </c>
    </row>
    <row r="78" ht="15" customHeight="1">
      <c r="A78" t="inlineStr">
        <is>
          <t>A 56462-2024</t>
        </is>
      </c>
      <c r="B78" s="1" t="n">
        <v>45625</v>
      </c>
      <c r="C78" s="1" t="n">
        <v>45991</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53423-2024</t>
        </is>
      </c>
      <c r="B79" s="1" t="n">
        <v>45614.51168981481</v>
      </c>
      <c r="C79" s="1" t="n">
        <v>45991</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53423-2024 artfynd.xlsx", "A 53423-2024")</f>
        <v/>
      </c>
      <c r="T79">
        <f>HYPERLINK("https://klasma.github.io/Logging_2482/kartor/A 53423-2024 karta.png", "A 53423-2024")</f>
        <v/>
      </c>
      <c r="V79">
        <f>HYPERLINK("https://klasma.github.io/Logging_2482/klagomål/A 53423-2024 FSC-klagomål.docx", "A 53423-2024")</f>
        <v/>
      </c>
      <c r="W79">
        <f>HYPERLINK("https://klasma.github.io/Logging_2482/klagomålsmail/A 53423-2024 FSC-klagomål mail.docx", "A 53423-2024")</f>
        <v/>
      </c>
      <c r="X79">
        <f>HYPERLINK("https://klasma.github.io/Logging_2482/tillsyn/A 53423-2024 tillsynsbegäran.docx", "A 53423-2024")</f>
        <v/>
      </c>
      <c r="Y79">
        <f>HYPERLINK("https://klasma.github.io/Logging_2482/tillsynsmail/A 53423-2024 tillsynsbegäran mail.docx", "A 53423-2024")</f>
        <v/>
      </c>
      <c r="Z79">
        <f>HYPERLINK("https://klasma.github.io/Logging_2482/fåglar/A 53423-2024 prioriterade fågelarter.docx", "A 53423-2024")</f>
        <v/>
      </c>
    </row>
    <row r="80" ht="15" customHeight="1">
      <c r="A80" t="inlineStr">
        <is>
          <t>A 46092-2023</t>
        </is>
      </c>
      <c r="B80" s="1" t="n">
        <v>45190</v>
      </c>
      <c r="C80" s="1" t="n">
        <v>45991</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45991</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45991</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58525-2023</t>
        </is>
      </c>
      <c r="B83" s="1" t="n">
        <v>45251.38579861111</v>
      </c>
      <c r="C83" s="1" t="n">
        <v>45991</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45991</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45991</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14498-2022</t>
        </is>
      </c>
      <c r="B86" s="1" t="n">
        <v>44655</v>
      </c>
      <c r="C86" s="1" t="n">
        <v>45991</v>
      </c>
      <c r="D86" t="inlineStr">
        <is>
          <t>VÄSTERBOTTENS LÄN</t>
        </is>
      </c>
      <c r="E86" t="inlineStr">
        <is>
          <t>SKELLEFTEÅ</t>
        </is>
      </c>
      <c r="G86" t="n">
        <v>8.6</v>
      </c>
      <c r="H86" t="n">
        <v>0</v>
      </c>
      <c r="I86" t="n">
        <v>0</v>
      </c>
      <c r="J86" t="n">
        <v>3</v>
      </c>
      <c r="K86" t="n">
        <v>0</v>
      </c>
      <c r="L86" t="n">
        <v>0</v>
      </c>
      <c r="M86" t="n">
        <v>0</v>
      </c>
      <c r="N86" t="n">
        <v>0</v>
      </c>
      <c r="O86" t="n">
        <v>3</v>
      </c>
      <c r="P86" t="n">
        <v>0</v>
      </c>
      <c r="Q86" t="n">
        <v>3</v>
      </c>
      <c r="R86" s="2" t="inlineStr">
        <is>
          <t>Garnlav
Granticka
Ullticka</t>
        </is>
      </c>
      <c r="S86">
        <f>HYPERLINK("https://klasma.github.io/Logging_2482/artfynd/A 14498-2022 artfynd.xlsx", "A 14498-2022")</f>
        <v/>
      </c>
      <c r="T86">
        <f>HYPERLINK("https://klasma.github.io/Logging_2482/kartor/A 14498-2022 karta.png", "A 14498-2022")</f>
        <v/>
      </c>
      <c r="V86">
        <f>HYPERLINK("https://klasma.github.io/Logging_2482/klagomål/A 14498-2022 FSC-klagomål.docx", "A 14498-2022")</f>
        <v/>
      </c>
      <c r="W86">
        <f>HYPERLINK("https://klasma.github.io/Logging_2482/klagomålsmail/A 14498-2022 FSC-klagomål mail.docx", "A 14498-2022")</f>
        <v/>
      </c>
      <c r="X86">
        <f>HYPERLINK("https://klasma.github.io/Logging_2482/tillsyn/A 14498-2022 tillsynsbegäran.docx", "A 14498-2022")</f>
        <v/>
      </c>
      <c r="Y86">
        <f>HYPERLINK("https://klasma.github.io/Logging_2482/tillsynsmail/A 14498-2022 tillsynsbegäran mail.docx", "A 14498-2022")</f>
        <v/>
      </c>
    </row>
    <row r="87" ht="15" customHeight="1">
      <c r="A87" t="inlineStr">
        <is>
          <t>A 56435-2023</t>
        </is>
      </c>
      <c r="B87" s="1" t="n">
        <v>45243</v>
      </c>
      <c r="C87" s="1" t="n">
        <v>45991</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55024-2025</t>
        </is>
      </c>
      <c r="B88" s="1" t="n">
        <v>45967.63331018519</v>
      </c>
      <c r="C88" s="1" t="n">
        <v>45991</v>
      </c>
      <c r="D88" t="inlineStr">
        <is>
          <t>VÄSTERBOTTENS LÄN</t>
        </is>
      </c>
      <c r="E88" t="inlineStr">
        <is>
          <t>SKELLEFTEÅ</t>
        </is>
      </c>
      <c r="G88" t="n">
        <v>0.9</v>
      </c>
      <c r="H88" t="n">
        <v>3</v>
      </c>
      <c r="I88" t="n">
        <v>1</v>
      </c>
      <c r="J88" t="n">
        <v>0</v>
      </c>
      <c r="K88" t="n">
        <v>0</v>
      </c>
      <c r="L88" t="n">
        <v>0</v>
      </c>
      <c r="M88" t="n">
        <v>0</v>
      </c>
      <c r="N88" t="n">
        <v>0</v>
      </c>
      <c r="O88" t="n">
        <v>0</v>
      </c>
      <c r="P88" t="n">
        <v>0</v>
      </c>
      <c r="Q88" t="n">
        <v>3</v>
      </c>
      <c r="R88" s="2" t="inlineStr">
        <is>
          <t>Plattlummer
Mattlummer
Revlummer</t>
        </is>
      </c>
      <c r="S88">
        <f>HYPERLINK("https://klasma.github.io/Logging_2482/artfynd/A 55024-2025 artfynd.xlsx", "A 55024-2025")</f>
        <v/>
      </c>
      <c r="T88">
        <f>HYPERLINK("https://klasma.github.io/Logging_2482/kartor/A 55024-2025 karta.png", "A 55024-2025")</f>
        <v/>
      </c>
      <c r="V88">
        <f>HYPERLINK("https://klasma.github.io/Logging_2482/klagomål/A 55024-2025 FSC-klagomål.docx", "A 55024-2025")</f>
        <v/>
      </c>
      <c r="W88">
        <f>HYPERLINK("https://klasma.github.io/Logging_2482/klagomålsmail/A 55024-2025 FSC-klagomål mail.docx", "A 55024-2025")</f>
        <v/>
      </c>
      <c r="X88">
        <f>HYPERLINK("https://klasma.github.io/Logging_2482/tillsyn/A 55024-2025 tillsynsbegäran.docx", "A 55024-2025")</f>
        <v/>
      </c>
      <c r="Y88">
        <f>HYPERLINK("https://klasma.github.io/Logging_2482/tillsynsmail/A 55024-2025 tillsynsbegäran mail.docx", "A 55024-2025")</f>
        <v/>
      </c>
    </row>
    <row r="89" ht="15" customHeight="1">
      <c r="A89" t="inlineStr">
        <is>
          <t>A 38401-2025</t>
        </is>
      </c>
      <c r="B89" s="1" t="n">
        <v>45883.58827546296</v>
      </c>
      <c r="C89" s="1" t="n">
        <v>45991</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62595-2023</t>
        </is>
      </c>
      <c r="B90" s="1" t="n">
        <v>45267</v>
      </c>
      <c r="C90" s="1" t="n">
        <v>45991</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57388-2025</t>
        </is>
      </c>
      <c r="B91" s="1" t="n">
        <v>45980.41665509259</v>
      </c>
      <c r="C91" s="1" t="n">
        <v>45991</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40987-2022</t>
        </is>
      </c>
      <c r="B92" s="1" t="n">
        <v>44823</v>
      </c>
      <c r="C92" s="1" t="n">
        <v>45991</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59076-2025</t>
        </is>
      </c>
      <c r="B93" s="1" t="n">
        <v>45988.42956018518</v>
      </c>
      <c r="C93" s="1" t="n">
        <v>45991</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41099-2023</t>
        </is>
      </c>
      <c r="B94" s="1" t="n">
        <v>45173.68905092592</v>
      </c>
      <c r="C94" s="1" t="n">
        <v>45991</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29725-2021</t>
        </is>
      </c>
      <c r="B95" s="1" t="n">
        <v>44362.44362268518</v>
      </c>
      <c r="C95" s="1" t="n">
        <v>45991</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45991</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45991</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33858-2024</t>
        </is>
      </c>
      <c r="B98" s="1" t="n">
        <v>45520</v>
      </c>
      <c r="C98" s="1" t="n">
        <v>45991</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20379-2025</t>
        </is>
      </c>
      <c r="B99" s="1" t="n">
        <v>45775.42733796296</v>
      </c>
      <c r="C99" s="1" t="n">
        <v>45991</v>
      </c>
      <c r="D99" t="inlineStr">
        <is>
          <t>VÄSTERBOTTENS LÄN</t>
        </is>
      </c>
      <c r="E99" t="inlineStr">
        <is>
          <t>SKELLEFTEÅ</t>
        </is>
      </c>
      <c r="G99" t="n">
        <v>3.3</v>
      </c>
      <c r="H99" t="n">
        <v>0</v>
      </c>
      <c r="I99" t="n">
        <v>0</v>
      </c>
      <c r="J99" t="n">
        <v>3</v>
      </c>
      <c r="K99" t="n">
        <v>0</v>
      </c>
      <c r="L99" t="n">
        <v>0</v>
      </c>
      <c r="M99" t="n">
        <v>0</v>
      </c>
      <c r="N99" t="n">
        <v>0</v>
      </c>
      <c r="O99" t="n">
        <v>3</v>
      </c>
      <c r="P99" t="n">
        <v>0</v>
      </c>
      <c r="Q99" t="n">
        <v>3</v>
      </c>
      <c r="R99" s="2" t="inlineStr">
        <is>
          <t>Granticka
Orange taggsvamp
Violettgrå tagellav</t>
        </is>
      </c>
      <c r="S99">
        <f>HYPERLINK("https://klasma.github.io/Logging_2482/artfynd/A 20379-2025 artfynd.xlsx", "A 20379-2025")</f>
        <v/>
      </c>
      <c r="T99">
        <f>HYPERLINK("https://klasma.github.io/Logging_2482/kartor/A 20379-2025 karta.png", "A 20379-2025")</f>
        <v/>
      </c>
      <c r="V99">
        <f>HYPERLINK("https://klasma.github.io/Logging_2482/klagomål/A 20379-2025 FSC-klagomål.docx", "A 20379-2025")</f>
        <v/>
      </c>
      <c r="W99">
        <f>HYPERLINK("https://klasma.github.io/Logging_2482/klagomålsmail/A 20379-2025 FSC-klagomål mail.docx", "A 20379-2025")</f>
        <v/>
      </c>
      <c r="X99">
        <f>HYPERLINK("https://klasma.github.io/Logging_2482/tillsyn/A 20379-2025 tillsynsbegäran.docx", "A 20379-2025")</f>
        <v/>
      </c>
      <c r="Y99">
        <f>HYPERLINK("https://klasma.github.io/Logging_2482/tillsynsmail/A 20379-2025 tillsynsbegäran mail.docx", "A 20379-2025")</f>
        <v/>
      </c>
    </row>
    <row r="100" ht="15" customHeight="1">
      <c r="A100" t="inlineStr">
        <is>
          <t>A 44152-2023</t>
        </is>
      </c>
      <c r="B100" s="1" t="n">
        <v>45188.47930555556</v>
      </c>
      <c r="C100" s="1" t="n">
        <v>45991</v>
      </c>
      <c r="D100" t="inlineStr">
        <is>
          <t>VÄSTERBOTTENS LÄN</t>
        </is>
      </c>
      <c r="E100" t="inlineStr">
        <is>
          <t>SKELLEFTEÅ</t>
        </is>
      </c>
      <c r="F100" t="inlineStr">
        <is>
          <t>Holmen skog AB</t>
        </is>
      </c>
      <c r="G100" t="n">
        <v>9.199999999999999</v>
      </c>
      <c r="H100" t="n">
        <v>1</v>
      </c>
      <c r="I100" t="n">
        <v>0</v>
      </c>
      <c r="J100" t="n">
        <v>3</v>
      </c>
      <c r="K100" t="n">
        <v>0</v>
      </c>
      <c r="L100" t="n">
        <v>0</v>
      </c>
      <c r="M100" t="n">
        <v>0</v>
      </c>
      <c r="N100" t="n">
        <v>0</v>
      </c>
      <c r="O100" t="n">
        <v>3</v>
      </c>
      <c r="P100" t="n">
        <v>0</v>
      </c>
      <c r="Q100" t="n">
        <v>3</v>
      </c>
      <c r="R100" s="2" t="inlineStr">
        <is>
          <t>Gammelgransskål
Garnlav
Videsparv</t>
        </is>
      </c>
      <c r="S100">
        <f>HYPERLINK("https://klasma.github.io/Logging_2482/artfynd/A 44152-2023 artfynd.xlsx", "A 44152-2023")</f>
        <v/>
      </c>
      <c r="T100">
        <f>HYPERLINK("https://klasma.github.io/Logging_2482/kartor/A 44152-2023 karta.png", "A 44152-2023")</f>
        <v/>
      </c>
      <c r="V100">
        <f>HYPERLINK("https://klasma.github.io/Logging_2482/klagomål/A 44152-2023 FSC-klagomål.docx", "A 44152-2023")</f>
        <v/>
      </c>
      <c r="W100">
        <f>HYPERLINK("https://klasma.github.io/Logging_2482/klagomålsmail/A 44152-2023 FSC-klagomål mail.docx", "A 44152-2023")</f>
        <v/>
      </c>
      <c r="X100">
        <f>HYPERLINK("https://klasma.github.io/Logging_2482/tillsyn/A 44152-2023 tillsynsbegäran.docx", "A 44152-2023")</f>
        <v/>
      </c>
      <c r="Y100">
        <f>HYPERLINK("https://klasma.github.io/Logging_2482/tillsynsmail/A 44152-2023 tillsynsbegäran mail.docx", "A 44152-2023")</f>
        <v/>
      </c>
      <c r="Z100">
        <f>HYPERLINK("https://klasma.github.io/Logging_2482/fåglar/A 44152-2023 prioriterade fågelarter.docx", "A 44152-2023")</f>
        <v/>
      </c>
    </row>
    <row r="101" ht="15" customHeight="1">
      <c r="A101" t="inlineStr">
        <is>
          <t>A 23299-2025</t>
        </is>
      </c>
      <c r="B101" s="1" t="n">
        <v>45791.59457175926</v>
      </c>
      <c r="C101" s="1" t="n">
        <v>45991</v>
      </c>
      <c r="D101" t="inlineStr">
        <is>
          <t>VÄSTERBOTTENS LÄN</t>
        </is>
      </c>
      <c r="E101" t="inlineStr">
        <is>
          <t>SKELLEFTEÅ</t>
        </is>
      </c>
      <c r="F101" t="inlineStr">
        <is>
          <t>Holmen skog AB</t>
        </is>
      </c>
      <c r="G101" t="n">
        <v>1.5</v>
      </c>
      <c r="H101" t="n">
        <v>1</v>
      </c>
      <c r="I101" t="n">
        <v>2</v>
      </c>
      <c r="J101" t="n">
        <v>1</v>
      </c>
      <c r="K101" t="n">
        <v>0</v>
      </c>
      <c r="L101" t="n">
        <v>0</v>
      </c>
      <c r="M101" t="n">
        <v>0</v>
      </c>
      <c r="N101" t="n">
        <v>0</v>
      </c>
      <c r="O101" t="n">
        <v>1</v>
      </c>
      <c r="P101" t="n">
        <v>0</v>
      </c>
      <c r="Q101" t="n">
        <v>3</v>
      </c>
      <c r="R101" s="2" t="inlineStr">
        <is>
          <t>Garnlav
Nästlav
Plattlummer</t>
        </is>
      </c>
      <c r="S101">
        <f>HYPERLINK("https://klasma.github.io/Logging_2482/artfynd/A 23299-2025 artfynd.xlsx", "A 23299-2025")</f>
        <v/>
      </c>
      <c r="T101">
        <f>HYPERLINK("https://klasma.github.io/Logging_2482/kartor/A 23299-2025 karta.png", "A 23299-2025")</f>
        <v/>
      </c>
      <c r="V101">
        <f>HYPERLINK("https://klasma.github.io/Logging_2482/klagomål/A 23299-2025 FSC-klagomål.docx", "A 23299-2025")</f>
        <v/>
      </c>
      <c r="W101">
        <f>HYPERLINK("https://klasma.github.io/Logging_2482/klagomålsmail/A 23299-2025 FSC-klagomål mail.docx", "A 23299-2025")</f>
        <v/>
      </c>
      <c r="X101">
        <f>HYPERLINK("https://klasma.github.io/Logging_2482/tillsyn/A 23299-2025 tillsynsbegäran.docx", "A 23299-2025")</f>
        <v/>
      </c>
      <c r="Y101">
        <f>HYPERLINK("https://klasma.github.io/Logging_2482/tillsynsmail/A 23299-2025 tillsynsbegäran mail.docx", "A 23299-2025")</f>
        <v/>
      </c>
    </row>
    <row r="102" ht="15" customHeight="1">
      <c r="A102" t="inlineStr">
        <is>
          <t>A 23725-2025</t>
        </is>
      </c>
      <c r="B102" s="1" t="n">
        <v>45793.40694444445</v>
      </c>
      <c r="C102" s="1" t="n">
        <v>45991</v>
      </c>
      <c r="D102" t="inlineStr">
        <is>
          <t>VÄSTERBOTTENS LÄN</t>
        </is>
      </c>
      <c r="E102" t="inlineStr">
        <is>
          <t>SKELLEFTEÅ</t>
        </is>
      </c>
      <c r="G102" t="n">
        <v>6.3</v>
      </c>
      <c r="H102" t="n">
        <v>2</v>
      </c>
      <c r="I102" t="n">
        <v>0</v>
      </c>
      <c r="J102" t="n">
        <v>2</v>
      </c>
      <c r="K102" t="n">
        <v>0</v>
      </c>
      <c r="L102" t="n">
        <v>0</v>
      </c>
      <c r="M102" t="n">
        <v>0</v>
      </c>
      <c r="N102" t="n">
        <v>0</v>
      </c>
      <c r="O102" t="n">
        <v>2</v>
      </c>
      <c r="P102" t="n">
        <v>0</v>
      </c>
      <c r="Q102" t="n">
        <v>3</v>
      </c>
      <c r="R102" s="2" t="inlineStr">
        <is>
          <t>Garnlav
Nordfladdermus
Fläcknycklar</t>
        </is>
      </c>
      <c r="S102">
        <f>HYPERLINK("https://klasma.github.io/Logging_2482/artfynd/A 23725-2025 artfynd.xlsx", "A 23725-2025")</f>
        <v/>
      </c>
      <c r="T102">
        <f>HYPERLINK("https://klasma.github.io/Logging_2482/kartor/A 23725-2025 karta.png", "A 23725-2025")</f>
        <v/>
      </c>
      <c r="V102">
        <f>HYPERLINK("https://klasma.github.io/Logging_2482/klagomål/A 23725-2025 FSC-klagomål.docx", "A 23725-2025")</f>
        <v/>
      </c>
      <c r="W102">
        <f>HYPERLINK("https://klasma.github.io/Logging_2482/klagomålsmail/A 23725-2025 FSC-klagomål mail.docx", "A 23725-2025")</f>
        <v/>
      </c>
      <c r="X102">
        <f>HYPERLINK("https://klasma.github.io/Logging_2482/tillsyn/A 23725-2025 tillsynsbegäran.docx", "A 23725-2025")</f>
        <v/>
      </c>
      <c r="Y102">
        <f>HYPERLINK("https://klasma.github.io/Logging_2482/tillsynsmail/A 23725-2025 tillsynsbegäran mail.docx", "A 23725-2025")</f>
        <v/>
      </c>
    </row>
    <row r="103" ht="15" customHeight="1">
      <c r="A103" t="inlineStr">
        <is>
          <t>A 58661-2021</t>
        </is>
      </c>
      <c r="B103" s="1" t="n">
        <v>44489.40372685185</v>
      </c>
      <c r="C103" s="1" t="n">
        <v>45991</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64203-2020</t>
        </is>
      </c>
      <c r="B104" s="1" t="n">
        <v>44167</v>
      </c>
      <c r="C104" s="1" t="n">
        <v>45991</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53422-2024</t>
        </is>
      </c>
      <c r="B105" s="1" t="n">
        <v>45614.51167824074</v>
      </c>
      <c r="C105" s="1" t="n">
        <v>45991</v>
      </c>
      <c r="D105" t="inlineStr">
        <is>
          <t>VÄSTERBOTTENS LÄN</t>
        </is>
      </c>
      <c r="E105" t="inlineStr">
        <is>
          <t>SKELLEFTEÅ</t>
        </is>
      </c>
      <c r="G105" t="n">
        <v>1.6</v>
      </c>
      <c r="H105" t="n">
        <v>1</v>
      </c>
      <c r="I105" t="n">
        <v>0</v>
      </c>
      <c r="J105" t="n">
        <v>2</v>
      </c>
      <c r="K105" t="n">
        <v>0</v>
      </c>
      <c r="L105" t="n">
        <v>0</v>
      </c>
      <c r="M105" t="n">
        <v>0</v>
      </c>
      <c r="N105" t="n">
        <v>0</v>
      </c>
      <c r="O105" t="n">
        <v>2</v>
      </c>
      <c r="P105" t="n">
        <v>0</v>
      </c>
      <c r="Q105" t="n">
        <v>2</v>
      </c>
      <c r="R105" s="2" t="inlineStr">
        <is>
          <t>Järpe
Talltaggsvamp</t>
        </is>
      </c>
      <c r="S105">
        <f>HYPERLINK("https://klasma.github.io/Logging_2482/artfynd/A 53422-2024 artfynd.xlsx", "A 53422-2024")</f>
        <v/>
      </c>
      <c r="T105">
        <f>HYPERLINK("https://klasma.github.io/Logging_2482/kartor/A 53422-2024 karta.png", "A 53422-2024")</f>
        <v/>
      </c>
      <c r="V105">
        <f>HYPERLINK("https://klasma.github.io/Logging_2482/klagomål/A 53422-2024 FSC-klagomål.docx", "A 53422-2024")</f>
        <v/>
      </c>
      <c r="W105">
        <f>HYPERLINK("https://klasma.github.io/Logging_2482/klagomålsmail/A 53422-2024 FSC-klagomål mail.docx", "A 53422-2024")</f>
        <v/>
      </c>
      <c r="X105">
        <f>HYPERLINK("https://klasma.github.io/Logging_2482/tillsyn/A 53422-2024 tillsynsbegäran.docx", "A 53422-2024")</f>
        <v/>
      </c>
      <c r="Y105">
        <f>HYPERLINK("https://klasma.github.io/Logging_2482/tillsynsmail/A 53422-2024 tillsynsbegäran mail.docx", "A 53422-2024")</f>
        <v/>
      </c>
      <c r="Z105">
        <f>HYPERLINK("https://klasma.github.io/Logging_2482/fåglar/A 53422-2024 prioriterade fågelarter.docx", "A 53422-2024")</f>
        <v/>
      </c>
    </row>
    <row r="106" ht="15" customHeight="1">
      <c r="A106" t="inlineStr">
        <is>
          <t>A 58701-2023</t>
        </is>
      </c>
      <c r="B106" s="1" t="n">
        <v>45247</v>
      </c>
      <c r="C106" s="1" t="n">
        <v>45991</v>
      </c>
      <c r="D106" t="inlineStr">
        <is>
          <t>VÄSTERBOTTENS LÄN</t>
        </is>
      </c>
      <c r="E106" t="inlineStr">
        <is>
          <t>SKELLEFTEÅ</t>
        </is>
      </c>
      <c r="G106" t="n">
        <v>1.8</v>
      </c>
      <c r="H106" t="n">
        <v>1</v>
      </c>
      <c r="I106" t="n">
        <v>0</v>
      </c>
      <c r="J106" t="n">
        <v>2</v>
      </c>
      <c r="K106" t="n">
        <v>0</v>
      </c>
      <c r="L106" t="n">
        <v>0</v>
      </c>
      <c r="M106" t="n">
        <v>0</v>
      </c>
      <c r="N106" t="n">
        <v>0</v>
      </c>
      <c r="O106" t="n">
        <v>2</v>
      </c>
      <c r="P106" t="n">
        <v>0</v>
      </c>
      <c r="Q106" t="n">
        <v>2</v>
      </c>
      <c r="R106" s="2" t="inlineStr">
        <is>
          <t>Koralltaggsvamp
Talltita</t>
        </is>
      </c>
      <c r="S106">
        <f>HYPERLINK("https://klasma.github.io/Logging_2482/artfynd/A 58701-2023 artfynd.xlsx", "A 58701-2023")</f>
        <v/>
      </c>
      <c r="T106">
        <f>HYPERLINK("https://klasma.github.io/Logging_2482/kartor/A 58701-2023 karta.png", "A 58701-2023")</f>
        <v/>
      </c>
      <c r="V106">
        <f>HYPERLINK("https://klasma.github.io/Logging_2482/klagomål/A 58701-2023 FSC-klagomål.docx", "A 58701-2023")</f>
        <v/>
      </c>
      <c r="W106">
        <f>HYPERLINK("https://klasma.github.io/Logging_2482/klagomålsmail/A 58701-2023 FSC-klagomål mail.docx", "A 58701-2023")</f>
        <v/>
      </c>
      <c r="X106">
        <f>HYPERLINK("https://klasma.github.io/Logging_2482/tillsyn/A 58701-2023 tillsynsbegäran.docx", "A 58701-2023")</f>
        <v/>
      </c>
      <c r="Y106">
        <f>HYPERLINK("https://klasma.github.io/Logging_2482/tillsynsmail/A 58701-2023 tillsynsbegäran mail.docx", "A 58701-2023")</f>
        <v/>
      </c>
      <c r="Z106">
        <f>HYPERLINK("https://klasma.github.io/Logging_2482/fåglar/A 58701-2023 prioriterade fågelarter.docx", "A 58701-2023")</f>
        <v/>
      </c>
    </row>
    <row r="107" ht="15" customHeight="1">
      <c r="A107" t="inlineStr">
        <is>
          <t>A 55198-2024</t>
        </is>
      </c>
      <c r="B107" s="1" t="n">
        <v>45620</v>
      </c>
      <c r="C107" s="1" t="n">
        <v>45991</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43250-2023</t>
        </is>
      </c>
      <c r="B108" s="1" t="n">
        <v>45180</v>
      </c>
      <c r="C108" s="1" t="n">
        <v>45991</v>
      </c>
      <c r="D108" t="inlineStr">
        <is>
          <t>VÄSTERBOTTENS LÄN</t>
        </is>
      </c>
      <c r="E108" t="inlineStr">
        <is>
          <t>SKELLEFTEÅ</t>
        </is>
      </c>
      <c r="G108" t="n">
        <v>3.3</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43250-2023 artfynd.xlsx", "A 43250-2023")</f>
        <v/>
      </c>
      <c r="T108">
        <f>HYPERLINK("https://klasma.github.io/Logging_2482/kartor/A 43250-2023 karta.png", "A 43250-2023")</f>
        <v/>
      </c>
      <c r="U108">
        <f>HYPERLINK("https://klasma.github.io/Logging_2482/knärot/A 43250-2023 karta knärot.png", "A 43250-2023")</f>
        <v/>
      </c>
      <c r="V108">
        <f>HYPERLINK("https://klasma.github.io/Logging_2482/klagomål/A 43250-2023 FSC-klagomål.docx", "A 43250-2023")</f>
        <v/>
      </c>
      <c r="W108">
        <f>HYPERLINK("https://klasma.github.io/Logging_2482/klagomålsmail/A 43250-2023 FSC-klagomål mail.docx", "A 43250-2023")</f>
        <v/>
      </c>
      <c r="X108">
        <f>HYPERLINK("https://klasma.github.io/Logging_2482/tillsyn/A 43250-2023 tillsynsbegäran.docx", "A 43250-2023")</f>
        <v/>
      </c>
      <c r="Y108">
        <f>HYPERLINK("https://klasma.github.io/Logging_2482/tillsynsmail/A 43250-2023 tillsynsbegäran mail.docx", "A 43250-2023")</f>
        <v/>
      </c>
    </row>
    <row r="109" ht="15" customHeight="1">
      <c r="A109" t="inlineStr">
        <is>
          <t>A 43743-2024</t>
        </is>
      </c>
      <c r="B109" s="1" t="n">
        <v>45569.66039351852</v>
      </c>
      <c r="C109" s="1" t="n">
        <v>45991</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45991</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45991</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11627-2023</t>
        </is>
      </c>
      <c r="B112" s="1" t="n">
        <v>44994</v>
      </c>
      <c r="C112" s="1" t="n">
        <v>45991</v>
      </c>
      <c r="D112" t="inlineStr">
        <is>
          <t>VÄSTERBOTTENS LÄN</t>
        </is>
      </c>
      <c r="E112" t="inlineStr">
        <is>
          <t>SKELLEFTEÅ</t>
        </is>
      </c>
      <c r="G112" t="n">
        <v>16.6</v>
      </c>
      <c r="H112" t="n">
        <v>1</v>
      </c>
      <c r="I112" t="n">
        <v>1</v>
      </c>
      <c r="J112" t="n">
        <v>0</v>
      </c>
      <c r="K112" t="n">
        <v>0</v>
      </c>
      <c r="L112" t="n">
        <v>0</v>
      </c>
      <c r="M112" t="n">
        <v>0</v>
      </c>
      <c r="N112" t="n">
        <v>0</v>
      </c>
      <c r="O112" t="n">
        <v>0</v>
      </c>
      <c r="P112" t="n">
        <v>0</v>
      </c>
      <c r="Q112" t="n">
        <v>2</v>
      </c>
      <c r="R112" s="2" t="inlineStr">
        <is>
          <t>Norrlandslav
Revlummer</t>
        </is>
      </c>
      <c r="S112">
        <f>HYPERLINK("https://klasma.github.io/Logging_2482/artfynd/A 11627-2023 artfynd.xlsx", "A 11627-2023")</f>
        <v/>
      </c>
      <c r="T112">
        <f>HYPERLINK("https://klasma.github.io/Logging_2482/kartor/A 11627-2023 karta.png", "A 11627-2023")</f>
        <v/>
      </c>
      <c r="V112">
        <f>HYPERLINK("https://klasma.github.io/Logging_2482/klagomål/A 11627-2023 FSC-klagomål.docx", "A 11627-2023")</f>
        <v/>
      </c>
      <c r="W112">
        <f>HYPERLINK("https://klasma.github.io/Logging_2482/klagomålsmail/A 11627-2023 FSC-klagomål mail.docx", "A 11627-2023")</f>
        <v/>
      </c>
      <c r="X112">
        <f>HYPERLINK("https://klasma.github.io/Logging_2482/tillsyn/A 11627-2023 tillsynsbegäran.docx", "A 11627-2023")</f>
        <v/>
      </c>
      <c r="Y112">
        <f>HYPERLINK("https://klasma.github.io/Logging_2482/tillsynsmail/A 11627-2023 tillsynsbegäran mail.docx", "A 11627-2023")</f>
        <v/>
      </c>
    </row>
    <row r="113" ht="15" customHeight="1">
      <c r="A113" t="inlineStr">
        <is>
          <t>A 26962-2025</t>
        </is>
      </c>
      <c r="B113" s="1" t="n">
        <v>45811.46348379629</v>
      </c>
      <c r="C113" s="1" t="n">
        <v>45991</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28061-2025</t>
        </is>
      </c>
      <c r="B114" s="1" t="n">
        <v>45817.66739583333</v>
      </c>
      <c r="C114" s="1" t="n">
        <v>45991</v>
      </c>
      <c r="D114" t="inlineStr">
        <is>
          <t>VÄSTERBOTTENS LÄN</t>
        </is>
      </c>
      <c r="E114" t="inlineStr">
        <is>
          <t>SKELLEFTEÅ</t>
        </is>
      </c>
      <c r="G114" t="n">
        <v>3.3</v>
      </c>
      <c r="H114" t="n">
        <v>1</v>
      </c>
      <c r="I114" t="n">
        <v>0</v>
      </c>
      <c r="J114" t="n">
        <v>2</v>
      </c>
      <c r="K114" t="n">
        <v>0</v>
      </c>
      <c r="L114" t="n">
        <v>0</v>
      </c>
      <c r="M114" t="n">
        <v>0</v>
      </c>
      <c r="N114" t="n">
        <v>0</v>
      </c>
      <c r="O114" t="n">
        <v>2</v>
      </c>
      <c r="P114" t="n">
        <v>0</v>
      </c>
      <c r="Q114" t="n">
        <v>2</v>
      </c>
      <c r="R114" s="2" t="inlineStr">
        <is>
          <t>Garnlav
Spillkråka</t>
        </is>
      </c>
      <c r="S114">
        <f>HYPERLINK("https://klasma.github.io/Logging_2482/artfynd/A 28061-2025 artfynd.xlsx", "A 28061-2025")</f>
        <v/>
      </c>
      <c r="T114">
        <f>HYPERLINK("https://klasma.github.io/Logging_2482/kartor/A 28061-2025 karta.png", "A 28061-2025")</f>
        <v/>
      </c>
      <c r="V114">
        <f>HYPERLINK("https://klasma.github.io/Logging_2482/klagomål/A 28061-2025 FSC-klagomål.docx", "A 28061-2025")</f>
        <v/>
      </c>
      <c r="W114">
        <f>HYPERLINK("https://klasma.github.io/Logging_2482/klagomålsmail/A 28061-2025 FSC-klagomål mail.docx", "A 28061-2025")</f>
        <v/>
      </c>
      <c r="X114">
        <f>HYPERLINK("https://klasma.github.io/Logging_2482/tillsyn/A 28061-2025 tillsynsbegäran.docx", "A 28061-2025")</f>
        <v/>
      </c>
      <c r="Y114">
        <f>HYPERLINK("https://klasma.github.io/Logging_2482/tillsynsmail/A 28061-2025 tillsynsbegäran mail.docx", "A 28061-2025")</f>
        <v/>
      </c>
      <c r="Z114">
        <f>HYPERLINK("https://klasma.github.io/Logging_2482/fåglar/A 28061-2025 prioriterade fågelarter.docx", "A 28061-2025")</f>
        <v/>
      </c>
    </row>
    <row r="115" ht="15" customHeight="1">
      <c r="A115" t="inlineStr">
        <is>
          <t>A 14391-2025</t>
        </is>
      </c>
      <c r="B115" s="1" t="n">
        <v>45741.42979166667</v>
      </c>
      <c r="C115" s="1" t="n">
        <v>45991</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42328-2025</t>
        </is>
      </c>
      <c r="B116" s="1" t="n">
        <v>45904</v>
      </c>
      <c r="C116" s="1" t="n">
        <v>45991</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51285-2025</t>
        </is>
      </c>
      <c r="B117" s="1" t="n">
        <v>45950.34473379629</v>
      </c>
      <c r="C117" s="1" t="n">
        <v>45991</v>
      </c>
      <c r="D117" t="inlineStr">
        <is>
          <t>VÄSTERBOTTENS LÄN</t>
        </is>
      </c>
      <c r="E117" t="inlineStr">
        <is>
          <t>SKELLEFTEÅ</t>
        </is>
      </c>
      <c r="F117" t="inlineStr">
        <is>
          <t>SCA</t>
        </is>
      </c>
      <c r="G117" t="n">
        <v>2.4</v>
      </c>
      <c r="H117" t="n">
        <v>0</v>
      </c>
      <c r="I117" t="n">
        <v>1</v>
      </c>
      <c r="J117" t="n">
        <v>1</v>
      </c>
      <c r="K117" t="n">
        <v>0</v>
      </c>
      <c r="L117" t="n">
        <v>0</v>
      </c>
      <c r="M117" t="n">
        <v>0</v>
      </c>
      <c r="N117" t="n">
        <v>0</v>
      </c>
      <c r="O117" t="n">
        <v>1</v>
      </c>
      <c r="P117" t="n">
        <v>0</v>
      </c>
      <c r="Q117" t="n">
        <v>2</v>
      </c>
      <c r="R117" s="2" t="inlineStr">
        <is>
          <t>Blå taggsvamp
Skarp dropptaggsvamp</t>
        </is>
      </c>
      <c r="S117">
        <f>HYPERLINK("https://klasma.github.io/Logging_2482/artfynd/A 51285-2025 artfynd.xlsx", "A 51285-2025")</f>
        <v/>
      </c>
      <c r="T117">
        <f>HYPERLINK("https://klasma.github.io/Logging_2482/kartor/A 51285-2025 karta.png", "A 51285-2025")</f>
        <v/>
      </c>
      <c r="V117">
        <f>HYPERLINK("https://klasma.github.io/Logging_2482/klagomål/A 51285-2025 FSC-klagomål.docx", "A 51285-2025")</f>
        <v/>
      </c>
      <c r="W117">
        <f>HYPERLINK("https://klasma.github.io/Logging_2482/klagomålsmail/A 51285-2025 FSC-klagomål mail.docx", "A 51285-2025")</f>
        <v/>
      </c>
      <c r="X117">
        <f>HYPERLINK("https://klasma.github.io/Logging_2482/tillsyn/A 51285-2025 tillsynsbegäran.docx", "A 51285-2025")</f>
        <v/>
      </c>
      <c r="Y117">
        <f>HYPERLINK("https://klasma.github.io/Logging_2482/tillsynsmail/A 51285-2025 tillsynsbegäran mail.docx", "A 51285-2025")</f>
        <v/>
      </c>
    </row>
    <row r="118" ht="15" customHeight="1">
      <c r="A118" t="inlineStr">
        <is>
          <t>A 52630-2025</t>
        </is>
      </c>
      <c r="B118" s="1" t="n">
        <v>45953</v>
      </c>
      <c r="C118" s="1" t="n">
        <v>45991</v>
      </c>
      <c r="D118" t="inlineStr">
        <is>
          <t>VÄSTERBOTTENS LÄN</t>
        </is>
      </c>
      <c r="E118" t="inlineStr">
        <is>
          <t>SKELLEFTEÅ</t>
        </is>
      </c>
      <c r="G118" t="n">
        <v>3.9</v>
      </c>
      <c r="H118" t="n">
        <v>2</v>
      </c>
      <c r="I118" t="n">
        <v>0</v>
      </c>
      <c r="J118" t="n">
        <v>1</v>
      </c>
      <c r="K118" t="n">
        <v>1</v>
      </c>
      <c r="L118" t="n">
        <v>0</v>
      </c>
      <c r="M118" t="n">
        <v>0</v>
      </c>
      <c r="N118" t="n">
        <v>0</v>
      </c>
      <c r="O118" t="n">
        <v>2</v>
      </c>
      <c r="P118" t="n">
        <v>1</v>
      </c>
      <c r="Q118" t="n">
        <v>2</v>
      </c>
      <c r="R118" s="2" t="inlineStr">
        <is>
          <t>Knärot
Spillkråka</t>
        </is>
      </c>
      <c r="S118">
        <f>HYPERLINK("https://klasma.github.io/Logging_2482/artfynd/A 52630-2025 artfynd.xlsx", "A 52630-2025")</f>
        <v/>
      </c>
      <c r="T118">
        <f>HYPERLINK("https://klasma.github.io/Logging_2482/kartor/A 52630-2025 karta.png", "A 52630-2025")</f>
        <v/>
      </c>
      <c r="U118">
        <f>HYPERLINK("https://klasma.github.io/Logging_2482/knärot/A 52630-2025 karta knärot.png", "A 52630-2025")</f>
        <v/>
      </c>
      <c r="V118">
        <f>HYPERLINK("https://klasma.github.io/Logging_2482/klagomål/A 52630-2025 FSC-klagomål.docx", "A 52630-2025")</f>
        <v/>
      </c>
      <c r="W118">
        <f>HYPERLINK("https://klasma.github.io/Logging_2482/klagomålsmail/A 52630-2025 FSC-klagomål mail.docx", "A 52630-2025")</f>
        <v/>
      </c>
      <c r="X118">
        <f>HYPERLINK("https://klasma.github.io/Logging_2482/tillsyn/A 52630-2025 tillsynsbegäran.docx", "A 52630-2025")</f>
        <v/>
      </c>
      <c r="Y118">
        <f>HYPERLINK("https://klasma.github.io/Logging_2482/tillsynsmail/A 52630-2025 tillsynsbegäran mail.docx", "A 52630-2025")</f>
        <v/>
      </c>
      <c r="Z118">
        <f>HYPERLINK("https://klasma.github.io/Logging_2482/fåglar/A 52630-2025 prioriterade fågelarter.docx", "A 52630-2025")</f>
        <v/>
      </c>
    </row>
    <row r="119" ht="15" customHeight="1">
      <c r="A119" t="inlineStr">
        <is>
          <t>A 35956-2025</t>
        </is>
      </c>
      <c r="B119" s="1" t="n">
        <v>45863.32681712963</v>
      </c>
      <c r="C119" s="1" t="n">
        <v>45991</v>
      </c>
      <c r="D119" t="inlineStr">
        <is>
          <t>VÄSTERBOTTENS LÄN</t>
        </is>
      </c>
      <c r="E119" t="inlineStr">
        <is>
          <t>SKELLEFTEÅ</t>
        </is>
      </c>
      <c r="F119" t="inlineStr">
        <is>
          <t>Holmen skog AB</t>
        </is>
      </c>
      <c r="G119" t="n">
        <v>3.1</v>
      </c>
      <c r="H119" t="n">
        <v>1</v>
      </c>
      <c r="I119" t="n">
        <v>0</v>
      </c>
      <c r="J119" t="n">
        <v>1</v>
      </c>
      <c r="K119" t="n">
        <v>0</v>
      </c>
      <c r="L119" t="n">
        <v>0</v>
      </c>
      <c r="M119" t="n">
        <v>0</v>
      </c>
      <c r="N119" t="n">
        <v>0</v>
      </c>
      <c r="O119" t="n">
        <v>1</v>
      </c>
      <c r="P119" t="n">
        <v>0</v>
      </c>
      <c r="Q119" t="n">
        <v>2</v>
      </c>
      <c r="R119" s="2" t="inlineStr">
        <is>
          <t>Gammelgransskål
Fläcknycklar</t>
        </is>
      </c>
      <c r="S119">
        <f>HYPERLINK("https://klasma.github.io/Logging_2482/artfynd/A 35956-2025 artfynd.xlsx", "A 35956-2025")</f>
        <v/>
      </c>
      <c r="T119">
        <f>HYPERLINK("https://klasma.github.io/Logging_2482/kartor/A 35956-2025 karta.png", "A 35956-2025")</f>
        <v/>
      </c>
      <c r="V119">
        <f>HYPERLINK("https://klasma.github.io/Logging_2482/klagomål/A 35956-2025 FSC-klagomål.docx", "A 35956-2025")</f>
        <v/>
      </c>
      <c r="W119">
        <f>HYPERLINK("https://klasma.github.io/Logging_2482/klagomålsmail/A 35956-2025 FSC-klagomål mail.docx", "A 35956-2025")</f>
        <v/>
      </c>
      <c r="X119">
        <f>HYPERLINK("https://klasma.github.io/Logging_2482/tillsyn/A 35956-2025 tillsynsbegäran.docx", "A 35956-2025")</f>
        <v/>
      </c>
      <c r="Y119">
        <f>HYPERLINK("https://klasma.github.io/Logging_2482/tillsynsmail/A 35956-2025 tillsynsbegäran mail.docx", "A 35956-2025")</f>
        <v/>
      </c>
    </row>
    <row r="120" ht="15" customHeight="1">
      <c r="A120" t="inlineStr">
        <is>
          <t>A 37985-2025</t>
        </is>
      </c>
      <c r="B120" s="1" t="n">
        <v>45881.70010416667</v>
      </c>
      <c r="C120" s="1" t="n">
        <v>45991</v>
      </c>
      <c r="D120" t="inlineStr">
        <is>
          <t>VÄSTERBOTTENS LÄN</t>
        </is>
      </c>
      <c r="E120" t="inlineStr">
        <is>
          <t>SKELLEFTEÅ</t>
        </is>
      </c>
      <c r="G120" t="n">
        <v>4.9</v>
      </c>
      <c r="H120" t="n">
        <v>1</v>
      </c>
      <c r="I120" t="n">
        <v>0</v>
      </c>
      <c r="J120" t="n">
        <v>1</v>
      </c>
      <c r="K120" t="n">
        <v>0</v>
      </c>
      <c r="L120" t="n">
        <v>0</v>
      </c>
      <c r="M120" t="n">
        <v>0</v>
      </c>
      <c r="N120" t="n">
        <v>0</v>
      </c>
      <c r="O120" t="n">
        <v>1</v>
      </c>
      <c r="P120" t="n">
        <v>0</v>
      </c>
      <c r="Q120" t="n">
        <v>2</v>
      </c>
      <c r="R120" s="2" t="inlineStr">
        <is>
          <t>Lunglav
Orre</t>
        </is>
      </c>
      <c r="S120">
        <f>HYPERLINK("https://klasma.github.io/Logging_2482/artfynd/A 37985-2025 artfynd.xlsx", "A 37985-2025")</f>
        <v/>
      </c>
      <c r="T120">
        <f>HYPERLINK("https://klasma.github.io/Logging_2482/kartor/A 37985-2025 karta.png", "A 37985-2025")</f>
        <v/>
      </c>
      <c r="V120">
        <f>HYPERLINK("https://klasma.github.io/Logging_2482/klagomål/A 37985-2025 FSC-klagomål.docx", "A 37985-2025")</f>
        <v/>
      </c>
      <c r="W120">
        <f>HYPERLINK("https://klasma.github.io/Logging_2482/klagomålsmail/A 37985-2025 FSC-klagomål mail.docx", "A 37985-2025")</f>
        <v/>
      </c>
      <c r="X120">
        <f>HYPERLINK("https://klasma.github.io/Logging_2482/tillsyn/A 37985-2025 tillsynsbegäran.docx", "A 37985-2025")</f>
        <v/>
      </c>
      <c r="Y120">
        <f>HYPERLINK("https://klasma.github.io/Logging_2482/tillsynsmail/A 37985-2025 tillsynsbegäran mail.docx", "A 37985-2025")</f>
        <v/>
      </c>
      <c r="Z120">
        <f>HYPERLINK("https://klasma.github.io/Logging_2482/fåglar/A 37985-2025 prioriterade fågelarter.docx", "A 37985-2025")</f>
        <v/>
      </c>
    </row>
    <row r="121" ht="15" customHeight="1">
      <c r="A121" t="inlineStr">
        <is>
          <t>A 40742-2023</t>
        </is>
      </c>
      <c r="B121" s="1" t="n">
        <v>45170</v>
      </c>
      <c r="C121" s="1" t="n">
        <v>45991</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57851-2024</t>
        </is>
      </c>
      <c r="B122" s="1" t="n">
        <v>45631</v>
      </c>
      <c r="C122" s="1" t="n">
        <v>45991</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57969-2025</t>
        </is>
      </c>
      <c r="B123" s="1" t="n">
        <v>45982.38577546296</v>
      </c>
      <c r="C123" s="1" t="n">
        <v>45991</v>
      </c>
      <c r="D123" t="inlineStr">
        <is>
          <t>VÄSTERBOTTENS LÄN</t>
        </is>
      </c>
      <c r="E123" t="inlineStr">
        <is>
          <t>SKELLEFTEÅ</t>
        </is>
      </c>
      <c r="G123" t="n">
        <v>2.6</v>
      </c>
      <c r="H123" t="n">
        <v>1</v>
      </c>
      <c r="I123" t="n">
        <v>1</v>
      </c>
      <c r="J123" t="n">
        <v>0</v>
      </c>
      <c r="K123" t="n">
        <v>0</v>
      </c>
      <c r="L123" t="n">
        <v>0</v>
      </c>
      <c r="M123" t="n">
        <v>0</v>
      </c>
      <c r="N123" t="n">
        <v>0</v>
      </c>
      <c r="O123" t="n">
        <v>0</v>
      </c>
      <c r="P123" t="n">
        <v>0</v>
      </c>
      <c r="Q123" t="n">
        <v>2</v>
      </c>
      <c r="R123" s="2" t="inlineStr">
        <is>
          <t>Björksplintborre
Skogsödla</t>
        </is>
      </c>
      <c r="S123">
        <f>HYPERLINK("https://klasma.github.io/Logging_2482/artfynd/A 57969-2025 artfynd.xlsx", "A 57969-2025")</f>
        <v/>
      </c>
      <c r="T123">
        <f>HYPERLINK("https://klasma.github.io/Logging_2482/kartor/A 57969-2025 karta.png", "A 57969-2025")</f>
        <v/>
      </c>
      <c r="V123">
        <f>HYPERLINK("https://klasma.github.io/Logging_2482/klagomål/A 57969-2025 FSC-klagomål.docx", "A 57969-2025")</f>
        <v/>
      </c>
      <c r="W123">
        <f>HYPERLINK("https://klasma.github.io/Logging_2482/klagomålsmail/A 57969-2025 FSC-klagomål mail.docx", "A 57969-2025")</f>
        <v/>
      </c>
      <c r="X123">
        <f>HYPERLINK("https://klasma.github.io/Logging_2482/tillsyn/A 57969-2025 tillsynsbegäran.docx", "A 57969-2025")</f>
        <v/>
      </c>
      <c r="Y123">
        <f>HYPERLINK("https://klasma.github.io/Logging_2482/tillsynsmail/A 57969-2025 tillsynsbegäran mail.docx", "A 57969-2025")</f>
        <v/>
      </c>
    </row>
    <row r="124" ht="15" customHeight="1">
      <c r="A124" t="inlineStr">
        <is>
          <t>A 901-2023</t>
        </is>
      </c>
      <c r="B124" s="1" t="n">
        <v>44931.92556712963</v>
      </c>
      <c r="C124" s="1" t="n">
        <v>45991</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20367-2025</t>
        </is>
      </c>
      <c r="B125" s="1" t="n">
        <v>45775</v>
      </c>
      <c r="C125" s="1" t="n">
        <v>45991</v>
      </c>
      <c r="D125" t="inlineStr">
        <is>
          <t>VÄSTERBOTTENS LÄN</t>
        </is>
      </c>
      <c r="E125" t="inlineStr">
        <is>
          <t>SKELLEFTEÅ</t>
        </is>
      </c>
      <c r="G125" t="n">
        <v>3</v>
      </c>
      <c r="H125" t="n">
        <v>1</v>
      </c>
      <c r="I125" t="n">
        <v>0</v>
      </c>
      <c r="J125" t="n">
        <v>1</v>
      </c>
      <c r="K125" t="n">
        <v>1</v>
      </c>
      <c r="L125" t="n">
        <v>0</v>
      </c>
      <c r="M125" t="n">
        <v>0</v>
      </c>
      <c r="N125" t="n">
        <v>0</v>
      </c>
      <c r="O125" t="n">
        <v>2</v>
      </c>
      <c r="P125" t="n">
        <v>1</v>
      </c>
      <c r="Q125" t="n">
        <v>2</v>
      </c>
      <c r="R125" s="2" t="inlineStr">
        <is>
          <t>Knärot
Ullticka</t>
        </is>
      </c>
      <c r="S125">
        <f>HYPERLINK("https://klasma.github.io/Logging_2482/artfynd/A 20367-2025 artfynd.xlsx", "A 20367-2025")</f>
        <v/>
      </c>
      <c r="T125">
        <f>HYPERLINK("https://klasma.github.io/Logging_2482/kartor/A 20367-2025 karta.png", "A 20367-2025")</f>
        <v/>
      </c>
      <c r="U125">
        <f>HYPERLINK("https://klasma.github.io/Logging_2482/knärot/A 20367-2025 karta knärot.png", "A 20367-2025")</f>
        <v/>
      </c>
      <c r="V125">
        <f>HYPERLINK("https://klasma.github.io/Logging_2482/klagomål/A 20367-2025 FSC-klagomål.docx", "A 20367-2025")</f>
        <v/>
      </c>
      <c r="W125">
        <f>HYPERLINK("https://klasma.github.io/Logging_2482/klagomålsmail/A 20367-2025 FSC-klagomål mail.docx", "A 20367-2025")</f>
        <v/>
      </c>
      <c r="X125">
        <f>HYPERLINK("https://klasma.github.io/Logging_2482/tillsyn/A 20367-2025 tillsynsbegäran.docx", "A 20367-2025")</f>
        <v/>
      </c>
      <c r="Y125">
        <f>HYPERLINK("https://klasma.github.io/Logging_2482/tillsynsmail/A 20367-2025 tillsynsbegäran mail.docx", "A 20367-2025")</f>
        <v/>
      </c>
    </row>
    <row r="126" ht="15" customHeight="1">
      <c r="A126" t="inlineStr">
        <is>
          <t>A 787-2023</t>
        </is>
      </c>
      <c r="B126" s="1" t="n">
        <v>44931</v>
      </c>
      <c r="C126" s="1" t="n">
        <v>45991</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45991</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35733-2021</t>
        </is>
      </c>
      <c r="B128" s="1" t="n">
        <v>44385</v>
      </c>
      <c r="C128" s="1" t="n">
        <v>45991</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59706-2021</t>
        </is>
      </c>
      <c r="B129" s="1" t="n">
        <v>44494</v>
      </c>
      <c r="C129" s="1" t="n">
        <v>45991</v>
      </c>
      <c r="D129" t="inlineStr">
        <is>
          <t>VÄSTERBOTTENS LÄN</t>
        </is>
      </c>
      <c r="E129" t="inlineStr">
        <is>
          <t>SKELLEFTEÅ</t>
        </is>
      </c>
      <c r="F129" t="inlineStr">
        <is>
          <t>Sveaskog</t>
        </is>
      </c>
      <c r="G129" t="n">
        <v>2.5</v>
      </c>
      <c r="H129" t="n">
        <v>0</v>
      </c>
      <c r="I129" t="n">
        <v>0</v>
      </c>
      <c r="J129" t="n">
        <v>2</v>
      </c>
      <c r="K129" t="n">
        <v>0</v>
      </c>
      <c r="L129" t="n">
        <v>0</v>
      </c>
      <c r="M129" t="n">
        <v>0</v>
      </c>
      <c r="N129" t="n">
        <v>0</v>
      </c>
      <c r="O129" t="n">
        <v>2</v>
      </c>
      <c r="P129" t="n">
        <v>0</v>
      </c>
      <c r="Q129" t="n">
        <v>2</v>
      </c>
      <c r="R129" s="2" t="inlineStr">
        <is>
          <t>Garnlav
Violettgrå tagellav</t>
        </is>
      </c>
      <c r="S129">
        <f>HYPERLINK("https://klasma.github.io/Logging_2482/artfynd/A 59706-2021 artfynd.xlsx", "A 59706-2021")</f>
        <v/>
      </c>
      <c r="T129">
        <f>HYPERLINK("https://klasma.github.io/Logging_2482/kartor/A 59706-2021 karta.png", "A 59706-2021")</f>
        <v/>
      </c>
      <c r="V129">
        <f>HYPERLINK("https://klasma.github.io/Logging_2482/klagomål/A 59706-2021 FSC-klagomål.docx", "A 59706-2021")</f>
        <v/>
      </c>
      <c r="W129">
        <f>HYPERLINK("https://klasma.github.io/Logging_2482/klagomålsmail/A 59706-2021 FSC-klagomål mail.docx", "A 59706-2021")</f>
        <v/>
      </c>
      <c r="X129">
        <f>HYPERLINK("https://klasma.github.io/Logging_2482/tillsyn/A 59706-2021 tillsynsbegäran.docx", "A 59706-2021")</f>
        <v/>
      </c>
      <c r="Y129">
        <f>HYPERLINK("https://klasma.github.io/Logging_2482/tillsynsmail/A 59706-2021 tillsynsbegäran mail.docx", "A 59706-2021")</f>
        <v/>
      </c>
    </row>
    <row r="130" ht="15" customHeight="1">
      <c r="A130" t="inlineStr">
        <is>
          <t>A 49440-2022</t>
        </is>
      </c>
      <c r="B130" s="1" t="n">
        <v>44859</v>
      </c>
      <c r="C130" s="1" t="n">
        <v>45991</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1259-2024</t>
        </is>
      </c>
      <c r="B131" s="1" t="n">
        <v>45302</v>
      </c>
      <c r="C131" s="1" t="n">
        <v>45991</v>
      </c>
      <c r="D131" t="inlineStr">
        <is>
          <t>VÄSTERBOTTENS LÄN</t>
        </is>
      </c>
      <c r="E131" t="inlineStr">
        <is>
          <t>SKELLEFTEÅ</t>
        </is>
      </c>
      <c r="G131" t="n">
        <v>1.6</v>
      </c>
      <c r="H131" t="n">
        <v>0</v>
      </c>
      <c r="I131" t="n">
        <v>0</v>
      </c>
      <c r="J131" t="n">
        <v>2</v>
      </c>
      <c r="K131" t="n">
        <v>0</v>
      </c>
      <c r="L131" t="n">
        <v>0</v>
      </c>
      <c r="M131" t="n">
        <v>0</v>
      </c>
      <c r="N131" t="n">
        <v>0</v>
      </c>
      <c r="O131" t="n">
        <v>2</v>
      </c>
      <c r="P131" t="n">
        <v>0</v>
      </c>
      <c r="Q131" t="n">
        <v>2</v>
      </c>
      <c r="R131" s="2" t="inlineStr">
        <is>
          <t>Månlåsbräken
Nordlåsbräken</t>
        </is>
      </c>
      <c r="S131">
        <f>HYPERLINK("https://klasma.github.io/Logging_2482/artfynd/A 1259-2024 artfynd.xlsx", "A 1259-2024")</f>
        <v/>
      </c>
      <c r="T131">
        <f>HYPERLINK("https://klasma.github.io/Logging_2482/kartor/A 1259-2024 karta.png", "A 1259-2024")</f>
        <v/>
      </c>
      <c r="V131">
        <f>HYPERLINK("https://klasma.github.io/Logging_2482/klagomål/A 1259-2024 FSC-klagomål.docx", "A 1259-2024")</f>
        <v/>
      </c>
      <c r="W131">
        <f>HYPERLINK("https://klasma.github.io/Logging_2482/klagomålsmail/A 1259-2024 FSC-klagomål mail.docx", "A 1259-2024")</f>
        <v/>
      </c>
      <c r="X131">
        <f>HYPERLINK("https://klasma.github.io/Logging_2482/tillsyn/A 1259-2024 tillsynsbegäran.docx", "A 1259-2024")</f>
        <v/>
      </c>
      <c r="Y131">
        <f>HYPERLINK("https://klasma.github.io/Logging_2482/tillsynsmail/A 1259-2024 tillsynsbegäran mail.docx", "A 1259-2024")</f>
        <v/>
      </c>
    </row>
    <row r="132" ht="15" customHeight="1">
      <c r="A132" t="inlineStr">
        <is>
          <t>A 53271-2024</t>
        </is>
      </c>
      <c r="B132" s="1" t="n">
        <v>45614.36726851852</v>
      </c>
      <c r="C132" s="1" t="n">
        <v>45991</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23329-2025</t>
        </is>
      </c>
      <c r="B133" s="1" t="n">
        <v>45791.64069444445</v>
      </c>
      <c r="C133" s="1" t="n">
        <v>45991</v>
      </c>
      <c r="D133" t="inlineStr">
        <is>
          <t>VÄSTERBOTTENS LÄN</t>
        </is>
      </c>
      <c r="E133" t="inlineStr">
        <is>
          <t>SKELLEFTEÅ</t>
        </is>
      </c>
      <c r="F133" t="inlineStr">
        <is>
          <t>Holmen skog AB</t>
        </is>
      </c>
      <c r="G133" t="n">
        <v>3.3</v>
      </c>
      <c r="H133" t="n">
        <v>0</v>
      </c>
      <c r="I133" t="n">
        <v>1</v>
      </c>
      <c r="J133" t="n">
        <v>1</v>
      </c>
      <c r="K133" t="n">
        <v>0</v>
      </c>
      <c r="L133" t="n">
        <v>0</v>
      </c>
      <c r="M133" t="n">
        <v>0</v>
      </c>
      <c r="N133" t="n">
        <v>0</v>
      </c>
      <c r="O133" t="n">
        <v>1</v>
      </c>
      <c r="P133" t="n">
        <v>0</v>
      </c>
      <c r="Q133" t="n">
        <v>2</v>
      </c>
      <c r="R133" s="2" t="inlineStr">
        <is>
          <t>Garnlav
Dropptaggsvamp</t>
        </is>
      </c>
      <c r="S133">
        <f>HYPERLINK("https://klasma.github.io/Logging_2482/artfynd/A 23329-2025 artfynd.xlsx", "A 23329-2025")</f>
        <v/>
      </c>
      <c r="T133">
        <f>HYPERLINK("https://klasma.github.io/Logging_2482/kartor/A 23329-2025 karta.png", "A 23329-2025")</f>
        <v/>
      </c>
      <c r="V133">
        <f>HYPERLINK("https://klasma.github.io/Logging_2482/klagomål/A 23329-2025 FSC-klagomål.docx", "A 23329-2025")</f>
        <v/>
      </c>
      <c r="W133">
        <f>HYPERLINK("https://klasma.github.io/Logging_2482/klagomålsmail/A 23329-2025 FSC-klagomål mail.docx", "A 23329-2025")</f>
        <v/>
      </c>
      <c r="X133">
        <f>HYPERLINK("https://klasma.github.io/Logging_2482/tillsyn/A 23329-2025 tillsynsbegäran.docx", "A 23329-2025")</f>
        <v/>
      </c>
      <c r="Y133">
        <f>HYPERLINK("https://klasma.github.io/Logging_2482/tillsynsmail/A 23329-2025 tillsynsbegäran mail.docx", "A 23329-2025")</f>
        <v/>
      </c>
    </row>
    <row r="134" ht="15" customHeight="1">
      <c r="A134" t="inlineStr">
        <is>
          <t>A 14857-2021</t>
        </is>
      </c>
      <c r="B134" s="1" t="n">
        <v>44280</v>
      </c>
      <c r="C134" s="1" t="n">
        <v>45991</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45991</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45991</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57851-2022</t>
        </is>
      </c>
      <c r="B137" s="1" t="n">
        <v>44898</v>
      </c>
      <c r="C137" s="1" t="n">
        <v>45991</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53071-2022</t>
        </is>
      </c>
      <c r="B138" s="1" t="n">
        <v>44873</v>
      </c>
      <c r="C138" s="1" t="n">
        <v>45991</v>
      </c>
      <c r="D138" t="inlineStr">
        <is>
          <t>VÄSTERBOTTENS LÄN</t>
        </is>
      </c>
      <c r="E138" t="inlineStr">
        <is>
          <t>SKELLEFTEÅ</t>
        </is>
      </c>
      <c r="G138" t="n">
        <v>10.6</v>
      </c>
      <c r="H138" t="n">
        <v>0</v>
      </c>
      <c r="I138" t="n">
        <v>0</v>
      </c>
      <c r="J138" t="n">
        <v>1</v>
      </c>
      <c r="K138" t="n">
        <v>0</v>
      </c>
      <c r="L138" t="n">
        <v>0</v>
      </c>
      <c r="M138" t="n">
        <v>0</v>
      </c>
      <c r="N138" t="n">
        <v>0</v>
      </c>
      <c r="O138" t="n">
        <v>1</v>
      </c>
      <c r="P138" t="n">
        <v>0</v>
      </c>
      <c r="Q138" t="n">
        <v>1</v>
      </c>
      <c r="R138" s="2" t="inlineStr">
        <is>
          <t>Granticka</t>
        </is>
      </c>
      <c r="S138">
        <f>HYPERLINK("https://klasma.github.io/Logging_2482/artfynd/A 53071-2022 artfynd.xlsx", "A 53071-2022")</f>
        <v/>
      </c>
      <c r="T138">
        <f>HYPERLINK("https://klasma.github.io/Logging_2482/kartor/A 53071-2022 karta.png", "A 53071-2022")</f>
        <v/>
      </c>
      <c r="V138">
        <f>HYPERLINK("https://klasma.github.io/Logging_2482/klagomål/A 53071-2022 FSC-klagomål.docx", "A 53071-2022")</f>
        <v/>
      </c>
      <c r="W138">
        <f>HYPERLINK("https://klasma.github.io/Logging_2482/klagomålsmail/A 53071-2022 FSC-klagomål mail.docx", "A 53071-2022")</f>
        <v/>
      </c>
      <c r="X138">
        <f>HYPERLINK("https://klasma.github.io/Logging_2482/tillsyn/A 53071-2022 tillsynsbegäran.docx", "A 53071-2022")</f>
        <v/>
      </c>
      <c r="Y138">
        <f>HYPERLINK("https://klasma.github.io/Logging_2482/tillsynsmail/A 53071-2022 tillsynsbegäran mail.docx", "A 53071-2022")</f>
        <v/>
      </c>
    </row>
    <row r="139" ht="15" customHeight="1">
      <c r="A139" t="inlineStr">
        <is>
          <t>A 9446-2025</t>
        </is>
      </c>
      <c r="B139" s="1" t="n">
        <v>45715.42019675926</v>
      </c>
      <c r="C139" s="1" t="n">
        <v>45991</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58766-2021</t>
        </is>
      </c>
      <c r="B140" s="1" t="n">
        <v>44489</v>
      </c>
      <c r="C140" s="1" t="n">
        <v>45991</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41087-2023</t>
        </is>
      </c>
      <c r="B141" s="1" t="n">
        <v>45173</v>
      </c>
      <c r="C141" s="1" t="n">
        <v>45991</v>
      </c>
      <c r="D141" t="inlineStr">
        <is>
          <t>VÄSTERBOTTENS LÄN</t>
        </is>
      </c>
      <c r="E141" t="inlineStr">
        <is>
          <t>SKELLEFTEÅ</t>
        </is>
      </c>
      <c r="F141" t="inlineStr">
        <is>
          <t>Holmen skog AB</t>
        </is>
      </c>
      <c r="G141" t="n">
        <v>10</v>
      </c>
      <c r="H141" t="n">
        <v>0</v>
      </c>
      <c r="I141" t="n">
        <v>0</v>
      </c>
      <c r="J141" t="n">
        <v>0</v>
      </c>
      <c r="K141" t="n">
        <v>0</v>
      </c>
      <c r="L141" t="n">
        <v>1</v>
      </c>
      <c r="M141" t="n">
        <v>0</v>
      </c>
      <c r="N141" t="n">
        <v>0</v>
      </c>
      <c r="O141" t="n">
        <v>1</v>
      </c>
      <c r="P141" t="n">
        <v>1</v>
      </c>
      <c r="Q141" t="n">
        <v>1</v>
      </c>
      <c r="R141" s="2" t="inlineStr">
        <is>
          <t>Flodpärlmussla</t>
        </is>
      </c>
      <c r="S141">
        <f>HYPERLINK("https://klasma.github.io/Logging_2482/artfynd/A 41087-2023 artfynd.xlsx", "A 41087-2023")</f>
        <v/>
      </c>
      <c r="T141">
        <f>HYPERLINK("https://klasma.github.io/Logging_2482/kartor/A 41087-2023 karta.png", "A 41087-2023")</f>
        <v/>
      </c>
      <c r="V141">
        <f>HYPERLINK("https://klasma.github.io/Logging_2482/klagomål/A 41087-2023 FSC-klagomål.docx", "A 41087-2023")</f>
        <v/>
      </c>
      <c r="W141">
        <f>HYPERLINK("https://klasma.github.io/Logging_2482/klagomålsmail/A 41087-2023 FSC-klagomål mail.docx", "A 41087-2023")</f>
        <v/>
      </c>
      <c r="X141">
        <f>HYPERLINK("https://klasma.github.io/Logging_2482/tillsyn/A 41087-2023 tillsynsbegäran.docx", "A 41087-2023")</f>
        <v/>
      </c>
      <c r="Y141">
        <f>HYPERLINK("https://klasma.github.io/Logging_2482/tillsynsmail/A 41087-2023 tillsynsbegäran mail.docx", "A 41087-2023")</f>
        <v/>
      </c>
    </row>
    <row r="142" ht="15" customHeight="1">
      <c r="A142" t="inlineStr">
        <is>
          <t>A 6156-2025</t>
        </is>
      </c>
      <c r="B142" s="1" t="n">
        <v>45695</v>
      </c>
      <c r="C142" s="1" t="n">
        <v>45991</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45991</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8729-2025</t>
        </is>
      </c>
      <c r="B144" s="1" t="n">
        <v>45712.53144675926</v>
      </c>
      <c r="C144" s="1" t="n">
        <v>45991</v>
      </c>
      <c r="D144" t="inlineStr">
        <is>
          <t>VÄSTERBOTTENS LÄN</t>
        </is>
      </c>
      <c r="E144" t="inlineStr">
        <is>
          <t>SKELLEFTEÅ</t>
        </is>
      </c>
      <c r="G144" t="n">
        <v>12.2</v>
      </c>
      <c r="H144" t="n">
        <v>0</v>
      </c>
      <c r="I144" t="n">
        <v>0</v>
      </c>
      <c r="J144" t="n">
        <v>1</v>
      </c>
      <c r="K144" t="n">
        <v>0</v>
      </c>
      <c r="L144" t="n">
        <v>0</v>
      </c>
      <c r="M144" t="n">
        <v>0</v>
      </c>
      <c r="N144" t="n">
        <v>0</v>
      </c>
      <c r="O144" t="n">
        <v>1</v>
      </c>
      <c r="P144" t="n">
        <v>0</v>
      </c>
      <c r="Q144" t="n">
        <v>1</v>
      </c>
      <c r="R144" s="2" t="inlineStr">
        <is>
          <t>Granticka</t>
        </is>
      </c>
      <c r="S144">
        <f>HYPERLINK("https://klasma.github.io/Logging_2482/artfynd/A 8729-2025 artfynd.xlsx", "A 8729-2025")</f>
        <v/>
      </c>
      <c r="T144">
        <f>HYPERLINK("https://klasma.github.io/Logging_2482/kartor/A 8729-2025 karta.png", "A 8729-2025")</f>
        <v/>
      </c>
      <c r="V144">
        <f>HYPERLINK("https://klasma.github.io/Logging_2482/klagomål/A 8729-2025 FSC-klagomål.docx", "A 8729-2025")</f>
        <v/>
      </c>
      <c r="W144">
        <f>HYPERLINK("https://klasma.github.io/Logging_2482/klagomålsmail/A 8729-2025 FSC-klagomål mail.docx", "A 8729-2025")</f>
        <v/>
      </c>
      <c r="X144">
        <f>HYPERLINK("https://klasma.github.io/Logging_2482/tillsyn/A 8729-2025 tillsynsbegäran.docx", "A 8729-2025")</f>
        <v/>
      </c>
      <c r="Y144">
        <f>HYPERLINK("https://klasma.github.io/Logging_2482/tillsynsmail/A 8729-2025 tillsynsbegäran mail.docx", "A 8729-2025")</f>
        <v/>
      </c>
    </row>
    <row r="145" ht="15" customHeight="1">
      <c r="A145" t="inlineStr">
        <is>
          <t>A 41409-2025</t>
        </is>
      </c>
      <c r="B145" s="1" t="n">
        <v>45901.34798611111</v>
      </c>
      <c r="C145" s="1" t="n">
        <v>45991</v>
      </c>
      <c r="D145" t="inlineStr">
        <is>
          <t>VÄSTERBOTTENS LÄN</t>
        </is>
      </c>
      <c r="E145" t="inlineStr">
        <is>
          <t>SKELLEFTEÅ</t>
        </is>
      </c>
      <c r="F145" t="inlineStr">
        <is>
          <t>Kommuner</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HYPERLINK("https://klasma.github.io/Logging_2482/artfynd/A 41409-2025 artfynd.xlsx", "A 41409-2025")</f>
        <v/>
      </c>
      <c r="T145">
        <f>HYPERLINK("https://klasma.github.io/Logging_2482/kartor/A 41409-2025 karta.png", "A 41409-2025")</f>
        <v/>
      </c>
      <c r="V145">
        <f>HYPERLINK("https://klasma.github.io/Logging_2482/klagomål/A 41409-2025 FSC-klagomål.docx", "A 41409-2025")</f>
        <v/>
      </c>
      <c r="W145">
        <f>HYPERLINK("https://klasma.github.io/Logging_2482/klagomålsmail/A 41409-2025 FSC-klagomål mail.docx", "A 41409-2025")</f>
        <v/>
      </c>
      <c r="X145">
        <f>HYPERLINK("https://klasma.github.io/Logging_2482/tillsyn/A 41409-2025 tillsynsbegäran.docx", "A 41409-2025")</f>
        <v/>
      </c>
      <c r="Y145">
        <f>HYPERLINK("https://klasma.github.io/Logging_2482/tillsynsmail/A 41409-2025 tillsynsbegäran mail.docx", "A 41409-2025")</f>
        <v/>
      </c>
    </row>
    <row r="146" ht="15" customHeight="1">
      <c r="A146" t="inlineStr">
        <is>
          <t>A 28860-2025</t>
        </is>
      </c>
      <c r="B146" s="1" t="n">
        <v>45820.59178240741</v>
      </c>
      <c r="C146" s="1" t="n">
        <v>45991</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45991</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24885-2022</t>
        </is>
      </c>
      <c r="B148" s="1" t="n">
        <v>44728</v>
      </c>
      <c r="C148" s="1" t="n">
        <v>45991</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51288-2025</t>
        </is>
      </c>
      <c r="B149" s="1" t="n">
        <v>45950.34547453704</v>
      </c>
      <c r="C149" s="1" t="n">
        <v>45991</v>
      </c>
      <c r="D149" t="inlineStr">
        <is>
          <t>VÄSTERBOTTENS LÄN</t>
        </is>
      </c>
      <c r="E149" t="inlineStr">
        <is>
          <t>SKELLEFTEÅ</t>
        </is>
      </c>
      <c r="F149" t="inlineStr">
        <is>
          <t>SCA</t>
        </is>
      </c>
      <c r="G149" t="n">
        <v>6.5</v>
      </c>
      <c r="H149" t="n">
        <v>0</v>
      </c>
      <c r="I149" t="n">
        <v>0</v>
      </c>
      <c r="J149" t="n">
        <v>1</v>
      </c>
      <c r="K149" t="n">
        <v>0</v>
      </c>
      <c r="L149" t="n">
        <v>0</v>
      </c>
      <c r="M149" t="n">
        <v>0</v>
      </c>
      <c r="N149" t="n">
        <v>0</v>
      </c>
      <c r="O149" t="n">
        <v>1</v>
      </c>
      <c r="P149" t="n">
        <v>0</v>
      </c>
      <c r="Q149" t="n">
        <v>1</v>
      </c>
      <c r="R149" s="2" t="inlineStr">
        <is>
          <t>Blå taggsvamp</t>
        </is>
      </c>
      <c r="S149">
        <f>HYPERLINK("https://klasma.github.io/Logging_2482/artfynd/A 51288-2025 artfynd.xlsx", "A 51288-2025")</f>
        <v/>
      </c>
      <c r="T149">
        <f>HYPERLINK("https://klasma.github.io/Logging_2482/kartor/A 51288-2025 karta.png", "A 51288-2025")</f>
        <v/>
      </c>
      <c r="V149">
        <f>HYPERLINK("https://klasma.github.io/Logging_2482/klagomål/A 51288-2025 FSC-klagomål.docx", "A 51288-2025")</f>
        <v/>
      </c>
      <c r="W149">
        <f>HYPERLINK("https://klasma.github.io/Logging_2482/klagomålsmail/A 51288-2025 FSC-klagomål mail.docx", "A 51288-2025")</f>
        <v/>
      </c>
      <c r="X149">
        <f>HYPERLINK("https://klasma.github.io/Logging_2482/tillsyn/A 51288-2025 tillsynsbegäran.docx", "A 51288-2025")</f>
        <v/>
      </c>
      <c r="Y149">
        <f>HYPERLINK("https://klasma.github.io/Logging_2482/tillsynsmail/A 51288-2025 tillsynsbegäran mail.docx", "A 51288-2025")</f>
        <v/>
      </c>
    </row>
    <row r="150" ht="15" customHeight="1">
      <c r="A150" t="inlineStr">
        <is>
          <t>A 32964-2021</t>
        </is>
      </c>
      <c r="B150" s="1" t="n">
        <v>44376</v>
      </c>
      <c r="C150" s="1" t="n">
        <v>45991</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45991</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52299-2025</t>
        </is>
      </c>
      <c r="B152" s="1" t="n">
        <v>45953.61414351852</v>
      </c>
      <c r="C152" s="1" t="n">
        <v>45991</v>
      </c>
      <c r="D152" t="inlineStr">
        <is>
          <t>VÄSTERBOTTENS LÄN</t>
        </is>
      </c>
      <c r="E152" t="inlineStr">
        <is>
          <t>SKELLEFTEÅ</t>
        </is>
      </c>
      <c r="G152" t="n">
        <v>1.4</v>
      </c>
      <c r="H152" t="n">
        <v>0</v>
      </c>
      <c r="I152" t="n">
        <v>0</v>
      </c>
      <c r="J152" t="n">
        <v>1</v>
      </c>
      <c r="K152" t="n">
        <v>0</v>
      </c>
      <c r="L152" t="n">
        <v>0</v>
      </c>
      <c r="M152" t="n">
        <v>0</v>
      </c>
      <c r="N152" t="n">
        <v>0</v>
      </c>
      <c r="O152" t="n">
        <v>1</v>
      </c>
      <c r="P152" t="n">
        <v>0</v>
      </c>
      <c r="Q152" t="n">
        <v>1</v>
      </c>
      <c r="R152" s="2" t="inlineStr">
        <is>
          <t>Månlåsbräken</t>
        </is>
      </c>
      <c r="S152">
        <f>HYPERLINK("https://klasma.github.io/Logging_2482/artfynd/A 52299-2025 artfynd.xlsx", "A 52299-2025")</f>
        <v/>
      </c>
      <c r="T152">
        <f>HYPERLINK("https://klasma.github.io/Logging_2482/kartor/A 52299-2025 karta.png", "A 52299-2025")</f>
        <v/>
      </c>
      <c r="V152">
        <f>HYPERLINK("https://klasma.github.io/Logging_2482/klagomål/A 52299-2025 FSC-klagomål.docx", "A 52299-2025")</f>
        <v/>
      </c>
      <c r="W152">
        <f>HYPERLINK("https://klasma.github.io/Logging_2482/klagomålsmail/A 52299-2025 FSC-klagomål mail.docx", "A 52299-2025")</f>
        <v/>
      </c>
      <c r="X152">
        <f>HYPERLINK("https://klasma.github.io/Logging_2482/tillsyn/A 52299-2025 tillsynsbegäran.docx", "A 52299-2025")</f>
        <v/>
      </c>
      <c r="Y152">
        <f>HYPERLINK("https://klasma.github.io/Logging_2482/tillsynsmail/A 52299-2025 tillsynsbegäran mail.docx", "A 52299-2025")</f>
        <v/>
      </c>
    </row>
    <row r="153" ht="15" customHeight="1">
      <c r="A153" t="inlineStr">
        <is>
          <t>A 43228-2025</t>
        </is>
      </c>
      <c r="B153" s="1" t="n">
        <v>45910.49400462963</v>
      </c>
      <c r="C153" s="1" t="n">
        <v>45991</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1694-2025</t>
        </is>
      </c>
      <c r="B154" s="1" t="n">
        <v>45670</v>
      </c>
      <c r="C154" s="1" t="n">
        <v>45991</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45991</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44809-2025</t>
        </is>
      </c>
      <c r="B156" s="1" t="n">
        <v>45918.36953703704</v>
      </c>
      <c r="C156" s="1" t="n">
        <v>45991</v>
      </c>
      <c r="D156" t="inlineStr">
        <is>
          <t>VÄSTERBOTTENS LÄN</t>
        </is>
      </c>
      <c r="E156" t="inlineStr">
        <is>
          <t>SKELLEFTEÅ</t>
        </is>
      </c>
      <c r="F156" t="inlineStr">
        <is>
          <t>Holmen skog AB</t>
        </is>
      </c>
      <c r="G156" t="n">
        <v>1.9</v>
      </c>
      <c r="H156" t="n">
        <v>1</v>
      </c>
      <c r="I156" t="n">
        <v>0</v>
      </c>
      <c r="J156" t="n">
        <v>1</v>
      </c>
      <c r="K156" t="n">
        <v>0</v>
      </c>
      <c r="L156" t="n">
        <v>0</v>
      </c>
      <c r="M156" t="n">
        <v>0</v>
      </c>
      <c r="N156" t="n">
        <v>0</v>
      </c>
      <c r="O156" t="n">
        <v>1</v>
      </c>
      <c r="P156" t="n">
        <v>0</v>
      </c>
      <c r="Q156" t="n">
        <v>1</v>
      </c>
      <c r="R156" s="2" t="inlineStr">
        <is>
          <t>Utter</t>
        </is>
      </c>
      <c r="S156">
        <f>HYPERLINK("https://klasma.github.io/Logging_2482/artfynd/A 44809-2025 artfynd.xlsx", "A 44809-2025")</f>
        <v/>
      </c>
      <c r="T156">
        <f>HYPERLINK("https://klasma.github.io/Logging_2482/kartor/A 44809-2025 karta.png", "A 44809-2025")</f>
        <v/>
      </c>
      <c r="V156">
        <f>HYPERLINK("https://klasma.github.io/Logging_2482/klagomål/A 44809-2025 FSC-klagomål.docx", "A 44809-2025")</f>
        <v/>
      </c>
      <c r="W156">
        <f>HYPERLINK("https://klasma.github.io/Logging_2482/klagomålsmail/A 44809-2025 FSC-klagomål mail.docx", "A 44809-2025")</f>
        <v/>
      </c>
      <c r="X156">
        <f>HYPERLINK("https://klasma.github.io/Logging_2482/tillsyn/A 44809-2025 tillsynsbegäran.docx", "A 44809-2025")</f>
        <v/>
      </c>
      <c r="Y156">
        <f>HYPERLINK("https://klasma.github.io/Logging_2482/tillsynsmail/A 44809-2025 tillsynsbegäran mail.docx", "A 44809-2025")</f>
        <v/>
      </c>
    </row>
    <row r="157" ht="15" customHeight="1">
      <c r="A157" t="inlineStr">
        <is>
          <t>A 57568-2024</t>
        </is>
      </c>
      <c r="B157" s="1" t="n">
        <v>45630.46457175926</v>
      </c>
      <c r="C157" s="1" t="n">
        <v>45991</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45991</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60586-2022</t>
        </is>
      </c>
      <c r="B159" s="1" t="n">
        <v>44911</v>
      </c>
      <c r="C159" s="1" t="n">
        <v>45991</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37254-2025</t>
        </is>
      </c>
      <c r="B160" s="1" t="n">
        <v>45875</v>
      </c>
      <c r="C160" s="1" t="n">
        <v>45991</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28448-2023</t>
        </is>
      </c>
      <c r="B161" s="1" t="n">
        <v>45103</v>
      </c>
      <c r="C161" s="1" t="n">
        <v>45991</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46731-2025</t>
        </is>
      </c>
      <c r="B162" s="1" t="n">
        <v>45926.59231481481</v>
      </c>
      <c r="C162" s="1" t="n">
        <v>45991</v>
      </c>
      <c r="D162" t="inlineStr">
        <is>
          <t>VÄSTERBOTTENS LÄN</t>
        </is>
      </c>
      <c r="E162" t="inlineStr">
        <is>
          <t>SKELLEFTEÅ</t>
        </is>
      </c>
      <c r="F162" t="inlineStr">
        <is>
          <t>Sveaskog</t>
        </is>
      </c>
      <c r="G162" t="n">
        <v>17</v>
      </c>
      <c r="H162" t="n">
        <v>0</v>
      </c>
      <c r="I162" t="n">
        <v>0</v>
      </c>
      <c r="J162" t="n">
        <v>1</v>
      </c>
      <c r="K162" t="n">
        <v>0</v>
      </c>
      <c r="L162" t="n">
        <v>0</v>
      </c>
      <c r="M162" t="n">
        <v>0</v>
      </c>
      <c r="N162" t="n">
        <v>0</v>
      </c>
      <c r="O162" t="n">
        <v>1</v>
      </c>
      <c r="P162" t="n">
        <v>0</v>
      </c>
      <c r="Q162" t="n">
        <v>1</v>
      </c>
      <c r="R162" s="2" t="inlineStr">
        <is>
          <t>Garnlav</t>
        </is>
      </c>
      <c r="S162">
        <f>HYPERLINK("https://klasma.github.io/Logging_2482/artfynd/A 46731-2025 artfynd.xlsx", "A 46731-2025")</f>
        <v/>
      </c>
      <c r="T162">
        <f>HYPERLINK("https://klasma.github.io/Logging_2482/kartor/A 46731-2025 karta.png", "A 46731-2025")</f>
        <v/>
      </c>
      <c r="V162">
        <f>HYPERLINK("https://klasma.github.io/Logging_2482/klagomål/A 46731-2025 FSC-klagomål.docx", "A 46731-2025")</f>
        <v/>
      </c>
      <c r="W162">
        <f>HYPERLINK("https://klasma.github.io/Logging_2482/klagomålsmail/A 46731-2025 FSC-klagomål mail.docx", "A 46731-2025")</f>
        <v/>
      </c>
      <c r="X162">
        <f>HYPERLINK("https://klasma.github.io/Logging_2482/tillsyn/A 46731-2025 tillsynsbegäran.docx", "A 46731-2025")</f>
        <v/>
      </c>
      <c r="Y162">
        <f>HYPERLINK("https://klasma.github.io/Logging_2482/tillsynsmail/A 46731-2025 tillsynsbegäran mail.docx", "A 46731-2025")</f>
        <v/>
      </c>
    </row>
    <row r="163" ht="15" customHeight="1">
      <c r="A163" t="inlineStr">
        <is>
          <t>A 47354-2025</t>
        </is>
      </c>
      <c r="B163" s="1" t="n">
        <v>45930.57769675926</v>
      </c>
      <c r="C163" s="1" t="n">
        <v>45991</v>
      </c>
      <c r="D163" t="inlineStr">
        <is>
          <t>VÄSTERBOTTENS LÄN</t>
        </is>
      </c>
      <c r="E163" t="inlineStr">
        <is>
          <t>SKELLEFTEÅ</t>
        </is>
      </c>
      <c r="G163" t="n">
        <v>0.5</v>
      </c>
      <c r="H163" t="n">
        <v>1</v>
      </c>
      <c r="I163" t="n">
        <v>0</v>
      </c>
      <c r="J163" t="n">
        <v>0</v>
      </c>
      <c r="K163" t="n">
        <v>0</v>
      </c>
      <c r="L163" t="n">
        <v>0</v>
      </c>
      <c r="M163" t="n">
        <v>0</v>
      </c>
      <c r="N163" t="n">
        <v>0</v>
      </c>
      <c r="O163" t="n">
        <v>0</v>
      </c>
      <c r="P163" t="n">
        <v>0</v>
      </c>
      <c r="Q163" t="n">
        <v>1</v>
      </c>
      <c r="R163" s="2" t="inlineStr">
        <is>
          <t>Mindre vattensalamander</t>
        </is>
      </c>
      <c r="S163">
        <f>HYPERLINK("https://klasma.github.io/Logging_2482/artfynd/A 47354-2025 artfynd.xlsx", "A 47354-2025")</f>
        <v/>
      </c>
      <c r="T163">
        <f>HYPERLINK("https://klasma.github.io/Logging_2482/kartor/A 47354-2025 karta.png", "A 47354-2025")</f>
        <v/>
      </c>
      <c r="V163">
        <f>HYPERLINK("https://klasma.github.io/Logging_2482/klagomål/A 47354-2025 FSC-klagomål.docx", "A 47354-2025")</f>
        <v/>
      </c>
      <c r="W163">
        <f>HYPERLINK("https://klasma.github.io/Logging_2482/klagomålsmail/A 47354-2025 FSC-klagomål mail.docx", "A 47354-2025")</f>
        <v/>
      </c>
      <c r="X163">
        <f>HYPERLINK("https://klasma.github.io/Logging_2482/tillsyn/A 47354-2025 tillsynsbegäran.docx", "A 47354-2025")</f>
        <v/>
      </c>
      <c r="Y163">
        <f>HYPERLINK("https://klasma.github.io/Logging_2482/tillsynsmail/A 47354-2025 tillsynsbegäran mail.docx", "A 47354-2025")</f>
        <v/>
      </c>
    </row>
    <row r="164" ht="15" customHeight="1">
      <c r="A164" t="inlineStr">
        <is>
          <t>A 64409-2021</t>
        </is>
      </c>
      <c r="B164" s="1" t="n">
        <v>44510</v>
      </c>
      <c r="C164" s="1" t="n">
        <v>45991</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Igelkott</t>
        </is>
      </c>
      <c r="S164">
        <f>HYPERLINK("https://klasma.github.io/Logging_2482/artfynd/A 64409-2021 artfynd.xlsx", "A 64409-2021")</f>
        <v/>
      </c>
      <c r="T164">
        <f>HYPERLINK("https://klasma.github.io/Logging_2482/kartor/A 64409-2021 karta.png", "A 64409-2021")</f>
        <v/>
      </c>
      <c r="V164">
        <f>HYPERLINK("https://klasma.github.io/Logging_2482/klagomål/A 64409-2021 FSC-klagomål.docx", "A 64409-2021")</f>
        <v/>
      </c>
      <c r="W164">
        <f>HYPERLINK("https://klasma.github.io/Logging_2482/klagomålsmail/A 64409-2021 FSC-klagomål mail.docx", "A 64409-2021")</f>
        <v/>
      </c>
      <c r="X164">
        <f>HYPERLINK("https://klasma.github.io/Logging_2482/tillsyn/A 64409-2021 tillsynsbegäran.docx", "A 64409-2021")</f>
        <v/>
      </c>
      <c r="Y164">
        <f>HYPERLINK("https://klasma.github.io/Logging_2482/tillsynsmail/A 64409-2021 tillsynsbegäran mail.docx", "A 64409-2021")</f>
        <v/>
      </c>
    </row>
    <row r="165" ht="15" customHeight="1">
      <c r="A165" t="inlineStr">
        <is>
          <t>A 56072-2025</t>
        </is>
      </c>
      <c r="B165" s="1" t="n">
        <v>45973.6524074074</v>
      </c>
      <c r="C165" s="1" t="n">
        <v>45991</v>
      </c>
      <c r="D165" t="inlineStr">
        <is>
          <t>VÄSTERBOTTENS LÄN</t>
        </is>
      </c>
      <c r="E165" t="inlineStr">
        <is>
          <t>SKELLEFTEÅ</t>
        </is>
      </c>
      <c r="G165" t="n">
        <v>4</v>
      </c>
      <c r="H165" t="n">
        <v>0</v>
      </c>
      <c r="I165" t="n">
        <v>0</v>
      </c>
      <c r="J165" t="n">
        <v>1</v>
      </c>
      <c r="K165" t="n">
        <v>0</v>
      </c>
      <c r="L165" t="n">
        <v>0</v>
      </c>
      <c r="M165" t="n">
        <v>0</v>
      </c>
      <c r="N165" t="n">
        <v>0</v>
      </c>
      <c r="O165" t="n">
        <v>1</v>
      </c>
      <c r="P165" t="n">
        <v>0</v>
      </c>
      <c r="Q165" t="n">
        <v>1</v>
      </c>
      <c r="R165" s="2" t="inlineStr">
        <is>
          <t>Ullticka</t>
        </is>
      </c>
      <c r="S165">
        <f>HYPERLINK("https://klasma.github.io/Logging_2482/artfynd/A 56072-2025 artfynd.xlsx", "A 56072-2025")</f>
        <v/>
      </c>
      <c r="T165">
        <f>HYPERLINK("https://klasma.github.io/Logging_2482/kartor/A 56072-2025 karta.png", "A 56072-2025")</f>
        <v/>
      </c>
      <c r="V165">
        <f>HYPERLINK("https://klasma.github.io/Logging_2482/klagomål/A 56072-2025 FSC-klagomål.docx", "A 56072-2025")</f>
        <v/>
      </c>
      <c r="W165">
        <f>HYPERLINK("https://klasma.github.io/Logging_2482/klagomålsmail/A 56072-2025 FSC-klagomål mail.docx", "A 56072-2025")</f>
        <v/>
      </c>
      <c r="X165">
        <f>HYPERLINK("https://klasma.github.io/Logging_2482/tillsyn/A 56072-2025 tillsynsbegäran.docx", "A 56072-2025")</f>
        <v/>
      </c>
      <c r="Y165">
        <f>HYPERLINK("https://klasma.github.io/Logging_2482/tillsynsmail/A 56072-2025 tillsynsbegäran mail.docx", "A 56072-2025")</f>
        <v/>
      </c>
    </row>
    <row r="166" ht="15" customHeight="1">
      <c r="A166" t="inlineStr">
        <is>
          <t>A 36628-2023</t>
        </is>
      </c>
      <c r="B166" s="1" t="n">
        <v>45153</v>
      </c>
      <c r="C166" s="1" t="n">
        <v>45991</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737-2025</t>
        </is>
      </c>
      <c r="B167" s="1" t="n">
        <v>45665</v>
      </c>
      <c r="C167" s="1" t="n">
        <v>45991</v>
      </c>
      <c r="D167" t="inlineStr">
        <is>
          <t>VÄSTERBOTTENS LÄN</t>
        </is>
      </c>
      <c r="E167" t="inlineStr">
        <is>
          <t>SKELLEFTEÅ</t>
        </is>
      </c>
      <c r="G167" t="n">
        <v>14.8</v>
      </c>
      <c r="H167" t="n">
        <v>0</v>
      </c>
      <c r="I167" t="n">
        <v>0</v>
      </c>
      <c r="J167" t="n">
        <v>0</v>
      </c>
      <c r="K167" t="n">
        <v>1</v>
      </c>
      <c r="L167" t="n">
        <v>0</v>
      </c>
      <c r="M167" t="n">
        <v>0</v>
      </c>
      <c r="N167" t="n">
        <v>0</v>
      </c>
      <c r="O167" t="n">
        <v>1</v>
      </c>
      <c r="P167" t="n">
        <v>1</v>
      </c>
      <c r="Q167" t="n">
        <v>1</v>
      </c>
      <c r="R167" s="2" t="inlineStr">
        <is>
          <t>Goliatmusseron</t>
        </is>
      </c>
      <c r="S167">
        <f>HYPERLINK("https://klasma.github.io/Logging_2482/artfynd/A 737-2025 artfynd.xlsx", "A 737-2025")</f>
        <v/>
      </c>
      <c r="T167">
        <f>HYPERLINK("https://klasma.github.io/Logging_2482/kartor/A 737-2025 karta.png", "A 737-2025")</f>
        <v/>
      </c>
      <c r="V167">
        <f>HYPERLINK("https://klasma.github.io/Logging_2482/klagomål/A 737-2025 FSC-klagomål.docx", "A 737-2025")</f>
        <v/>
      </c>
      <c r="W167">
        <f>HYPERLINK("https://klasma.github.io/Logging_2482/klagomålsmail/A 737-2025 FSC-klagomål mail.docx", "A 737-2025")</f>
        <v/>
      </c>
      <c r="X167">
        <f>HYPERLINK("https://klasma.github.io/Logging_2482/tillsyn/A 737-2025 tillsynsbegäran.docx", "A 737-2025")</f>
        <v/>
      </c>
      <c r="Y167">
        <f>HYPERLINK("https://klasma.github.io/Logging_2482/tillsynsmail/A 737-2025 tillsynsbegäran mail.docx", "A 737-2025")</f>
        <v/>
      </c>
    </row>
    <row r="168" ht="15" customHeight="1">
      <c r="A168" t="inlineStr">
        <is>
          <t>A 8820-2025</t>
        </is>
      </c>
      <c r="B168" s="1" t="n">
        <v>45712</v>
      </c>
      <c r="C168" s="1" t="n">
        <v>45991</v>
      </c>
      <c r="D168" t="inlineStr">
        <is>
          <t>VÄSTERBOTTENS LÄN</t>
        </is>
      </c>
      <c r="E168" t="inlineStr">
        <is>
          <t>SKELLEFTEÅ</t>
        </is>
      </c>
      <c r="G168" t="n">
        <v>2.5</v>
      </c>
      <c r="H168" t="n">
        <v>1</v>
      </c>
      <c r="I168" t="n">
        <v>0</v>
      </c>
      <c r="J168" t="n">
        <v>0</v>
      </c>
      <c r="K168" t="n">
        <v>1</v>
      </c>
      <c r="L168" t="n">
        <v>0</v>
      </c>
      <c r="M168" t="n">
        <v>0</v>
      </c>
      <c r="N168" t="n">
        <v>0</v>
      </c>
      <c r="O168" t="n">
        <v>1</v>
      </c>
      <c r="P168" t="n">
        <v>1</v>
      </c>
      <c r="Q168" t="n">
        <v>1</v>
      </c>
      <c r="R168" s="2" t="inlineStr">
        <is>
          <t>Knärot</t>
        </is>
      </c>
      <c r="S168">
        <f>HYPERLINK("https://klasma.github.io/Logging_2482/artfynd/A 8820-2025 artfynd.xlsx", "A 8820-2025")</f>
        <v/>
      </c>
      <c r="T168">
        <f>HYPERLINK("https://klasma.github.io/Logging_2482/kartor/A 8820-2025 karta.png", "A 8820-2025")</f>
        <v/>
      </c>
      <c r="U168">
        <f>HYPERLINK("https://klasma.github.io/Logging_2482/knärot/A 8820-2025 karta knärot.png", "A 8820-2025")</f>
        <v/>
      </c>
      <c r="V168">
        <f>HYPERLINK("https://klasma.github.io/Logging_2482/klagomål/A 8820-2025 FSC-klagomål.docx", "A 8820-2025")</f>
        <v/>
      </c>
      <c r="W168">
        <f>HYPERLINK("https://klasma.github.io/Logging_2482/klagomålsmail/A 8820-2025 FSC-klagomål mail.docx", "A 8820-2025")</f>
        <v/>
      </c>
      <c r="X168">
        <f>HYPERLINK("https://klasma.github.io/Logging_2482/tillsyn/A 8820-2025 tillsynsbegäran.docx", "A 8820-2025")</f>
        <v/>
      </c>
      <c r="Y168">
        <f>HYPERLINK("https://klasma.github.io/Logging_2482/tillsynsmail/A 8820-2025 tillsynsbegäran mail.docx", "A 8820-2025")</f>
        <v/>
      </c>
    </row>
    <row r="169" ht="15" customHeight="1">
      <c r="A169" t="inlineStr">
        <is>
          <t>A 57992-2025</t>
        </is>
      </c>
      <c r="B169" s="1" t="n">
        <v>45982.42826388889</v>
      </c>
      <c r="C169" s="1" t="n">
        <v>45991</v>
      </c>
      <c r="D169" t="inlineStr">
        <is>
          <t>VÄSTERBOTTENS LÄN</t>
        </is>
      </c>
      <c r="E169" t="inlineStr">
        <is>
          <t>SKELLEFTEÅ</t>
        </is>
      </c>
      <c r="F169" t="inlineStr">
        <is>
          <t>Sveaskog</t>
        </is>
      </c>
      <c r="G169" t="n">
        <v>13.6</v>
      </c>
      <c r="H169" t="n">
        <v>1</v>
      </c>
      <c r="I169" t="n">
        <v>0</v>
      </c>
      <c r="J169" t="n">
        <v>0</v>
      </c>
      <c r="K169" t="n">
        <v>0</v>
      </c>
      <c r="L169" t="n">
        <v>0</v>
      </c>
      <c r="M169" t="n">
        <v>0</v>
      </c>
      <c r="N169" t="n">
        <v>0</v>
      </c>
      <c r="O169" t="n">
        <v>0</v>
      </c>
      <c r="P169" t="n">
        <v>0</v>
      </c>
      <c r="Q169" t="n">
        <v>1</v>
      </c>
      <c r="R169" s="2" t="inlineStr">
        <is>
          <t>Tjäder</t>
        </is>
      </c>
      <c r="S169">
        <f>HYPERLINK("https://klasma.github.io/Logging_2482/artfynd/A 57992-2025 artfynd.xlsx", "A 57992-2025")</f>
        <v/>
      </c>
      <c r="T169">
        <f>HYPERLINK("https://klasma.github.io/Logging_2482/kartor/A 57992-2025 karta.png", "A 57992-2025")</f>
        <v/>
      </c>
      <c r="V169">
        <f>HYPERLINK("https://klasma.github.io/Logging_2482/klagomål/A 57992-2025 FSC-klagomål.docx", "A 57992-2025")</f>
        <v/>
      </c>
      <c r="W169">
        <f>HYPERLINK("https://klasma.github.io/Logging_2482/klagomålsmail/A 57992-2025 FSC-klagomål mail.docx", "A 57992-2025")</f>
        <v/>
      </c>
      <c r="X169">
        <f>HYPERLINK("https://klasma.github.io/Logging_2482/tillsyn/A 57992-2025 tillsynsbegäran.docx", "A 57992-2025")</f>
        <v/>
      </c>
      <c r="Y169">
        <f>HYPERLINK("https://klasma.github.io/Logging_2482/tillsynsmail/A 57992-2025 tillsynsbegäran mail.docx", "A 57992-2025")</f>
        <v/>
      </c>
      <c r="Z169">
        <f>HYPERLINK("https://klasma.github.io/Logging_2482/fåglar/A 57992-2025 prioriterade fågelarter.docx", "A 57992-2025")</f>
        <v/>
      </c>
    </row>
    <row r="170" ht="15" customHeight="1">
      <c r="A170" t="inlineStr">
        <is>
          <t>A 59097-2025</t>
        </is>
      </c>
      <c r="B170" s="1" t="n">
        <v>45988.45326388889</v>
      </c>
      <c r="C170" s="1" t="n">
        <v>45991</v>
      </c>
      <c r="D170" t="inlineStr">
        <is>
          <t>VÄSTERBOTTENS LÄN</t>
        </is>
      </c>
      <c r="E170" t="inlineStr">
        <is>
          <t>SKELLEFTEÅ</t>
        </is>
      </c>
      <c r="F170" t="inlineStr">
        <is>
          <t>Sveaskog</t>
        </is>
      </c>
      <c r="G170" t="n">
        <v>11.6</v>
      </c>
      <c r="H170" t="n">
        <v>1</v>
      </c>
      <c r="I170" t="n">
        <v>0</v>
      </c>
      <c r="J170" t="n">
        <v>0</v>
      </c>
      <c r="K170" t="n">
        <v>0</v>
      </c>
      <c r="L170" t="n">
        <v>0</v>
      </c>
      <c r="M170" t="n">
        <v>0</v>
      </c>
      <c r="N170" t="n">
        <v>0</v>
      </c>
      <c r="O170" t="n">
        <v>0</v>
      </c>
      <c r="P170" t="n">
        <v>0</v>
      </c>
      <c r="Q170" t="n">
        <v>1</v>
      </c>
      <c r="R170" s="2" t="inlineStr">
        <is>
          <t>Huggorm</t>
        </is>
      </c>
      <c r="S170">
        <f>HYPERLINK("https://klasma.github.io/Logging_2482/artfynd/A 59097-2025 artfynd.xlsx", "A 59097-2025")</f>
        <v/>
      </c>
      <c r="T170">
        <f>HYPERLINK("https://klasma.github.io/Logging_2482/kartor/A 59097-2025 karta.png", "A 59097-2025")</f>
        <v/>
      </c>
      <c r="V170">
        <f>HYPERLINK("https://klasma.github.io/Logging_2482/klagomål/A 59097-2025 FSC-klagomål.docx", "A 59097-2025")</f>
        <v/>
      </c>
      <c r="W170">
        <f>HYPERLINK("https://klasma.github.io/Logging_2482/klagomålsmail/A 59097-2025 FSC-klagomål mail.docx", "A 59097-2025")</f>
        <v/>
      </c>
      <c r="X170">
        <f>HYPERLINK("https://klasma.github.io/Logging_2482/tillsyn/A 59097-2025 tillsynsbegäran.docx", "A 59097-2025")</f>
        <v/>
      </c>
      <c r="Y170">
        <f>HYPERLINK("https://klasma.github.io/Logging_2482/tillsynsmail/A 59097-2025 tillsynsbegäran mail.docx", "A 59097-2025")</f>
        <v/>
      </c>
    </row>
    <row r="171" ht="15" customHeight="1">
      <c r="A171" t="inlineStr">
        <is>
          <t>A 32724-2024</t>
        </is>
      </c>
      <c r="B171" s="1" t="n">
        <v>45516.40765046296</v>
      </c>
      <c r="C171" s="1" t="n">
        <v>45991</v>
      </c>
      <c r="D171" t="inlineStr">
        <is>
          <t>VÄSTERBOTTENS LÄN</t>
        </is>
      </c>
      <c r="E171" t="inlineStr">
        <is>
          <t>SKELLEFTEÅ</t>
        </is>
      </c>
      <c r="F171" t="inlineStr">
        <is>
          <t>Holmen skog AB</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HYPERLINK("https://klasma.github.io/Logging_2482/artfynd/A 32724-2024 artfynd.xlsx", "A 32724-2024")</f>
        <v/>
      </c>
      <c r="T171">
        <f>HYPERLINK("https://klasma.github.io/Logging_2482/kartor/A 32724-2024 karta.png", "A 32724-2024")</f>
        <v/>
      </c>
      <c r="V171">
        <f>HYPERLINK("https://klasma.github.io/Logging_2482/klagomål/A 32724-2024 FSC-klagomål.docx", "A 32724-2024")</f>
        <v/>
      </c>
      <c r="W171">
        <f>HYPERLINK("https://klasma.github.io/Logging_2482/klagomålsmail/A 32724-2024 FSC-klagomål mail.docx", "A 32724-2024")</f>
        <v/>
      </c>
      <c r="X171">
        <f>HYPERLINK("https://klasma.github.io/Logging_2482/tillsyn/A 32724-2024 tillsynsbegäran.docx", "A 32724-2024")</f>
        <v/>
      </c>
      <c r="Y171">
        <f>HYPERLINK("https://klasma.github.io/Logging_2482/tillsynsmail/A 32724-2024 tillsynsbegäran mail.docx", "A 32724-2024")</f>
        <v/>
      </c>
    </row>
    <row r="172" ht="15" customHeight="1">
      <c r="A172" t="inlineStr">
        <is>
          <t>A 54058-2022</t>
        </is>
      </c>
      <c r="B172" s="1" t="n">
        <v>44881</v>
      </c>
      <c r="C172" s="1" t="n">
        <v>45991</v>
      </c>
      <c r="D172" t="inlineStr">
        <is>
          <t>VÄSTERBOTTENS LÄN</t>
        </is>
      </c>
      <c r="E172" t="inlineStr">
        <is>
          <t>SKELLEFTEÅ</t>
        </is>
      </c>
      <c r="F172" t="inlineStr">
        <is>
          <t>Sveaskog</t>
        </is>
      </c>
      <c r="G172" t="n">
        <v>1.2</v>
      </c>
      <c r="H172" t="n">
        <v>0</v>
      </c>
      <c r="I172" t="n">
        <v>1</v>
      </c>
      <c r="J172" t="n">
        <v>0</v>
      </c>
      <c r="K172" t="n">
        <v>0</v>
      </c>
      <c r="L172" t="n">
        <v>0</v>
      </c>
      <c r="M172" t="n">
        <v>0</v>
      </c>
      <c r="N172" t="n">
        <v>0</v>
      </c>
      <c r="O172" t="n">
        <v>0</v>
      </c>
      <c r="P172" t="n">
        <v>0</v>
      </c>
      <c r="Q172" t="n">
        <v>1</v>
      </c>
      <c r="R172" s="2" t="inlineStr">
        <is>
          <t>Luddlav</t>
        </is>
      </c>
      <c r="S172">
        <f>HYPERLINK("https://klasma.github.io/Logging_2482/artfynd/A 54058-2022 artfynd.xlsx", "A 54058-2022")</f>
        <v/>
      </c>
      <c r="T172">
        <f>HYPERLINK("https://klasma.github.io/Logging_2482/kartor/A 54058-2022 karta.png", "A 54058-2022")</f>
        <v/>
      </c>
      <c r="V172">
        <f>HYPERLINK("https://klasma.github.io/Logging_2482/klagomål/A 54058-2022 FSC-klagomål.docx", "A 54058-2022")</f>
        <v/>
      </c>
      <c r="W172">
        <f>HYPERLINK("https://klasma.github.io/Logging_2482/klagomålsmail/A 54058-2022 FSC-klagomål mail.docx", "A 54058-2022")</f>
        <v/>
      </c>
      <c r="X172">
        <f>HYPERLINK("https://klasma.github.io/Logging_2482/tillsyn/A 54058-2022 tillsynsbegäran.docx", "A 54058-2022")</f>
        <v/>
      </c>
      <c r="Y172">
        <f>HYPERLINK("https://klasma.github.io/Logging_2482/tillsynsmail/A 54058-2022 tillsynsbegäran mail.docx", "A 54058-2022")</f>
        <v/>
      </c>
    </row>
    <row r="173" ht="15" customHeight="1">
      <c r="A173" t="inlineStr">
        <is>
          <t>A 41055-2023</t>
        </is>
      </c>
      <c r="B173" s="1" t="n">
        <v>45173</v>
      </c>
      <c r="C173" s="1" t="n">
        <v>45991</v>
      </c>
      <c r="D173" t="inlineStr">
        <is>
          <t>VÄSTERBOTTENS LÄN</t>
        </is>
      </c>
      <c r="E173" t="inlineStr">
        <is>
          <t>SKELLEFTEÅ</t>
        </is>
      </c>
      <c r="F173" t="inlineStr">
        <is>
          <t>Holmen skog AB</t>
        </is>
      </c>
      <c r="G173" t="n">
        <v>4.4</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41055-2023 artfynd.xlsx", "A 41055-2023")</f>
        <v/>
      </c>
      <c r="T173">
        <f>HYPERLINK("https://klasma.github.io/Logging_2482/kartor/A 41055-2023 karta.png", "A 41055-2023")</f>
        <v/>
      </c>
      <c r="V173">
        <f>HYPERLINK("https://klasma.github.io/Logging_2482/klagomål/A 41055-2023 FSC-klagomål.docx", "A 41055-2023")</f>
        <v/>
      </c>
      <c r="W173">
        <f>HYPERLINK("https://klasma.github.io/Logging_2482/klagomålsmail/A 41055-2023 FSC-klagomål mail.docx", "A 41055-2023")</f>
        <v/>
      </c>
      <c r="X173">
        <f>HYPERLINK("https://klasma.github.io/Logging_2482/tillsyn/A 41055-2023 tillsynsbegäran.docx", "A 41055-2023")</f>
        <v/>
      </c>
      <c r="Y173">
        <f>HYPERLINK("https://klasma.github.io/Logging_2482/tillsynsmail/A 41055-2023 tillsynsbegäran mail.docx", "A 41055-2023")</f>
        <v/>
      </c>
    </row>
    <row r="174" ht="15" customHeight="1">
      <c r="A174" t="inlineStr">
        <is>
          <t>A 60231-2022</t>
        </is>
      </c>
      <c r="B174" s="1" t="n">
        <v>44910</v>
      </c>
      <c r="C174" s="1" t="n">
        <v>45991</v>
      </c>
      <c r="D174" t="inlineStr">
        <is>
          <t>VÄSTERBOTTENS LÄN</t>
        </is>
      </c>
      <c r="E174" t="inlineStr">
        <is>
          <t>SKELLEFTEÅ</t>
        </is>
      </c>
      <c r="F174" t="inlineStr">
        <is>
          <t>Holmen skog AB</t>
        </is>
      </c>
      <c r="G174" t="n">
        <v>6.4</v>
      </c>
      <c r="H174" t="n">
        <v>1</v>
      </c>
      <c r="I174" t="n">
        <v>0</v>
      </c>
      <c r="J174" t="n">
        <v>0</v>
      </c>
      <c r="K174" t="n">
        <v>0</v>
      </c>
      <c r="L174" t="n">
        <v>0</v>
      </c>
      <c r="M174" t="n">
        <v>0</v>
      </c>
      <c r="N174" t="n">
        <v>0</v>
      </c>
      <c r="O174" t="n">
        <v>0</v>
      </c>
      <c r="P174" t="n">
        <v>0</v>
      </c>
      <c r="Q174" t="n">
        <v>1</v>
      </c>
      <c r="R174" s="2" t="inlineStr">
        <is>
          <t>Fläcknycklar</t>
        </is>
      </c>
      <c r="S174">
        <f>HYPERLINK("https://klasma.github.io/Logging_2482/artfynd/A 60231-2022 artfynd.xlsx", "A 60231-2022")</f>
        <v/>
      </c>
      <c r="T174">
        <f>HYPERLINK("https://klasma.github.io/Logging_2482/kartor/A 60231-2022 karta.png", "A 60231-2022")</f>
        <v/>
      </c>
      <c r="V174">
        <f>HYPERLINK("https://klasma.github.io/Logging_2482/klagomål/A 60231-2022 FSC-klagomål.docx", "A 60231-2022")</f>
        <v/>
      </c>
      <c r="W174">
        <f>HYPERLINK("https://klasma.github.io/Logging_2482/klagomålsmail/A 60231-2022 FSC-klagomål mail.docx", "A 60231-2022")</f>
        <v/>
      </c>
      <c r="X174">
        <f>HYPERLINK("https://klasma.github.io/Logging_2482/tillsyn/A 60231-2022 tillsynsbegäran.docx", "A 60231-2022")</f>
        <v/>
      </c>
      <c r="Y174">
        <f>HYPERLINK("https://klasma.github.io/Logging_2482/tillsynsmail/A 60231-2022 tillsynsbegäran mail.docx", "A 60231-2022")</f>
        <v/>
      </c>
    </row>
    <row r="175" ht="15" customHeight="1">
      <c r="A175" t="inlineStr">
        <is>
          <t>A 45376-2024</t>
        </is>
      </c>
      <c r="B175" s="1" t="n">
        <v>45576.51907407407</v>
      </c>
      <c r="C175" s="1" t="n">
        <v>45991</v>
      </c>
      <c r="D175" t="inlineStr">
        <is>
          <t>VÄSTERBOTTENS LÄN</t>
        </is>
      </c>
      <c r="E175" t="inlineStr">
        <is>
          <t>SKELLEFTEÅ</t>
        </is>
      </c>
      <c r="G175" t="n">
        <v>1.2</v>
      </c>
      <c r="H175" t="n">
        <v>1</v>
      </c>
      <c r="I175" t="n">
        <v>0</v>
      </c>
      <c r="J175" t="n">
        <v>0</v>
      </c>
      <c r="K175" t="n">
        <v>0</v>
      </c>
      <c r="L175" t="n">
        <v>0</v>
      </c>
      <c r="M175" t="n">
        <v>0</v>
      </c>
      <c r="N175" t="n">
        <v>0</v>
      </c>
      <c r="O175" t="n">
        <v>0</v>
      </c>
      <c r="P175" t="n">
        <v>0</v>
      </c>
      <c r="Q175" t="n">
        <v>1</v>
      </c>
      <c r="R175" s="2" t="inlineStr">
        <is>
          <t>Fläcknycklar</t>
        </is>
      </c>
      <c r="S175">
        <f>HYPERLINK("https://klasma.github.io/Logging_2482/artfynd/A 45376-2024 artfynd.xlsx", "A 45376-2024")</f>
        <v/>
      </c>
      <c r="T175">
        <f>HYPERLINK("https://klasma.github.io/Logging_2482/kartor/A 45376-2024 karta.png", "A 45376-2024")</f>
        <v/>
      </c>
      <c r="V175">
        <f>HYPERLINK("https://klasma.github.io/Logging_2482/klagomål/A 45376-2024 FSC-klagomål.docx", "A 45376-2024")</f>
        <v/>
      </c>
      <c r="W175">
        <f>HYPERLINK("https://klasma.github.io/Logging_2482/klagomålsmail/A 45376-2024 FSC-klagomål mail.docx", "A 45376-2024")</f>
        <v/>
      </c>
      <c r="X175">
        <f>HYPERLINK("https://klasma.github.io/Logging_2482/tillsyn/A 45376-2024 tillsynsbegäran.docx", "A 45376-2024")</f>
        <v/>
      </c>
      <c r="Y175">
        <f>HYPERLINK("https://klasma.github.io/Logging_2482/tillsynsmail/A 45376-2024 tillsynsbegäran mail.docx", "A 45376-2024")</f>
        <v/>
      </c>
    </row>
    <row r="176" ht="15" customHeight="1">
      <c r="A176" t="inlineStr">
        <is>
          <t>A 2436-2025</t>
        </is>
      </c>
      <c r="B176" s="1" t="n">
        <v>45673</v>
      </c>
      <c r="C176" s="1" t="n">
        <v>45991</v>
      </c>
      <c r="D176" t="inlineStr">
        <is>
          <t>VÄSTERBOTTENS LÄN</t>
        </is>
      </c>
      <c r="E176" t="inlineStr">
        <is>
          <t>SKELLEFTEÅ</t>
        </is>
      </c>
      <c r="G176" t="n">
        <v>5</v>
      </c>
      <c r="H176" t="n">
        <v>1</v>
      </c>
      <c r="I176" t="n">
        <v>0</v>
      </c>
      <c r="J176" t="n">
        <v>1</v>
      </c>
      <c r="K176" t="n">
        <v>0</v>
      </c>
      <c r="L176" t="n">
        <v>0</v>
      </c>
      <c r="M176" t="n">
        <v>0</v>
      </c>
      <c r="N176" t="n">
        <v>0</v>
      </c>
      <c r="O176" t="n">
        <v>1</v>
      </c>
      <c r="P176" t="n">
        <v>0</v>
      </c>
      <c r="Q176" t="n">
        <v>1</v>
      </c>
      <c r="R176" s="2" t="inlineStr">
        <is>
          <t>Tretåig hackspett</t>
        </is>
      </c>
      <c r="S176">
        <f>HYPERLINK("https://klasma.github.io/Logging_2482/artfynd/A 2436-2025 artfynd.xlsx", "A 2436-2025")</f>
        <v/>
      </c>
      <c r="T176">
        <f>HYPERLINK("https://klasma.github.io/Logging_2482/kartor/A 2436-2025 karta.png", "A 2436-2025")</f>
        <v/>
      </c>
      <c r="V176">
        <f>HYPERLINK("https://klasma.github.io/Logging_2482/klagomål/A 2436-2025 FSC-klagomål.docx", "A 2436-2025")</f>
        <v/>
      </c>
      <c r="W176">
        <f>HYPERLINK("https://klasma.github.io/Logging_2482/klagomålsmail/A 2436-2025 FSC-klagomål mail.docx", "A 2436-2025")</f>
        <v/>
      </c>
      <c r="X176">
        <f>HYPERLINK("https://klasma.github.io/Logging_2482/tillsyn/A 2436-2025 tillsynsbegäran.docx", "A 2436-2025")</f>
        <v/>
      </c>
      <c r="Y176">
        <f>HYPERLINK("https://klasma.github.io/Logging_2482/tillsynsmail/A 2436-2025 tillsynsbegäran mail.docx", "A 2436-2025")</f>
        <v/>
      </c>
      <c r="Z176">
        <f>HYPERLINK("https://klasma.github.io/Logging_2482/fåglar/A 2436-2025 prioriterade fågelarter.docx", "A 2436-2025")</f>
        <v/>
      </c>
    </row>
    <row r="177" ht="15" customHeight="1">
      <c r="A177" t="inlineStr">
        <is>
          <t>A 32566-2023</t>
        </is>
      </c>
      <c r="B177" s="1" t="n">
        <v>45121</v>
      </c>
      <c r="C177" s="1" t="n">
        <v>45991</v>
      </c>
      <c r="D177" t="inlineStr">
        <is>
          <t>VÄSTERBOTTENS LÄN</t>
        </is>
      </c>
      <c r="E177" t="inlineStr">
        <is>
          <t>SKELLEFTEÅ</t>
        </is>
      </c>
      <c r="F177" t="inlineStr">
        <is>
          <t>Holmen skog AB</t>
        </is>
      </c>
      <c r="G177" t="n">
        <v>13</v>
      </c>
      <c r="H177" t="n">
        <v>1</v>
      </c>
      <c r="I177" t="n">
        <v>0</v>
      </c>
      <c r="J177" t="n">
        <v>0</v>
      </c>
      <c r="K177" t="n">
        <v>0</v>
      </c>
      <c r="L177" t="n">
        <v>0</v>
      </c>
      <c r="M177" t="n">
        <v>0</v>
      </c>
      <c r="N177" t="n">
        <v>0</v>
      </c>
      <c r="O177" t="n">
        <v>0</v>
      </c>
      <c r="P177" t="n">
        <v>0</v>
      </c>
      <c r="Q177" t="n">
        <v>1</v>
      </c>
      <c r="R177" s="2" t="inlineStr">
        <is>
          <t>Revlummer</t>
        </is>
      </c>
      <c r="S177">
        <f>HYPERLINK("https://klasma.github.io/Logging_2482/artfynd/A 32566-2023 artfynd.xlsx", "A 32566-2023")</f>
        <v/>
      </c>
      <c r="T177">
        <f>HYPERLINK("https://klasma.github.io/Logging_2482/kartor/A 32566-2023 karta.png", "A 32566-2023")</f>
        <v/>
      </c>
      <c r="V177">
        <f>HYPERLINK("https://klasma.github.io/Logging_2482/klagomål/A 32566-2023 FSC-klagomål.docx", "A 32566-2023")</f>
        <v/>
      </c>
      <c r="W177">
        <f>HYPERLINK("https://klasma.github.io/Logging_2482/klagomålsmail/A 32566-2023 FSC-klagomål mail.docx", "A 32566-2023")</f>
        <v/>
      </c>
      <c r="X177">
        <f>HYPERLINK("https://klasma.github.io/Logging_2482/tillsyn/A 32566-2023 tillsynsbegäran.docx", "A 32566-2023")</f>
        <v/>
      </c>
      <c r="Y177">
        <f>HYPERLINK("https://klasma.github.io/Logging_2482/tillsynsmail/A 32566-2023 tillsynsbegäran mail.docx", "A 32566-2023")</f>
        <v/>
      </c>
    </row>
    <row r="178" ht="15" customHeight="1">
      <c r="A178" t="inlineStr">
        <is>
          <t>A 20856-2021</t>
        </is>
      </c>
      <c r="B178" s="1" t="n">
        <v>44319</v>
      </c>
      <c r="C178" s="1" t="n">
        <v>45991</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45991</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45991</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45991</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45991</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45991</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45991</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45991</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45991</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45991</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45991</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45991</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45991</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45991</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45991</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70508-2021</t>
        </is>
      </c>
      <c r="B193" s="1" t="n">
        <v>44536</v>
      </c>
      <c r="C193" s="1" t="n">
        <v>45991</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45991</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45991</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45991</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45991</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45991</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45991</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45991</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45991</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45991</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45991</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45991</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45991</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45991</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45991</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45991</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45991</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45991</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45991</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45991</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45991</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45991</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45991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45991</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45991</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40034-2022</t>
        </is>
      </c>
      <c r="B218" s="1" t="n">
        <v>44820.42978009259</v>
      </c>
      <c r="C218" s="1" t="n">
        <v>45991</v>
      </c>
      <c r="D218" t="inlineStr">
        <is>
          <t>VÄSTERBOTTENS LÄN</t>
        </is>
      </c>
      <c r="E218" t="inlineStr">
        <is>
          <t>SKELLEFTEÅ</t>
        </is>
      </c>
      <c r="G218" t="n">
        <v>6.2</v>
      </c>
      <c r="H218" t="n">
        <v>0</v>
      </c>
      <c r="I218" t="n">
        <v>0</v>
      </c>
      <c r="J218" t="n">
        <v>0</v>
      </c>
      <c r="K218" t="n">
        <v>0</v>
      </c>
      <c r="L218" t="n">
        <v>0</v>
      </c>
      <c r="M218" t="n">
        <v>0</v>
      </c>
      <c r="N218" t="n">
        <v>0</v>
      </c>
      <c r="O218" t="n">
        <v>0</v>
      </c>
      <c r="P218" t="n">
        <v>0</v>
      </c>
      <c r="Q218" t="n">
        <v>0</v>
      </c>
      <c r="R218" s="2" t="inlineStr"/>
    </row>
    <row r="219" ht="15" customHeight="1">
      <c r="A219" t="inlineStr">
        <is>
          <t>A 52482-2022</t>
        </is>
      </c>
      <c r="B219" s="1" t="n">
        <v>44869</v>
      </c>
      <c r="C219" s="1" t="n">
        <v>45991</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45991</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66756-2021</t>
        </is>
      </c>
      <c r="B221" s="1" t="n">
        <v>44521.76505787037</v>
      </c>
      <c r="C221" s="1" t="n">
        <v>45991</v>
      </c>
      <c r="D221" t="inlineStr">
        <is>
          <t>VÄSTERBOTTENS LÄN</t>
        </is>
      </c>
      <c r="E221" t="inlineStr">
        <is>
          <t>SKELLEFTEÅ</t>
        </is>
      </c>
      <c r="G221" t="n">
        <v>5.3</v>
      </c>
      <c r="H221" t="n">
        <v>0</v>
      </c>
      <c r="I221" t="n">
        <v>0</v>
      </c>
      <c r="J221" t="n">
        <v>0</v>
      </c>
      <c r="K221" t="n">
        <v>0</v>
      </c>
      <c r="L221" t="n">
        <v>0</v>
      </c>
      <c r="M221" t="n">
        <v>0</v>
      </c>
      <c r="N221" t="n">
        <v>0</v>
      </c>
      <c r="O221" t="n">
        <v>0</v>
      </c>
      <c r="P221" t="n">
        <v>0</v>
      </c>
      <c r="Q221" t="n">
        <v>0</v>
      </c>
      <c r="R221" s="2" t="inlineStr"/>
    </row>
    <row r="222" ht="15" customHeight="1">
      <c r="A222" t="inlineStr">
        <is>
          <t>A 36609-2021</t>
        </is>
      </c>
      <c r="B222" s="1" t="n">
        <v>44391</v>
      </c>
      <c r="C222" s="1" t="n">
        <v>45991</v>
      </c>
      <c r="D222" t="inlineStr">
        <is>
          <t>VÄSTERBOTTENS LÄN</t>
        </is>
      </c>
      <c r="E222" t="inlineStr">
        <is>
          <t>SKELLEFTEÅ</t>
        </is>
      </c>
      <c r="G222" t="n">
        <v>10.6</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45991</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45991</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45991</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45991</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45991</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45991</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45991</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45991</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45991</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45991</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45991</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45991</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45991</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45991</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45991</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45991</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45991</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45890-2022</t>
        </is>
      </c>
      <c r="B240" s="1" t="n">
        <v>44844</v>
      </c>
      <c r="C240" s="1" t="n">
        <v>45991</v>
      </c>
      <c r="D240" t="inlineStr">
        <is>
          <t>VÄSTERBOTTENS LÄN</t>
        </is>
      </c>
      <c r="E240" t="inlineStr">
        <is>
          <t>SKELLEFTEÅ</t>
        </is>
      </c>
      <c r="G240" t="n">
        <v>0.5</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45991</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45991</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45991</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45991</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45991</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45991</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45991</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45991</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45991</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45991</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45991</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45991</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45991</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45991</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45991</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45991</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34547-2022</t>
        </is>
      </c>
      <c r="B257" s="1" t="n">
        <v>44793.9403587963</v>
      </c>
      <c r="C257" s="1" t="n">
        <v>45991</v>
      </c>
      <c r="D257" t="inlineStr">
        <is>
          <t>VÄSTERBOTTENS LÄN</t>
        </is>
      </c>
      <c r="E257" t="inlineStr">
        <is>
          <t>SKELLEFTEÅ</t>
        </is>
      </c>
      <c r="F257" t="inlineStr">
        <is>
          <t>SCA</t>
        </is>
      </c>
      <c r="G257" t="n">
        <v>6.8</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45991</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45991</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45991</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45991</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45991</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45991</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45991</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45991</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45991</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45991</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32344-2022</t>
        </is>
      </c>
      <c r="B268" s="1" t="n">
        <v>44781.88997685185</v>
      </c>
      <c r="C268" s="1" t="n">
        <v>45991</v>
      </c>
      <c r="D268" t="inlineStr">
        <is>
          <t>VÄSTERBOTTENS LÄN</t>
        </is>
      </c>
      <c r="E268" t="inlineStr">
        <is>
          <t>SKELLEFTEÅ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45991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72203-2021</t>
        </is>
      </c>
      <c r="B270" s="1" t="n">
        <v>44543</v>
      </c>
      <c r="C270" s="1" t="n">
        <v>45991</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45991</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45991</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45991</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45991</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37937-2021</t>
        </is>
      </c>
      <c r="B275" s="1" t="n">
        <v>44403</v>
      </c>
      <c r="C275" s="1" t="n">
        <v>45991</v>
      </c>
      <c r="D275" t="inlineStr">
        <is>
          <t>VÄSTERBOTTENS LÄN</t>
        </is>
      </c>
      <c r="E275" t="inlineStr">
        <is>
          <t>SKELLEFTEÅ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45991</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45991</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45991</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45991</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45991</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45991</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45991</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45991</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45991</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45991</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45991</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45991</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45991</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45991</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45991</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45991</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19870-2022</t>
        </is>
      </c>
      <c r="B292" s="1" t="n">
        <v>44694</v>
      </c>
      <c r="C292" s="1" t="n">
        <v>45991</v>
      </c>
      <c r="D292" t="inlineStr">
        <is>
          <t>VÄSTERBOTTENS LÄN</t>
        </is>
      </c>
      <c r="E292" t="inlineStr">
        <is>
          <t>SKELLEFTEÅ</t>
        </is>
      </c>
      <c r="G292" t="n">
        <v>5.5</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45991</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45991</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45991</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45991</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45991</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45991</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45991</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45991</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45991</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45991</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45991</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45991</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45991</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45991</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45991</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45991</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45991</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45991</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64485-2020</t>
        </is>
      </c>
      <c r="B311" s="1" t="n">
        <v>44168</v>
      </c>
      <c r="C311" s="1" t="n">
        <v>45991</v>
      </c>
      <c r="D311" t="inlineStr">
        <is>
          <t>VÄSTERBOTTENS LÄN</t>
        </is>
      </c>
      <c r="E311" t="inlineStr">
        <is>
          <t>SKELLEFTEÅ</t>
        </is>
      </c>
      <c r="G311" t="n">
        <v>35.4</v>
      </c>
      <c r="H311" t="n">
        <v>0</v>
      </c>
      <c r="I311" t="n">
        <v>0</v>
      </c>
      <c r="J311" t="n">
        <v>0</v>
      </c>
      <c r="K311" t="n">
        <v>0</v>
      </c>
      <c r="L311" t="n">
        <v>0</v>
      </c>
      <c r="M311" t="n">
        <v>0</v>
      </c>
      <c r="N311" t="n">
        <v>0</v>
      </c>
      <c r="O311" t="n">
        <v>0</v>
      </c>
      <c r="P311" t="n">
        <v>0</v>
      </c>
      <c r="Q311" t="n">
        <v>0</v>
      </c>
      <c r="R311" s="2" t="inlineStr"/>
    </row>
    <row r="312" ht="15" customHeight="1">
      <c r="A312" t="inlineStr">
        <is>
          <t>A 10471-2021</t>
        </is>
      </c>
      <c r="B312" s="1" t="n">
        <v>44257</v>
      </c>
      <c r="C312" s="1" t="n">
        <v>45991</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37498-2021</t>
        </is>
      </c>
      <c r="B313" s="1" t="n">
        <v>44399</v>
      </c>
      <c r="C313" s="1" t="n">
        <v>45991</v>
      </c>
      <c r="D313" t="inlineStr">
        <is>
          <t>VÄSTERBOTTENS LÄN</t>
        </is>
      </c>
      <c r="E313" t="inlineStr">
        <is>
          <t>SKELLEFTEÅ</t>
        </is>
      </c>
      <c r="G313" t="n">
        <v>12.8</v>
      </c>
      <c r="H313" t="n">
        <v>0</v>
      </c>
      <c r="I313" t="n">
        <v>0</v>
      </c>
      <c r="J313" t="n">
        <v>0</v>
      </c>
      <c r="K313" t="n">
        <v>0</v>
      </c>
      <c r="L313" t="n">
        <v>0</v>
      </c>
      <c r="M313" t="n">
        <v>0</v>
      </c>
      <c r="N313" t="n">
        <v>0</v>
      </c>
      <c r="O313" t="n">
        <v>0</v>
      </c>
      <c r="P313" t="n">
        <v>0</v>
      </c>
      <c r="Q313" t="n">
        <v>0</v>
      </c>
      <c r="R313" s="2" t="inlineStr"/>
    </row>
    <row r="314" ht="15" customHeight="1">
      <c r="A314" t="inlineStr">
        <is>
          <t>A 25674-2022</t>
        </is>
      </c>
      <c r="B314" s="1" t="n">
        <v>44732</v>
      </c>
      <c r="C314" s="1" t="n">
        <v>45991</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1834-2022</t>
        </is>
      </c>
      <c r="B315" s="1" t="n">
        <v>44574.67953703704</v>
      </c>
      <c r="C315" s="1" t="n">
        <v>45991</v>
      </c>
      <c r="D315" t="inlineStr">
        <is>
          <t>VÄSTERBOTTENS LÄN</t>
        </is>
      </c>
      <c r="E315" t="inlineStr">
        <is>
          <t>SKELLEFTEÅ</t>
        </is>
      </c>
      <c r="G315" t="n">
        <v>9.9</v>
      </c>
      <c r="H315" t="n">
        <v>0</v>
      </c>
      <c r="I315" t="n">
        <v>0</v>
      </c>
      <c r="J315" t="n">
        <v>0</v>
      </c>
      <c r="K315" t="n">
        <v>0</v>
      </c>
      <c r="L315" t="n">
        <v>0</v>
      </c>
      <c r="M315" t="n">
        <v>0</v>
      </c>
      <c r="N315" t="n">
        <v>0</v>
      </c>
      <c r="O315" t="n">
        <v>0</v>
      </c>
      <c r="P315" t="n">
        <v>0</v>
      </c>
      <c r="Q315" t="n">
        <v>0</v>
      </c>
      <c r="R315" s="2" t="inlineStr"/>
    </row>
    <row r="316" ht="15" customHeight="1">
      <c r="A316" t="inlineStr">
        <is>
          <t>A 39985-2022</t>
        </is>
      </c>
      <c r="B316" s="1" t="n">
        <v>44820.34109953704</v>
      </c>
      <c r="C316" s="1" t="n">
        <v>45991</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2607-2022</t>
        </is>
      </c>
      <c r="B317" s="1" t="n">
        <v>44580</v>
      </c>
      <c r="C317" s="1" t="n">
        <v>45991</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49757-2022</t>
        </is>
      </c>
      <c r="B318" s="1" t="n">
        <v>44862.59038194444</v>
      </c>
      <c r="C318" s="1" t="n">
        <v>45991</v>
      </c>
      <c r="D318" t="inlineStr">
        <is>
          <t>VÄSTERBOTTENS LÄN</t>
        </is>
      </c>
      <c r="E318" t="inlineStr">
        <is>
          <t>SKELLEFTEÅ</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59659-2021</t>
        </is>
      </c>
      <c r="B319" s="1" t="n">
        <v>44491</v>
      </c>
      <c r="C319" s="1" t="n">
        <v>45991</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7038-2021</t>
        </is>
      </c>
      <c r="B320" s="1" t="n">
        <v>44237</v>
      </c>
      <c r="C320" s="1" t="n">
        <v>45991</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55814-2021</t>
        </is>
      </c>
      <c r="B321" s="1" t="n">
        <v>44476.59821759259</v>
      </c>
      <c r="C321" s="1" t="n">
        <v>45991</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1076-2021</t>
        </is>
      </c>
      <c r="B322" s="1" t="n">
        <v>44207</v>
      </c>
      <c r="C322" s="1" t="n">
        <v>45991</v>
      </c>
      <c r="D322" t="inlineStr">
        <is>
          <t>VÄSTERBOTTENS LÄN</t>
        </is>
      </c>
      <c r="E322" t="inlineStr">
        <is>
          <t>SKELLEFTEÅ</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2575-2021</t>
        </is>
      </c>
      <c r="B323" s="1" t="n">
        <v>44214</v>
      </c>
      <c r="C323" s="1" t="n">
        <v>45991</v>
      </c>
      <c r="D323" t="inlineStr">
        <is>
          <t>VÄSTERBOTTENS LÄN</t>
        </is>
      </c>
      <c r="E323" t="inlineStr">
        <is>
          <t>SKELLEFTEÅ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29276-2021</t>
        </is>
      </c>
      <c r="B324" s="1" t="n">
        <v>44361</v>
      </c>
      <c r="C324" s="1" t="n">
        <v>45991</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73956-2021</t>
        </is>
      </c>
      <c r="B325" s="1" t="n">
        <v>44553</v>
      </c>
      <c r="C325" s="1" t="n">
        <v>45991</v>
      </c>
      <c r="D325" t="inlineStr">
        <is>
          <t>VÄSTERBOTTENS LÄN</t>
        </is>
      </c>
      <c r="E325" t="inlineStr">
        <is>
          <t>SKELLEFTEÅ</t>
        </is>
      </c>
      <c r="G325" t="n">
        <v>1</v>
      </c>
      <c r="H325" t="n">
        <v>0</v>
      </c>
      <c r="I325" t="n">
        <v>0</v>
      </c>
      <c r="J325" t="n">
        <v>0</v>
      </c>
      <c r="K325" t="n">
        <v>0</v>
      </c>
      <c r="L325" t="n">
        <v>0</v>
      </c>
      <c r="M325" t="n">
        <v>0</v>
      </c>
      <c r="N325" t="n">
        <v>0</v>
      </c>
      <c r="O325" t="n">
        <v>0</v>
      </c>
      <c r="P325" t="n">
        <v>0</v>
      </c>
      <c r="Q325" t="n">
        <v>0</v>
      </c>
      <c r="R325" s="2" t="inlineStr"/>
    </row>
    <row r="326" ht="15" customHeight="1">
      <c r="A326" t="inlineStr">
        <is>
          <t>A 5095-2021</t>
        </is>
      </c>
      <c r="B326" s="1" t="n">
        <v>44224</v>
      </c>
      <c r="C326" s="1" t="n">
        <v>45991</v>
      </c>
      <c r="D326" t="inlineStr">
        <is>
          <t>VÄSTERBOTTENS LÄN</t>
        </is>
      </c>
      <c r="E326" t="inlineStr">
        <is>
          <t>SKELLEFTEÅ</t>
        </is>
      </c>
      <c r="G326" t="n">
        <v>5.6</v>
      </c>
      <c r="H326" t="n">
        <v>0</v>
      </c>
      <c r="I326" t="n">
        <v>0</v>
      </c>
      <c r="J326" t="n">
        <v>0</v>
      </c>
      <c r="K326" t="n">
        <v>0</v>
      </c>
      <c r="L326" t="n">
        <v>0</v>
      </c>
      <c r="M326" t="n">
        <v>0</v>
      </c>
      <c r="N326" t="n">
        <v>0</v>
      </c>
      <c r="O326" t="n">
        <v>0</v>
      </c>
      <c r="P326" t="n">
        <v>0</v>
      </c>
      <c r="Q326" t="n">
        <v>0</v>
      </c>
      <c r="R326" s="2" t="inlineStr"/>
    </row>
    <row r="327" ht="15" customHeight="1">
      <c r="A327" t="inlineStr">
        <is>
          <t>A 35888-2022</t>
        </is>
      </c>
      <c r="B327" s="1" t="n">
        <v>44803</v>
      </c>
      <c r="C327" s="1" t="n">
        <v>45991</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62486-2021</t>
        </is>
      </c>
      <c r="B328" s="1" t="n">
        <v>44503</v>
      </c>
      <c r="C328" s="1" t="n">
        <v>45991</v>
      </c>
      <c r="D328" t="inlineStr">
        <is>
          <t>VÄSTERBOTTENS LÄN</t>
        </is>
      </c>
      <c r="E328" t="inlineStr">
        <is>
          <t>SKELLEFTEÅ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22568-2021</t>
        </is>
      </c>
      <c r="B329" s="1" t="n">
        <v>44322</v>
      </c>
      <c r="C329" s="1" t="n">
        <v>45991</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71410-2021</t>
        </is>
      </c>
      <c r="B330" s="1" t="n">
        <v>44540.36674768518</v>
      </c>
      <c r="C330" s="1" t="n">
        <v>45991</v>
      </c>
      <c r="D330" t="inlineStr">
        <is>
          <t>VÄSTERBOTTENS LÄN</t>
        </is>
      </c>
      <c r="E330" t="inlineStr">
        <is>
          <t>SKELLEFTEÅ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9045-2021</t>
        </is>
      </c>
      <c r="B331" s="1" t="n">
        <v>44249</v>
      </c>
      <c r="C331" s="1" t="n">
        <v>45991</v>
      </c>
      <c r="D331" t="inlineStr">
        <is>
          <t>VÄSTERBOTTENS LÄN</t>
        </is>
      </c>
      <c r="E331" t="inlineStr">
        <is>
          <t>SKELLEFTEÅ</t>
        </is>
      </c>
      <c r="G331" t="n">
        <v>3.8</v>
      </c>
      <c r="H331" t="n">
        <v>0</v>
      </c>
      <c r="I331" t="n">
        <v>0</v>
      </c>
      <c r="J331" t="n">
        <v>0</v>
      </c>
      <c r="K331" t="n">
        <v>0</v>
      </c>
      <c r="L331" t="n">
        <v>0</v>
      </c>
      <c r="M331" t="n">
        <v>0</v>
      </c>
      <c r="N331" t="n">
        <v>0</v>
      </c>
      <c r="O331" t="n">
        <v>0</v>
      </c>
      <c r="P331" t="n">
        <v>0</v>
      </c>
      <c r="Q331" t="n">
        <v>0</v>
      </c>
      <c r="R331" s="2" t="inlineStr"/>
    </row>
    <row r="332" ht="15" customHeight="1">
      <c r="A332" t="inlineStr">
        <is>
          <t>A 17197-2022</t>
        </is>
      </c>
      <c r="B332" s="1" t="n">
        <v>44677.75340277778</v>
      </c>
      <c r="C332" s="1" t="n">
        <v>45991</v>
      </c>
      <c r="D332" t="inlineStr">
        <is>
          <t>VÄSTERBOTTENS LÄN</t>
        </is>
      </c>
      <c r="E332" t="inlineStr">
        <is>
          <t>SKELLEFTEÅ</t>
        </is>
      </c>
      <c r="G332" t="n">
        <v>5.8</v>
      </c>
      <c r="H332" t="n">
        <v>0</v>
      </c>
      <c r="I332" t="n">
        <v>0</v>
      </c>
      <c r="J332" t="n">
        <v>0</v>
      </c>
      <c r="K332" t="n">
        <v>0</v>
      </c>
      <c r="L332" t="n">
        <v>0</v>
      </c>
      <c r="M332" t="n">
        <v>0</v>
      </c>
      <c r="N332" t="n">
        <v>0</v>
      </c>
      <c r="O332" t="n">
        <v>0</v>
      </c>
      <c r="P332" t="n">
        <v>0</v>
      </c>
      <c r="Q332" t="n">
        <v>0</v>
      </c>
      <c r="R332" s="2" t="inlineStr"/>
    </row>
    <row r="333" ht="15" customHeight="1">
      <c r="A333" t="inlineStr">
        <is>
          <t>A 39732-2022</t>
        </is>
      </c>
      <c r="B333" s="1" t="n">
        <v>44819.34829861111</v>
      </c>
      <c r="C333" s="1" t="n">
        <v>45991</v>
      </c>
      <c r="D333" t="inlineStr">
        <is>
          <t>VÄSTERBOTTENS LÄN</t>
        </is>
      </c>
      <c r="E333" t="inlineStr">
        <is>
          <t>SKELLEFTEÅ</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32436-2022</t>
        </is>
      </c>
      <c r="B334" s="1" t="n">
        <v>44782</v>
      </c>
      <c r="C334" s="1" t="n">
        <v>45991</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45985-2022</t>
        </is>
      </c>
      <c r="B335" s="1" t="n">
        <v>44844</v>
      </c>
      <c r="C335" s="1" t="n">
        <v>45991</v>
      </c>
      <c r="D335" t="inlineStr">
        <is>
          <t>VÄSTERBOTTENS LÄN</t>
        </is>
      </c>
      <c r="E335" t="inlineStr">
        <is>
          <t>SKELLEFTEÅ</t>
        </is>
      </c>
      <c r="G335" t="n">
        <v>0.7</v>
      </c>
      <c r="H335" t="n">
        <v>0</v>
      </c>
      <c r="I335" t="n">
        <v>0</v>
      </c>
      <c r="J335" t="n">
        <v>0</v>
      </c>
      <c r="K335" t="n">
        <v>0</v>
      </c>
      <c r="L335" t="n">
        <v>0</v>
      </c>
      <c r="M335" t="n">
        <v>0</v>
      </c>
      <c r="N335" t="n">
        <v>0</v>
      </c>
      <c r="O335" t="n">
        <v>0</v>
      </c>
      <c r="P335" t="n">
        <v>0</v>
      </c>
      <c r="Q335" t="n">
        <v>0</v>
      </c>
      <c r="R335" s="2" t="inlineStr"/>
    </row>
    <row r="336" ht="15" customHeight="1">
      <c r="A336" t="inlineStr">
        <is>
          <t>A 39019-2022</t>
        </is>
      </c>
      <c r="B336" s="1" t="n">
        <v>44817</v>
      </c>
      <c r="C336" s="1" t="n">
        <v>45991</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40219-2022</t>
        </is>
      </c>
      <c r="B337" s="1" t="n">
        <v>44820</v>
      </c>
      <c r="C337" s="1" t="n">
        <v>45991</v>
      </c>
      <c r="D337" t="inlineStr">
        <is>
          <t>VÄSTERBOTTENS LÄN</t>
        </is>
      </c>
      <c r="E337" t="inlineStr">
        <is>
          <t>SKELLEFTEÅ</t>
        </is>
      </c>
      <c r="F337" t="inlineStr">
        <is>
          <t>Sveaskog</t>
        </is>
      </c>
      <c r="G337" t="n">
        <v>12.7</v>
      </c>
      <c r="H337" t="n">
        <v>0</v>
      </c>
      <c r="I337" t="n">
        <v>0</v>
      </c>
      <c r="J337" t="n">
        <v>0</v>
      </c>
      <c r="K337" t="n">
        <v>0</v>
      </c>
      <c r="L337" t="n">
        <v>0</v>
      </c>
      <c r="M337" t="n">
        <v>0</v>
      </c>
      <c r="N337" t="n">
        <v>0</v>
      </c>
      <c r="O337" t="n">
        <v>0</v>
      </c>
      <c r="P337" t="n">
        <v>0</v>
      </c>
      <c r="Q337" t="n">
        <v>0</v>
      </c>
      <c r="R337" s="2" t="inlineStr"/>
    </row>
    <row r="338" ht="15" customHeight="1">
      <c r="A338" t="inlineStr">
        <is>
          <t>A 27637-2022</t>
        </is>
      </c>
      <c r="B338" s="1" t="n">
        <v>44743</v>
      </c>
      <c r="C338" s="1" t="n">
        <v>45991</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66250-2021</t>
        </is>
      </c>
      <c r="B339" s="1" t="n">
        <v>44518.42975694445</v>
      </c>
      <c r="C339" s="1" t="n">
        <v>45991</v>
      </c>
      <c r="D339" t="inlineStr">
        <is>
          <t>VÄSTERBOTTENS LÄN</t>
        </is>
      </c>
      <c r="E339" t="inlineStr">
        <is>
          <t>SKELLEFTEÅ</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45991</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45991</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45991</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45991</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43917-2022</t>
        </is>
      </c>
      <c r="B344" s="1" t="n">
        <v>44838.51583333333</v>
      </c>
      <c r="C344" s="1" t="n">
        <v>45991</v>
      </c>
      <c r="D344" t="inlineStr">
        <is>
          <t>VÄSTERBOTTENS LÄN</t>
        </is>
      </c>
      <c r="E344" t="inlineStr">
        <is>
          <t>SKELLEFTEÅ</t>
        </is>
      </c>
      <c r="G344" t="n">
        <v>1.3</v>
      </c>
      <c r="H344" t="n">
        <v>0</v>
      </c>
      <c r="I344" t="n">
        <v>0</v>
      </c>
      <c r="J344" t="n">
        <v>0</v>
      </c>
      <c r="K344" t="n">
        <v>0</v>
      </c>
      <c r="L344" t="n">
        <v>0</v>
      </c>
      <c r="M344" t="n">
        <v>0</v>
      </c>
      <c r="N344" t="n">
        <v>0</v>
      </c>
      <c r="O344" t="n">
        <v>0</v>
      </c>
      <c r="P344" t="n">
        <v>0</v>
      </c>
      <c r="Q344" t="n">
        <v>0</v>
      </c>
      <c r="R344" s="2" t="inlineStr"/>
    </row>
    <row r="345" ht="15" customHeight="1">
      <c r="A345" t="inlineStr">
        <is>
          <t>A 17251-2022</t>
        </is>
      </c>
      <c r="B345" s="1" t="n">
        <v>44678</v>
      </c>
      <c r="C345" s="1" t="n">
        <v>45991</v>
      </c>
      <c r="D345" t="inlineStr">
        <is>
          <t>VÄSTERBOTTENS LÄN</t>
        </is>
      </c>
      <c r="E345" t="inlineStr">
        <is>
          <t>SKELLEFTEÅ</t>
        </is>
      </c>
      <c r="G345" t="n">
        <v>5.4</v>
      </c>
      <c r="H345" t="n">
        <v>0</v>
      </c>
      <c r="I345" t="n">
        <v>0</v>
      </c>
      <c r="J345" t="n">
        <v>0</v>
      </c>
      <c r="K345" t="n">
        <v>0</v>
      </c>
      <c r="L345" t="n">
        <v>0</v>
      </c>
      <c r="M345" t="n">
        <v>0</v>
      </c>
      <c r="N345" t="n">
        <v>0</v>
      </c>
      <c r="O345" t="n">
        <v>0</v>
      </c>
      <c r="P345" t="n">
        <v>0</v>
      </c>
      <c r="Q345" t="n">
        <v>0</v>
      </c>
      <c r="R345" s="2" t="inlineStr"/>
    </row>
    <row r="346" ht="15" customHeight="1">
      <c r="A346" t="inlineStr">
        <is>
          <t>A 3575-2021</t>
        </is>
      </c>
      <c r="B346" s="1" t="n">
        <v>44218</v>
      </c>
      <c r="C346" s="1" t="n">
        <v>45991</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3362-2022</t>
        </is>
      </c>
      <c r="B347" s="1" t="n">
        <v>44585</v>
      </c>
      <c r="C347" s="1" t="n">
        <v>45991</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70703-2021</t>
        </is>
      </c>
      <c r="B348" s="1" t="n">
        <v>44536</v>
      </c>
      <c r="C348" s="1" t="n">
        <v>45991</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6666-2022</t>
        </is>
      </c>
      <c r="B349" s="1" t="n">
        <v>44602.37965277778</v>
      </c>
      <c r="C349" s="1" t="n">
        <v>45991</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22661-2022</t>
        </is>
      </c>
      <c r="B350" s="1" t="n">
        <v>44714</v>
      </c>
      <c r="C350" s="1" t="n">
        <v>45991</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31197-2021</t>
        </is>
      </c>
      <c r="B351" s="1" t="n">
        <v>44368</v>
      </c>
      <c r="C351" s="1" t="n">
        <v>45991</v>
      </c>
      <c r="D351" t="inlineStr">
        <is>
          <t>VÄSTERBOTTENS LÄN</t>
        </is>
      </c>
      <c r="E351" t="inlineStr">
        <is>
          <t>SKELLEFTEÅ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24242-2022</t>
        </is>
      </c>
      <c r="B352" s="1" t="n">
        <v>44725.66059027778</v>
      </c>
      <c r="C352" s="1" t="n">
        <v>45991</v>
      </c>
      <c r="D352" t="inlineStr">
        <is>
          <t>VÄSTERBOTTENS LÄN</t>
        </is>
      </c>
      <c r="E352" t="inlineStr">
        <is>
          <t>SKELLEFTEÅ</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51919-2022</t>
        </is>
      </c>
      <c r="B353" s="1" t="n">
        <v>44872.63363425926</v>
      </c>
      <c r="C353" s="1" t="n">
        <v>45991</v>
      </c>
      <c r="D353" t="inlineStr">
        <is>
          <t>VÄSTERBOTTENS LÄN</t>
        </is>
      </c>
      <c r="E353" t="inlineStr">
        <is>
          <t>SKELLEFTEÅ</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21843-2022</t>
        </is>
      </c>
      <c r="B354" s="1" t="n">
        <v>44711</v>
      </c>
      <c r="C354" s="1" t="n">
        <v>45991</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32438-2021</t>
        </is>
      </c>
      <c r="B355" s="1" t="n">
        <v>44371</v>
      </c>
      <c r="C355" s="1" t="n">
        <v>45991</v>
      </c>
      <c r="D355" t="inlineStr">
        <is>
          <t>VÄSTERBOTTENS LÄN</t>
        </is>
      </c>
      <c r="E355" t="inlineStr">
        <is>
          <t>SKELLEFTEÅ</t>
        </is>
      </c>
      <c r="G355" t="n">
        <v>4.7</v>
      </c>
      <c r="H355" t="n">
        <v>0</v>
      </c>
      <c r="I355" t="n">
        <v>0</v>
      </c>
      <c r="J355" t="n">
        <v>0</v>
      </c>
      <c r="K355" t="n">
        <v>0</v>
      </c>
      <c r="L355" t="n">
        <v>0</v>
      </c>
      <c r="M355" t="n">
        <v>0</v>
      </c>
      <c r="N355" t="n">
        <v>0</v>
      </c>
      <c r="O355" t="n">
        <v>0</v>
      </c>
      <c r="P355" t="n">
        <v>0</v>
      </c>
      <c r="Q355" t="n">
        <v>0</v>
      </c>
      <c r="R355" s="2" t="inlineStr"/>
    </row>
    <row r="356" ht="15" customHeight="1">
      <c r="A356" t="inlineStr">
        <is>
          <t>A 30754-2021</t>
        </is>
      </c>
      <c r="B356" s="1" t="n">
        <v>44365.46270833333</v>
      </c>
      <c r="C356" s="1" t="n">
        <v>45991</v>
      </c>
      <c r="D356" t="inlineStr">
        <is>
          <t>VÄSTERBOTTENS LÄN</t>
        </is>
      </c>
      <c r="E356" t="inlineStr">
        <is>
          <t>SKELLEFTEÅ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73614-2021</t>
        </is>
      </c>
      <c r="B357" s="1" t="n">
        <v>44551</v>
      </c>
      <c r="C357" s="1" t="n">
        <v>45991</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50055-2022</t>
        </is>
      </c>
      <c r="B358" s="1" t="n">
        <v>44865.47516203704</v>
      </c>
      <c r="C358" s="1" t="n">
        <v>45991</v>
      </c>
      <c r="D358" t="inlineStr">
        <is>
          <t>VÄSTERBOTTENS LÄN</t>
        </is>
      </c>
      <c r="E358" t="inlineStr">
        <is>
          <t>SKELLEFTEÅ</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65455-2021</t>
        </is>
      </c>
      <c r="B359" s="1" t="n">
        <v>44516.28991898148</v>
      </c>
      <c r="C359" s="1" t="n">
        <v>45991</v>
      </c>
      <c r="D359" t="inlineStr">
        <is>
          <t>VÄSTERBOTTENS LÄN</t>
        </is>
      </c>
      <c r="E359" t="inlineStr">
        <is>
          <t>SKELLEFTEÅ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40851-2022</t>
        </is>
      </c>
      <c r="B360" s="1" t="n">
        <v>44825.26050925926</v>
      </c>
      <c r="C360" s="1" t="n">
        <v>45991</v>
      </c>
      <c r="D360" t="inlineStr">
        <is>
          <t>VÄSTERBOTTENS LÄN</t>
        </is>
      </c>
      <c r="E360" t="inlineStr">
        <is>
          <t>SKELLEFTEÅ</t>
        </is>
      </c>
      <c r="G360" t="n">
        <v>2.6</v>
      </c>
      <c r="H360" t="n">
        <v>0</v>
      </c>
      <c r="I360" t="n">
        <v>0</v>
      </c>
      <c r="J360" t="n">
        <v>0</v>
      </c>
      <c r="K360" t="n">
        <v>0</v>
      </c>
      <c r="L360" t="n">
        <v>0</v>
      </c>
      <c r="M360" t="n">
        <v>0</v>
      </c>
      <c r="N360" t="n">
        <v>0</v>
      </c>
      <c r="O360" t="n">
        <v>0</v>
      </c>
      <c r="P360" t="n">
        <v>0</v>
      </c>
      <c r="Q360" t="n">
        <v>0</v>
      </c>
      <c r="R360" s="2" t="inlineStr"/>
    </row>
    <row r="361" ht="15" customHeight="1">
      <c r="A361" t="inlineStr">
        <is>
          <t>A 11102-2021</t>
        </is>
      </c>
      <c r="B361" s="1" t="n">
        <v>44259</v>
      </c>
      <c r="C361" s="1" t="n">
        <v>45991</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42609-2021</t>
        </is>
      </c>
      <c r="B362" s="1" t="n">
        <v>44428.39925925926</v>
      </c>
      <c r="C362" s="1" t="n">
        <v>45991</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58847-2021</t>
        </is>
      </c>
      <c r="B363" s="1" t="n">
        <v>44489.62116898148</v>
      </c>
      <c r="C363" s="1" t="n">
        <v>45991</v>
      </c>
      <c r="D363" t="inlineStr">
        <is>
          <t>VÄSTERBOTTENS LÄN</t>
        </is>
      </c>
      <c r="E363" t="inlineStr">
        <is>
          <t>SKELLEFTEÅ</t>
        </is>
      </c>
      <c r="F363" t="inlineStr">
        <is>
          <t>Sveaskog</t>
        </is>
      </c>
      <c r="G363" t="n">
        <v>2.5</v>
      </c>
      <c r="H363" t="n">
        <v>0</v>
      </c>
      <c r="I363" t="n">
        <v>0</v>
      </c>
      <c r="J363" t="n">
        <v>0</v>
      </c>
      <c r="K363" t="n">
        <v>0</v>
      </c>
      <c r="L363" t="n">
        <v>0</v>
      </c>
      <c r="M363" t="n">
        <v>0</v>
      </c>
      <c r="N363" t="n">
        <v>0</v>
      </c>
      <c r="O363" t="n">
        <v>0</v>
      </c>
      <c r="P363" t="n">
        <v>0</v>
      </c>
      <c r="Q363" t="n">
        <v>0</v>
      </c>
      <c r="R363" s="2" t="inlineStr"/>
    </row>
    <row r="364" ht="15" customHeight="1">
      <c r="A364" t="inlineStr">
        <is>
          <t>A 19679-2021</t>
        </is>
      </c>
      <c r="B364" s="1" t="n">
        <v>44312</v>
      </c>
      <c r="C364" s="1" t="n">
        <v>45991</v>
      </c>
      <c r="D364" t="inlineStr">
        <is>
          <t>VÄSTERBOTTENS LÄN</t>
        </is>
      </c>
      <c r="E364" t="inlineStr">
        <is>
          <t>SKELLEFTEÅ</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71445-2021</t>
        </is>
      </c>
      <c r="B365" s="1" t="n">
        <v>44540.45789351852</v>
      </c>
      <c r="C365" s="1" t="n">
        <v>45991</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71434-2021</t>
        </is>
      </c>
      <c r="B366" s="1" t="n">
        <v>44540.44325231481</v>
      </c>
      <c r="C366" s="1" t="n">
        <v>45991</v>
      </c>
      <c r="D366" t="inlineStr">
        <is>
          <t>VÄSTERBOTTENS LÄN</t>
        </is>
      </c>
      <c r="E366" t="inlineStr">
        <is>
          <t>SKELLEFTEÅ</t>
        </is>
      </c>
      <c r="F366" t="inlineStr">
        <is>
          <t>Sveaskog</t>
        </is>
      </c>
      <c r="G366" t="n">
        <v>13.2</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45991</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45991</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23885-2021</t>
        </is>
      </c>
      <c r="B369" s="1" t="n">
        <v>44335</v>
      </c>
      <c r="C369" s="1" t="n">
        <v>45991</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23801-2021</t>
        </is>
      </c>
      <c r="B370" s="1" t="n">
        <v>44334</v>
      </c>
      <c r="C370" s="1" t="n">
        <v>45991</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39192-2021</t>
        </is>
      </c>
      <c r="B371" s="1" t="n">
        <v>44413.34373842592</v>
      </c>
      <c r="C371" s="1" t="n">
        <v>45991</v>
      </c>
      <c r="D371" t="inlineStr">
        <is>
          <t>VÄSTERBOTTENS LÄN</t>
        </is>
      </c>
      <c r="E371" t="inlineStr">
        <is>
          <t>SKELLEFTEÅ</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19538-2021</t>
        </is>
      </c>
      <c r="B372" s="1" t="n">
        <v>44309</v>
      </c>
      <c r="C372" s="1" t="n">
        <v>45991</v>
      </c>
      <c r="D372" t="inlineStr">
        <is>
          <t>VÄSTERBOTTENS LÄN</t>
        </is>
      </c>
      <c r="E372" t="inlineStr">
        <is>
          <t>SKELLEFTEÅ</t>
        </is>
      </c>
      <c r="G372" t="n">
        <v>2.3</v>
      </c>
      <c r="H372" t="n">
        <v>0</v>
      </c>
      <c r="I372" t="n">
        <v>0</v>
      </c>
      <c r="J372" t="n">
        <v>0</v>
      </c>
      <c r="K372" t="n">
        <v>0</v>
      </c>
      <c r="L372" t="n">
        <v>0</v>
      </c>
      <c r="M372" t="n">
        <v>0</v>
      </c>
      <c r="N372" t="n">
        <v>0</v>
      </c>
      <c r="O372" t="n">
        <v>0</v>
      </c>
      <c r="P372" t="n">
        <v>0</v>
      </c>
      <c r="Q372" t="n">
        <v>0</v>
      </c>
      <c r="R372" s="2" t="inlineStr"/>
    </row>
    <row r="373" ht="15" customHeight="1">
      <c r="A373" t="inlineStr">
        <is>
          <t>A 26130-2021</t>
        </is>
      </c>
      <c r="B373" s="1" t="n">
        <v>44345.93436342593</v>
      </c>
      <c r="C373" s="1" t="n">
        <v>45991</v>
      </c>
      <c r="D373" t="inlineStr">
        <is>
          <t>VÄSTERBOTTENS LÄN</t>
        </is>
      </c>
      <c r="E373" t="inlineStr">
        <is>
          <t>SKELLEFTEÅ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13693-2022</t>
        </is>
      </c>
      <c r="B374" s="1" t="n">
        <v>44648</v>
      </c>
      <c r="C374" s="1" t="n">
        <v>45991</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52080-2021</t>
        </is>
      </c>
      <c r="B375" s="1" t="n">
        <v>44463</v>
      </c>
      <c r="C375" s="1" t="n">
        <v>45991</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31954-2022</t>
        </is>
      </c>
      <c r="B376" s="1" t="n">
        <v>44777.92450231482</v>
      </c>
      <c r="C376" s="1" t="n">
        <v>45991</v>
      </c>
      <c r="D376" t="inlineStr">
        <is>
          <t>VÄSTERBOTTENS LÄN</t>
        </is>
      </c>
      <c r="E376" t="inlineStr">
        <is>
          <t>SKELLEFTEÅ</t>
        </is>
      </c>
      <c r="G376" t="n">
        <v>0.4</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45991</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35608-2022</t>
        </is>
      </c>
      <c r="B378" s="1" t="n">
        <v>44799</v>
      </c>
      <c r="C378" s="1" t="n">
        <v>45991</v>
      </c>
      <c r="D378" t="inlineStr">
        <is>
          <t>VÄSTERBOTTENS LÄN</t>
        </is>
      </c>
      <c r="E378" t="inlineStr">
        <is>
          <t>SKELLEFTEÅ</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37938-2021</t>
        </is>
      </c>
      <c r="B379" s="1" t="n">
        <v>44403</v>
      </c>
      <c r="C379" s="1" t="n">
        <v>45991</v>
      </c>
      <c r="D379" t="inlineStr">
        <is>
          <t>VÄSTERBOTTENS LÄN</t>
        </is>
      </c>
      <c r="E379" t="inlineStr">
        <is>
          <t>SKELLEFTEÅ</t>
        </is>
      </c>
      <c r="G379" t="n">
        <v>3</v>
      </c>
      <c r="H379" t="n">
        <v>0</v>
      </c>
      <c r="I379" t="n">
        <v>0</v>
      </c>
      <c r="J379" t="n">
        <v>0</v>
      </c>
      <c r="K379" t="n">
        <v>0</v>
      </c>
      <c r="L379" t="n">
        <v>0</v>
      </c>
      <c r="M379" t="n">
        <v>0</v>
      </c>
      <c r="N379" t="n">
        <v>0</v>
      </c>
      <c r="O379" t="n">
        <v>0</v>
      </c>
      <c r="P379" t="n">
        <v>0</v>
      </c>
      <c r="Q379" t="n">
        <v>0</v>
      </c>
      <c r="R379" s="2" t="inlineStr"/>
    </row>
    <row r="380" ht="15" customHeight="1">
      <c r="A380" t="inlineStr">
        <is>
          <t>A 35442-2021</t>
        </is>
      </c>
      <c r="B380" s="1" t="n">
        <v>44384</v>
      </c>
      <c r="C380" s="1" t="n">
        <v>45991</v>
      </c>
      <c r="D380" t="inlineStr">
        <is>
          <t>VÄSTERBOTTENS LÄN</t>
        </is>
      </c>
      <c r="E380" t="inlineStr">
        <is>
          <t>SKELLEFTEÅ</t>
        </is>
      </c>
      <c r="G380" t="n">
        <v>1.6</v>
      </c>
      <c r="H380" t="n">
        <v>0</v>
      </c>
      <c r="I380" t="n">
        <v>0</v>
      </c>
      <c r="J380" t="n">
        <v>0</v>
      </c>
      <c r="K380" t="n">
        <v>0</v>
      </c>
      <c r="L380" t="n">
        <v>0</v>
      </c>
      <c r="M380" t="n">
        <v>0</v>
      </c>
      <c r="N380" t="n">
        <v>0</v>
      </c>
      <c r="O380" t="n">
        <v>0</v>
      </c>
      <c r="P380" t="n">
        <v>0</v>
      </c>
      <c r="Q380" t="n">
        <v>0</v>
      </c>
      <c r="R380" s="2" t="inlineStr"/>
    </row>
    <row r="381" ht="15" customHeight="1">
      <c r="A381" t="inlineStr">
        <is>
          <t>A 22364-2022</t>
        </is>
      </c>
      <c r="B381" s="1" t="n">
        <v>44713</v>
      </c>
      <c r="C381" s="1" t="n">
        <v>45991</v>
      </c>
      <c r="D381" t="inlineStr">
        <is>
          <t>VÄSTERBOTTENS LÄN</t>
        </is>
      </c>
      <c r="E381" t="inlineStr">
        <is>
          <t>SKELLEFTEÅ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3266-2022</t>
        </is>
      </c>
      <c r="B382" s="1" t="n">
        <v>44583.87421296296</v>
      </c>
      <c r="C382" s="1" t="n">
        <v>45991</v>
      </c>
      <c r="D382" t="inlineStr">
        <is>
          <t>VÄSTERBOTTENS LÄN</t>
        </is>
      </c>
      <c r="E382" t="inlineStr">
        <is>
          <t>SKELLEFTEÅ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57370-2021</t>
        </is>
      </c>
      <c r="B383" s="1" t="n">
        <v>44483</v>
      </c>
      <c r="C383" s="1" t="n">
        <v>45991</v>
      </c>
      <c r="D383" t="inlineStr">
        <is>
          <t>VÄSTERBOTTENS LÄN</t>
        </is>
      </c>
      <c r="E383" t="inlineStr">
        <is>
          <t>SKELLEFTEÅ</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55568-2021</t>
        </is>
      </c>
      <c r="B384" s="1" t="n">
        <v>44475.72190972222</v>
      </c>
      <c r="C384" s="1" t="n">
        <v>45991</v>
      </c>
      <c r="D384" t="inlineStr">
        <is>
          <t>VÄSTERBOTTENS LÄN</t>
        </is>
      </c>
      <c r="E384" t="inlineStr">
        <is>
          <t>SKELLEFTEÅ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14627-2022</t>
        </is>
      </c>
      <c r="B385" s="1" t="n">
        <v>44655.64009259259</v>
      </c>
      <c r="C385" s="1" t="n">
        <v>45991</v>
      </c>
      <c r="D385" t="inlineStr">
        <is>
          <t>VÄSTERBOTTENS LÄN</t>
        </is>
      </c>
      <c r="E385" t="inlineStr">
        <is>
          <t>SKELLEFTEÅ</t>
        </is>
      </c>
      <c r="G385" t="n">
        <v>5.9</v>
      </c>
      <c r="H385" t="n">
        <v>0</v>
      </c>
      <c r="I385" t="n">
        <v>0</v>
      </c>
      <c r="J385" t="n">
        <v>0</v>
      </c>
      <c r="K385" t="n">
        <v>0</v>
      </c>
      <c r="L385" t="n">
        <v>0</v>
      </c>
      <c r="M385" t="n">
        <v>0</v>
      </c>
      <c r="N385" t="n">
        <v>0</v>
      </c>
      <c r="O385" t="n">
        <v>0</v>
      </c>
      <c r="P385" t="n">
        <v>0</v>
      </c>
      <c r="Q385" t="n">
        <v>0</v>
      </c>
      <c r="R385" s="2" t="inlineStr"/>
    </row>
    <row r="386" ht="15" customHeight="1">
      <c r="A386" t="inlineStr">
        <is>
          <t>A 70168-2021</t>
        </is>
      </c>
      <c r="B386" s="1" t="n">
        <v>44533.82237268519</v>
      </c>
      <c r="C386" s="1" t="n">
        <v>45991</v>
      </c>
      <c r="D386" t="inlineStr">
        <is>
          <t>VÄSTERBOTTENS LÄN</t>
        </is>
      </c>
      <c r="E386" t="inlineStr">
        <is>
          <t>SKELLEFTEÅ</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5972-2022</t>
        </is>
      </c>
      <c r="B387" s="1" t="n">
        <v>44599.3759375</v>
      </c>
      <c r="C387" s="1" t="n">
        <v>45991</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69996-2021</t>
        </is>
      </c>
      <c r="B388" s="1" t="n">
        <v>44533</v>
      </c>
      <c r="C388" s="1" t="n">
        <v>45991</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14759-2022</t>
        </is>
      </c>
      <c r="B389" s="1" t="n">
        <v>44656</v>
      </c>
      <c r="C389" s="1" t="n">
        <v>45991</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17257-2022</t>
        </is>
      </c>
      <c r="B390" s="1" t="n">
        <v>44678.3941550926</v>
      </c>
      <c r="C390" s="1" t="n">
        <v>45991</v>
      </c>
      <c r="D390" t="inlineStr">
        <is>
          <t>VÄSTERBOTTENS LÄN</t>
        </is>
      </c>
      <c r="E390" t="inlineStr">
        <is>
          <t>SKELLEFTEÅ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68564-2020</t>
        </is>
      </c>
      <c r="B391" s="1" t="n">
        <v>44186</v>
      </c>
      <c r="C391" s="1" t="n">
        <v>45991</v>
      </c>
      <c r="D391" t="inlineStr">
        <is>
          <t>VÄSTERBOTTENS LÄN</t>
        </is>
      </c>
      <c r="E391" t="inlineStr">
        <is>
          <t>SKELLEFTEÅ</t>
        </is>
      </c>
      <c r="G391" t="n">
        <v>11.4</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45991</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20610-2022</t>
        </is>
      </c>
      <c r="B393" s="1" t="n">
        <v>44700</v>
      </c>
      <c r="C393" s="1" t="n">
        <v>45991</v>
      </c>
      <c r="D393" t="inlineStr">
        <is>
          <t>VÄSTERBOTTENS LÄN</t>
        </is>
      </c>
      <c r="E393" t="inlineStr">
        <is>
          <t>SKELLEFTEÅ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51789-2021</t>
        </is>
      </c>
      <c r="B394" s="1" t="n">
        <v>44461</v>
      </c>
      <c r="C394" s="1" t="n">
        <v>45991</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35435-2021</t>
        </is>
      </c>
      <c r="B395" s="1" t="n">
        <v>44385</v>
      </c>
      <c r="C395" s="1" t="n">
        <v>45991</v>
      </c>
      <c r="D395" t="inlineStr">
        <is>
          <t>VÄSTERBOTTENS LÄN</t>
        </is>
      </c>
      <c r="E395" t="inlineStr">
        <is>
          <t>SKELLEFTEÅ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8652-2021</t>
        </is>
      </c>
      <c r="B396" s="1" t="n">
        <v>44245</v>
      </c>
      <c r="C396" s="1" t="n">
        <v>45991</v>
      </c>
      <c r="D396" t="inlineStr">
        <is>
          <t>VÄSTERBOTTENS LÄN</t>
        </is>
      </c>
      <c r="E396" t="inlineStr">
        <is>
          <t>SKELLEFTEÅ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42026-2021</t>
        </is>
      </c>
      <c r="B397" s="1" t="n">
        <v>44426.5275925926</v>
      </c>
      <c r="C397" s="1" t="n">
        <v>45991</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63171-2021</t>
        </is>
      </c>
      <c r="B398" s="1" t="n">
        <v>44506</v>
      </c>
      <c r="C398" s="1" t="n">
        <v>45991</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42099-2022</t>
        </is>
      </c>
      <c r="B399" s="1" t="n">
        <v>44827</v>
      </c>
      <c r="C399" s="1" t="n">
        <v>45991</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28822-2021</t>
        </is>
      </c>
      <c r="B400" s="1" t="n">
        <v>44357.62862268519</v>
      </c>
      <c r="C400" s="1" t="n">
        <v>45991</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40013-2022</t>
        </is>
      </c>
      <c r="B401" s="1" t="n">
        <v>44820.3971875</v>
      </c>
      <c r="C401" s="1" t="n">
        <v>45991</v>
      </c>
      <c r="D401" t="inlineStr">
        <is>
          <t>VÄSTERBOTTENS LÄN</t>
        </is>
      </c>
      <c r="E401" t="inlineStr">
        <is>
          <t>SKELLEFTEÅ</t>
        </is>
      </c>
      <c r="G401" t="n">
        <v>4.8</v>
      </c>
      <c r="H401" t="n">
        <v>0</v>
      </c>
      <c r="I401" t="n">
        <v>0</v>
      </c>
      <c r="J401" t="n">
        <v>0</v>
      </c>
      <c r="K401" t="n">
        <v>0</v>
      </c>
      <c r="L401" t="n">
        <v>0</v>
      </c>
      <c r="M401" t="n">
        <v>0</v>
      </c>
      <c r="N401" t="n">
        <v>0</v>
      </c>
      <c r="O401" t="n">
        <v>0</v>
      </c>
      <c r="P401" t="n">
        <v>0</v>
      </c>
      <c r="Q401" t="n">
        <v>0</v>
      </c>
      <c r="R401" s="2" t="inlineStr"/>
    </row>
    <row r="402" ht="15" customHeight="1">
      <c r="A402" t="inlineStr">
        <is>
          <t>A 36539-2022</t>
        </is>
      </c>
      <c r="B402" s="1" t="n">
        <v>44804</v>
      </c>
      <c r="C402" s="1" t="n">
        <v>45991</v>
      </c>
      <c r="D402" t="inlineStr">
        <is>
          <t>VÄSTERBOTTENS LÄN</t>
        </is>
      </c>
      <c r="E402" t="inlineStr">
        <is>
          <t>SKELLEFTEÅ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67893-2021</t>
        </is>
      </c>
      <c r="B403" s="1" t="n">
        <v>44525</v>
      </c>
      <c r="C403" s="1" t="n">
        <v>45991</v>
      </c>
      <c r="D403" t="inlineStr">
        <is>
          <t>VÄSTERBOTTENS LÄN</t>
        </is>
      </c>
      <c r="E403" t="inlineStr">
        <is>
          <t>SKELLEFTEÅ</t>
        </is>
      </c>
      <c r="G403" t="n">
        <v>1.1</v>
      </c>
      <c r="H403" t="n">
        <v>0</v>
      </c>
      <c r="I403" t="n">
        <v>0</v>
      </c>
      <c r="J403" t="n">
        <v>0</v>
      </c>
      <c r="K403" t="n">
        <v>0</v>
      </c>
      <c r="L403" t="n">
        <v>0</v>
      </c>
      <c r="M403" t="n">
        <v>0</v>
      </c>
      <c r="N403" t="n">
        <v>0</v>
      </c>
      <c r="O403" t="n">
        <v>0</v>
      </c>
      <c r="P403" t="n">
        <v>0</v>
      </c>
      <c r="Q403" t="n">
        <v>0</v>
      </c>
      <c r="R403" s="2" t="inlineStr"/>
    </row>
    <row r="404" ht="15" customHeight="1">
      <c r="A404" t="inlineStr">
        <is>
          <t>A 13330-2024</t>
        </is>
      </c>
      <c r="B404" s="1" t="n">
        <v>45386.89378472222</v>
      </c>
      <c r="C404" s="1" t="n">
        <v>45991</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6723-2024</t>
        </is>
      </c>
      <c r="B405" s="1" t="n">
        <v>45342.37591435185</v>
      </c>
      <c r="C405" s="1" t="n">
        <v>45991</v>
      </c>
      <c r="D405" t="inlineStr">
        <is>
          <t>VÄSTERBOTTENS LÄN</t>
        </is>
      </c>
      <c r="E405" t="inlineStr">
        <is>
          <t>SKELLEFTEÅ</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54821-2023</t>
        </is>
      </c>
      <c r="B406" s="1" t="n">
        <v>45236</v>
      </c>
      <c r="C406" s="1" t="n">
        <v>45991</v>
      </c>
      <c r="D406" t="inlineStr">
        <is>
          <t>VÄSTERBOTTENS LÄN</t>
        </is>
      </c>
      <c r="E406" t="inlineStr">
        <is>
          <t>SKELLEFTEÅ</t>
        </is>
      </c>
      <c r="F406" t="inlineStr">
        <is>
          <t>Kommuner</t>
        </is>
      </c>
      <c r="G406" t="n">
        <v>8.9</v>
      </c>
      <c r="H406" t="n">
        <v>0</v>
      </c>
      <c r="I406" t="n">
        <v>0</v>
      </c>
      <c r="J406" t="n">
        <v>0</v>
      </c>
      <c r="K406" t="n">
        <v>0</v>
      </c>
      <c r="L406" t="n">
        <v>0</v>
      </c>
      <c r="M406" t="n">
        <v>0</v>
      </c>
      <c r="N406" t="n">
        <v>0</v>
      </c>
      <c r="O406" t="n">
        <v>0</v>
      </c>
      <c r="P406" t="n">
        <v>0</v>
      </c>
      <c r="Q406" t="n">
        <v>0</v>
      </c>
      <c r="R406" s="2" t="inlineStr"/>
    </row>
    <row r="407" ht="15" customHeight="1">
      <c r="A407" t="inlineStr">
        <is>
          <t>A 15899-2023</t>
        </is>
      </c>
      <c r="B407" s="1" t="n">
        <v>45021</v>
      </c>
      <c r="C407" s="1" t="n">
        <v>45991</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9466-2024</t>
        </is>
      </c>
      <c r="B408" s="1" t="n">
        <v>45359</v>
      </c>
      <c r="C408" s="1" t="n">
        <v>45991</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16977-2024</t>
        </is>
      </c>
      <c r="B409" s="1" t="n">
        <v>45412.02377314815</v>
      </c>
      <c r="C409" s="1" t="n">
        <v>45991</v>
      </c>
      <c r="D409" t="inlineStr">
        <is>
          <t>VÄSTERBOTTENS LÄN</t>
        </is>
      </c>
      <c r="E409" t="inlineStr">
        <is>
          <t>SKELLEFTEÅ</t>
        </is>
      </c>
      <c r="F409" t="inlineStr">
        <is>
          <t>SCA</t>
        </is>
      </c>
      <c r="G409" t="n">
        <v>16.8</v>
      </c>
      <c r="H409" t="n">
        <v>0</v>
      </c>
      <c r="I409" t="n">
        <v>0</v>
      </c>
      <c r="J409" t="n">
        <v>0</v>
      </c>
      <c r="K409" t="n">
        <v>0</v>
      </c>
      <c r="L409" t="n">
        <v>0</v>
      </c>
      <c r="M409" t="n">
        <v>0</v>
      </c>
      <c r="N409" t="n">
        <v>0</v>
      </c>
      <c r="O409" t="n">
        <v>0</v>
      </c>
      <c r="P409" t="n">
        <v>0</v>
      </c>
      <c r="Q409" t="n">
        <v>0</v>
      </c>
      <c r="R409" s="2" t="inlineStr"/>
    </row>
    <row r="410" ht="15" customHeight="1">
      <c r="A410" t="inlineStr">
        <is>
          <t>A 54024-2023</t>
        </is>
      </c>
      <c r="B410" s="1" t="n">
        <v>45231</v>
      </c>
      <c r="C410" s="1" t="n">
        <v>45991</v>
      </c>
      <c r="D410" t="inlineStr">
        <is>
          <t>VÄSTERBOTTENS LÄN</t>
        </is>
      </c>
      <c r="E410" t="inlineStr">
        <is>
          <t>SKELLEFTEÅ</t>
        </is>
      </c>
      <c r="G410" t="n">
        <v>3.5</v>
      </c>
      <c r="H410" t="n">
        <v>0</v>
      </c>
      <c r="I410" t="n">
        <v>0</v>
      </c>
      <c r="J410" t="n">
        <v>0</v>
      </c>
      <c r="K410" t="n">
        <v>0</v>
      </c>
      <c r="L410" t="n">
        <v>0</v>
      </c>
      <c r="M410" t="n">
        <v>0</v>
      </c>
      <c r="N410" t="n">
        <v>0</v>
      </c>
      <c r="O410" t="n">
        <v>0</v>
      </c>
      <c r="P410" t="n">
        <v>0</v>
      </c>
      <c r="Q410" t="n">
        <v>0</v>
      </c>
      <c r="R410" s="2" t="inlineStr"/>
    </row>
    <row r="411" ht="15" customHeight="1">
      <c r="A411" t="inlineStr">
        <is>
          <t>A 4645-2025</t>
        </is>
      </c>
      <c r="B411" s="1" t="n">
        <v>45687</v>
      </c>
      <c r="C411" s="1" t="n">
        <v>45991</v>
      </c>
      <c r="D411" t="inlineStr">
        <is>
          <t>VÄSTERBOTTENS LÄN</t>
        </is>
      </c>
      <c r="E411" t="inlineStr">
        <is>
          <t>SKELLEFTEÅ</t>
        </is>
      </c>
      <c r="G411" t="n">
        <v>6.7</v>
      </c>
      <c r="H411" t="n">
        <v>0</v>
      </c>
      <c r="I411" t="n">
        <v>0</v>
      </c>
      <c r="J411" t="n">
        <v>0</v>
      </c>
      <c r="K411" t="n">
        <v>0</v>
      </c>
      <c r="L411" t="n">
        <v>0</v>
      </c>
      <c r="M411" t="n">
        <v>0</v>
      </c>
      <c r="N411" t="n">
        <v>0</v>
      </c>
      <c r="O411" t="n">
        <v>0</v>
      </c>
      <c r="P411" t="n">
        <v>0</v>
      </c>
      <c r="Q411" t="n">
        <v>0</v>
      </c>
      <c r="R411" s="2" t="inlineStr"/>
    </row>
    <row r="412" ht="15" customHeight="1">
      <c r="A412" t="inlineStr">
        <is>
          <t>A 14846-2025</t>
        </is>
      </c>
      <c r="B412" s="1" t="n">
        <v>45743.38820601852</v>
      </c>
      <c r="C412" s="1" t="n">
        <v>45991</v>
      </c>
      <c r="D412" t="inlineStr">
        <is>
          <t>VÄSTERBOTTENS LÄN</t>
        </is>
      </c>
      <c r="E412" t="inlineStr">
        <is>
          <t>SKELLEFTEÅ</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53420-2024</t>
        </is>
      </c>
      <c r="B413" s="1" t="n">
        <v>45614.51158564815</v>
      </c>
      <c r="C413" s="1" t="n">
        <v>45991</v>
      </c>
      <c r="D413" t="inlineStr">
        <is>
          <t>VÄSTERBOTTENS LÄN</t>
        </is>
      </c>
      <c r="E413" t="inlineStr">
        <is>
          <t>SKELLEFTEÅ</t>
        </is>
      </c>
      <c r="G413" t="n">
        <v>2.4</v>
      </c>
      <c r="H413" t="n">
        <v>0</v>
      </c>
      <c r="I413" t="n">
        <v>0</v>
      </c>
      <c r="J413" t="n">
        <v>0</v>
      </c>
      <c r="K413" t="n">
        <v>0</v>
      </c>
      <c r="L413" t="n">
        <v>0</v>
      </c>
      <c r="M413" t="n">
        <v>0</v>
      </c>
      <c r="N413" t="n">
        <v>0</v>
      </c>
      <c r="O413" t="n">
        <v>0</v>
      </c>
      <c r="P413" t="n">
        <v>0</v>
      </c>
      <c r="Q413" t="n">
        <v>0</v>
      </c>
      <c r="R413" s="2" t="inlineStr"/>
    </row>
    <row r="414" ht="15" customHeight="1">
      <c r="A414" t="inlineStr">
        <is>
          <t>A 3616-2022</t>
        </is>
      </c>
      <c r="B414" s="1" t="n">
        <v>44586</v>
      </c>
      <c r="C414" s="1" t="n">
        <v>45991</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16261-2025</t>
        </is>
      </c>
      <c r="B415" s="1" t="n">
        <v>45750.74388888889</v>
      </c>
      <c r="C415" s="1" t="n">
        <v>45991</v>
      </c>
      <c r="D415" t="inlineStr">
        <is>
          <t>VÄSTERBOTTENS LÄN</t>
        </is>
      </c>
      <c r="E415" t="inlineStr">
        <is>
          <t>SKELLEFTEÅ</t>
        </is>
      </c>
      <c r="G415" t="n">
        <v>5.3</v>
      </c>
      <c r="H415" t="n">
        <v>0</v>
      </c>
      <c r="I415" t="n">
        <v>0</v>
      </c>
      <c r="J415" t="n">
        <v>0</v>
      </c>
      <c r="K415" t="n">
        <v>0</v>
      </c>
      <c r="L415" t="n">
        <v>0</v>
      </c>
      <c r="M415" t="n">
        <v>0</v>
      </c>
      <c r="N415" t="n">
        <v>0</v>
      </c>
      <c r="O415" t="n">
        <v>0</v>
      </c>
      <c r="P415" t="n">
        <v>0</v>
      </c>
      <c r="Q415" t="n">
        <v>0</v>
      </c>
      <c r="R415" s="2" t="inlineStr"/>
    </row>
    <row r="416" ht="15" customHeight="1">
      <c r="A416" t="inlineStr">
        <is>
          <t>A 29125-2024</t>
        </is>
      </c>
      <c r="B416" s="1" t="n">
        <v>45481</v>
      </c>
      <c r="C416" s="1" t="n">
        <v>45991</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51332-2024</t>
        </is>
      </c>
      <c r="B417" s="1" t="n">
        <v>45604.34377314815</v>
      </c>
      <c r="C417" s="1" t="n">
        <v>45991</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53725-2024</t>
        </is>
      </c>
      <c r="B418" s="1" t="n">
        <v>45615.45043981481</v>
      </c>
      <c r="C418" s="1" t="n">
        <v>45991</v>
      </c>
      <c r="D418" t="inlineStr">
        <is>
          <t>VÄSTERBOTTENS LÄN</t>
        </is>
      </c>
      <c r="E418" t="inlineStr">
        <is>
          <t>SKELLEFTEÅ</t>
        </is>
      </c>
      <c r="G418" t="n">
        <v>6</v>
      </c>
      <c r="H418" t="n">
        <v>0</v>
      </c>
      <c r="I418" t="n">
        <v>0</v>
      </c>
      <c r="J418" t="n">
        <v>0</v>
      </c>
      <c r="K418" t="n">
        <v>0</v>
      </c>
      <c r="L418" t="n">
        <v>0</v>
      </c>
      <c r="M418" t="n">
        <v>0</v>
      </c>
      <c r="N418" t="n">
        <v>0</v>
      </c>
      <c r="O418" t="n">
        <v>0</v>
      </c>
      <c r="P418" t="n">
        <v>0</v>
      </c>
      <c r="Q418" t="n">
        <v>0</v>
      </c>
      <c r="R418" s="2" t="inlineStr"/>
    </row>
    <row r="419" ht="15" customHeight="1">
      <c r="A419" t="inlineStr">
        <is>
          <t>A 43701-2024</t>
        </is>
      </c>
      <c r="B419" s="1" t="n">
        <v>45569</v>
      </c>
      <c r="C419" s="1" t="n">
        <v>45991</v>
      </c>
      <c r="D419" t="inlineStr">
        <is>
          <t>VÄSTERBOTTENS LÄN</t>
        </is>
      </c>
      <c r="E419" t="inlineStr">
        <is>
          <t>SKELLEFTEÅ</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44025-2023</t>
        </is>
      </c>
      <c r="B420" s="1" t="n">
        <v>45182</v>
      </c>
      <c r="C420" s="1" t="n">
        <v>45991</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60356-2022</t>
        </is>
      </c>
      <c r="B421" s="1" t="n">
        <v>44904</v>
      </c>
      <c r="C421" s="1" t="n">
        <v>45991</v>
      </c>
      <c r="D421" t="inlineStr">
        <is>
          <t>VÄSTERBOTTENS LÄN</t>
        </is>
      </c>
      <c r="E421" t="inlineStr">
        <is>
          <t>SKELLEFTEÅ</t>
        </is>
      </c>
      <c r="G421" t="n">
        <v>3</v>
      </c>
      <c r="H421" t="n">
        <v>0</v>
      </c>
      <c r="I421" t="n">
        <v>0</v>
      </c>
      <c r="J421" t="n">
        <v>0</v>
      </c>
      <c r="K421" t="n">
        <v>0</v>
      </c>
      <c r="L421" t="n">
        <v>0</v>
      </c>
      <c r="M421" t="n">
        <v>0</v>
      </c>
      <c r="N421" t="n">
        <v>0</v>
      </c>
      <c r="O421" t="n">
        <v>0</v>
      </c>
      <c r="P421" t="n">
        <v>0</v>
      </c>
      <c r="Q421" t="n">
        <v>0</v>
      </c>
      <c r="R421" s="2" t="inlineStr"/>
    </row>
    <row r="422" ht="15" customHeight="1">
      <c r="A422" t="inlineStr">
        <is>
          <t>A 20084-2025</t>
        </is>
      </c>
      <c r="B422" s="1" t="n">
        <v>45772.45416666667</v>
      </c>
      <c r="C422" s="1" t="n">
        <v>45991</v>
      </c>
      <c r="D422" t="inlineStr">
        <is>
          <t>VÄSTERBOTTENS LÄN</t>
        </is>
      </c>
      <c r="E422" t="inlineStr">
        <is>
          <t>SKELLEFTEÅ</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53117-2024</t>
        </is>
      </c>
      <c r="B423" s="1" t="n">
        <v>45611.58105324074</v>
      </c>
      <c r="C423" s="1" t="n">
        <v>45991</v>
      </c>
      <c r="D423" t="inlineStr">
        <is>
          <t>VÄSTERBOTTENS LÄN</t>
        </is>
      </c>
      <c r="E423" t="inlineStr">
        <is>
          <t>SKELLEFTEÅ</t>
        </is>
      </c>
      <c r="F423" t="inlineStr">
        <is>
          <t>Kommuner</t>
        </is>
      </c>
      <c r="G423" t="n">
        <v>7.4</v>
      </c>
      <c r="H423" t="n">
        <v>0</v>
      </c>
      <c r="I423" t="n">
        <v>0</v>
      </c>
      <c r="J423" t="n">
        <v>0</v>
      </c>
      <c r="K423" t="n">
        <v>0</v>
      </c>
      <c r="L423" t="n">
        <v>0</v>
      </c>
      <c r="M423" t="n">
        <v>0</v>
      </c>
      <c r="N423" t="n">
        <v>0</v>
      </c>
      <c r="O423" t="n">
        <v>0</v>
      </c>
      <c r="P423" t="n">
        <v>0</v>
      </c>
      <c r="Q423" t="n">
        <v>0</v>
      </c>
      <c r="R423" s="2" t="inlineStr"/>
    </row>
    <row r="424" ht="15" customHeight="1">
      <c r="A424" t="inlineStr">
        <is>
          <t>A 21238-2023</t>
        </is>
      </c>
      <c r="B424" s="1" t="n">
        <v>45058</v>
      </c>
      <c r="C424" s="1" t="n">
        <v>45991</v>
      </c>
      <c r="D424" t="inlineStr">
        <is>
          <t>VÄSTERBOTTENS LÄN</t>
        </is>
      </c>
      <c r="E424" t="inlineStr">
        <is>
          <t>SKELLEFTEÅ</t>
        </is>
      </c>
      <c r="G424" t="n">
        <v>6</v>
      </c>
      <c r="H424" t="n">
        <v>0</v>
      </c>
      <c r="I424" t="n">
        <v>0</v>
      </c>
      <c r="J424" t="n">
        <v>0</v>
      </c>
      <c r="K424" t="n">
        <v>0</v>
      </c>
      <c r="L424" t="n">
        <v>0</v>
      </c>
      <c r="M424" t="n">
        <v>0</v>
      </c>
      <c r="N424" t="n">
        <v>0</v>
      </c>
      <c r="O424" t="n">
        <v>0</v>
      </c>
      <c r="P424" t="n">
        <v>0</v>
      </c>
      <c r="Q424" t="n">
        <v>0</v>
      </c>
      <c r="R424" s="2" t="inlineStr"/>
    </row>
    <row r="425" ht="15" customHeight="1">
      <c r="A425" t="inlineStr">
        <is>
          <t>A 40798-2024</t>
        </is>
      </c>
      <c r="B425" s="1" t="n">
        <v>45558.52645833333</v>
      </c>
      <c r="C425" s="1" t="n">
        <v>45991</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52497-2022</t>
        </is>
      </c>
      <c r="B426" s="1" t="n">
        <v>44869</v>
      </c>
      <c r="C426" s="1" t="n">
        <v>45991</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62708-2023</t>
        </is>
      </c>
      <c r="B427" s="1" t="n">
        <v>45271.55337962963</v>
      </c>
      <c r="C427" s="1" t="n">
        <v>45991</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15806-2023</t>
        </is>
      </c>
      <c r="B428" s="1" t="n">
        <v>45021</v>
      </c>
      <c r="C428" s="1" t="n">
        <v>45991</v>
      </c>
      <c r="D428" t="inlineStr">
        <is>
          <t>VÄSTERBOTTENS LÄN</t>
        </is>
      </c>
      <c r="E428" t="inlineStr">
        <is>
          <t>SKELLEFTEÅ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52869-2022</t>
        </is>
      </c>
      <c r="B429" s="1" t="n">
        <v>44875</v>
      </c>
      <c r="C429" s="1" t="n">
        <v>45991</v>
      </c>
      <c r="D429" t="inlineStr">
        <is>
          <t>VÄSTERBOTTENS LÄN</t>
        </is>
      </c>
      <c r="E429" t="inlineStr">
        <is>
          <t>SKELLEFTEÅ</t>
        </is>
      </c>
      <c r="G429" t="n">
        <v>4.6</v>
      </c>
      <c r="H429" t="n">
        <v>0</v>
      </c>
      <c r="I429" t="n">
        <v>0</v>
      </c>
      <c r="J429" t="n">
        <v>0</v>
      </c>
      <c r="K429" t="n">
        <v>0</v>
      </c>
      <c r="L429" t="n">
        <v>0</v>
      </c>
      <c r="M429" t="n">
        <v>0</v>
      </c>
      <c r="N429" t="n">
        <v>0</v>
      </c>
      <c r="O429" t="n">
        <v>0</v>
      </c>
      <c r="P429" t="n">
        <v>0</v>
      </c>
      <c r="Q429" t="n">
        <v>0</v>
      </c>
      <c r="R429" s="2" t="inlineStr"/>
    </row>
    <row r="430" ht="15" customHeight="1">
      <c r="A430" t="inlineStr">
        <is>
          <t>A 5603-2024</t>
        </is>
      </c>
      <c r="B430" s="1" t="n">
        <v>45334</v>
      </c>
      <c r="C430" s="1" t="n">
        <v>45991</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30786-2023</t>
        </is>
      </c>
      <c r="B431" s="1" t="n">
        <v>45112</v>
      </c>
      <c r="C431" s="1" t="n">
        <v>45991</v>
      </c>
      <c r="D431" t="inlineStr">
        <is>
          <t>VÄSTERBOTTENS LÄN</t>
        </is>
      </c>
      <c r="E431" t="inlineStr">
        <is>
          <t>SKELLEFTEÅ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57278-2024</t>
        </is>
      </c>
      <c r="B432" s="1" t="n">
        <v>45629</v>
      </c>
      <c r="C432" s="1" t="n">
        <v>45991</v>
      </c>
      <c r="D432" t="inlineStr">
        <is>
          <t>VÄSTERBOTTENS LÄN</t>
        </is>
      </c>
      <c r="E432" t="inlineStr">
        <is>
          <t>SKELLEFTEÅ</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55032-2021</t>
        </is>
      </c>
      <c r="B433" s="1" t="n">
        <v>44474.5962037037</v>
      </c>
      <c r="C433" s="1" t="n">
        <v>45991</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10570-2023</t>
        </is>
      </c>
      <c r="B434" s="1" t="n">
        <v>44981</v>
      </c>
      <c r="C434" s="1" t="n">
        <v>45991</v>
      </c>
      <c r="D434" t="inlineStr">
        <is>
          <t>VÄSTERBOTTENS LÄN</t>
        </is>
      </c>
      <c r="E434" t="inlineStr">
        <is>
          <t>SKELLEFTEÅ</t>
        </is>
      </c>
      <c r="G434" t="n">
        <v>3.5</v>
      </c>
      <c r="H434" t="n">
        <v>0</v>
      </c>
      <c r="I434" t="n">
        <v>0</v>
      </c>
      <c r="J434" t="n">
        <v>0</v>
      </c>
      <c r="K434" t="n">
        <v>0</v>
      </c>
      <c r="L434" t="n">
        <v>0</v>
      </c>
      <c r="M434" t="n">
        <v>0</v>
      </c>
      <c r="N434" t="n">
        <v>0</v>
      </c>
      <c r="O434" t="n">
        <v>0</v>
      </c>
      <c r="P434" t="n">
        <v>0</v>
      </c>
      <c r="Q434" t="n">
        <v>0</v>
      </c>
      <c r="R434" s="2" t="inlineStr"/>
    </row>
    <row r="435" ht="15" customHeight="1">
      <c r="A435" t="inlineStr">
        <is>
          <t>A 31975-2024</t>
        </is>
      </c>
      <c r="B435" s="1" t="n">
        <v>45510.56052083334</v>
      </c>
      <c r="C435" s="1" t="n">
        <v>45991</v>
      </c>
      <c r="D435" t="inlineStr">
        <is>
          <t>VÄSTERBOTTENS LÄN</t>
        </is>
      </c>
      <c r="E435" t="inlineStr">
        <is>
          <t>SKELLEFTEÅ</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18497-2025</t>
        </is>
      </c>
      <c r="B436" s="1" t="n">
        <v>45763.35385416666</v>
      </c>
      <c r="C436" s="1" t="n">
        <v>45991</v>
      </c>
      <c r="D436" t="inlineStr">
        <is>
          <t>VÄSTERBOTTENS LÄN</t>
        </is>
      </c>
      <c r="E436" t="inlineStr">
        <is>
          <t>SKELLEFTEÅ</t>
        </is>
      </c>
      <c r="G436" t="n">
        <v>4.8</v>
      </c>
      <c r="H436" t="n">
        <v>0</v>
      </c>
      <c r="I436" t="n">
        <v>0</v>
      </c>
      <c r="J436" t="n">
        <v>0</v>
      </c>
      <c r="K436" t="n">
        <v>0</v>
      </c>
      <c r="L436" t="n">
        <v>0</v>
      </c>
      <c r="M436" t="n">
        <v>0</v>
      </c>
      <c r="N436" t="n">
        <v>0</v>
      </c>
      <c r="O436" t="n">
        <v>0</v>
      </c>
      <c r="P436" t="n">
        <v>0</v>
      </c>
      <c r="Q436" t="n">
        <v>0</v>
      </c>
      <c r="R436" s="2" t="inlineStr"/>
    </row>
    <row r="437" ht="15" customHeight="1">
      <c r="A437" t="inlineStr">
        <is>
          <t>A 8669-2025</t>
        </is>
      </c>
      <c r="B437" s="1" t="n">
        <v>45712.41598379629</v>
      </c>
      <c r="C437" s="1" t="n">
        <v>45991</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18240-2025</t>
        </is>
      </c>
      <c r="B438" s="1" t="n">
        <v>45762.29850694445</v>
      </c>
      <c r="C438" s="1" t="n">
        <v>45991</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8919-2024</t>
        </is>
      </c>
      <c r="B439" s="1" t="n">
        <v>45357</v>
      </c>
      <c r="C439" s="1" t="n">
        <v>45991</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24195-2024</t>
        </is>
      </c>
      <c r="B440" s="1" t="n">
        <v>45456</v>
      </c>
      <c r="C440" s="1" t="n">
        <v>45991</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57057-2022</t>
        </is>
      </c>
      <c r="B441" s="1" t="n">
        <v>44895</v>
      </c>
      <c r="C441" s="1" t="n">
        <v>45991</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53753-2022</t>
        </is>
      </c>
      <c r="B442" s="1" t="n">
        <v>44872</v>
      </c>
      <c r="C442" s="1" t="n">
        <v>45991</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51418-2023</t>
        </is>
      </c>
      <c r="B443" s="1" t="n">
        <v>45219</v>
      </c>
      <c r="C443" s="1" t="n">
        <v>45991</v>
      </c>
      <c r="D443" t="inlineStr">
        <is>
          <t>VÄSTERBOTTENS LÄN</t>
        </is>
      </c>
      <c r="E443" t="inlineStr">
        <is>
          <t>SKELLEFTEÅ</t>
        </is>
      </c>
      <c r="G443" t="n">
        <v>0.1</v>
      </c>
      <c r="H443" t="n">
        <v>0</v>
      </c>
      <c r="I443" t="n">
        <v>0</v>
      </c>
      <c r="J443" t="n">
        <v>0</v>
      </c>
      <c r="K443" t="n">
        <v>0</v>
      </c>
      <c r="L443" t="n">
        <v>0</v>
      </c>
      <c r="M443" t="n">
        <v>0</v>
      </c>
      <c r="N443" t="n">
        <v>0</v>
      </c>
      <c r="O443" t="n">
        <v>0</v>
      </c>
      <c r="P443" t="n">
        <v>0</v>
      </c>
      <c r="Q443" t="n">
        <v>0</v>
      </c>
      <c r="R443" s="2" t="inlineStr"/>
    </row>
    <row r="444" ht="15" customHeight="1">
      <c r="A444" t="inlineStr">
        <is>
          <t>A 15717-2023</t>
        </is>
      </c>
      <c r="B444" s="1" t="n">
        <v>45020</v>
      </c>
      <c r="C444" s="1" t="n">
        <v>45991</v>
      </c>
      <c r="D444" t="inlineStr">
        <is>
          <t>VÄSTERBOTTENS LÄN</t>
        </is>
      </c>
      <c r="E444" t="inlineStr">
        <is>
          <t>SKELLEFTEÅ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61700-2022</t>
        </is>
      </c>
      <c r="B445" s="1" t="n">
        <v>44911</v>
      </c>
      <c r="C445" s="1" t="n">
        <v>45991</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57908-2022</t>
        </is>
      </c>
      <c r="B446" s="1" t="n">
        <v>44900.35597222222</v>
      </c>
      <c r="C446" s="1" t="n">
        <v>45991</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4509-2025</t>
        </is>
      </c>
      <c r="B447" s="1" t="n">
        <v>45686</v>
      </c>
      <c r="C447" s="1" t="n">
        <v>45991</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43204-2024</t>
        </is>
      </c>
      <c r="B448" s="1" t="n">
        <v>45567</v>
      </c>
      <c r="C448" s="1" t="n">
        <v>45991</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42798-2022</t>
        </is>
      </c>
      <c r="B449" s="1" t="n">
        <v>44832</v>
      </c>
      <c r="C449" s="1" t="n">
        <v>45991</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14088-2022</t>
        </is>
      </c>
      <c r="B450" s="1" t="n">
        <v>44650</v>
      </c>
      <c r="C450" s="1" t="n">
        <v>45991</v>
      </c>
      <c r="D450" t="inlineStr">
        <is>
          <t>VÄSTERBOTTENS LÄN</t>
        </is>
      </c>
      <c r="E450" t="inlineStr">
        <is>
          <t>SKELLEFTEÅ</t>
        </is>
      </c>
      <c r="G450" t="n">
        <v>2.9</v>
      </c>
      <c r="H450" t="n">
        <v>0</v>
      </c>
      <c r="I450" t="n">
        <v>0</v>
      </c>
      <c r="J450" t="n">
        <v>0</v>
      </c>
      <c r="K450" t="n">
        <v>0</v>
      </c>
      <c r="L450" t="n">
        <v>0</v>
      </c>
      <c r="M450" t="n">
        <v>0</v>
      </c>
      <c r="N450" t="n">
        <v>0</v>
      </c>
      <c r="O450" t="n">
        <v>0</v>
      </c>
      <c r="P450" t="n">
        <v>0</v>
      </c>
      <c r="Q450" t="n">
        <v>0</v>
      </c>
      <c r="R450" s="2" t="inlineStr"/>
    </row>
    <row r="451" ht="15" customHeight="1">
      <c r="A451" t="inlineStr">
        <is>
          <t>A 73833-2021</t>
        </is>
      </c>
      <c r="B451" s="1" t="n">
        <v>44552.92071759259</v>
      </c>
      <c r="C451" s="1" t="n">
        <v>45991</v>
      </c>
      <c r="D451" t="inlineStr">
        <is>
          <t>VÄSTERBOTTENS LÄN</t>
        </is>
      </c>
      <c r="E451" t="inlineStr">
        <is>
          <t>SKELLEFTEÅ</t>
        </is>
      </c>
      <c r="G451" t="n">
        <v>2.2</v>
      </c>
      <c r="H451" t="n">
        <v>0</v>
      </c>
      <c r="I451" t="n">
        <v>0</v>
      </c>
      <c r="J451" t="n">
        <v>0</v>
      </c>
      <c r="K451" t="n">
        <v>0</v>
      </c>
      <c r="L451" t="n">
        <v>0</v>
      </c>
      <c r="M451" t="n">
        <v>0</v>
      </c>
      <c r="N451" t="n">
        <v>0</v>
      </c>
      <c r="O451" t="n">
        <v>0</v>
      </c>
      <c r="P451" t="n">
        <v>0</v>
      </c>
      <c r="Q451" t="n">
        <v>0</v>
      </c>
      <c r="R451" s="2" t="inlineStr"/>
    </row>
    <row r="452" ht="15" customHeight="1">
      <c r="A452" t="inlineStr">
        <is>
          <t>A 9183-2025</t>
        </is>
      </c>
      <c r="B452" s="1" t="n">
        <v>45714</v>
      </c>
      <c r="C452" s="1" t="n">
        <v>45991</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13126-2025</t>
        </is>
      </c>
      <c r="B453" s="1" t="n">
        <v>45734.86883101852</v>
      </c>
      <c r="C453" s="1" t="n">
        <v>45991</v>
      </c>
      <c r="D453" t="inlineStr">
        <is>
          <t>VÄSTERBOTTENS LÄN</t>
        </is>
      </c>
      <c r="E453" t="inlineStr">
        <is>
          <t>SKELLEFTEÅ</t>
        </is>
      </c>
      <c r="G453" t="n">
        <v>2.8</v>
      </c>
      <c r="H453" t="n">
        <v>0</v>
      </c>
      <c r="I453" t="n">
        <v>0</v>
      </c>
      <c r="J453" t="n">
        <v>0</v>
      </c>
      <c r="K453" t="n">
        <v>0</v>
      </c>
      <c r="L453" t="n">
        <v>0</v>
      </c>
      <c r="M453" t="n">
        <v>0</v>
      </c>
      <c r="N453" t="n">
        <v>0</v>
      </c>
      <c r="O453" t="n">
        <v>0</v>
      </c>
      <c r="P453" t="n">
        <v>0</v>
      </c>
      <c r="Q453" t="n">
        <v>0</v>
      </c>
      <c r="R453" s="2" t="inlineStr"/>
    </row>
    <row r="454" ht="15" customHeight="1">
      <c r="A454" t="inlineStr">
        <is>
          <t>A 47155-2023</t>
        </is>
      </c>
      <c r="B454" s="1" t="n">
        <v>45201.92517361111</v>
      </c>
      <c r="C454" s="1" t="n">
        <v>45991</v>
      </c>
      <c r="D454" t="inlineStr">
        <is>
          <t>VÄSTERBOTTENS LÄN</t>
        </is>
      </c>
      <c r="E454" t="inlineStr">
        <is>
          <t>SKELLEFTEÅ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573-2025</t>
        </is>
      </c>
      <c r="B455" s="1" t="n">
        <v>45660</v>
      </c>
      <c r="C455" s="1" t="n">
        <v>45991</v>
      </c>
      <c r="D455" t="inlineStr">
        <is>
          <t>VÄSTERBOTTENS LÄN</t>
        </is>
      </c>
      <c r="E455" t="inlineStr">
        <is>
          <t>SKELLEFTEÅ</t>
        </is>
      </c>
      <c r="G455" t="n">
        <v>8.6</v>
      </c>
      <c r="H455" t="n">
        <v>0</v>
      </c>
      <c r="I455" t="n">
        <v>0</v>
      </c>
      <c r="J455" t="n">
        <v>0</v>
      </c>
      <c r="K455" t="n">
        <v>0</v>
      </c>
      <c r="L455" t="n">
        <v>0</v>
      </c>
      <c r="M455" t="n">
        <v>0</v>
      </c>
      <c r="N455" t="n">
        <v>0</v>
      </c>
      <c r="O455" t="n">
        <v>0</v>
      </c>
      <c r="P455" t="n">
        <v>0</v>
      </c>
      <c r="Q455" t="n">
        <v>0</v>
      </c>
      <c r="R455" s="2" t="inlineStr"/>
    </row>
    <row r="456" ht="15" customHeight="1">
      <c r="A456" t="inlineStr">
        <is>
          <t>A 580-2025</t>
        </is>
      </c>
      <c r="B456" s="1" t="n">
        <v>45660</v>
      </c>
      <c r="C456" s="1" t="n">
        <v>45991</v>
      </c>
      <c r="D456" t="inlineStr">
        <is>
          <t>VÄSTERBOTTENS LÄN</t>
        </is>
      </c>
      <c r="E456" t="inlineStr">
        <is>
          <t>SKELLEFTEÅ</t>
        </is>
      </c>
      <c r="G456" t="n">
        <v>1.2</v>
      </c>
      <c r="H456" t="n">
        <v>0</v>
      </c>
      <c r="I456" t="n">
        <v>0</v>
      </c>
      <c r="J456" t="n">
        <v>0</v>
      </c>
      <c r="K456" t="n">
        <v>0</v>
      </c>
      <c r="L456" t="n">
        <v>0</v>
      </c>
      <c r="M456" t="n">
        <v>0</v>
      </c>
      <c r="N456" t="n">
        <v>0</v>
      </c>
      <c r="O456" t="n">
        <v>0</v>
      </c>
      <c r="P456" t="n">
        <v>0</v>
      </c>
      <c r="Q456" t="n">
        <v>0</v>
      </c>
      <c r="R456" s="2" t="inlineStr"/>
    </row>
    <row r="457" ht="15" customHeight="1">
      <c r="A457" t="inlineStr">
        <is>
          <t>A 35213-2024</t>
        </is>
      </c>
      <c r="B457" s="1" t="n">
        <v>45530</v>
      </c>
      <c r="C457" s="1" t="n">
        <v>45991</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560-2025</t>
        </is>
      </c>
      <c r="B458" s="1" t="n">
        <v>45660</v>
      </c>
      <c r="C458" s="1" t="n">
        <v>45991</v>
      </c>
      <c r="D458" t="inlineStr">
        <is>
          <t>VÄSTERBOTTENS LÄN</t>
        </is>
      </c>
      <c r="E458" t="inlineStr">
        <is>
          <t>SKELLEFTEÅ</t>
        </is>
      </c>
      <c r="G458" t="n">
        <v>5</v>
      </c>
      <c r="H458" t="n">
        <v>0</v>
      </c>
      <c r="I458" t="n">
        <v>0</v>
      </c>
      <c r="J458" t="n">
        <v>0</v>
      </c>
      <c r="K458" t="n">
        <v>0</v>
      </c>
      <c r="L458" t="n">
        <v>0</v>
      </c>
      <c r="M458" t="n">
        <v>0</v>
      </c>
      <c r="N458" t="n">
        <v>0</v>
      </c>
      <c r="O458" t="n">
        <v>0</v>
      </c>
      <c r="P458" t="n">
        <v>0</v>
      </c>
      <c r="Q458" t="n">
        <v>0</v>
      </c>
      <c r="R458" s="2" t="inlineStr"/>
    </row>
    <row r="459" ht="15" customHeight="1">
      <c r="A459" t="inlineStr">
        <is>
          <t>A 59242-2023</t>
        </is>
      </c>
      <c r="B459" s="1" t="n">
        <v>45252</v>
      </c>
      <c r="C459" s="1" t="n">
        <v>45991</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8928-2024</t>
        </is>
      </c>
      <c r="B460" s="1" t="n">
        <v>45357.39643518518</v>
      </c>
      <c r="C460" s="1" t="n">
        <v>45991</v>
      </c>
      <c r="D460" t="inlineStr">
        <is>
          <t>VÄSTERBOTTENS LÄN</t>
        </is>
      </c>
      <c r="E460" t="inlineStr">
        <is>
          <t>SKELLEFTEÅ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61188-2023</t>
        </is>
      </c>
      <c r="B461" s="1" t="n">
        <v>45264</v>
      </c>
      <c r="C461" s="1" t="n">
        <v>45991</v>
      </c>
      <c r="D461" t="inlineStr">
        <is>
          <t>VÄSTERBOTTENS LÄN</t>
        </is>
      </c>
      <c r="E461" t="inlineStr">
        <is>
          <t>SKELLEFTEÅ</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38957-2024</t>
        </is>
      </c>
      <c r="B462" s="1" t="n">
        <v>45548.35662037037</v>
      </c>
      <c r="C462" s="1" t="n">
        <v>45991</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46048-2024</t>
        </is>
      </c>
      <c r="B463" s="1" t="n">
        <v>45580.85511574074</v>
      </c>
      <c r="C463" s="1" t="n">
        <v>45991</v>
      </c>
      <c r="D463" t="inlineStr">
        <is>
          <t>VÄSTERBOTTENS LÄN</t>
        </is>
      </c>
      <c r="E463" t="inlineStr">
        <is>
          <t>SKELLEFTEÅ</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59736-2021</t>
        </is>
      </c>
      <c r="B464" s="1" t="n">
        <v>44494.44145833333</v>
      </c>
      <c r="C464" s="1" t="n">
        <v>45991</v>
      </c>
      <c r="D464" t="inlineStr">
        <is>
          <t>VÄSTERBOTTENS LÄN</t>
        </is>
      </c>
      <c r="E464" t="inlineStr">
        <is>
          <t>SKELLEFTEÅ</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31966-2024</t>
        </is>
      </c>
      <c r="B465" s="1" t="n">
        <v>45510.53748842593</v>
      </c>
      <c r="C465" s="1" t="n">
        <v>45991</v>
      </c>
      <c r="D465" t="inlineStr">
        <is>
          <t>VÄSTERBOTTENS LÄN</t>
        </is>
      </c>
      <c r="E465" t="inlineStr">
        <is>
          <t>SKELLEFTEÅ</t>
        </is>
      </c>
      <c r="F465" t="inlineStr">
        <is>
          <t>Holmen skog AB</t>
        </is>
      </c>
      <c r="G465" t="n">
        <v>6.5</v>
      </c>
      <c r="H465" t="n">
        <v>0</v>
      </c>
      <c r="I465" t="n">
        <v>0</v>
      </c>
      <c r="J465" t="n">
        <v>0</v>
      </c>
      <c r="K465" t="n">
        <v>0</v>
      </c>
      <c r="L465" t="n">
        <v>0</v>
      </c>
      <c r="M465" t="n">
        <v>0</v>
      </c>
      <c r="N465" t="n">
        <v>0</v>
      </c>
      <c r="O465" t="n">
        <v>0</v>
      </c>
      <c r="P465" t="n">
        <v>0</v>
      </c>
      <c r="Q465" t="n">
        <v>0</v>
      </c>
      <c r="R465" s="2" t="inlineStr"/>
    </row>
    <row r="466" ht="15" customHeight="1">
      <c r="A466" t="inlineStr">
        <is>
          <t>A 43435-2023</t>
        </is>
      </c>
      <c r="B466" s="1" t="n">
        <v>45184.32165509259</v>
      </c>
      <c r="C466" s="1" t="n">
        <v>45991</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61033-2023</t>
        </is>
      </c>
      <c r="B467" s="1" t="n">
        <v>45261</v>
      </c>
      <c r="C467" s="1" t="n">
        <v>45991</v>
      </c>
      <c r="D467" t="inlineStr">
        <is>
          <t>VÄSTERBOTTENS LÄN</t>
        </is>
      </c>
      <c r="E467" t="inlineStr">
        <is>
          <t>SKELLEFTEÅ</t>
        </is>
      </c>
      <c r="F467" t="inlineStr">
        <is>
          <t>Sveaskog</t>
        </is>
      </c>
      <c r="G467" t="n">
        <v>16.4</v>
      </c>
      <c r="H467" t="n">
        <v>0</v>
      </c>
      <c r="I467" t="n">
        <v>0</v>
      </c>
      <c r="J467" t="n">
        <v>0</v>
      </c>
      <c r="K467" t="n">
        <v>0</v>
      </c>
      <c r="L467" t="n">
        <v>0</v>
      </c>
      <c r="M467" t="n">
        <v>0</v>
      </c>
      <c r="N467" t="n">
        <v>0</v>
      </c>
      <c r="O467" t="n">
        <v>0</v>
      </c>
      <c r="P467" t="n">
        <v>0</v>
      </c>
      <c r="Q467" t="n">
        <v>0</v>
      </c>
      <c r="R467" s="2" t="inlineStr"/>
    </row>
    <row r="468" ht="15" customHeight="1">
      <c r="A468" t="inlineStr">
        <is>
          <t>A 58750-2023</t>
        </is>
      </c>
      <c r="B468" s="1" t="n">
        <v>45251.92957175926</v>
      </c>
      <c r="C468" s="1" t="n">
        <v>45991</v>
      </c>
      <c r="D468" t="inlineStr">
        <is>
          <t>VÄSTERBOTTENS LÄN</t>
        </is>
      </c>
      <c r="E468" t="inlineStr">
        <is>
          <t>SKELLEFTEÅ</t>
        </is>
      </c>
      <c r="G468" t="n">
        <v>3.6</v>
      </c>
      <c r="H468" t="n">
        <v>0</v>
      </c>
      <c r="I468" t="n">
        <v>0</v>
      </c>
      <c r="J468" t="n">
        <v>0</v>
      </c>
      <c r="K468" t="n">
        <v>0</v>
      </c>
      <c r="L468" t="n">
        <v>0</v>
      </c>
      <c r="M468" t="n">
        <v>0</v>
      </c>
      <c r="N468" t="n">
        <v>0</v>
      </c>
      <c r="O468" t="n">
        <v>0</v>
      </c>
      <c r="P468" t="n">
        <v>0</v>
      </c>
      <c r="Q468" t="n">
        <v>0</v>
      </c>
      <c r="R468" s="2" t="inlineStr"/>
    </row>
    <row r="469" ht="15" customHeight="1">
      <c r="A469" t="inlineStr">
        <is>
          <t>A 35032-2023</t>
        </is>
      </c>
      <c r="B469" s="1" t="n">
        <v>45145</v>
      </c>
      <c r="C469" s="1" t="n">
        <v>45991</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49433-2022</t>
        </is>
      </c>
      <c r="B470" s="1" t="n">
        <v>44859</v>
      </c>
      <c r="C470" s="1" t="n">
        <v>45991</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8328-2023</t>
        </is>
      </c>
      <c r="B471" s="1" t="n">
        <v>44974.84518518519</v>
      </c>
      <c r="C471" s="1" t="n">
        <v>45991</v>
      </c>
      <c r="D471" t="inlineStr">
        <is>
          <t>VÄSTERBOTTENS LÄN</t>
        </is>
      </c>
      <c r="E471" t="inlineStr">
        <is>
          <t>SKELLEFTEÅ</t>
        </is>
      </c>
      <c r="G471" t="n">
        <v>18.5</v>
      </c>
      <c r="H471" t="n">
        <v>0</v>
      </c>
      <c r="I471" t="n">
        <v>0</v>
      </c>
      <c r="J471" t="n">
        <v>0</v>
      </c>
      <c r="K471" t="n">
        <v>0</v>
      </c>
      <c r="L471" t="n">
        <v>0</v>
      </c>
      <c r="M471" t="n">
        <v>0</v>
      </c>
      <c r="N471" t="n">
        <v>0</v>
      </c>
      <c r="O471" t="n">
        <v>0</v>
      </c>
      <c r="P471" t="n">
        <v>0</v>
      </c>
      <c r="Q471" t="n">
        <v>0</v>
      </c>
      <c r="R471" s="2" t="inlineStr"/>
    </row>
    <row r="472" ht="15" customHeight="1">
      <c r="A472" t="inlineStr">
        <is>
          <t>A 23168-2024</t>
        </is>
      </c>
      <c r="B472" s="1" t="n">
        <v>45450</v>
      </c>
      <c r="C472" s="1" t="n">
        <v>45991</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14653-2024</t>
        </is>
      </c>
      <c r="B473" s="1" t="n">
        <v>45397.4034375</v>
      </c>
      <c r="C473" s="1" t="n">
        <v>45991</v>
      </c>
      <c r="D473" t="inlineStr">
        <is>
          <t>VÄSTERBOTTENS LÄN</t>
        </is>
      </c>
      <c r="E473" t="inlineStr">
        <is>
          <t>SKELLEFTEÅ</t>
        </is>
      </c>
      <c r="G473" t="n">
        <v>5.1</v>
      </c>
      <c r="H473" t="n">
        <v>0</v>
      </c>
      <c r="I473" t="n">
        <v>0</v>
      </c>
      <c r="J473" t="n">
        <v>0</v>
      </c>
      <c r="K473" t="n">
        <v>0</v>
      </c>
      <c r="L473" t="n">
        <v>0</v>
      </c>
      <c r="M473" t="n">
        <v>0</v>
      </c>
      <c r="N473" t="n">
        <v>0</v>
      </c>
      <c r="O473" t="n">
        <v>0</v>
      </c>
      <c r="P473" t="n">
        <v>0</v>
      </c>
      <c r="Q473" t="n">
        <v>0</v>
      </c>
      <c r="R473" s="2" t="inlineStr"/>
    </row>
    <row r="474" ht="15" customHeight="1">
      <c r="A474" t="inlineStr">
        <is>
          <t>A 26690-2023</t>
        </is>
      </c>
      <c r="B474" s="1" t="n">
        <v>45093</v>
      </c>
      <c r="C474" s="1" t="n">
        <v>45991</v>
      </c>
      <c r="D474" t="inlineStr">
        <is>
          <t>VÄSTERBOTTENS LÄN</t>
        </is>
      </c>
      <c r="E474" t="inlineStr">
        <is>
          <t>SKELLEFTEÅ</t>
        </is>
      </c>
      <c r="F474" t="inlineStr">
        <is>
          <t>Kyrkan</t>
        </is>
      </c>
      <c r="G474" t="n">
        <v>7.5</v>
      </c>
      <c r="H474" t="n">
        <v>0</v>
      </c>
      <c r="I474" t="n">
        <v>0</v>
      </c>
      <c r="J474" t="n">
        <v>0</v>
      </c>
      <c r="K474" t="n">
        <v>0</v>
      </c>
      <c r="L474" t="n">
        <v>0</v>
      </c>
      <c r="M474" t="n">
        <v>0</v>
      </c>
      <c r="N474" t="n">
        <v>0</v>
      </c>
      <c r="O474" t="n">
        <v>0</v>
      </c>
      <c r="P474" t="n">
        <v>0</v>
      </c>
      <c r="Q474" t="n">
        <v>0</v>
      </c>
      <c r="R474" s="2" t="inlineStr"/>
    </row>
    <row r="475" ht="15" customHeight="1">
      <c r="A475" t="inlineStr">
        <is>
          <t>A 1639-2023</t>
        </is>
      </c>
      <c r="B475" s="1" t="n">
        <v>44937</v>
      </c>
      <c r="C475" s="1" t="n">
        <v>45991</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14332-2023</t>
        </is>
      </c>
      <c r="B476" s="1" t="n">
        <v>45009</v>
      </c>
      <c r="C476" s="1" t="n">
        <v>45991</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34035-2023</t>
        </is>
      </c>
      <c r="B477" s="1" t="n">
        <v>45135.41648148148</v>
      </c>
      <c r="C477" s="1" t="n">
        <v>45991</v>
      </c>
      <c r="D477" t="inlineStr">
        <is>
          <t>VÄSTERBOTTENS LÄN</t>
        </is>
      </c>
      <c r="E477" t="inlineStr">
        <is>
          <t>SKELLEFTEÅ</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49279-2024</t>
        </is>
      </c>
      <c r="B478" s="1" t="n">
        <v>45595.50831018519</v>
      </c>
      <c r="C478" s="1" t="n">
        <v>45991</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15593-2023</t>
        </is>
      </c>
      <c r="B479" s="1" t="n">
        <v>45019</v>
      </c>
      <c r="C479" s="1" t="n">
        <v>45991</v>
      </c>
      <c r="D479" t="inlineStr">
        <is>
          <t>VÄSTERBOTTENS LÄN</t>
        </is>
      </c>
      <c r="E479" t="inlineStr">
        <is>
          <t>SKELLEFTEÅ</t>
        </is>
      </c>
      <c r="G479" t="n">
        <v>6.3</v>
      </c>
      <c r="H479" t="n">
        <v>0</v>
      </c>
      <c r="I479" t="n">
        <v>0</v>
      </c>
      <c r="J479" t="n">
        <v>0</v>
      </c>
      <c r="K479" t="n">
        <v>0</v>
      </c>
      <c r="L479" t="n">
        <v>0</v>
      </c>
      <c r="M479" t="n">
        <v>0</v>
      </c>
      <c r="N479" t="n">
        <v>0</v>
      </c>
      <c r="O479" t="n">
        <v>0</v>
      </c>
      <c r="P479" t="n">
        <v>0</v>
      </c>
      <c r="Q479" t="n">
        <v>0</v>
      </c>
      <c r="R479" s="2" t="inlineStr"/>
    </row>
    <row r="480" ht="15" customHeight="1">
      <c r="A480" t="inlineStr">
        <is>
          <t>A 61479-2024</t>
        </is>
      </c>
      <c r="B480" s="1" t="n">
        <v>45646.52488425926</v>
      </c>
      <c r="C480" s="1" t="n">
        <v>45991</v>
      </c>
      <c r="D480" t="inlineStr">
        <is>
          <t>VÄSTERBOTTENS LÄN</t>
        </is>
      </c>
      <c r="E480" t="inlineStr">
        <is>
          <t>SKELLEFTEÅ</t>
        </is>
      </c>
      <c r="G480" t="n">
        <v>2.1</v>
      </c>
      <c r="H480" t="n">
        <v>0</v>
      </c>
      <c r="I480" t="n">
        <v>0</v>
      </c>
      <c r="J480" t="n">
        <v>0</v>
      </c>
      <c r="K480" t="n">
        <v>0</v>
      </c>
      <c r="L480" t="n">
        <v>0</v>
      </c>
      <c r="M480" t="n">
        <v>0</v>
      </c>
      <c r="N480" t="n">
        <v>0</v>
      </c>
      <c r="O480" t="n">
        <v>0</v>
      </c>
      <c r="P480" t="n">
        <v>0</v>
      </c>
      <c r="Q480" t="n">
        <v>0</v>
      </c>
      <c r="R480" s="2" t="inlineStr"/>
    </row>
    <row r="481" ht="15" customHeight="1">
      <c r="A481" t="inlineStr">
        <is>
          <t>A 2579-2024</t>
        </is>
      </c>
      <c r="B481" s="1" t="n">
        <v>45313.64712962963</v>
      </c>
      <c r="C481" s="1" t="n">
        <v>45991</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20245-2025</t>
        </is>
      </c>
      <c r="B482" s="1" t="n">
        <v>45772</v>
      </c>
      <c r="C482" s="1" t="n">
        <v>45991</v>
      </c>
      <c r="D482" t="inlineStr">
        <is>
          <t>VÄSTERBOTTENS LÄN</t>
        </is>
      </c>
      <c r="E482" t="inlineStr">
        <is>
          <t>SKELLEFTEÅ</t>
        </is>
      </c>
      <c r="G482" t="n">
        <v>14.1</v>
      </c>
      <c r="H482" t="n">
        <v>0</v>
      </c>
      <c r="I482" t="n">
        <v>0</v>
      </c>
      <c r="J482" t="n">
        <v>0</v>
      </c>
      <c r="K482" t="n">
        <v>0</v>
      </c>
      <c r="L482" t="n">
        <v>0</v>
      </c>
      <c r="M482" t="n">
        <v>0</v>
      </c>
      <c r="N482" t="n">
        <v>0</v>
      </c>
      <c r="O482" t="n">
        <v>0</v>
      </c>
      <c r="P482" t="n">
        <v>0</v>
      </c>
      <c r="Q482" t="n">
        <v>0</v>
      </c>
      <c r="R482" s="2" t="inlineStr"/>
    </row>
    <row r="483" ht="15" customHeight="1">
      <c r="A483" t="inlineStr">
        <is>
          <t>A 41037-2024</t>
        </is>
      </c>
      <c r="B483" s="1" t="n">
        <v>45559.35982638889</v>
      </c>
      <c r="C483" s="1" t="n">
        <v>45991</v>
      </c>
      <c r="D483" t="inlineStr">
        <is>
          <t>VÄSTERBOTTENS LÄN</t>
        </is>
      </c>
      <c r="E483" t="inlineStr">
        <is>
          <t>SKELLEFTEÅ</t>
        </is>
      </c>
      <c r="F483" t="inlineStr">
        <is>
          <t>Sveaskog</t>
        </is>
      </c>
      <c r="G483" t="n">
        <v>22.5</v>
      </c>
      <c r="H483" t="n">
        <v>0</v>
      </c>
      <c r="I483" t="n">
        <v>0</v>
      </c>
      <c r="J483" t="n">
        <v>0</v>
      </c>
      <c r="K483" t="n">
        <v>0</v>
      </c>
      <c r="L483" t="n">
        <v>0</v>
      </c>
      <c r="M483" t="n">
        <v>0</v>
      </c>
      <c r="N483" t="n">
        <v>0</v>
      </c>
      <c r="O483" t="n">
        <v>0</v>
      </c>
      <c r="P483" t="n">
        <v>0</v>
      </c>
      <c r="Q483" t="n">
        <v>0</v>
      </c>
      <c r="R483" s="2" t="inlineStr"/>
    </row>
    <row r="484" ht="15" customHeight="1">
      <c r="A484" t="inlineStr">
        <is>
          <t>A 35809-2022</t>
        </is>
      </c>
      <c r="B484" s="1" t="n">
        <v>44802</v>
      </c>
      <c r="C484" s="1" t="n">
        <v>45991</v>
      </c>
      <c r="D484" t="inlineStr">
        <is>
          <t>VÄSTERBOTTENS LÄN</t>
        </is>
      </c>
      <c r="E484" t="inlineStr">
        <is>
          <t>SKELLEFTEÅ</t>
        </is>
      </c>
      <c r="G484" t="n">
        <v>4.2</v>
      </c>
      <c r="H484" t="n">
        <v>0</v>
      </c>
      <c r="I484" t="n">
        <v>0</v>
      </c>
      <c r="J484" t="n">
        <v>0</v>
      </c>
      <c r="K484" t="n">
        <v>0</v>
      </c>
      <c r="L484" t="n">
        <v>0</v>
      </c>
      <c r="M484" t="n">
        <v>0</v>
      </c>
      <c r="N484" t="n">
        <v>0</v>
      </c>
      <c r="O484" t="n">
        <v>0</v>
      </c>
      <c r="P484" t="n">
        <v>0</v>
      </c>
      <c r="Q484" t="n">
        <v>0</v>
      </c>
      <c r="R484" s="2" t="inlineStr"/>
    </row>
    <row r="485" ht="15" customHeight="1">
      <c r="A485" t="inlineStr">
        <is>
          <t>A 42329-2023</t>
        </is>
      </c>
      <c r="B485" s="1" t="n">
        <v>45175</v>
      </c>
      <c r="C485" s="1" t="n">
        <v>45991</v>
      </c>
      <c r="D485" t="inlineStr">
        <is>
          <t>VÄSTERBOTTENS LÄN</t>
        </is>
      </c>
      <c r="E485" t="inlineStr">
        <is>
          <t>SKELLEFTEÅ</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60558-2022</t>
        </is>
      </c>
      <c r="B486" s="1" t="n">
        <v>44904</v>
      </c>
      <c r="C486" s="1" t="n">
        <v>45991</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49844-2024</t>
        </is>
      </c>
      <c r="B487" s="1" t="n">
        <v>45597</v>
      </c>
      <c r="C487" s="1" t="n">
        <v>45991</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15709-2023</t>
        </is>
      </c>
      <c r="B488" s="1" t="n">
        <v>45020</v>
      </c>
      <c r="C488" s="1" t="n">
        <v>45991</v>
      </c>
      <c r="D488" t="inlineStr">
        <is>
          <t>VÄSTERBOTTENS LÄN</t>
        </is>
      </c>
      <c r="E488" t="inlineStr">
        <is>
          <t>SKELLEFTEÅ</t>
        </is>
      </c>
      <c r="G488" t="n">
        <v>4.4</v>
      </c>
      <c r="H488" t="n">
        <v>0</v>
      </c>
      <c r="I488" t="n">
        <v>0</v>
      </c>
      <c r="J488" t="n">
        <v>0</v>
      </c>
      <c r="K488" t="n">
        <v>0</v>
      </c>
      <c r="L488" t="n">
        <v>0</v>
      </c>
      <c r="M488" t="n">
        <v>0</v>
      </c>
      <c r="N488" t="n">
        <v>0</v>
      </c>
      <c r="O488" t="n">
        <v>0</v>
      </c>
      <c r="P488" t="n">
        <v>0</v>
      </c>
      <c r="Q488" t="n">
        <v>0</v>
      </c>
      <c r="R488" s="2" t="inlineStr"/>
    </row>
    <row r="489" ht="15" customHeight="1">
      <c r="A489" t="inlineStr">
        <is>
          <t>A 30437-2023</t>
        </is>
      </c>
      <c r="B489" s="1" t="n">
        <v>45099</v>
      </c>
      <c r="C489" s="1" t="n">
        <v>45991</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27322-2023</t>
        </is>
      </c>
      <c r="B490" s="1" t="n">
        <v>45096</v>
      </c>
      <c r="C490" s="1" t="n">
        <v>45991</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46858-2024</t>
        </is>
      </c>
      <c r="B491" s="1" t="n">
        <v>45583</v>
      </c>
      <c r="C491" s="1" t="n">
        <v>45991</v>
      </c>
      <c r="D491" t="inlineStr">
        <is>
          <t>VÄSTERBOTTENS LÄN</t>
        </is>
      </c>
      <c r="E491" t="inlineStr">
        <is>
          <t>SKELLEFTEÅ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55613-2023</t>
        </is>
      </c>
      <c r="B492" s="1" t="n">
        <v>45238.74128472222</v>
      </c>
      <c r="C492" s="1" t="n">
        <v>45991</v>
      </c>
      <c r="D492" t="inlineStr">
        <is>
          <t>VÄSTERBOTTENS LÄN</t>
        </is>
      </c>
      <c r="E492" t="inlineStr">
        <is>
          <t>SKELLEFTEÅ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43793-2024</t>
        </is>
      </c>
      <c r="B493" s="1" t="n">
        <v>45571.49777777777</v>
      </c>
      <c r="C493" s="1" t="n">
        <v>45991</v>
      </c>
      <c r="D493" t="inlineStr">
        <is>
          <t>VÄSTERBOTTENS LÄN</t>
        </is>
      </c>
      <c r="E493" t="inlineStr">
        <is>
          <t>SKELLEFTEÅ</t>
        </is>
      </c>
      <c r="F493" t="inlineStr">
        <is>
          <t>Sveaskog</t>
        </is>
      </c>
      <c r="G493" t="n">
        <v>14.1</v>
      </c>
      <c r="H493" t="n">
        <v>0</v>
      </c>
      <c r="I493" t="n">
        <v>0</v>
      </c>
      <c r="J493" t="n">
        <v>0</v>
      </c>
      <c r="K493" t="n">
        <v>0</v>
      </c>
      <c r="L493" t="n">
        <v>0</v>
      </c>
      <c r="M493" t="n">
        <v>0</v>
      </c>
      <c r="N493" t="n">
        <v>0</v>
      </c>
      <c r="O493" t="n">
        <v>0</v>
      </c>
      <c r="P493" t="n">
        <v>0</v>
      </c>
      <c r="Q493" t="n">
        <v>0</v>
      </c>
      <c r="R493" s="2" t="inlineStr"/>
    </row>
    <row r="494" ht="15" customHeight="1">
      <c r="A494" t="inlineStr">
        <is>
          <t>A 64977-2020</t>
        </is>
      </c>
      <c r="B494" s="1" t="n">
        <v>44167</v>
      </c>
      <c r="C494" s="1" t="n">
        <v>45991</v>
      </c>
      <c r="D494" t="inlineStr">
        <is>
          <t>VÄSTERBOTTENS LÄN</t>
        </is>
      </c>
      <c r="E494" t="inlineStr">
        <is>
          <t>SKELLEFTEÅ</t>
        </is>
      </c>
      <c r="G494" t="n">
        <v>9</v>
      </c>
      <c r="H494" t="n">
        <v>0</v>
      </c>
      <c r="I494" t="n">
        <v>0</v>
      </c>
      <c r="J494" t="n">
        <v>0</v>
      </c>
      <c r="K494" t="n">
        <v>0</v>
      </c>
      <c r="L494" t="n">
        <v>0</v>
      </c>
      <c r="M494" t="n">
        <v>0</v>
      </c>
      <c r="N494" t="n">
        <v>0</v>
      </c>
      <c r="O494" t="n">
        <v>0</v>
      </c>
      <c r="P494" t="n">
        <v>0</v>
      </c>
      <c r="Q494" t="n">
        <v>0</v>
      </c>
      <c r="R494" s="2" t="inlineStr"/>
    </row>
    <row r="495" ht="15" customHeight="1">
      <c r="A495" t="inlineStr">
        <is>
          <t>A 27508-2023</t>
        </is>
      </c>
      <c r="B495" s="1" t="n">
        <v>45097</v>
      </c>
      <c r="C495" s="1" t="n">
        <v>45991</v>
      </c>
      <c r="D495" t="inlineStr">
        <is>
          <t>VÄSTERBOTTENS LÄN</t>
        </is>
      </c>
      <c r="E495" t="inlineStr">
        <is>
          <t>SKELLEFTEÅ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2454-2025</t>
        </is>
      </c>
      <c r="B496" s="1" t="n">
        <v>45673</v>
      </c>
      <c r="C496" s="1" t="n">
        <v>45991</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19764-2025</t>
        </is>
      </c>
      <c r="B497" s="1" t="n">
        <v>45771.4071412037</v>
      </c>
      <c r="C497" s="1" t="n">
        <v>45991</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19795-2025</t>
        </is>
      </c>
      <c r="B498" s="1" t="n">
        <v>45771.44666666666</v>
      </c>
      <c r="C498" s="1" t="n">
        <v>45991</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14342-2024</t>
        </is>
      </c>
      <c r="B499" s="1" t="n">
        <v>45393.73072916667</v>
      </c>
      <c r="C499" s="1" t="n">
        <v>45991</v>
      </c>
      <c r="D499" t="inlineStr">
        <is>
          <t>VÄSTERBOTTENS LÄN</t>
        </is>
      </c>
      <c r="E499" t="inlineStr">
        <is>
          <t>SKELLEFTEÅ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45757-2024</t>
        </is>
      </c>
      <c r="B500" s="1" t="n">
        <v>45579.63565972223</v>
      </c>
      <c r="C500" s="1" t="n">
        <v>45991</v>
      </c>
      <c r="D500" t="inlineStr">
        <is>
          <t>VÄSTERBOTTENS LÄN</t>
        </is>
      </c>
      <c r="E500" t="inlineStr">
        <is>
          <t>SKELLEFTEÅ</t>
        </is>
      </c>
      <c r="G500" t="n">
        <v>3.6</v>
      </c>
      <c r="H500" t="n">
        <v>0</v>
      </c>
      <c r="I500" t="n">
        <v>0</v>
      </c>
      <c r="J500" t="n">
        <v>0</v>
      </c>
      <c r="K500" t="n">
        <v>0</v>
      </c>
      <c r="L500" t="n">
        <v>0</v>
      </c>
      <c r="M500" t="n">
        <v>0</v>
      </c>
      <c r="N500" t="n">
        <v>0</v>
      </c>
      <c r="O500" t="n">
        <v>0</v>
      </c>
      <c r="P500" t="n">
        <v>0</v>
      </c>
      <c r="Q500" t="n">
        <v>0</v>
      </c>
      <c r="R500" s="2" t="inlineStr"/>
    </row>
    <row r="501" ht="15" customHeight="1">
      <c r="A501" t="inlineStr">
        <is>
          <t>A 18098-2025</t>
        </is>
      </c>
      <c r="B501" s="1" t="n">
        <v>45761.5509375</v>
      </c>
      <c r="C501" s="1" t="n">
        <v>45991</v>
      </c>
      <c r="D501" t="inlineStr">
        <is>
          <t>VÄSTERBOTTENS LÄN</t>
        </is>
      </c>
      <c r="E501" t="inlineStr">
        <is>
          <t>SKELLEFTEÅ</t>
        </is>
      </c>
      <c r="G501" t="n">
        <v>4.8</v>
      </c>
      <c r="H501" t="n">
        <v>0</v>
      </c>
      <c r="I501" t="n">
        <v>0</v>
      </c>
      <c r="J501" t="n">
        <v>0</v>
      </c>
      <c r="K501" t="n">
        <v>0</v>
      </c>
      <c r="L501" t="n">
        <v>0</v>
      </c>
      <c r="M501" t="n">
        <v>0</v>
      </c>
      <c r="N501" t="n">
        <v>0</v>
      </c>
      <c r="O501" t="n">
        <v>0</v>
      </c>
      <c r="P501" t="n">
        <v>0</v>
      </c>
      <c r="Q501" t="n">
        <v>0</v>
      </c>
      <c r="R501" s="2" t="inlineStr"/>
    </row>
    <row r="502" ht="15" customHeight="1">
      <c r="A502" t="inlineStr">
        <is>
          <t>A 34580-2024</t>
        </is>
      </c>
      <c r="B502" s="1" t="n">
        <v>45526</v>
      </c>
      <c r="C502" s="1" t="n">
        <v>45991</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34587-2024</t>
        </is>
      </c>
      <c r="B503" s="1" t="n">
        <v>45526</v>
      </c>
      <c r="C503" s="1" t="n">
        <v>45991</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57770-2022</t>
        </is>
      </c>
      <c r="B504" s="1" t="n">
        <v>44897</v>
      </c>
      <c r="C504" s="1" t="n">
        <v>45991</v>
      </c>
      <c r="D504" t="inlineStr">
        <is>
          <t>VÄSTERBOTTENS LÄN</t>
        </is>
      </c>
      <c r="E504" t="inlineStr">
        <is>
          <t>SKELLEFTEÅ</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43434-2024</t>
        </is>
      </c>
      <c r="B505" s="1" t="n">
        <v>45568.64591435185</v>
      </c>
      <c r="C505" s="1" t="n">
        <v>45991</v>
      </c>
      <c r="D505" t="inlineStr">
        <is>
          <t>VÄSTERBOTTENS LÄN</t>
        </is>
      </c>
      <c r="E505" t="inlineStr">
        <is>
          <t>SKELLEFTEÅ</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10340-2024</t>
        </is>
      </c>
      <c r="B506" s="1" t="n">
        <v>45365</v>
      </c>
      <c r="C506" s="1" t="n">
        <v>45991</v>
      </c>
      <c r="D506" t="inlineStr">
        <is>
          <t>VÄSTERBOTTENS LÄN</t>
        </is>
      </c>
      <c r="E506" t="inlineStr">
        <is>
          <t>SKELLEFTEÅ</t>
        </is>
      </c>
      <c r="G506" t="n">
        <v>6.9</v>
      </c>
      <c r="H506" t="n">
        <v>0</v>
      </c>
      <c r="I506" t="n">
        <v>0</v>
      </c>
      <c r="J506" t="n">
        <v>0</v>
      </c>
      <c r="K506" t="n">
        <v>0</v>
      </c>
      <c r="L506" t="n">
        <v>0</v>
      </c>
      <c r="M506" t="n">
        <v>0</v>
      </c>
      <c r="N506" t="n">
        <v>0</v>
      </c>
      <c r="O506" t="n">
        <v>0</v>
      </c>
      <c r="P506" t="n">
        <v>0</v>
      </c>
      <c r="Q506" t="n">
        <v>0</v>
      </c>
      <c r="R506" s="2" t="inlineStr"/>
    </row>
    <row r="507" ht="15" customHeight="1">
      <c r="A507" t="inlineStr">
        <is>
          <t>A 11994-2025</t>
        </is>
      </c>
      <c r="B507" s="1" t="n">
        <v>45728</v>
      </c>
      <c r="C507" s="1" t="n">
        <v>45991</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4700-2025</t>
        </is>
      </c>
      <c r="B508" s="1" t="n">
        <v>45688</v>
      </c>
      <c r="C508" s="1" t="n">
        <v>45991</v>
      </c>
      <c r="D508" t="inlineStr">
        <is>
          <t>VÄSTERBOTTENS LÄN</t>
        </is>
      </c>
      <c r="E508" t="inlineStr">
        <is>
          <t>SKELLEFTEÅ</t>
        </is>
      </c>
      <c r="G508" t="n">
        <v>3.4</v>
      </c>
      <c r="H508" t="n">
        <v>0</v>
      </c>
      <c r="I508" t="n">
        <v>0</v>
      </c>
      <c r="J508" t="n">
        <v>0</v>
      </c>
      <c r="K508" t="n">
        <v>0</v>
      </c>
      <c r="L508" t="n">
        <v>0</v>
      </c>
      <c r="M508" t="n">
        <v>0</v>
      </c>
      <c r="N508" t="n">
        <v>0</v>
      </c>
      <c r="O508" t="n">
        <v>0</v>
      </c>
      <c r="P508" t="n">
        <v>0</v>
      </c>
      <c r="Q508" t="n">
        <v>0</v>
      </c>
      <c r="R508" s="2" t="inlineStr"/>
    </row>
    <row r="509" ht="15" customHeight="1">
      <c r="A509" t="inlineStr">
        <is>
          <t>A 2170-2024</t>
        </is>
      </c>
      <c r="B509" s="1" t="n">
        <v>45309.62446759259</v>
      </c>
      <c r="C509" s="1" t="n">
        <v>45991</v>
      </c>
      <c r="D509" t="inlineStr">
        <is>
          <t>VÄSTERBOTTENS LÄN</t>
        </is>
      </c>
      <c r="E509" t="inlineStr">
        <is>
          <t>SKELLEFTEÅ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10659-2024</t>
        </is>
      </c>
      <c r="B510" s="1" t="n">
        <v>45369.30447916667</v>
      </c>
      <c r="C510" s="1" t="n">
        <v>45991</v>
      </c>
      <c r="D510" t="inlineStr">
        <is>
          <t>VÄSTERBOTTENS LÄN</t>
        </is>
      </c>
      <c r="E510" t="inlineStr">
        <is>
          <t>SKELLEFTEÅ</t>
        </is>
      </c>
      <c r="G510" t="n">
        <v>3.4</v>
      </c>
      <c r="H510" t="n">
        <v>0</v>
      </c>
      <c r="I510" t="n">
        <v>0</v>
      </c>
      <c r="J510" t="n">
        <v>0</v>
      </c>
      <c r="K510" t="n">
        <v>0</v>
      </c>
      <c r="L510" t="n">
        <v>0</v>
      </c>
      <c r="M510" t="n">
        <v>0</v>
      </c>
      <c r="N510" t="n">
        <v>0</v>
      </c>
      <c r="O510" t="n">
        <v>0</v>
      </c>
      <c r="P510" t="n">
        <v>0</v>
      </c>
      <c r="Q510" t="n">
        <v>0</v>
      </c>
      <c r="R510" s="2" t="inlineStr"/>
    </row>
    <row r="511" ht="15" customHeight="1">
      <c r="A511" t="inlineStr">
        <is>
          <t>A 17561-2025</t>
        </is>
      </c>
      <c r="B511" s="1" t="n">
        <v>45757.63712962963</v>
      </c>
      <c r="C511" s="1" t="n">
        <v>45991</v>
      </c>
      <c r="D511" t="inlineStr">
        <is>
          <t>VÄSTERBOTTENS LÄN</t>
        </is>
      </c>
      <c r="E511" t="inlineStr">
        <is>
          <t>SKELLEFTEÅ</t>
        </is>
      </c>
      <c r="G511" t="n">
        <v>8.6</v>
      </c>
      <c r="H511" t="n">
        <v>0</v>
      </c>
      <c r="I511" t="n">
        <v>0</v>
      </c>
      <c r="J511" t="n">
        <v>0</v>
      </c>
      <c r="K511" t="n">
        <v>0</v>
      </c>
      <c r="L511" t="n">
        <v>0</v>
      </c>
      <c r="M511" t="n">
        <v>0</v>
      </c>
      <c r="N511" t="n">
        <v>0</v>
      </c>
      <c r="O511" t="n">
        <v>0</v>
      </c>
      <c r="P511" t="n">
        <v>0</v>
      </c>
      <c r="Q511" t="n">
        <v>0</v>
      </c>
      <c r="R511" s="2" t="inlineStr"/>
    </row>
    <row r="512" ht="15" customHeight="1">
      <c r="A512" t="inlineStr">
        <is>
          <t>A 37669-2022</t>
        </is>
      </c>
      <c r="B512" s="1" t="n">
        <v>44810</v>
      </c>
      <c r="C512" s="1" t="n">
        <v>45991</v>
      </c>
      <c r="D512" t="inlineStr">
        <is>
          <t>VÄSTERBOTTENS LÄN</t>
        </is>
      </c>
      <c r="E512" t="inlineStr">
        <is>
          <t>SKELLEFTEÅ</t>
        </is>
      </c>
      <c r="G512" t="n">
        <v>10.9</v>
      </c>
      <c r="H512" t="n">
        <v>0</v>
      </c>
      <c r="I512" t="n">
        <v>0</v>
      </c>
      <c r="J512" t="n">
        <v>0</v>
      </c>
      <c r="K512" t="n">
        <v>0</v>
      </c>
      <c r="L512" t="n">
        <v>0</v>
      </c>
      <c r="M512" t="n">
        <v>0</v>
      </c>
      <c r="N512" t="n">
        <v>0</v>
      </c>
      <c r="O512" t="n">
        <v>0</v>
      </c>
      <c r="P512" t="n">
        <v>0</v>
      </c>
      <c r="Q512" t="n">
        <v>0</v>
      </c>
      <c r="R512" s="2" t="inlineStr"/>
    </row>
    <row r="513" ht="15" customHeight="1">
      <c r="A513" t="inlineStr">
        <is>
          <t>A 52157-2024</t>
        </is>
      </c>
      <c r="B513" s="1" t="n">
        <v>45608.52555555556</v>
      </c>
      <c r="C513" s="1" t="n">
        <v>45991</v>
      </c>
      <c r="D513" t="inlineStr">
        <is>
          <t>VÄSTERBOTTENS LÄN</t>
        </is>
      </c>
      <c r="E513" t="inlineStr">
        <is>
          <t>SKELLEFTEÅ</t>
        </is>
      </c>
      <c r="F513" t="inlineStr">
        <is>
          <t>Holmen skog AB</t>
        </is>
      </c>
      <c r="G513" t="n">
        <v>10.3</v>
      </c>
      <c r="H513" t="n">
        <v>0</v>
      </c>
      <c r="I513" t="n">
        <v>0</v>
      </c>
      <c r="J513" t="n">
        <v>0</v>
      </c>
      <c r="K513" t="n">
        <v>0</v>
      </c>
      <c r="L513" t="n">
        <v>0</v>
      </c>
      <c r="M513" t="n">
        <v>0</v>
      </c>
      <c r="N513" t="n">
        <v>0</v>
      </c>
      <c r="O513" t="n">
        <v>0</v>
      </c>
      <c r="P513" t="n">
        <v>0</v>
      </c>
      <c r="Q513" t="n">
        <v>0</v>
      </c>
      <c r="R513" s="2" t="inlineStr"/>
    </row>
    <row r="514" ht="15" customHeight="1">
      <c r="A514" t="inlineStr">
        <is>
          <t>A 8801-2025</t>
        </is>
      </c>
      <c r="B514" s="1" t="n">
        <v>45712.65678240741</v>
      </c>
      <c r="C514" s="1" t="n">
        <v>45991</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51478-2023</t>
        </is>
      </c>
      <c r="B515" s="1" t="n">
        <v>45221.89737268518</v>
      </c>
      <c r="C515" s="1" t="n">
        <v>45991</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31197-2024</t>
        </is>
      </c>
      <c r="B516" s="1" t="n">
        <v>45503.51806712963</v>
      </c>
      <c r="C516" s="1" t="n">
        <v>45991</v>
      </c>
      <c r="D516" t="inlineStr">
        <is>
          <t>VÄSTERBOTTENS LÄN</t>
        </is>
      </c>
      <c r="E516" t="inlineStr">
        <is>
          <t>SKELLEFTEÅ</t>
        </is>
      </c>
      <c r="F516" t="inlineStr">
        <is>
          <t>Holmen skog AB</t>
        </is>
      </c>
      <c r="G516" t="n">
        <v>4.1</v>
      </c>
      <c r="H516" t="n">
        <v>0</v>
      </c>
      <c r="I516" t="n">
        <v>0</v>
      </c>
      <c r="J516" t="n">
        <v>0</v>
      </c>
      <c r="K516" t="n">
        <v>0</v>
      </c>
      <c r="L516" t="n">
        <v>0</v>
      </c>
      <c r="M516" t="n">
        <v>0</v>
      </c>
      <c r="N516" t="n">
        <v>0</v>
      </c>
      <c r="O516" t="n">
        <v>0</v>
      </c>
      <c r="P516" t="n">
        <v>0</v>
      </c>
      <c r="Q516" t="n">
        <v>0</v>
      </c>
      <c r="R516" s="2" t="inlineStr"/>
    </row>
    <row r="517" ht="15" customHeight="1">
      <c r="A517" t="inlineStr">
        <is>
          <t>A 15728-2024</t>
        </is>
      </c>
      <c r="B517" s="1" t="n">
        <v>45404</v>
      </c>
      <c r="C517" s="1" t="n">
        <v>45991</v>
      </c>
      <c r="D517" t="inlineStr">
        <is>
          <t>VÄSTERBOTTENS LÄN</t>
        </is>
      </c>
      <c r="E517" t="inlineStr">
        <is>
          <t>SKELLEFTEÅ</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44959-2022</t>
        </is>
      </c>
      <c r="B518" s="1" t="n">
        <v>44839</v>
      </c>
      <c r="C518" s="1" t="n">
        <v>45991</v>
      </c>
      <c r="D518" t="inlineStr">
        <is>
          <t>VÄSTERBOTTENS LÄN</t>
        </is>
      </c>
      <c r="E518" t="inlineStr">
        <is>
          <t>SKELLEFTEÅ</t>
        </is>
      </c>
      <c r="G518" t="n">
        <v>17.3</v>
      </c>
      <c r="H518" t="n">
        <v>0</v>
      </c>
      <c r="I518" t="n">
        <v>0</v>
      </c>
      <c r="J518" t="n">
        <v>0</v>
      </c>
      <c r="K518" t="n">
        <v>0</v>
      </c>
      <c r="L518" t="n">
        <v>0</v>
      </c>
      <c r="M518" t="n">
        <v>0</v>
      </c>
      <c r="N518" t="n">
        <v>0</v>
      </c>
      <c r="O518" t="n">
        <v>0</v>
      </c>
      <c r="P518" t="n">
        <v>0</v>
      </c>
      <c r="Q518" t="n">
        <v>0</v>
      </c>
      <c r="R518" s="2" t="inlineStr"/>
    </row>
    <row r="519" ht="15" customHeight="1">
      <c r="A519" t="inlineStr">
        <is>
          <t>A 11644-2025</t>
        </is>
      </c>
      <c r="B519" s="1" t="n">
        <v>45727.47341435185</v>
      </c>
      <c r="C519" s="1" t="n">
        <v>45991</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54411-2023</t>
        </is>
      </c>
      <c r="B520" s="1" t="n">
        <v>45226</v>
      </c>
      <c r="C520" s="1" t="n">
        <v>45991</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31006-2023</t>
        </is>
      </c>
      <c r="B521" s="1" t="n">
        <v>45103</v>
      </c>
      <c r="C521" s="1" t="n">
        <v>45991</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42848-2024</t>
        </is>
      </c>
      <c r="B522" s="1" t="n">
        <v>45566.63563657407</v>
      </c>
      <c r="C522" s="1" t="n">
        <v>45991</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42852-2024</t>
        </is>
      </c>
      <c r="B523" s="1" t="n">
        <v>45566.64449074074</v>
      </c>
      <c r="C523" s="1" t="n">
        <v>45991</v>
      </c>
      <c r="D523" t="inlineStr">
        <is>
          <t>VÄSTERBOTTENS LÄN</t>
        </is>
      </c>
      <c r="E523" t="inlineStr">
        <is>
          <t>SKELLEFTEÅ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4956-2025</t>
        </is>
      </c>
      <c r="B524" s="1" t="n">
        <v>45689.57166666666</v>
      </c>
      <c r="C524" s="1" t="n">
        <v>45991</v>
      </c>
      <c r="D524" t="inlineStr">
        <is>
          <t>VÄSTERBOTTENS LÄN</t>
        </is>
      </c>
      <c r="E524" t="inlineStr">
        <is>
          <t>SKELLEFTEÅ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42849-2024</t>
        </is>
      </c>
      <c r="B525" s="1" t="n">
        <v>45566.64021990741</v>
      </c>
      <c r="C525" s="1" t="n">
        <v>45991</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36297-2024</t>
        </is>
      </c>
      <c r="B526" s="1" t="n">
        <v>45534.6054050926</v>
      </c>
      <c r="C526" s="1" t="n">
        <v>45991</v>
      </c>
      <c r="D526" t="inlineStr">
        <is>
          <t>VÄSTERBOTTENS LÄN</t>
        </is>
      </c>
      <c r="E526" t="inlineStr">
        <is>
          <t>SKELLEFTEÅ</t>
        </is>
      </c>
      <c r="F526" t="inlineStr">
        <is>
          <t>Sveaskog</t>
        </is>
      </c>
      <c r="G526" t="n">
        <v>20.9</v>
      </c>
      <c r="H526" t="n">
        <v>0</v>
      </c>
      <c r="I526" t="n">
        <v>0</v>
      </c>
      <c r="J526" t="n">
        <v>0</v>
      </c>
      <c r="K526" t="n">
        <v>0</v>
      </c>
      <c r="L526" t="n">
        <v>0</v>
      </c>
      <c r="M526" t="n">
        <v>0</v>
      </c>
      <c r="N526" t="n">
        <v>0</v>
      </c>
      <c r="O526" t="n">
        <v>0</v>
      </c>
      <c r="P526" t="n">
        <v>0</v>
      </c>
      <c r="Q526" t="n">
        <v>0</v>
      </c>
      <c r="R526" s="2" t="inlineStr"/>
    </row>
    <row r="527" ht="15" customHeight="1">
      <c r="A527" t="inlineStr">
        <is>
          <t>A 9233-2024</t>
        </is>
      </c>
      <c r="B527" s="1" t="n">
        <v>45358</v>
      </c>
      <c r="C527" s="1" t="n">
        <v>45991</v>
      </c>
      <c r="D527" t="inlineStr">
        <is>
          <t>VÄSTERBOTTENS LÄN</t>
        </is>
      </c>
      <c r="E527" t="inlineStr">
        <is>
          <t>SKELLEFTEÅ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7943-2024</t>
        </is>
      </c>
      <c r="B528" s="1" t="n">
        <v>45350.53173611111</v>
      </c>
      <c r="C528" s="1" t="n">
        <v>45991</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24264-2025</t>
        </is>
      </c>
      <c r="B529" s="1" t="n">
        <v>45797.42381944445</v>
      </c>
      <c r="C529" s="1" t="n">
        <v>45991</v>
      </c>
      <c r="D529" t="inlineStr">
        <is>
          <t>VÄSTERBOTTENS LÄN</t>
        </is>
      </c>
      <c r="E529" t="inlineStr">
        <is>
          <t>SKELLEFTEÅ</t>
        </is>
      </c>
      <c r="G529" t="n">
        <v>3.4</v>
      </c>
      <c r="H529" t="n">
        <v>0</v>
      </c>
      <c r="I529" t="n">
        <v>0</v>
      </c>
      <c r="J529" t="n">
        <v>0</v>
      </c>
      <c r="K529" t="n">
        <v>0</v>
      </c>
      <c r="L529" t="n">
        <v>0</v>
      </c>
      <c r="M529" t="n">
        <v>0</v>
      </c>
      <c r="N529" t="n">
        <v>0</v>
      </c>
      <c r="O529" t="n">
        <v>0</v>
      </c>
      <c r="P529" t="n">
        <v>0</v>
      </c>
      <c r="Q529" t="n">
        <v>0</v>
      </c>
      <c r="R529" s="2" t="inlineStr"/>
    </row>
    <row r="530" ht="15" customHeight="1">
      <c r="A530" t="inlineStr">
        <is>
          <t>A 24066-2025</t>
        </is>
      </c>
      <c r="B530" s="1" t="n">
        <v>45796.53686342593</v>
      </c>
      <c r="C530" s="1" t="n">
        <v>45991</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24070-2025</t>
        </is>
      </c>
      <c r="B531" s="1" t="n">
        <v>45796.54060185186</v>
      </c>
      <c r="C531" s="1" t="n">
        <v>45991</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4292-2024</t>
        </is>
      </c>
      <c r="B532" s="1" t="n">
        <v>45324.6081712963</v>
      </c>
      <c r="C532" s="1" t="n">
        <v>45991</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18023-2025</t>
        </is>
      </c>
      <c r="B533" s="1" t="n">
        <v>45761.44642361111</v>
      </c>
      <c r="C533" s="1" t="n">
        <v>45991</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2840-2024</t>
        </is>
      </c>
      <c r="B534" s="1" t="n">
        <v>45315</v>
      </c>
      <c r="C534" s="1" t="n">
        <v>45991</v>
      </c>
      <c r="D534" t="inlineStr">
        <is>
          <t>VÄSTERBOTTENS LÄN</t>
        </is>
      </c>
      <c r="E534" t="inlineStr">
        <is>
          <t>SKELLEFTEÅ</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57245-2024</t>
        </is>
      </c>
      <c r="B535" s="1" t="n">
        <v>45629.55153935185</v>
      </c>
      <c r="C535" s="1" t="n">
        <v>45991</v>
      </c>
      <c r="D535" t="inlineStr">
        <is>
          <t>VÄSTERBOTTENS LÄN</t>
        </is>
      </c>
      <c r="E535" t="inlineStr">
        <is>
          <t>SKELLEFTEÅ</t>
        </is>
      </c>
      <c r="F535" t="inlineStr">
        <is>
          <t>Sveaskog</t>
        </is>
      </c>
      <c r="G535" t="n">
        <v>15.6</v>
      </c>
      <c r="H535" t="n">
        <v>0</v>
      </c>
      <c r="I535" t="n">
        <v>0</v>
      </c>
      <c r="J535" t="n">
        <v>0</v>
      </c>
      <c r="K535" t="n">
        <v>0</v>
      </c>
      <c r="L535" t="n">
        <v>0</v>
      </c>
      <c r="M535" t="n">
        <v>0</v>
      </c>
      <c r="N535" t="n">
        <v>0</v>
      </c>
      <c r="O535" t="n">
        <v>0</v>
      </c>
      <c r="P535" t="n">
        <v>0</v>
      </c>
      <c r="Q535" t="n">
        <v>0</v>
      </c>
      <c r="R535" s="2" t="inlineStr"/>
    </row>
    <row r="536" ht="15" customHeight="1">
      <c r="A536" t="inlineStr">
        <is>
          <t>A 58939-2024</t>
        </is>
      </c>
      <c r="B536" s="1" t="n">
        <v>45636.53543981481</v>
      </c>
      <c r="C536" s="1" t="n">
        <v>45991</v>
      </c>
      <c r="D536" t="inlineStr">
        <is>
          <t>VÄSTERBOTTENS LÄN</t>
        </is>
      </c>
      <c r="E536" t="inlineStr">
        <is>
          <t>SKELLEFTEÅ</t>
        </is>
      </c>
      <c r="G536" t="n">
        <v>13.4</v>
      </c>
      <c r="H536" t="n">
        <v>0</v>
      </c>
      <c r="I536" t="n">
        <v>0</v>
      </c>
      <c r="J536" t="n">
        <v>0</v>
      </c>
      <c r="K536" t="n">
        <v>0</v>
      </c>
      <c r="L536" t="n">
        <v>0</v>
      </c>
      <c r="M536" t="n">
        <v>0</v>
      </c>
      <c r="N536" t="n">
        <v>0</v>
      </c>
      <c r="O536" t="n">
        <v>0</v>
      </c>
      <c r="P536" t="n">
        <v>0</v>
      </c>
      <c r="Q536" t="n">
        <v>0</v>
      </c>
      <c r="R536" s="2" t="inlineStr"/>
    </row>
    <row r="537" ht="15" customHeight="1">
      <c r="A537" t="inlineStr">
        <is>
          <t>A 24068-2025</t>
        </is>
      </c>
      <c r="B537" s="1" t="n">
        <v>45796.53878472222</v>
      </c>
      <c r="C537" s="1" t="n">
        <v>45991</v>
      </c>
      <c r="D537" t="inlineStr">
        <is>
          <t>VÄSTERBOTTENS LÄN</t>
        </is>
      </c>
      <c r="E537" t="inlineStr">
        <is>
          <t>SKELLEFTEÅ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15301-2025</t>
        </is>
      </c>
      <c r="B538" s="1" t="n">
        <v>45746.47777777778</v>
      </c>
      <c r="C538" s="1" t="n">
        <v>45991</v>
      </c>
      <c r="D538" t="inlineStr">
        <is>
          <t>VÄSTERBOTTENS LÄN</t>
        </is>
      </c>
      <c r="E538" t="inlineStr">
        <is>
          <t>SKELLEFTEÅ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30959-2021</t>
        </is>
      </c>
      <c r="B539" s="1" t="n">
        <v>44365.71322916666</v>
      </c>
      <c r="C539" s="1" t="n">
        <v>45991</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37760-2024</t>
        </is>
      </c>
      <c r="B540" s="1" t="n">
        <v>45541.784375</v>
      </c>
      <c r="C540" s="1" t="n">
        <v>45991</v>
      </c>
      <c r="D540" t="inlineStr">
        <is>
          <t>VÄSTERBOTTENS LÄN</t>
        </is>
      </c>
      <c r="E540" t="inlineStr">
        <is>
          <t>SKELLEFTEÅ</t>
        </is>
      </c>
      <c r="F540" t="inlineStr">
        <is>
          <t>Sveaskog</t>
        </is>
      </c>
      <c r="G540" t="n">
        <v>27.6</v>
      </c>
      <c r="H540" t="n">
        <v>0</v>
      </c>
      <c r="I540" t="n">
        <v>0</v>
      </c>
      <c r="J540" t="n">
        <v>0</v>
      </c>
      <c r="K540" t="n">
        <v>0</v>
      </c>
      <c r="L540" t="n">
        <v>0</v>
      </c>
      <c r="M540" t="n">
        <v>0</v>
      </c>
      <c r="N540" t="n">
        <v>0</v>
      </c>
      <c r="O540" t="n">
        <v>0</v>
      </c>
      <c r="P540" t="n">
        <v>0</v>
      </c>
      <c r="Q540" t="n">
        <v>0</v>
      </c>
      <c r="R540" s="2" t="inlineStr"/>
    </row>
    <row r="541" ht="15" customHeight="1">
      <c r="A541" t="inlineStr">
        <is>
          <t>A 24261-2025</t>
        </is>
      </c>
      <c r="B541" s="1" t="n">
        <v>45797</v>
      </c>
      <c r="C541" s="1" t="n">
        <v>45991</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24061-2025</t>
        </is>
      </c>
      <c r="B542" s="1" t="n">
        <v>45796.52805555556</v>
      </c>
      <c r="C542" s="1" t="n">
        <v>45991</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24065-2025</t>
        </is>
      </c>
      <c r="B543" s="1" t="n">
        <v>45796.5358449074</v>
      </c>
      <c r="C543" s="1" t="n">
        <v>45991</v>
      </c>
      <c r="D543" t="inlineStr">
        <is>
          <t>VÄSTERBOTTENS LÄN</t>
        </is>
      </c>
      <c r="E543" t="inlineStr">
        <is>
          <t>SKELLEFTEÅ</t>
        </is>
      </c>
      <c r="G543" t="n">
        <v>7.5</v>
      </c>
      <c r="H543" t="n">
        <v>0</v>
      </c>
      <c r="I543" t="n">
        <v>0</v>
      </c>
      <c r="J543" t="n">
        <v>0</v>
      </c>
      <c r="K543" t="n">
        <v>0</v>
      </c>
      <c r="L543" t="n">
        <v>0</v>
      </c>
      <c r="M543" t="n">
        <v>0</v>
      </c>
      <c r="N543" t="n">
        <v>0</v>
      </c>
      <c r="O543" t="n">
        <v>0</v>
      </c>
      <c r="P543" t="n">
        <v>0</v>
      </c>
      <c r="Q543" t="n">
        <v>0</v>
      </c>
      <c r="R543" s="2" t="inlineStr"/>
    </row>
    <row r="544" ht="15" customHeight="1">
      <c r="A544" t="inlineStr">
        <is>
          <t>A 38694-2025</t>
        </is>
      </c>
      <c r="B544" s="1" t="n">
        <v>45884.71439814815</v>
      </c>
      <c r="C544" s="1" t="n">
        <v>45991</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57362-2022</t>
        </is>
      </c>
      <c r="B545" s="1" t="n">
        <v>44896.43010416667</v>
      </c>
      <c r="C545" s="1" t="n">
        <v>45991</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57406-2022</t>
        </is>
      </c>
      <c r="B546" s="1" t="n">
        <v>44893</v>
      </c>
      <c r="C546" s="1" t="n">
        <v>45991</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18070-2022</t>
        </is>
      </c>
      <c r="B547" s="1" t="n">
        <v>44684</v>
      </c>
      <c r="C547" s="1" t="n">
        <v>45991</v>
      </c>
      <c r="D547" t="inlineStr">
        <is>
          <t>VÄSTERBOTTENS LÄN</t>
        </is>
      </c>
      <c r="E547" t="inlineStr">
        <is>
          <t>SKELLEFTEÅ</t>
        </is>
      </c>
      <c r="G547" t="n">
        <v>1.2</v>
      </c>
      <c r="H547" t="n">
        <v>0</v>
      </c>
      <c r="I547" t="n">
        <v>0</v>
      </c>
      <c r="J547" t="n">
        <v>0</v>
      </c>
      <c r="K547" t="n">
        <v>0</v>
      </c>
      <c r="L547" t="n">
        <v>0</v>
      </c>
      <c r="M547" t="n">
        <v>0</v>
      </c>
      <c r="N547" t="n">
        <v>0</v>
      </c>
      <c r="O547" t="n">
        <v>0</v>
      </c>
      <c r="P547" t="n">
        <v>0</v>
      </c>
      <c r="Q547" t="n">
        <v>0</v>
      </c>
      <c r="R547" s="2" t="inlineStr"/>
    </row>
    <row r="548" ht="15" customHeight="1">
      <c r="A548" t="inlineStr">
        <is>
          <t>A 48361-2023</t>
        </is>
      </c>
      <c r="B548" s="1" t="n">
        <v>45205.64600694444</v>
      </c>
      <c r="C548" s="1" t="n">
        <v>45991</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24569-2025</t>
        </is>
      </c>
      <c r="B549" s="1" t="n">
        <v>45798.46928240741</v>
      </c>
      <c r="C549" s="1" t="n">
        <v>45991</v>
      </c>
      <c r="D549" t="inlineStr">
        <is>
          <t>VÄSTERBOTTENS LÄN</t>
        </is>
      </c>
      <c r="E549" t="inlineStr">
        <is>
          <t>SKELLEFTEÅ</t>
        </is>
      </c>
      <c r="G549" t="n">
        <v>20.9</v>
      </c>
      <c r="H549" t="n">
        <v>0</v>
      </c>
      <c r="I549" t="n">
        <v>0</v>
      </c>
      <c r="J549" t="n">
        <v>0</v>
      </c>
      <c r="K549" t="n">
        <v>0</v>
      </c>
      <c r="L549" t="n">
        <v>0</v>
      </c>
      <c r="M549" t="n">
        <v>0</v>
      </c>
      <c r="N549" t="n">
        <v>0</v>
      </c>
      <c r="O549" t="n">
        <v>0</v>
      </c>
      <c r="P549" t="n">
        <v>0</v>
      </c>
      <c r="Q549" t="n">
        <v>0</v>
      </c>
      <c r="R549" s="2" t="inlineStr"/>
    </row>
    <row r="550" ht="15" customHeight="1">
      <c r="A550" t="inlineStr">
        <is>
          <t>A 2354-2025</t>
        </is>
      </c>
      <c r="B550" s="1" t="n">
        <v>45673</v>
      </c>
      <c r="C550" s="1" t="n">
        <v>45991</v>
      </c>
      <c r="D550" t="inlineStr">
        <is>
          <t>VÄSTERBOTTENS LÄN</t>
        </is>
      </c>
      <c r="E550" t="inlineStr">
        <is>
          <t>SKELLEFTEÅ</t>
        </is>
      </c>
      <c r="G550" t="n">
        <v>6.7</v>
      </c>
      <c r="H550" t="n">
        <v>0</v>
      </c>
      <c r="I550" t="n">
        <v>0</v>
      </c>
      <c r="J550" t="n">
        <v>0</v>
      </c>
      <c r="K550" t="n">
        <v>0</v>
      </c>
      <c r="L550" t="n">
        <v>0</v>
      </c>
      <c r="M550" t="n">
        <v>0</v>
      </c>
      <c r="N550" t="n">
        <v>0</v>
      </c>
      <c r="O550" t="n">
        <v>0</v>
      </c>
      <c r="P550" t="n">
        <v>0</v>
      </c>
      <c r="Q550" t="n">
        <v>0</v>
      </c>
      <c r="R550" s="2" t="inlineStr"/>
    </row>
    <row r="551" ht="15" customHeight="1">
      <c r="A551" t="inlineStr">
        <is>
          <t>A 45036-2021</t>
        </is>
      </c>
      <c r="B551" s="1" t="n">
        <v>44438</v>
      </c>
      <c r="C551" s="1" t="n">
        <v>45991</v>
      </c>
      <c r="D551" t="inlineStr">
        <is>
          <t>VÄSTERBOTTENS LÄN</t>
        </is>
      </c>
      <c r="E551" t="inlineStr">
        <is>
          <t>SKELLEFTEÅ</t>
        </is>
      </c>
      <c r="G551" t="n">
        <v>5.1</v>
      </c>
      <c r="H551" t="n">
        <v>0</v>
      </c>
      <c r="I551" t="n">
        <v>0</v>
      </c>
      <c r="J551" t="n">
        <v>0</v>
      </c>
      <c r="K551" t="n">
        <v>0</v>
      </c>
      <c r="L551" t="n">
        <v>0</v>
      </c>
      <c r="M551" t="n">
        <v>0</v>
      </c>
      <c r="N551" t="n">
        <v>0</v>
      </c>
      <c r="O551" t="n">
        <v>0</v>
      </c>
      <c r="P551" t="n">
        <v>0</v>
      </c>
      <c r="Q551" t="n">
        <v>0</v>
      </c>
      <c r="R551" s="2" t="inlineStr"/>
    </row>
    <row r="552" ht="15" customHeight="1">
      <c r="A552" t="inlineStr">
        <is>
          <t>A 44968-2024</t>
        </is>
      </c>
      <c r="B552" s="1" t="n">
        <v>45575.45949074074</v>
      </c>
      <c r="C552" s="1" t="n">
        <v>45991</v>
      </c>
      <c r="D552" t="inlineStr">
        <is>
          <t>VÄSTERBOTTENS LÄN</t>
        </is>
      </c>
      <c r="E552" t="inlineStr">
        <is>
          <t>SKELLEFTEÅ</t>
        </is>
      </c>
      <c r="G552" t="n">
        <v>2</v>
      </c>
      <c r="H552" t="n">
        <v>0</v>
      </c>
      <c r="I552" t="n">
        <v>0</v>
      </c>
      <c r="J552" t="n">
        <v>0</v>
      </c>
      <c r="K552" t="n">
        <v>0</v>
      </c>
      <c r="L552" t="n">
        <v>0</v>
      </c>
      <c r="M552" t="n">
        <v>0</v>
      </c>
      <c r="N552" t="n">
        <v>0</v>
      </c>
      <c r="O552" t="n">
        <v>0</v>
      </c>
      <c r="P552" t="n">
        <v>0</v>
      </c>
      <c r="Q552" t="n">
        <v>0</v>
      </c>
      <c r="R552" s="2" t="inlineStr"/>
    </row>
    <row r="553" ht="15" customHeight="1">
      <c r="A553" t="inlineStr">
        <is>
          <t>A 56453-2024</t>
        </is>
      </c>
      <c r="B553" s="1" t="n">
        <v>45625.44270833334</v>
      </c>
      <c r="C553" s="1" t="n">
        <v>45991</v>
      </c>
      <c r="D553" t="inlineStr">
        <is>
          <t>VÄSTERBOTTENS LÄN</t>
        </is>
      </c>
      <c r="E553" t="inlineStr">
        <is>
          <t>SKELLEFTEÅ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160-2025</t>
        </is>
      </c>
      <c r="B554" s="1" t="n">
        <v>45649</v>
      </c>
      <c r="C554" s="1" t="n">
        <v>45991</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25046-2025</t>
        </is>
      </c>
      <c r="B555" s="1" t="n">
        <v>45799.6671412037</v>
      </c>
      <c r="C555" s="1" t="n">
        <v>45991</v>
      </c>
      <c r="D555" t="inlineStr">
        <is>
          <t>VÄSTERBOTTENS LÄN</t>
        </is>
      </c>
      <c r="E555" t="inlineStr">
        <is>
          <t>SKELLEFTEÅ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47519-2024</t>
        </is>
      </c>
      <c r="B556" s="1" t="n">
        <v>45587</v>
      </c>
      <c r="C556" s="1" t="n">
        <v>45991</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30719-2021</t>
        </is>
      </c>
      <c r="B557" s="1" t="n">
        <v>44365.43997685185</v>
      </c>
      <c r="C557" s="1" t="n">
        <v>45991</v>
      </c>
      <c r="D557" t="inlineStr">
        <is>
          <t>VÄSTERBOTTENS LÄN</t>
        </is>
      </c>
      <c r="E557" t="inlineStr">
        <is>
          <t>SKELLEFTEÅ</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7025-2025</t>
        </is>
      </c>
      <c r="B558" s="1" t="n">
        <v>45701.62719907407</v>
      </c>
      <c r="C558" s="1" t="n">
        <v>45991</v>
      </c>
      <c r="D558" t="inlineStr">
        <is>
          <t>VÄSTERBOTTENS LÄN</t>
        </is>
      </c>
      <c r="E558" t="inlineStr">
        <is>
          <t>SKELLEFTEÅ</t>
        </is>
      </c>
      <c r="G558" t="n">
        <v>4.1</v>
      </c>
      <c r="H558" t="n">
        <v>0</v>
      </c>
      <c r="I558" t="n">
        <v>0</v>
      </c>
      <c r="J558" t="n">
        <v>0</v>
      </c>
      <c r="K558" t="n">
        <v>0</v>
      </c>
      <c r="L558" t="n">
        <v>0</v>
      </c>
      <c r="M558" t="n">
        <v>0</v>
      </c>
      <c r="N558" t="n">
        <v>0</v>
      </c>
      <c r="O558" t="n">
        <v>0</v>
      </c>
      <c r="P558" t="n">
        <v>0</v>
      </c>
      <c r="Q558" t="n">
        <v>0</v>
      </c>
      <c r="R558" s="2" t="inlineStr"/>
    </row>
    <row r="559" ht="15" customHeight="1">
      <c r="A559" t="inlineStr">
        <is>
          <t>A 36882-2025</t>
        </is>
      </c>
      <c r="B559" s="1" t="n">
        <v>45874</v>
      </c>
      <c r="C559" s="1" t="n">
        <v>45991</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24728-2025</t>
        </is>
      </c>
      <c r="B560" s="1" t="n">
        <v>45799</v>
      </c>
      <c r="C560" s="1" t="n">
        <v>45991</v>
      </c>
      <c r="D560" t="inlineStr">
        <is>
          <t>VÄSTERBOTTENS LÄN</t>
        </is>
      </c>
      <c r="E560" t="inlineStr">
        <is>
          <t>SKELLEFTEÅ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53092-2022</t>
        </is>
      </c>
      <c r="B561" s="1" t="n">
        <v>44876.4028125</v>
      </c>
      <c r="C561" s="1" t="n">
        <v>45991</v>
      </c>
      <c r="D561" t="inlineStr">
        <is>
          <t>VÄSTERBOTTENS LÄN</t>
        </is>
      </c>
      <c r="E561" t="inlineStr">
        <is>
          <t>SKELLEFTEÅ</t>
        </is>
      </c>
      <c r="G561" t="n">
        <v>3.9</v>
      </c>
      <c r="H561" t="n">
        <v>0</v>
      </c>
      <c r="I561" t="n">
        <v>0</v>
      </c>
      <c r="J561" t="n">
        <v>0</v>
      </c>
      <c r="K561" t="n">
        <v>0</v>
      </c>
      <c r="L561" t="n">
        <v>0</v>
      </c>
      <c r="M561" t="n">
        <v>0</v>
      </c>
      <c r="N561" t="n">
        <v>0</v>
      </c>
      <c r="O561" t="n">
        <v>0</v>
      </c>
      <c r="P561" t="n">
        <v>0</v>
      </c>
      <c r="Q561" t="n">
        <v>0</v>
      </c>
      <c r="R561" s="2" t="inlineStr"/>
    </row>
    <row r="562" ht="15" customHeight="1">
      <c r="A562" t="inlineStr">
        <is>
          <t>A 28778-2025</t>
        </is>
      </c>
      <c r="B562" s="1" t="n">
        <v>45820.44819444444</v>
      </c>
      <c r="C562" s="1" t="n">
        <v>45991</v>
      </c>
      <c r="D562" t="inlineStr">
        <is>
          <t>VÄSTERBOTTENS LÄN</t>
        </is>
      </c>
      <c r="E562" t="inlineStr">
        <is>
          <t>SKELLEFTEÅ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33841-2021</t>
        </is>
      </c>
      <c r="B563" s="1" t="n">
        <v>44378</v>
      </c>
      <c r="C563" s="1" t="n">
        <v>45991</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64006-2023</t>
        </is>
      </c>
      <c r="B564" s="1" t="n">
        <v>45278</v>
      </c>
      <c r="C564" s="1" t="n">
        <v>45991</v>
      </c>
      <c r="D564" t="inlineStr">
        <is>
          <t>VÄSTERBOTTENS LÄN</t>
        </is>
      </c>
      <c r="E564" t="inlineStr">
        <is>
          <t>SKELLEFTEÅ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12842-2025</t>
        </is>
      </c>
      <c r="B565" s="1" t="n">
        <v>45733.64532407407</v>
      </c>
      <c r="C565" s="1" t="n">
        <v>45991</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24858-2025</t>
        </is>
      </c>
      <c r="B566" s="1" t="n">
        <v>45799.47877314815</v>
      </c>
      <c r="C566" s="1" t="n">
        <v>45991</v>
      </c>
      <c r="D566" t="inlineStr">
        <is>
          <t>VÄSTERBOTTENS LÄN</t>
        </is>
      </c>
      <c r="E566" t="inlineStr">
        <is>
          <t>SKELLEFTEÅ</t>
        </is>
      </c>
      <c r="F566" t="inlineStr">
        <is>
          <t>Holmen skog AB</t>
        </is>
      </c>
      <c r="G566" t="n">
        <v>2.1</v>
      </c>
      <c r="H566" t="n">
        <v>0</v>
      </c>
      <c r="I566" t="n">
        <v>0</v>
      </c>
      <c r="J566" t="n">
        <v>0</v>
      </c>
      <c r="K566" t="n">
        <v>0</v>
      </c>
      <c r="L566" t="n">
        <v>0</v>
      </c>
      <c r="M566" t="n">
        <v>0</v>
      </c>
      <c r="N566" t="n">
        <v>0</v>
      </c>
      <c r="O566" t="n">
        <v>0</v>
      </c>
      <c r="P566" t="n">
        <v>0</v>
      </c>
      <c r="Q566" t="n">
        <v>0</v>
      </c>
      <c r="R566" s="2" t="inlineStr"/>
    </row>
    <row r="567" ht="15" customHeight="1">
      <c r="A567" t="inlineStr">
        <is>
          <t>A 20454-2024</t>
        </is>
      </c>
      <c r="B567" s="1" t="n">
        <v>45435</v>
      </c>
      <c r="C567" s="1" t="n">
        <v>45991</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20497-2024</t>
        </is>
      </c>
      <c r="B568" s="1" t="n">
        <v>45435</v>
      </c>
      <c r="C568" s="1" t="n">
        <v>45991</v>
      </c>
      <c r="D568" t="inlineStr">
        <is>
          <t>VÄSTERBOTTENS LÄN</t>
        </is>
      </c>
      <c r="E568" t="inlineStr">
        <is>
          <t>SKELLEFTEÅ</t>
        </is>
      </c>
      <c r="G568" t="n">
        <v>4.8</v>
      </c>
      <c r="H568" t="n">
        <v>0</v>
      </c>
      <c r="I568" t="n">
        <v>0</v>
      </c>
      <c r="J568" t="n">
        <v>0</v>
      </c>
      <c r="K568" t="n">
        <v>0</v>
      </c>
      <c r="L568" t="n">
        <v>0</v>
      </c>
      <c r="M568" t="n">
        <v>0</v>
      </c>
      <c r="N568" t="n">
        <v>0</v>
      </c>
      <c r="O568" t="n">
        <v>0</v>
      </c>
      <c r="P568" t="n">
        <v>0</v>
      </c>
      <c r="Q568" t="n">
        <v>0</v>
      </c>
      <c r="R568" s="2" t="inlineStr"/>
    </row>
    <row r="569" ht="15" customHeight="1">
      <c r="A569" t="inlineStr">
        <is>
          <t>A 24829-2025</t>
        </is>
      </c>
      <c r="B569" s="1" t="n">
        <v>45799.45777777778</v>
      </c>
      <c r="C569" s="1" t="n">
        <v>45991</v>
      </c>
      <c r="D569" t="inlineStr">
        <is>
          <t>VÄSTERBOTTENS LÄN</t>
        </is>
      </c>
      <c r="E569" t="inlineStr">
        <is>
          <t>SKELLEFTEÅ</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66463-2021</t>
        </is>
      </c>
      <c r="B570" s="1" t="n">
        <v>44518</v>
      </c>
      <c r="C570" s="1" t="n">
        <v>45991</v>
      </c>
      <c r="D570" t="inlineStr">
        <is>
          <t>VÄSTERBOTTENS LÄN</t>
        </is>
      </c>
      <c r="E570" t="inlineStr">
        <is>
          <t>SKELLEFTEÅ</t>
        </is>
      </c>
      <c r="G570" t="n">
        <v>3.9</v>
      </c>
      <c r="H570" t="n">
        <v>0</v>
      </c>
      <c r="I570" t="n">
        <v>0</v>
      </c>
      <c r="J570" t="n">
        <v>0</v>
      </c>
      <c r="K570" t="n">
        <v>0</v>
      </c>
      <c r="L570" t="n">
        <v>0</v>
      </c>
      <c r="M570" t="n">
        <v>0</v>
      </c>
      <c r="N570" t="n">
        <v>0</v>
      </c>
      <c r="O570" t="n">
        <v>0</v>
      </c>
      <c r="P570" t="n">
        <v>0</v>
      </c>
      <c r="Q570" t="n">
        <v>0</v>
      </c>
      <c r="R570" s="2" t="inlineStr"/>
    </row>
    <row r="571" ht="15" customHeight="1">
      <c r="A571" t="inlineStr">
        <is>
          <t>A 41226-2024</t>
        </is>
      </c>
      <c r="B571" s="1" t="n">
        <v>45559.55829861111</v>
      </c>
      <c r="C571" s="1" t="n">
        <v>45991</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15327-2023</t>
        </is>
      </c>
      <c r="B572" s="1" t="n">
        <v>45016</v>
      </c>
      <c r="C572" s="1" t="n">
        <v>45991</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24727-2025</t>
        </is>
      </c>
      <c r="B573" s="1" t="n">
        <v>45799.33260416667</v>
      </c>
      <c r="C573" s="1" t="n">
        <v>45991</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11875-2024</t>
        </is>
      </c>
      <c r="B574" s="1" t="n">
        <v>45376</v>
      </c>
      <c r="C574" s="1" t="n">
        <v>45991</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25688-2025</t>
        </is>
      </c>
      <c r="B575" s="1" t="n">
        <v>45800</v>
      </c>
      <c r="C575" s="1" t="n">
        <v>45991</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60134-2024</t>
        </is>
      </c>
      <c r="B576" s="1" t="n">
        <v>45642.60092592592</v>
      </c>
      <c r="C576" s="1" t="n">
        <v>45991</v>
      </c>
      <c r="D576" t="inlineStr">
        <is>
          <t>VÄSTERBOTTENS LÄN</t>
        </is>
      </c>
      <c r="E576" t="inlineStr">
        <is>
          <t>SKELLEFTEÅ</t>
        </is>
      </c>
      <c r="G576" t="n">
        <v>1.7</v>
      </c>
      <c r="H576" t="n">
        <v>0</v>
      </c>
      <c r="I576" t="n">
        <v>0</v>
      </c>
      <c r="J576" t="n">
        <v>0</v>
      </c>
      <c r="K576" t="n">
        <v>0</v>
      </c>
      <c r="L576" t="n">
        <v>0</v>
      </c>
      <c r="M576" t="n">
        <v>0</v>
      </c>
      <c r="N576" t="n">
        <v>0</v>
      </c>
      <c r="O576" t="n">
        <v>0</v>
      </c>
      <c r="P576" t="n">
        <v>0</v>
      </c>
      <c r="Q576" t="n">
        <v>0</v>
      </c>
      <c r="R576" s="2" t="inlineStr"/>
    </row>
    <row r="577" ht="15" customHeight="1">
      <c r="A577" t="inlineStr">
        <is>
          <t>A 25525-2025</t>
        </is>
      </c>
      <c r="B577" s="1" t="n">
        <v>45803.3865162037</v>
      </c>
      <c r="C577" s="1" t="n">
        <v>45991</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25542-2025</t>
        </is>
      </c>
      <c r="B578" s="1" t="n">
        <v>45803.42774305555</v>
      </c>
      <c r="C578" s="1" t="n">
        <v>45991</v>
      </c>
      <c r="D578" t="inlineStr">
        <is>
          <t>VÄSTERBOTTENS LÄN</t>
        </is>
      </c>
      <c r="E578" t="inlineStr">
        <is>
          <t>SKELLEFTEÅ</t>
        </is>
      </c>
      <c r="F578" t="inlineStr">
        <is>
          <t>Holmen skog AB</t>
        </is>
      </c>
      <c r="G578" t="n">
        <v>7.5</v>
      </c>
      <c r="H578" t="n">
        <v>0</v>
      </c>
      <c r="I578" t="n">
        <v>0</v>
      </c>
      <c r="J578" t="n">
        <v>0</v>
      </c>
      <c r="K578" t="n">
        <v>0</v>
      </c>
      <c r="L578" t="n">
        <v>0</v>
      </c>
      <c r="M578" t="n">
        <v>0</v>
      </c>
      <c r="N578" t="n">
        <v>0</v>
      </c>
      <c r="O578" t="n">
        <v>0</v>
      </c>
      <c r="P578" t="n">
        <v>0</v>
      </c>
      <c r="Q578" t="n">
        <v>0</v>
      </c>
      <c r="R578" s="2" t="inlineStr"/>
    </row>
    <row r="579" ht="15" customHeight="1">
      <c r="A579" t="inlineStr">
        <is>
          <t>A 60339-2023</t>
        </is>
      </c>
      <c r="B579" s="1" t="n">
        <v>45259</v>
      </c>
      <c r="C579" s="1" t="n">
        <v>45991</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38661-2025</t>
        </is>
      </c>
      <c r="B580" s="1" t="n">
        <v>45884.61168981482</v>
      </c>
      <c r="C580" s="1" t="n">
        <v>45991</v>
      </c>
      <c r="D580" t="inlineStr">
        <is>
          <t>VÄSTERBOTTENS LÄN</t>
        </is>
      </c>
      <c r="E580" t="inlineStr">
        <is>
          <t>SKELLEFTEÅ</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5252-2024</t>
        </is>
      </c>
      <c r="B581" s="1" t="n">
        <v>45330.93219907407</v>
      </c>
      <c r="C581" s="1" t="n">
        <v>45991</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25641-2025</t>
        </is>
      </c>
      <c r="B582" s="1" t="n">
        <v>45803.60377314815</v>
      </c>
      <c r="C582" s="1" t="n">
        <v>45991</v>
      </c>
      <c r="D582" t="inlineStr">
        <is>
          <t>VÄSTERBOTTENS LÄN</t>
        </is>
      </c>
      <c r="E582" t="inlineStr">
        <is>
          <t>SKELLEFTEÅ</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59640-2024</t>
        </is>
      </c>
      <c r="B583" s="1" t="n">
        <v>45639.30232638889</v>
      </c>
      <c r="C583" s="1" t="n">
        <v>45991</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25403-2025</t>
        </is>
      </c>
      <c r="B584" s="1" t="n">
        <v>45800.65652777778</v>
      </c>
      <c r="C584" s="1" t="n">
        <v>45991</v>
      </c>
      <c r="D584" t="inlineStr">
        <is>
          <t>VÄSTERBOTTENS LÄN</t>
        </is>
      </c>
      <c r="E584" t="inlineStr">
        <is>
          <t>SKELLEFTEÅ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46492-2023</t>
        </is>
      </c>
      <c r="B585" s="1" t="n">
        <v>45194</v>
      </c>
      <c r="C585" s="1" t="n">
        <v>45991</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57440-2023</t>
        </is>
      </c>
      <c r="B586" s="1" t="n">
        <v>45240</v>
      </c>
      <c r="C586" s="1" t="n">
        <v>45991</v>
      </c>
      <c r="D586" t="inlineStr">
        <is>
          <t>VÄSTERBOTTENS LÄN</t>
        </is>
      </c>
      <c r="E586" t="inlineStr">
        <is>
          <t>SKELLEFTEÅ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25527-2025</t>
        </is>
      </c>
      <c r="B587" s="1" t="n">
        <v>45803.38699074074</v>
      </c>
      <c r="C587" s="1" t="n">
        <v>45991</v>
      </c>
      <c r="D587" t="inlineStr">
        <is>
          <t>VÄSTERBOTTENS LÄN</t>
        </is>
      </c>
      <c r="E587" t="inlineStr">
        <is>
          <t>SKELLEFTEÅ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8911-2021</t>
        </is>
      </c>
      <c r="B588" s="1" t="n">
        <v>44245</v>
      </c>
      <c r="C588" s="1" t="n">
        <v>45991</v>
      </c>
      <c r="D588" t="inlineStr">
        <is>
          <t>VÄSTERBOTTENS LÄN</t>
        </is>
      </c>
      <c r="E588" t="inlineStr">
        <is>
          <t>SKELLEFTEÅ</t>
        </is>
      </c>
      <c r="G588" t="n">
        <v>4.5</v>
      </c>
      <c r="H588" t="n">
        <v>0</v>
      </c>
      <c r="I588" t="n">
        <v>0</v>
      </c>
      <c r="J588" t="n">
        <v>0</v>
      </c>
      <c r="K588" t="n">
        <v>0</v>
      </c>
      <c r="L588" t="n">
        <v>0</v>
      </c>
      <c r="M588" t="n">
        <v>0</v>
      </c>
      <c r="N588" t="n">
        <v>0</v>
      </c>
      <c r="O588" t="n">
        <v>0</v>
      </c>
      <c r="P588" t="n">
        <v>0</v>
      </c>
      <c r="Q588" t="n">
        <v>0</v>
      </c>
      <c r="R588" s="2" t="inlineStr"/>
    </row>
    <row r="589" ht="15" customHeight="1">
      <c r="A589" t="inlineStr">
        <is>
          <t>A 34638-2023</t>
        </is>
      </c>
      <c r="B589" s="1" t="n">
        <v>45140.65803240741</v>
      </c>
      <c r="C589" s="1" t="n">
        <v>45991</v>
      </c>
      <c r="D589" t="inlineStr">
        <is>
          <t>VÄSTERBOTTENS LÄN</t>
        </is>
      </c>
      <c r="E589" t="inlineStr">
        <is>
          <t>SKELLEFTEÅ</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34669-2023</t>
        </is>
      </c>
      <c r="B590" s="1" t="n">
        <v>45140.83063657407</v>
      </c>
      <c r="C590" s="1" t="n">
        <v>45991</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56974-2024</t>
        </is>
      </c>
      <c r="B591" s="1" t="n">
        <v>45628.67204861111</v>
      </c>
      <c r="C591" s="1" t="n">
        <v>45991</v>
      </c>
      <c r="D591" t="inlineStr">
        <is>
          <t>VÄSTERBOTTENS LÄN</t>
        </is>
      </c>
      <c r="E591" t="inlineStr">
        <is>
          <t>SKELLEFTEÅ</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30686-2023</t>
        </is>
      </c>
      <c r="B592" s="1" t="n">
        <v>45112</v>
      </c>
      <c r="C592" s="1" t="n">
        <v>45991</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61275-2022</t>
        </is>
      </c>
      <c r="B593" s="1" t="n">
        <v>44909</v>
      </c>
      <c r="C593" s="1" t="n">
        <v>45991</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25801-2025</t>
        </is>
      </c>
      <c r="B594" s="1" t="n">
        <v>45803</v>
      </c>
      <c r="C594" s="1" t="n">
        <v>45991</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25804-2025</t>
        </is>
      </c>
      <c r="B595" s="1" t="n">
        <v>45803</v>
      </c>
      <c r="C595" s="1" t="n">
        <v>45991</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41109-2023</t>
        </is>
      </c>
      <c r="B596" s="1" t="n">
        <v>45170</v>
      </c>
      <c r="C596" s="1" t="n">
        <v>45991</v>
      </c>
      <c r="D596" t="inlineStr">
        <is>
          <t>VÄSTERBOTTENS LÄN</t>
        </is>
      </c>
      <c r="E596" t="inlineStr">
        <is>
          <t>SKELLEFTEÅ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25514-2025</t>
        </is>
      </c>
      <c r="B597" s="1" t="n">
        <v>45803.36482638889</v>
      </c>
      <c r="C597" s="1" t="n">
        <v>45991</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25526-2025</t>
        </is>
      </c>
      <c r="B598" s="1" t="n">
        <v>45803.38655092593</v>
      </c>
      <c r="C598" s="1" t="n">
        <v>45991</v>
      </c>
      <c r="D598" t="inlineStr">
        <is>
          <t>VÄSTERBOTTENS LÄN</t>
        </is>
      </c>
      <c r="E598" t="inlineStr">
        <is>
          <t>SKELLEFTEÅ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14089-2023</t>
        </is>
      </c>
      <c r="B599" s="1" t="n">
        <v>45009.33761574074</v>
      </c>
      <c r="C599" s="1" t="n">
        <v>45991</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38481-2025</t>
        </is>
      </c>
      <c r="B600" s="1" t="n">
        <v>45884.33145833333</v>
      </c>
      <c r="C600" s="1" t="n">
        <v>45991</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50862-2024</t>
        </is>
      </c>
      <c r="B601" s="1" t="n">
        <v>45602.6346412037</v>
      </c>
      <c r="C601" s="1" t="n">
        <v>45991</v>
      </c>
      <c r="D601" t="inlineStr">
        <is>
          <t>VÄSTERBOTTENS LÄN</t>
        </is>
      </c>
      <c r="E601" t="inlineStr">
        <is>
          <t>SKELLEFTEÅ</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57849-2022</t>
        </is>
      </c>
      <c r="B602" s="1" t="n">
        <v>44898.00163194445</v>
      </c>
      <c r="C602" s="1" t="n">
        <v>45991</v>
      </c>
      <c r="D602" t="inlineStr">
        <is>
          <t>VÄSTERBOTTENS LÄN</t>
        </is>
      </c>
      <c r="E602" t="inlineStr">
        <is>
          <t>SKELLEFTEÅ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35119-2022</t>
        </is>
      </c>
      <c r="B603" s="1" t="n">
        <v>44797</v>
      </c>
      <c r="C603" s="1" t="n">
        <v>45991</v>
      </c>
      <c r="D603" t="inlineStr">
        <is>
          <t>VÄSTERBOTTENS LÄN</t>
        </is>
      </c>
      <c r="E603" t="inlineStr">
        <is>
          <t>SKELLEFTEÅ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38906-2025</t>
        </is>
      </c>
      <c r="B604" s="1" t="n">
        <v>45887.60821759259</v>
      </c>
      <c r="C604" s="1" t="n">
        <v>45991</v>
      </c>
      <c r="D604" t="inlineStr">
        <is>
          <t>VÄSTERBOTTENS LÄN</t>
        </is>
      </c>
      <c r="E604" t="inlineStr">
        <is>
          <t>SKELLEFTEÅ</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25773-2025</t>
        </is>
      </c>
      <c r="B605" s="1" t="n">
        <v>45804.34528935186</v>
      </c>
      <c r="C605" s="1" t="n">
        <v>45991</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1257-2024</t>
        </is>
      </c>
      <c r="B606" s="1" t="n">
        <v>45302</v>
      </c>
      <c r="C606" s="1" t="n">
        <v>45991</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20824-2025</t>
        </is>
      </c>
      <c r="B607" s="1" t="n">
        <v>45776</v>
      </c>
      <c r="C607" s="1" t="n">
        <v>45991</v>
      </c>
      <c r="D607" t="inlineStr">
        <is>
          <t>VÄSTERBOTTENS LÄN</t>
        </is>
      </c>
      <c r="E607" t="inlineStr">
        <is>
          <t>SKELLEFTEÅ</t>
        </is>
      </c>
      <c r="G607" t="n">
        <v>6.8</v>
      </c>
      <c r="H607" t="n">
        <v>0</v>
      </c>
      <c r="I607" t="n">
        <v>0</v>
      </c>
      <c r="J607" t="n">
        <v>0</v>
      </c>
      <c r="K607" t="n">
        <v>0</v>
      </c>
      <c r="L607" t="n">
        <v>0</v>
      </c>
      <c r="M607" t="n">
        <v>0</v>
      </c>
      <c r="N607" t="n">
        <v>0</v>
      </c>
      <c r="O607" t="n">
        <v>0</v>
      </c>
      <c r="P607" t="n">
        <v>0</v>
      </c>
      <c r="Q607" t="n">
        <v>0</v>
      </c>
      <c r="R607" s="2" t="inlineStr"/>
    </row>
    <row r="608" ht="15" customHeight="1">
      <c r="A608" t="inlineStr">
        <is>
          <t>A 8436-2022</t>
        </is>
      </c>
      <c r="B608" s="1" t="n">
        <v>44612.63918981481</v>
      </c>
      <c r="C608" s="1" t="n">
        <v>45991</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3924-2022</t>
        </is>
      </c>
      <c r="B609" s="1" t="n">
        <v>44587</v>
      </c>
      <c r="C609" s="1" t="n">
        <v>45991</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39024-2025</t>
        </is>
      </c>
      <c r="B610" s="1" t="n">
        <v>45888.3791550926</v>
      </c>
      <c r="C610" s="1" t="n">
        <v>45991</v>
      </c>
      <c r="D610" t="inlineStr">
        <is>
          <t>VÄSTERBOTTENS LÄN</t>
        </is>
      </c>
      <c r="E610" t="inlineStr">
        <is>
          <t>SKELLEFTEÅ</t>
        </is>
      </c>
      <c r="G610" t="n">
        <v>3.8</v>
      </c>
      <c r="H610" t="n">
        <v>0</v>
      </c>
      <c r="I610" t="n">
        <v>0</v>
      </c>
      <c r="J610" t="n">
        <v>0</v>
      </c>
      <c r="K610" t="n">
        <v>0</v>
      </c>
      <c r="L610" t="n">
        <v>0</v>
      </c>
      <c r="M610" t="n">
        <v>0</v>
      </c>
      <c r="N610" t="n">
        <v>0</v>
      </c>
      <c r="O610" t="n">
        <v>0</v>
      </c>
      <c r="P610" t="n">
        <v>0</v>
      </c>
      <c r="Q610" t="n">
        <v>0</v>
      </c>
      <c r="R610" s="2" t="inlineStr"/>
    </row>
    <row r="611" ht="15" customHeight="1">
      <c r="A611" t="inlineStr">
        <is>
          <t>A 29101-2025</t>
        </is>
      </c>
      <c r="B611" s="1" t="n">
        <v>45821.56797453704</v>
      </c>
      <c r="C611" s="1" t="n">
        <v>45991</v>
      </c>
      <c r="D611" t="inlineStr">
        <is>
          <t>VÄSTERBOTTENS LÄN</t>
        </is>
      </c>
      <c r="E611" t="inlineStr">
        <is>
          <t>SKELLEFTEÅ</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39445-2025</t>
        </is>
      </c>
      <c r="B612" s="1" t="n">
        <v>45889.7028125</v>
      </c>
      <c r="C612" s="1" t="n">
        <v>45991</v>
      </c>
      <c r="D612" t="inlineStr">
        <is>
          <t>VÄSTERBOTTENS LÄN</t>
        </is>
      </c>
      <c r="E612" t="inlineStr">
        <is>
          <t>SKELLEFTEÅ</t>
        </is>
      </c>
      <c r="G612" t="n">
        <v>3</v>
      </c>
      <c r="H612" t="n">
        <v>0</v>
      </c>
      <c r="I612" t="n">
        <v>0</v>
      </c>
      <c r="J612" t="n">
        <v>0</v>
      </c>
      <c r="K612" t="n">
        <v>0</v>
      </c>
      <c r="L612" t="n">
        <v>0</v>
      </c>
      <c r="M612" t="n">
        <v>0</v>
      </c>
      <c r="N612" t="n">
        <v>0</v>
      </c>
      <c r="O612" t="n">
        <v>0</v>
      </c>
      <c r="P612" t="n">
        <v>0</v>
      </c>
      <c r="Q612" t="n">
        <v>0</v>
      </c>
      <c r="R612" s="2" t="inlineStr"/>
    </row>
    <row r="613" ht="15" customHeight="1">
      <c r="A613" t="inlineStr">
        <is>
          <t>A 28166-2023</t>
        </is>
      </c>
      <c r="B613" s="1" t="n">
        <v>45096</v>
      </c>
      <c r="C613" s="1" t="n">
        <v>45991</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39123-2025</t>
        </is>
      </c>
      <c r="B614" s="1" t="n">
        <v>45888.57267361111</v>
      </c>
      <c r="C614" s="1" t="n">
        <v>45991</v>
      </c>
      <c r="D614" t="inlineStr">
        <is>
          <t>VÄSTERBOTTENS LÄN</t>
        </is>
      </c>
      <c r="E614" t="inlineStr">
        <is>
          <t>SKELLEFTEÅ</t>
        </is>
      </c>
      <c r="F614" t="inlineStr">
        <is>
          <t>Holmen skog AB</t>
        </is>
      </c>
      <c r="G614" t="n">
        <v>4.5</v>
      </c>
      <c r="H614" t="n">
        <v>0</v>
      </c>
      <c r="I614" t="n">
        <v>0</v>
      </c>
      <c r="J614" t="n">
        <v>0</v>
      </c>
      <c r="K614" t="n">
        <v>0</v>
      </c>
      <c r="L614" t="n">
        <v>0</v>
      </c>
      <c r="M614" t="n">
        <v>0</v>
      </c>
      <c r="N614" t="n">
        <v>0</v>
      </c>
      <c r="O614" t="n">
        <v>0</v>
      </c>
      <c r="P614" t="n">
        <v>0</v>
      </c>
      <c r="Q614" t="n">
        <v>0</v>
      </c>
      <c r="R614" s="2" t="inlineStr"/>
    </row>
    <row r="615" ht="15" customHeight="1">
      <c r="A615" t="inlineStr">
        <is>
          <t>A 39447-2025</t>
        </is>
      </c>
      <c r="B615" s="1" t="n">
        <v>45889.70673611111</v>
      </c>
      <c r="C615" s="1" t="n">
        <v>45991</v>
      </c>
      <c r="D615" t="inlineStr">
        <is>
          <t>VÄSTERBOTTENS LÄN</t>
        </is>
      </c>
      <c r="E615" t="inlineStr">
        <is>
          <t>SKELLEFTEÅ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35558-2022</t>
        </is>
      </c>
      <c r="B616" s="1" t="n">
        <v>44799.38560185185</v>
      </c>
      <c r="C616" s="1" t="n">
        <v>45991</v>
      </c>
      <c r="D616" t="inlineStr">
        <is>
          <t>VÄSTERBOTTENS LÄN</t>
        </is>
      </c>
      <c r="E616" t="inlineStr">
        <is>
          <t>SKELLEFTEÅ</t>
        </is>
      </c>
      <c r="F616" t="inlineStr">
        <is>
          <t>Sveaskog</t>
        </is>
      </c>
      <c r="G616" t="n">
        <v>21.8</v>
      </c>
      <c r="H616" t="n">
        <v>0</v>
      </c>
      <c r="I616" t="n">
        <v>0</v>
      </c>
      <c r="J616" t="n">
        <v>0</v>
      </c>
      <c r="K616" t="n">
        <v>0</v>
      </c>
      <c r="L616" t="n">
        <v>0</v>
      </c>
      <c r="M616" t="n">
        <v>0</v>
      </c>
      <c r="N616" t="n">
        <v>0</v>
      </c>
      <c r="O616" t="n">
        <v>0</v>
      </c>
      <c r="P616" t="n">
        <v>0</v>
      </c>
      <c r="Q616" t="n">
        <v>0</v>
      </c>
      <c r="R616" s="2" t="inlineStr"/>
    </row>
    <row r="617" ht="15" customHeight="1">
      <c r="A617" t="inlineStr">
        <is>
          <t>A 25958-2025</t>
        </is>
      </c>
      <c r="B617" s="1" t="n">
        <v>45804.60783564814</v>
      </c>
      <c r="C617" s="1" t="n">
        <v>45991</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26045-2025</t>
        </is>
      </c>
      <c r="B618" s="1" t="n">
        <v>45804.70626157407</v>
      </c>
      <c r="C618" s="1" t="n">
        <v>45991</v>
      </c>
      <c r="D618" t="inlineStr">
        <is>
          <t>VÄSTERBOTTENS LÄN</t>
        </is>
      </c>
      <c r="E618" t="inlineStr">
        <is>
          <t>SKELLEFTEÅ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39379-2025</t>
        </is>
      </c>
      <c r="B619" s="1" t="n">
        <v>45889.59917824074</v>
      </c>
      <c r="C619" s="1" t="n">
        <v>45991</v>
      </c>
      <c r="D619" t="inlineStr">
        <is>
          <t>VÄSTERBOTTENS LÄN</t>
        </is>
      </c>
      <c r="E619" t="inlineStr">
        <is>
          <t>SKELLEFTEÅ</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26286-2025</t>
        </is>
      </c>
      <c r="B620" s="1" t="n">
        <v>45805.62082175926</v>
      </c>
      <c r="C620" s="1" t="n">
        <v>45991</v>
      </c>
      <c r="D620" t="inlineStr">
        <is>
          <t>VÄSTERBOTTENS LÄN</t>
        </is>
      </c>
      <c r="E620" t="inlineStr">
        <is>
          <t>SKELLEFTEÅ</t>
        </is>
      </c>
      <c r="F620" t="inlineStr">
        <is>
          <t>Sveaskog</t>
        </is>
      </c>
      <c r="G620" t="n">
        <v>10.9</v>
      </c>
      <c r="H620" t="n">
        <v>0</v>
      </c>
      <c r="I620" t="n">
        <v>0</v>
      </c>
      <c r="J620" t="n">
        <v>0</v>
      </c>
      <c r="K620" t="n">
        <v>0</v>
      </c>
      <c r="L620" t="n">
        <v>0</v>
      </c>
      <c r="M620" t="n">
        <v>0</v>
      </c>
      <c r="N620" t="n">
        <v>0</v>
      </c>
      <c r="O620" t="n">
        <v>0</v>
      </c>
      <c r="P620" t="n">
        <v>0</v>
      </c>
      <c r="Q620" t="n">
        <v>0</v>
      </c>
      <c r="R620" s="2" t="inlineStr"/>
    </row>
    <row r="621" ht="15" customHeight="1">
      <c r="A621" t="inlineStr">
        <is>
          <t>A 29932-2023</t>
        </is>
      </c>
      <c r="B621" s="1" t="n">
        <v>45107</v>
      </c>
      <c r="C621" s="1" t="n">
        <v>45991</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7991-2025</t>
        </is>
      </c>
      <c r="B622" s="1" t="n">
        <v>45707.48981481481</v>
      </c>
      <c r="C622" s="1" t="n">
        <v>45991</v>
      </c>
      <c r="D622" t="inlineStr">
        <is>
          <t>VÄSTERBOTTENS LÄN</t>
        </is>
      </c>
      <c r="E622" t="inlineStr">
        <is>
          <t>SKELLEFTEÅ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61378-2024</t>
        </is>
      </c>
      <c r="B623" s="1" t="n">
        <v>45645</v>
      </c>
      <c r="C623" s="1" t="n">
        <v>45991</v>
      </c>
      <c r="D623" t="inlineStr">
        <is>
          <t>VÄSTERBOTTENS LÄN</t>
        </is>
      </c>
      <c r="E623" t="inlineStr">
        <is>
          <t>SKELLEFTEÅ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39328-2025</t>
        </is>
      </c>
      <c r="B624" s="1" t="n">
        <v>45889</v>
      </c>
      <c r="C624" s="1" t="n">
        <v>45991</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38809-2023</t>
        </is>
      </c>
      <c r="B625" s="1" t="n">
        <v>45161</v>
      </c>
      <c r="C625" s="1" t="n">
        <v>45991</v>
      </c>
      <c r="D625" t="inlineStr">
        <is>
          <t>VÄSTERBOTTENS LÄN</t>
        </is>
      </c>
      <c r="E625" t="inlineStr">
        <is>
          <t>SKELLEFTEÅ</t>
        </is>
      </c>
      <c r="G625" t="n">
        <v>4</v>
      </c>
      <c r="H625" t="n">
        <v>0</v>
      </c>
      <c r="I625" t="n">
        <v>0</v>
      </c>
      <c r="J625" t="n">
        <v>0</v>
      </c>
      <c r="K625" t="n">
        <v>0</v>
      </c>
      <c r="L625" t="n">
        <v>0</v>
      </c>
      <c r="M625" t="n">
        <v>0</v>
      </c>
      <c r="N625" t="n">
        <v>0</v>
      </c>
      <c r="O625" t="n">
        <v>0</v>
      </c>
      <c r="P625" t="n">
        <v>0</v>
      </c>
      <c r="Q625" t="n">
        <v>0</v>
      </c>
      <c r="R625" s="2" t="inlineStr"/>
    </row>
    <row r="626" ht="15" customHeight="1">
      <c r="A626" t="inlineStr">
        <is>
          <t>A 26483-2022</t>
        </is>
      </c>
      <c r="B626" s="1" t="n">
        <v>44739</v>
      </c>
      <c r="C626" s="1" t="n">
        <v>45991</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34082-2022</t>
        </is>
      </c>
      <c r="B627" s="1" t="n">
        <v>44791</v>
      </c>
      <c r="C627" s="1" t="n">
        <v>45991</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39166-2025</t>
        </is>
      </c>
      <c r="B628" s="1" t="n">
        <v>45888.63756944444</v>
      </c>
      <c r="C628" s="1" t="n">
        <v>45991</v>
      </c>
      <c r="D628" t="inlineStr">
        <is>
          <t>VÄSTERBOTTENS LÄN</t>
        </is>
      </c>
      <c r="E628" t="inlineStr">
        <is>
          <t>SKELLEFTEÅ</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23445-2024</t>
        </is>
      </c>
      <c r="B629" s="1" t="n">
        <v>45453</v>
      </c>
      <c r="C629" s="1" t="n">
        <v>45991</v>
      </c>
      <c r="D629" t="inlineStr">
        <is>
          <t>VÄSTERBOTTENS LÄN</t>
        </is>
      </c>
      <c r="E629" t="inlineStr">
        <is>
          <t>SKELLEFTEÅ</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26318-2025</t>
        </is>
      </c>
      <c r="B630" s="1" t="n">
        <v>45805.65717592592</v>
      </c>
      <c r="C630" s="1" t="n">
        <v>45991</v>
      </c>
      <c r="D630" t="inlineStr">
        <is>
          <t>VÄSTERBOTTENS LÄN</t>
        </is>
      </c>
      <c r="E630" t="inlineStr">
        <is>
          <t>SKELLEFTEÅ</t>
        </is>
      </c>
      <c r="G630" t="n">
        <v>8.6</v>
      </c>
      <c r="H630" t="n">
        <v>0</v>
      </c>
      <c r="I630" t="n">
        <v>0</v>
      </c>
      <c r="J630" t="n">
        <v>0</v>
      </c>
      <c r="K630" t="n">
        <v>0</v>
      </c>
      <c r="L630" t="n">
        <v>0</v>
      </c>
      <c r="M630" t="n">
        <v>0</v>
      </c>
      <c r="N630" t="n">
        <v>0</v>
      </c>
      <c r="O630" t="n">
        <v>0</v>
      </c>
      <c r="P630" t="n">
        <v>0</v>
      </c>
      <c r="Q630" t="n">
        <v>0</v>
      </c>
      <c r="R630" s="2" t="inlineStr"/>
    </row>
    <row r="631" ht="15" customHeight="1">
      <c r="A631" t="inlineStr">
        <is>
          <t>A 33530-2024</t>
        </is>
      </c>
      <c r="B631" s="1" t="n">
        <v>45519.67211805555</v>
      </c>
      <c r="C631" s="1" t="n">
        <v>45991</v>
      </c>
      <c r="D631" t="inlineStr">
        <is>
          <t>VÄSTERBOTTENS LÄN</t>
        </is>
      </c>
      <c r="E631" t="inlineStr">
        <is>
          <t>SKELLEFTEÅ</t>
        </is>
      </c>
      <c r="G631" t="n">
        <v>5</v>
      </c>
      <c r="H631" t="n">
        <v>0</v>
      </c>
      <c r="I631" t="n">
        <v>0</v>
      </c>
      <c r="J631" t="n">
        <v>0</v>
      </c>
      <c r="K631" t="n">
        <v>0</v>
      </c>
      <c r="L631" t="n">
        <v>0</v>
      </c>
      <c r="M631" t="n">
        <v>0</v>
      </c>
      <c r="N631" t="n">
        <v>0</v>
      </c>
      <c r="O631" t="n">
        <v>0</v>
      </c>
      <c r="P631" t="n">
        <v>0</v>
      </c>
      <c r="Q631" t="n">
        <v>0</v>
      </c>
      <c r="R631" s="2" t="inlineStr"/>
    </row>
    <row r="632" ht="15" customHeight="1">
      <c r="A632" t="inlineStr">
        <is>
          <t>A 42557-2021</t>
        </is>
      </c>
      <c r="B632" s="1" t="n">
        <v>44428</v>
      </c>
      <c r="C632" s="1" t="n">
        <v>45991</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39259-2025</t>
        </is>
      </c>
      <c r="B633" s="1" t="n">
        <v>45889.37043981482</v>
      </c>
      <c r="C633" s="1" t="n">
        <v>45991</v>
      </c>
      <c r="D633" t="inlineStr">
        <is>
          <t>VÄSTERBOTTENS LÄN</t>
        </is>
      </c>
      <c r="E633" t="inlineStr">
        <is>
          <t>SKELLEFTEÅ</t>
        </is>
      </c>
      <c r="G633" t="n">
        <v>5.9</v>
      </c>
      <c r="H633" t="n">
        <v>0</v>
      </c>
      <c r="I633" t="n">
        <v>0</v>
      </c>
      <c r="J633" t="n">
        <v>0</v>
      </c>
      <c r="K633" t="n">
        <v>0</v>
      </c>
      <c r="L633" t="n">
        <v>0</v>
      </c>
      <c r="M633" t="n">
        <v>0</v>
      </c>
      <c r="N633" t="n">
        <v>0</v>
      </c>
      <c r="O633" t="n">
        <v>0</v>
      </c>
      <c r="P633" t="n">
        <v>0</v>
      </c>
      <c r="Q633" t="n">
        <v>0</v>
      </c>
      <c r="R633" s="2" t="inlineStr"/>
    </row>
    <row r="634" ht="15" customHeight="1">
      <c r="A634" t="inlineStr">
        <is>
          <t>A 53075-2022</t>
        </is>
      </c>
      <c r="B634" s="1" t="n">
        <v>44876</v>
      </c>
      <c r="C634" s="1" t="n">
        <v>45991</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62023-2024</t>
        </is>
      </c>
      <c r="B635" s="1" t="n">
        <v>45656.06716435185</v>
      </c>
      <c r="C635" s="1" t="n">
        <v>45991</v>
      </c>
      <c r="D635" t="inlineStr">
        <is>
          <t>VÄSTERBOTTENS LÄN</t>
        </is>
      </c>
      <c r="E635" t="inlineStr">
        <is>
          <t>SKELLEFTEÅ</t>
        </is>
      </c>
      <c r="G635" t="n">
        <v>4.2</v>
      </c>
      <c r="H635" t="n">
        <v>0</v>
      </c>
      <c r="I635" t="n">
        <v>0</v>
      </c>
      <c r="J635" t="n">
        <v>0</v>
      </c>
      <c r="K635" t="n">
        <v>0</v>
      </c>
      <c r="L635" t="n">
        <v>0</v>
      </c>
      <c r="M635" t="n">
        <v>0</v>
      </c>
      <c r="N635" t="n">
        <v>0</v>
      </c>
      <c r="O635" t="n">
        <v>0</v>
      </c>
      <c r="P635" t="n">
        <v>0</v>
      </c>
      <c r="Q635" t="n">
        <v>0</v>
      </c>
      <c r="R635" s="2" t="inlineStr"/>
    </row>
    <row r="636" ht="15" customHeight="1">
      <c r="A636" t="inlineStr">
        <is>
          <t>A 7816-2025</t>
        </is>
      </c>
      <c r="B636" s="1" t="n">
        <v>45706.63597222222</v>
      </c>
      <c r="C636" s="1" t="n">
        <v>45991</v>
      </c>
      <c r="D636" t="inlineStr">
        <is>
          <t>VÄSTERBOTTENS LÄN</t>
        </is>
      </c>
      <c r="E636" t="inlineStr">
        <is>
          <t>SKELLEFTEÅ</t>
        </is>
      </c>
      <c r="G636" t="n">
        <v>4</v>
      </c>
      <c r="H636" t="n">
        <v>0</v>
      </c>
      <c r="I636" t="n">
        <v>0</v>
      </c>
      <c r="J636" t="n">
        <v>0</v>
      </c>
      <c r="K636" t="n">
        <v>0</v>
      </c>
      <c r="L636" t="n">
        <v>0</v>
      </c>
      <c r="M636" t="n">
        <v>0</v>
      </c>
      <c r="N636" t="n">
        <v>0</v>
      </c>
      <c r="O636" t="n">
        <v>0</v>
      </c>
      <c r="P636" t="n">
        <v>0</v>
      </c>
      <c r="Q636" t="n">
        <v>0</v>
      </c>
      <c r="R636" s="2" t="inlineStr"/>
    </row>
    <row r="637" ht="15" customHeight="1">
      <c r="A637" t="inlineStr">
        <is>
          <t>A 26215-2025</t>
        </is>
      </c>
      <c r="B637" s="1" t="n">
        <v>45805.54438657407</v>
      </c>
      <c r="C637" s="1" t="n">
        <v>45991</v>
      </c>
      <c r="D637" t="inlineStr">
        <is>
          <t>VÄSTERBOTTENS LÄN</t>
        </is>
      </c>
      <c r="E637" t="inlineStr">
        <is>
          <t>SKELLEFTEÅ</t>
        </is>
      </c>
      <c r="G637" t="n">
        <v>10</v>
      </c>
      <c r="H637" t="n">
        <v>0</v>
      </c>
      <c r="I637" t="n">
        <v>0</v>
      </c>
      <c r="J637" t="n">
        <v>0</v>
      </c>
      <c r="K637" t="n">
        <v>0</v>
      </c>
      <c r="L637" t="n">
        <v>0</v>
      </c>
      <c r="M637" t="n">
        <v>0</v>
      </c>
      <c r="N637" t="n">
        <v>0</v>
      </c>
      <c r="O637" t="n">
        <v>0</v>
      </c>
      <c r="P637" t="n">
        <v>0</v>
      </c>
      <c r="Q637" t="n">
        <v>0</v>
      </c>
      <c r="R637" s="2" t="inlineStr"/>
    </row>
    <row r="638" ht="15" customHeight="1">
      <c r="A638" t="inlineStr">
        <is>
          <t>A 31419-2021</t>
        </is>
      </c>
      <c r="B638" s="1" t="n">
        <v>44368</v>
      </c>
      <c r="C638" s="1" t="n">
        <v>45991</v>
      </c>
      <c r="D638" t="inlineStr">
        <is>
          <t>VÄSTERBOTTENS LÄN</t>
        </is>
      </c>
      <c r="E638" t="inlineStr">
        <is>
          <t>SKELLEFTEÅ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30791-2025</t>
        </is>
      </c>
      <c r="B639" s="1" t="n">
        <v>45831.63576388889</v>
      </c>
      <c r="C639" s="1" t="n">
        <v>45991</v>
      </c>
      <c r="D639" t="inlineStr">
        <is>
          <t>VÄSTERBOTTENS LÄN</t>
        </is>
      </c>
      <c r="E639" t="inlineStr">
        <is>
          <t>SKELLEFTEÅ</t>
        </is>
      </c>
      <c r="G639" t="n">
        <v>3.1</v>
      </c>
      <c r="H639" t="n">
        <v>0</v>
      </c>
      <c r="I639" t="n">
        <v>0</v>
      </c>
      <c r="J639" t="n">
        <v>0</v>
      </c>
      <c r="K639" t="n">
        <v>0</v>
      </c>
      <c r="L639" t="n">
        <v>0</v>
      </c>
      <c r="M639" t="n">
        <v>0</v>
      </c>
      <c r="N639" t="n">
        <v>0</v>
      </c>
      <c r="O639" t="n">
        <v>0</v>
      </c>
      <c r="P639" t="n">
        <v>0</v>
      </c>
      <c r="Q639" t="n">
        <v>0</v>
      </c>
      <c r="R639" s="2" t="inlineStr"/>
    </row>
    <row r="640" ht="15" customHeight="1">
      <c r="A640" t="inlineStr">
        <is>
          <t>A 38818-2023</t>
        </is>
      </c>
      <c r="B640" s="1" t="n">
        <v>45161</v>
      </c>
      <c r="C640" s="1" t="n">
        <v>45991</v>
      </c>
      <c r="D640" t="inlineStr">
        <is>
          <t>VÄSTERBOTTENS LÄN</t>
        </is>
      </c>
      <c r="E640" t="inlineStr">
        <is>
          <t>SKELLEFTEÅ</t>
        </is>
      </c>
      <c r="G640" t="n">
        <v>2.8</v>
      </c>
      <c r="H640" t="n">
        <v>0</v>
      </c>
      <c r="I640" t="n">
        <v>0</v>
      </c>
      <c r="J640" t="n">
        <v>0</v>
      </c>
      <c r="K640" t="n">
        <v>0</v>
      </c>
      <c r="L640" t="n">
        <v>0</v>
      </c>
      <c r="M640" t="n">
        <v>0</v>
      </c>
      <c r="N640" t="n">
        <v>0</v>
      </c>
      <c r="O640" t="n">
        <v>0</v>
      </c>
      <c r="P640" t="n">
        <v>0</v>
      </c>
      <c r="Q640" t="n">
        <v>0</v>
      </c>
      <c r="R640" s="2" t="inlineStr"/>
    </row>
    <row r="641" ht="15" customHeight="1">
      <c r="A641" t="inlineStr">
        <is>
          <t>A 54384-2021</t>
        </is>
      </c>
      <c r="B641" s="1" t="n">
        <v>44473</v>
      </c>
      <c r="C641" s="1" t="n">
        <v>45991</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10647-2023</t>
        </is>
      </c>
      <c r="B642" s="1" t="n">
        <v>44984</v>
      </c>
      <c r="C642" s="1" t="n">
        <v>45991</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25774-2025</t>
        </is>
      </c>
      <c r="B643" s="1" t="n">
        <v>45804.34530092592</v>
      </c>
      <c r="C643" s="1" t="n">
        <v>45991</v>
      </c>
      <c r="D643" t="inlineStr">
        <is>
          <t>VÄSTERBOTTENS LÄN</t>
        </is>
      </c>
      <c r="E643" t="inlineStr">
        <is>
          <t>SKELLEFTEÅ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39589-2021</t>
        </is>
      </c>
      <c r="B644" s="1" t="n">
        <v>44413</v>
      </c>
      <c r="C644" s="1" t="n">
        <v>45991</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39349-2025</t>
        </is>
      </c>
      <c r="B645" s="1" t="n">
        <v>45889.5431712963</v>
      </c>
      <c r="C645" s="1" t="n">
        <v>45991</v>
      </c>
      <c r="D645" t="inlineStr">
        <is>
          <t>VÄSTERBOTTENS LÄN</t>
        </is>
      </c>
      <c r="E645" t="inlineStr">
        <is>
          <t>SKELLEFTEÅ</t>
        </is>
      </c>
      <c r="F645" t="inlineStr">
        <is>
          <t>Kommuner</t>
        </is>
      </c>
      <c r="G645" t="n">
        <v>5.2</v>
      </c>
      <c r="H645" t="n">
        <v>0</v>
      </c>
      <c r="I645" t="n">
        <v>0</v>
      </c>
      <c r="J645" t="n">
        <v>0</v>
      </c>
      <c r="K645" t="n">
        <v>0</v>
      </c>
      <c r="L645" t="n">
        <v>0</v>
      </c>
      <c r="M645" t="n">
        <v>0</v>
      </c>
      <c r="N645" t="n">
        <v>0</v>
      </c>
      <c r="O645" t="n">
        <v>0</v>
      </c>
      <c r="P645" t="n">
        <v>0</v>
      </c>
      <c r="Q645" t="n">
        <v>0</v>
      </c>
      <c r="R645" s="2" t="inlineStr"/>
    </row>
    <row r="646" ht="15" customHeight="1">
      <c r="A646" t="inlineStr">
        <is>
          <t>A 26049-2025</t>
        </is>
      </c>
      <c r="B646" s="1" t="n">
        <v>45804.71578703704</v>
      </c>
      <c r="C646" s="1" t="n">
        <v>45991</v>
      </c>
      <c r="D646" t="inlineStr">
        <is>
          <t>VÄSTERBOTTENS LÄN</t>
        </is>
      </c>
      <c r="E646" t="inlineStr">
        <is>
          <t>SKELLEFTEÅ</t>
        </is>
      </c>
      <c r="G646" t="n">
        <v>12.5</v>
      </c>
      <c r="H646" t="n">
        <v>0</v>
      </c>
      <c r="I646" t="n">
        <v>0</v>
      </c>
      <c r="J646" t="n">
        <v>0</v>
      </c>
      <c r="K646" t="n">
        <v>0</v>
      </c>
      <c r="L646" t="n">
        <v>0</v>
      </c>
      <c r="M646" t="n">
        <v>0</v>
      </c>
      <c r="N646" t="n">
        <v>0</v>
      </c>
      <c r="O646" t="n">
        <v>0</v>
      </c>
      <c r="P646" t="n">
        <v>0</v>
      </c>
      <c r="Q646" t="n">
        <v>0</v>
      </c>
      <c r="R646" s="2" t="inlineStr"/>
    </row>
    <row r="647" ht="15" customHeight="1">
      <c r="A647" t="inlineStr">
        <is>
          <t>A 52141-2022</t>
        </is>
      </c>
      <c r="B647" s="1" t="n">
        <v>44868</v>
      </c>
      <c r="C647" s="1" t="n">
        <v>45991</v>
      </c>
      <c r="D647" t="inlineStr">
        <is>
          <t>VÄSTERBOTTENS LÄN</t>
        </is>
      </c>
      <c r="E647" t="inlineStr">
        <is>
          <t>SKELLEFTEÅ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29115-2021</t>
        </is>
      </c>
      <c r="B648" s="1" t="n">
        <v>44358</v>
      </c>
      <c r="C648" s="1" t="n">
        <v>45991</v>
      </c>
      <c r="D648" t="inlineStr">
        <is>
          <t>VÄSTERBOTTENS LÄN</t>
        </is>
      </c>
      <c r="E648" t="inlineStr">
        <is>
          <t>SKELLEFTEÅ</t>
        </is>
      </c>
      <c r="G648" t="n">
        <v>4.4</v>
      </c>
      <c r="H648" t="n">
        <v>0</v>
      </c>
      <c r="I648" t="n">
        <v>0</v>
      </c>
      <c r="J648" t="n">
        <v>0</v>
      </c>
      <c r="K648" t="n">
        <v>0</v>
      </c>
      <c r="L648" t="n">
        <v>0</v>
      </c>
      <c r="M648" t="n">
        <v>0</v>
      </c>
      <c r="N648" t="n">
        <v>0</v>
      </c>
      <c r="O648" t="n">
        <v>0</v>
      </c>
      <c r="P648" t="n">
        <v>0</v>
      </c>
      <c r="Q648" t="n">
        <v>0</v>
      </c>
      <c r="R648" s="2" t="inlineStr"/>
    </row>
    <row r="649" ht="15" customHeight="1">
      <c r="A649" t="inlineStr">
        <is>
          <t>A 39254-2025</t>
        </is>
      </c>
      <c r="B649" s="1" t="n">
        <v>45889.36454861111</v>
      </c>
      <c r="C649" s="1" t="n">
        <v>45991</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55907-2024</t>
        </is>
      </c>
      <c r="B650" s="1" t="n">
        <v>45623.58414351852</v>
      </c>
      <c r="C650" s="1" t="n">
        <v>45991</v>
      </c>
      <c r="D650" t="inlineStr">
        <is>
          <t>VÄSTERBOTTENS LÄN</t>
        </is>
      </c>
      <c r="E650" t="inlineStr">
        <is>
          <t>SKELLEFTEÅ</t>
        </is>
      </c>
      <c r="F650" t="inlineStr">
        <is>
          <t>Holmen skog AB</t>
        </is>
      </c>
      <c r="G650" t="n">
        <v>4.9</v>
      </c>
      <c r="H650" t="n">
        <v>0</v>
      </c>
      <c r="I650" t="n">
        <v>0</v>
      </c>
      <c r="J650" t="n">
        <v>0</v>
      </c>
      <c r="K650" t="n">
        <v>0</v>
      </c>
      <c r="L650" t="n">
        <v>0</v>
      </c>
      <c r="M650" t="n">
        <v>0</v>
      </c>
      <c r="N650" t="n">
        <v>0</v>
      </c>
      <c r="O650" t="n">
        <v>0</v>
      </c>
      <c r="P650" t="n">
        <v>0</v>
      </c>
      <c r="Q650" t="n">
        <v>0</v>
      </c>
      <c r="R650" s="2" t="inlineStr"/>
    </row>
    <row r="651" ht="15" customHeight="1">
      <c r="A651" t="inlineStr">
        <is>
          <t>A 26425-2025</t>
        </is>
      </c>
      <c r="B651" s="1" t="n">
        <v>45807.38453703704</v>
      </c>
      <c r="C651" s="1" t="n">
        <v>45991</v>
      </c>
      <c r="D651" t="inlineStr">
        <is>
          <t>VÄSTERBOTTENS LÄN</t>
        </is>
      </c>
      <c r="E651" t="inlineStr">
        <is>
          <t>SKELLEFTEÅ</t>
        </is>
      </c>
      <c r="G651" t="n">
        <v>4.9</v>
      </c>
      <c r="H651" t="n">
        <v>0</v>
      </c>
      <c r="I651" t="n">
        <v>0</v>
      </c>
      <c r="J651" t="n">
        <v>0</v>
      </c>
      <c r="K651" t="n">
        <v>0</v>
      </c>
      <c r="L651" t="n">
        <v>0</v>
      </c>
      <c r="M651" t="n">
        <v>0</v>
      </c>
      <c r="N651" t="n">
        <v>0</v>
      </c>
      <c r="O651" t="n">
        <v>0</v>
      </c>
      <c r="P651" t="n">
        <v>0</v>
      </c>
      <c r="Q651" t="n">
        <v>0</v>
      </c>
      <c r="R651" s="2" t="inlineStr"/>
    </row>
    <row r="652" ht="15" customHeight="1">
      <c r="A652" t="inlineStr">
        <is>
          <t>A 34332-2024</t>
        </is>
      </c>
      <c r="B652" s="1" t="n">
        <v>45524.89719907408</v>
      </c>
      <c r="C652" s="1" t="n">
        <v>45991</v>
      </c>
      <c r="D652" t="inlineStr">
        <is>
          <t>VÄSTERBOTTENS LÄN</t>
        </is>
      </c>
      <c r="E652" t="inlineStr">
        <is>
          <t>SKELLEFTEÅ</t>
        </is>
      </c>
      <c r="F652" t="inlineStr">
        <is>
          <t>Sveaskog</t>
        </is>
      </c>
      <c r="G652" t="n">
        <v>9.5</v>
      </c>
      <c r="H652" t="n">
        <v>0</v>
      </c>
      <c r="I652" t="n">
        <v>0</v>
      </c>
      <c r="J652" t="n">
        <v>0</v>
      </c>
      <c r="K652" t="n">
        <v>0</v>
      </c>
      <c r="L652" t="n">
        <v>0</v>
      </c>
      <c r="M652" t="n">
        <v>0</v>
      </c>
      <c r="N652" t="n">
        <v>0</v>
      </c>
      <c r="O652" t="n">
        <v>0</v>
      </c>
      <c r="P652" t="n">
        <v>0</v>
      </c>
      <c r="Q652" t="n">
        <v>0</v>
      </c>
      <c r="R652" s="2" t="inlineStr"/>
    </row>
    <row r="653" ht="15" customHeight="1">
      <c r="A653" t="inlineStr">
        <is>
          <t>A 24825-2025</t>
        </is>
      </c>
      <c r="B653" s="1" t="n">
        <v>45799.45575231482</v>
      </c>
      <c r="C653" s="1" t="n">
        <v>45991</v>
      </c>
      <c r="D653" t="inlineStr">
        <is>
          <t>VÄSTERBOTTENS LÄN</t>
        </is>
      </c>
      <c r="E653" t="inlineStr">
        <is>
          <t>SKELLEFTEÅ</t>
        </is>
      </c>
      <c r="G653" t="n">
        <v>10.2</v>
      </c>
      <c r="H653" t="n">
        <v>0</v>
      </c>
      <c r="I653" t="n">
        <v>0</v>
      </c>
      <c r="J653" t="n">
        <v>0</v>
      </c>
      <c r="K653" t="n">
        <v>0</v>
      </c>
      <c r="L653" t="n">
        <v>0</v>
      </c>
      <c r="M653" t="n">
        <v>0</v>
      </c>
      <c r="N653" t="n">
        <v>0</v>
      </c>
      <c r="O653" t="n">
        <v>0</v>
      </c>
      <c r="P653" t="n">
        <v>0</v>
      </c>
      <c r="Q653" t="n">
        <v>0</v>
      </c>
      <c r="R653" s="2" t="inlineStr"/>
    </row>
    <row r="654" ht="15" customHeight="1">
      <c r="A654" t="inlineStr">
        <is>
          <t>A 26194-2025</t>
        </is>
      </c>
      <c r="B654" s="1" t="n">
        <v>45805.48989583334</v>
      </c>
      <c r="C654" s="1" t="n">
        <v>45991</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26542-2025</t>
        </is>
      </c>
      <c r="B655" s="1" t="n">
        <v>45807.58521990741</v>
      </c>
      <c r="C655" s="1" t="n">
        <v>45991</v>
      </c>
      <c r="D655" t="inlineStr">
        <is>
          <t>VÄSTERBOTTENS LÄN</t>
        </is>
      </c>
      <c r="E655" t="inlineStr">
        <is>
          <t>SKELLEFTEÅ</t>
        </is>
      </c>
      <c r="F655" t="inlineStr">
        <is>
          <t>Holmen skog AB</t>
        </is>
      </c>
      <c r="G655" t="n">
        <v>11.8</v>
      </c>
      <c r="H655" t="n">
        <v>0</v>
      </c>
      <c r="I655" t="n">
        <v>0</v>
      </c>
      <c r="J655" t="n">
        <v>0</v>
      </c>
      <c r="K655" t="n">
        <v>0</v>
      </c>
      <c r="L655" t="n">
        <v>0</v>
      </c>
      <c r="M655" t="n">
        <v>0</v>
      </c>
      <c r="N655" t="n">
        <v>0</v>
      </c>
      <c r="O655" t="n">
        <v>0</v>
      </c>
      <c r="P655" t="n">
        <v>0</v>
      </c>
      <c r="Q655" t="n">
        <v>0</v>
      </c>
      <c r="R655" s="2" t="inlineStr"/>
    </row>
    <row r="656" ht="15" customHeight="1">
      <c r="A656" t="inlineStr">
        <is>
          <t>A 39064-2025</t>
        </is>
      </c>
      <c r="B656" s="1" t="n">
        <v>45888.46336805556</v>
      </c>
      <c r="C656" s="1" t="n">
        <v>45991</v>
      </c>
      <c r="D656" t="inlineStr">
        <is>
          <t>VÄSTERBOTTENS LÄN</t>
        </is>
      </c>
      <c r="E656" t="inlineStr">
        <is>
          <t>SKELLEFTEÅ</t>
        </is>
      </c>
      <c r="F656" t="inlineStr">
        <is>
          <t>Holmen skog AB</t>
        </is>
      </c>
      <c r="G656" t="n">
        <v>10</v>
      </c>
      <c r="H656" t="n">
        <v>0</v>
      </c>
      <c r="I656" t="n">
        <v>0</v>
      </c>
      <c r="J656" t="n">
        <v>0</v>
      </c>
      <c r="K656" t="n">
        <v>0</v>
      </c>
      <c r="L656" t="n">
        <v>0</v>
      </c>
      <c r="M656" t="n">
        <v>0</v>
      </c>
      <c r="N656" t="n">
        <v>0</v>
      </c>
      <c r="O656" t="n">
        <v>0</v>
      </c>
      <c r="P656" t="n">
        <v>0</v>
      </c>
      <c r="Q656" t="n">
        <v>0</v>
      </c>
      <c r="R656" s="2" t="inlineStr"/>
    </row>
    <row r="657" ht="15" customHeight="1">
      <c r="A657" t="inlineStr">
        <is>
          <t>A 39105-2025</t>
        </is>
      </c>
      <c r="B657" s="1" t="n">
        <v>45888.52792824074</v>
      </c>
      <c r="C657" s="1" t="n">
        <v>45991</v>
      </c>
      <c r="D657" t="inlineStr">
        <is>
          <t>VÄSTERBOTTENS LÄN</t>
        </is>
      </c>
      <c r="E657" t="inlineStr">
        <is>
          <t>SKELLEFTEÅ</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39890-2025</t>
        </is>
      </c>
      <c r="B658" s="1" t="n">
        <v>45891.62754629629</v>
      </c>
      <c r="C658" s="1" t="n">
        <v>45991</v>
      </c>
      <c r="D658" t="inlineStr">
        <is>
          <t>VÄSTERBOTTENS LÄN</t>
        </is>
      </c>
      <c r="E658" t="inlineStr">
        <is>
          <t>SKELLEFTEÅ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35114-2024</t>
        </is>
      </c>
      <c r="B659" s="1" t="n">
        <v>45529.92038194444</v>
      </c>
      <c r="C659" s="1" t="n">
        <v>45991</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39705-2025</t>
        </is>
      </c>
      <c r="B660" s="1" t="n">
        <v>45890.73013888889</v>
      </c>
      <c r="C660" s="1" t="n">
        <v>45991</v>
      </c>
      <c r="D660" t="inlineStr">
        <is>
          <t>VÄSTERBOTTENS LÄN</t>
        </is>
      </c>
      <c r="E660" t="inlineStr">
        <is>
          <t>SKELLEFTEÅ</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24238-2021</t>
        </is>
      </c>
      <c r="B661" s="1" t="n">
        <v>44336.9187962963</v>
      </c>
      <c r="C661" s="1" t="n">
        <v>45991</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39589-2025</t>
        </is>
      </c>
      <c r="B662" s="1" t="n">
        <v>45890.5162037037</v>
      </c>
      <c r="C662" s="1" t="n">
        <v>45991</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39477-2025</t>
        </is>
      </c>
      <c r="B663" s="1" t="n">
        <v>45890.34474537037</v>
      </c>
      <c r="C663" s="1" t="n">
        <v>45991</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39522-2025</t>
        </is>
      </c>
      <c r="B664" s="1" t="n">
        <v>45890.43673611111</v>
      </c>
      <c r="C664" s="1" t="n">
        <v>45991</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39733-2025</t>
        </is>
      </c>
      <c r="B665" s="1" t="n">
        <v>45891.36577546296</v>
      </c>
      <c r="C665" s="1" t="n">
        <v>45991</v>
      </c>
      <c r="D665" t="inlineStr">
        <is>
          <t>VÄSTERBOTTENS LÄN</t>
        </is>
      </c>
      <c r="E665" t="inlineStr">
        <is>
          <t>SKELLEFTEÅ</t>
        </is>
      </c>
      <c r="G665" t="n">
        <v>4.9</v>
      </c>
      <c r="H665" t="n">
        <v>0</v>
      </c>
      <c r="I665" t="n">
        <v>0</v>
      </c>
      <c r="J665" t="n">
        <v>0</v>
      </c>
      <c r="K665" t="n">
        <v>0</v>
      </c>
      <c r="L665" t="n">
        <v>0</v>
      </c>
      <c r="M665" t="n">
        <v>0</v>
      </c>
      <c r="N665" t="n">
        <v>0</v>
      </c>
      <c r="O665" t="n">
        <v>0</v>
      </c>
      <c r="P665" t="n">
        <v>0</v>
      </c>
      <c r="Q665" t="n">
        <v>0</v>
      </c>
      <c r="R665" s="2" t="inlineStr"/>
    </row>
    <row r="666" ht="15" customHeight="1">
      <c r="A666" t="inlineStr">
        <is>
          <t>A 44301-2023</t>
        </is>
      </c>
      <c r="B666" s="1" t="n">
        <v>45188</v>
      </c>
      <c r="C666" s="1" t="n">
        <v>45991</v>
      </c>
      <c r="D666" t="inlineStr">
        <is>
          <t>VÄSTERBOTTENS LÄN</t>
        </is>
      </c>
      <c r="E666" t="inlineStr">
        <is>
          <t>SKELLEFTEÅ</t>
        </is>
      </c>
      <c r="G666" t="n">
        <v>2.4</v>
      </c>
      <c r="H666" t="n">
        <v>0</v>
      </c>
      <c r="I666" t="n">
        <v>0</v>
      </c>
      <c r="J666" t="n">
        <v>0</v>
      </c>
      <c r="K666" t="n">
        <v>0</v>
      </c>
      <c r="L666" t="n">
        <v>0</v>
      </c>
      <c r="M666" t="n">
        <v>0</v>
      </c>
      <c r="N666" t="n">
        <v>0</v>
      </c>
      <c r="O666" t="n">
        <v>0</v>
      </c>
      <c r="P666" t="n">
        <v>0</v>
      </c>
      <c r="Q666" t="n">
        <v>0</v>
      </c>
      <c r="R666" s="2" t="inlineStr"/>
    </row>
    <row r="667" ht="15" customHeight="1">
      <c r="A667" t="inlineStr">
        <is>
          <t>A 39681-2025</t>
        </is>
      </c>
      <c r="B667" s="1" t="n">
        <v>45890.65736111111</v>
      </c>
      <c r="C667" s="1" t="n">
        <v>45991</v>
      </c>
      <c r="D667" t="inlineStr">
        <is>
          <t>VÄSTERBOTTENS LÄN</t>
        </is>
      </c>
      <c r="E667" t="inlineStr">
        <is>
          <t>SKELLEFTEÅ</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39530-2025</t>
        </is>
      </c>
      <c r="B668" s="1" t="n">
        <v>45890.44736111111</v>
      </c>
      <c r="C668" s="1" t="n">
        <v>45991</v>
      </c>
      <c r="D668" t="inlineStr">
        <is>
          <t>VÄSTERBOTTENS LÄN</t>
        </is>
      </c>
      <c r="E668" t="inlineStr">
        <is>
          <t>SKELLEFTEÅ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30901-2024</t>
        </is>
      </c>
      <c r="B669" s="1" t="n">
        <v>45498</v>
      </c>
      <c r="C669" s="1" t="n">
        <v>45991</v>
      </c>
      <c r="D669" t="inlineStr">
        <is>
          <t>VÄSTERBOTTENS LÄN</t>
        </is>
      </c>
      <c r="E669" t="inlineStr">
        <is>
          <t>SKELLEFTEÅ</t>
        </is>
      </c>
      <c r="G669" t="n">
        <v>4</v>
      </c>
      <c r="H669" t="n">
        <v>0</v>
      </c>
      <c r="I669" t="n">
        <v>0</v>
      </c>
      <c r="J669" t="n">
        <v>0</v>
      </c>
      <c r="K669" t="n">
        <v>0</v>
      </c>
      <c r="L669" t="n">
        <v>0</v>
      </c>
      <c r="M669" t="n">
        <v>0</v>
      </c>
      <c r="N669" t="n">
        <v>0</v>
      </c>
      <c r="O669" t="n">
        <v>0</v>
      </c>
      <c r="P669" t="n">
        <v>0</v>
      </c>
      <c r="Q669" t="n">
        <v>0</v>
      </c>
      <c r="R669" s="2" t="inlineStr"/>
    </row>
    <row r="670" ht="15" customHeight="1">
      <c r="A670" t="inlineStr">
        <is>
          <t>A 54162-2024</t>
        </is>
      </c>
      <c r="B670" s="1" t="n">
        <v>45616</v>
      </c>
      <c r="C670" s="1" t="n">
        <v>45991</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27091-2025</t>
        </is>
      </c>
      <c r="B671" s="1" t="n">
        <v>45811.66915509259</v>
      </c>
      <c r="C671" s="1" t="n">
        <v>45991</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58119-2024</t>
        </is>
      </c>
      <c r="B672" s="1" t="n">
        <v>45632.39261574074</v>
      </c>
      <c r="C672" s="1" t="n">
        <v>45991</v>
      </c>
      <c r="D672" t="inlineStr">
        <is>
          <t>VÄSTERBOTTENS LÄN</t>
        </is>
      </c>
      <c r="E672" t="inlineStr">
        <is>
          <t>SKELLEFTEÅ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39921-2025</t>
        </is>
      </c>
      <c r="B673" s="1" t="n">
        <v>45891.66770833333</v>
      </c>
      <c r="C673" s="1" t="n">
        <v>45991</v>
      </c>
      <c r="D673" t="inlineStr">
        <is>
          <t>VÄSTERBOTTENS LÄN</t>
        </is>
      </c>
      <c r="E673" t="inlineStr">
        <is>
          <t>SKELLEFTEÅ</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50082-2024</t>
        </is>
      </c>
      <c r="B674" s="1" t="n">
        <v>45597</v>
      </c>
      <c r="C674" s="1" t="n">
        <v>45991</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26909-2025</t>
        </is>
      </c>
      <c r="B675" s="1" t="n">
        <v>45811.3458912037</v>
      </c>
      <c r="C675" s="1" t="n">
        <v>45991</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24352-2024</t>
        </is>
      </c>
      <c r="B676" s="1" t="n">
        <v>45457.59247685185</v>
      </c>
      <c r="C676" s="1" t="n">
        <v>45991</v>
      </c>
      <c r="D676" t="inlineStr">
        <is>
          <t>VÄSTERBOTTENS LÄN</t>
        </is>
      </c>
      <c r="E676" t="inlineStr">
        <is>
          <t>SKELLEFTEÅ</t>
        </is>
      </c>
      <c r="G676" t="n">
        <v>5.4</v>
      </c>
      <c r="H676" t="n">
        <v>0</v>
      </c>
      <c r="I676" t="n">
        <v>0</v>
      </c>
      <c r="J676" t="n">
        <v>0</v>
      </c>
      <c r="K676" t="n">
        <v>0</v>
      </c>
      <c r="L676" t="n">
        <v>0</v>
      </c>
      <c r="M676" t="n">
        <v>0</v>
      </c>
      <c r="N676" t="n">
        <v>0</v>
      </c>
      <c r="O676" t="n">
        <v>0</v>
      </c>
      <c r="P676" t="n">
        <v>0</v>
      </c>
      <c r="Q676" t="n">
        <v>0</v>
      </c>
      <c r="R676" s="2" t="inlineStr"/>
    </row>
    <row r="677" ht="15" customHeight="1">
      <c r="A677" t="inlineStr">
        <is>
          <t>A 39871-2025</t>
        </is>
      </c>
      <c r="B677" s="1" t="n">
        <v>45891.61135416666</v>
      </c>
      <c r="C677" s="1" t="n">
        <v>45991</v>
      </c>
      <c r="D677" t="inlineStr">
        <is>
          <t>VÄSTERBOTTENS LÄN</t>
        </is>
      </c>
      <c r="E677" t="inlineStr">
        <is>
          <t>SKELLEFTEÅ</t>
        </is>
      </c>
      <c r="G677" t="n">
        <v>6.7</v>
      </c>
      <c r="H677" t="n">
        <v>0</v>
      </c>
      <c r="I677" t="n">
        <v>0</v>
      </c>
      <c r="J677" t="n">
        <v>0</v>
      </c>
      <c r="K677" t="n">
        <v>0</v>
      </c>
      <c r="L677" t="n">
        <v>0</v>
      </c>
      <c r="M677" t="n">
        <v>0</v>
      </c>
      <c r="N677" t="n">
        <v>0</v>
      </c>
      <c r="O677" t="n">
        <v>0</v>
      </c>
      <c r="P677" t="n">
        <v>0</v>
      </c>
      <c r="Q677" t="n">
        <v>0</v>
      </c>
      <c r="R677" s="2" t="inlineStr"/>
    </row>
    <row r="678" ht="15" customHeight="1">
      <c r="A678" t="inlineStr">
        <is>
          <t>A 121-2023</t>
        </is>
      </c>
      <c r="B678" s="1" t="n">
        <v>44918</v>
      </c>
      <c r="C678" s="1" t="n">
        <v>45991</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39613-2025</t>
        </is>
      </c>
      <c r="B679" s="1" t="n">
        <v>45890.56368055556</v>
      </c>
      <c r="C679" s="1" t="n">
        <v>45991</v>
      </c>
      <c r="D679" t="inlineStr">
        <is>
          <t>VÄSTERBOTTENS LÄN</t>
        </is>
      </c>
      <c r="E679" t="inlineStr">
        <is>
          <t>SKELLEFTEÅ</t>
        </is>
      </c>
      <c r="F679" t="inlineStr">
        <is>
          <t>Holmen skog AB</t>
        </is>
      </c>
      <c r="G679" t="n">
        <v>12.8</v>
      </c>
      <c r="H679" t="n">
        <v>0</v>
      </c>
      <c r="I679" t="n">
        <v>0</v>
      </c>
      <c r="J679" t="n">
        <v>0</v>
      </c>
      <c r="K679" t="n">
        <v>0</v>
      </c>
      <c r="L679" t="n">
        <v>0</v>
      </c>
      <c r="M679" t="n">
        <v>0</v>
      </c>
      <c r="N679" t="n">
        <v>0</v>
      </c>
      <c r="O679" t="n">
        <v>0</v>
      </c>
      <c r="P679" t="n">
        <v>0</v>
      </c>
      <c r="Q679" t="n">
        <v>0</v>
      </c>
      <c r="R679" s="2" t="inlineStr"/>
    </row>
    <row r="680" ht="15" customHeight="1">
      <c r="A680" t="inlineStr">
        <is>
          <t>A 27010-2025</t>
        </is>
      </c>
      <c r="B680" s="1" t="n">
        <v>45811.56021990741</v>
      </c>
      <c r="C680" s="1" t="n">
        <v>45991</v>
      </c>
      <c r="D680" t="inlineStr">
        <is>
          <t>VÄSTERBOTTENS LÄN</t>
        </is>
      </c>
      <c r="E680" t="inlineStr">
        <is>
          <t>SKELLEFTEÅ</t>
        </is>
      </c>
      <c r="G680" t="n">
        <v>10.4</v>
      </c>
      <c r="H680" t="n">
        <v>0</v>
      </c>
      <c r="I680" t="n">
        <v>0</v>
      </c>
      <c r="J680" t="n">
        <v>0</v>
      </c>
      <c r="K680" t="n">
        <v>0</v>
      </c>
      <c r="L680" t="n">
        <v>0</v>
      </c>
      <c r="M680" t="n">
        <v>0</v>
      </c>
      <c r="N680" t="n">
        <v>0</v>
      </c>
      <c r="O680" t="n">
        <v>0</v>
      </c>
      <c r="P680" t="n">
        <v>0</v>
      </c>
      <c r="Q680" t="n">
        <v>0</v>
      </c>
      <c r="R680" s="2" t="inlineStr"/>
    </row>
    <row r="681" ht="15" customHeight="1">
      <c r="A681" t="inlineStr">
        <is>
          <t>A 48501-2023</t>
        </is>
      </c>
      <c r="B681" s="1" t="n">
        <v>45207.82268518519</v>
      </c>
      <c r="C681" s="1" t="n">
        <v>45991</v>
      </c>
      <c r="D681" t="inlineStr">
        <is>
          <t>VÄSTERBOTTENS LÄN</t>
        </is>
      </c>
      <c r="E681" t="inlineStr">
        <is>
          <t>SKELLEFTEÅ</t>
        </is>
      </c>
      <c r="G681" t="n">
        <v>0.2</v>
      </c>
      <c r="H681" t="n">
        <v>0</v>
      </c>
      <c r="I681" t="n">
        <v>0</v>
      </c>
      <c r="J681" t="n">
        <v>0</v>
      </c>
      <c r="K681" t="n">
        <v>0</v>
      </c>
      <c r="L681" t="n">
        <v>0</v>
      </c>
      <c r="M681" t="n">
        <v>0</v>
      </c>
      <c r="N681" t="n">
        <v>0</v>
      </c>
      <c r="O681" t="n">
        <v>0</v>
      </c>
      <c r="P681" t="n">
        <v>0</v>
      </c>
      <c r="Q681" t="n">
        <v>0</v>
      </c>
      <c r="R681" s="2" t="inlineStr"/>
    </row>
    <row r="682" ht="15" customHeight="1">
      <c r="A682" t="inlineStr">
        <is>
          <t>A 48516-2023</t>
        </is>
      </c>
      <c r="B682" s="1" t="n">
        <v>45208.32671296296</v>
      </c>
      <c r="C682" s="1" t="n">
        <v>45991</v>
      </c>
      <c r="D682" t="inlineStr">
        <is>
          <t>VÄSTERBOTTENS LÄN</t>
        </is>
      </c>
      <c r="E682" t="inlineStr">
        <is>
          <t>SKELLEFTEÅ</t>
        </is>
      </c>
      <c r="G682" t="n">
        <v>4.8</v>
      </c>
      <c r="H682" t="n">
        <v>0</v>
      </c>
      <c r="I682" t="n">
        <v>0</v>
      </c>
      <c r="J682" t="n">
        <v>0</v>
      </c>
      <c r="K682" t="n">
        <v>0</v>
      </c>
      <c r="L682" t="n">
        <v>0</v>
      </c>
      <c r="M682" t="n">
        <v>0</v>
      </c>
      <c r="N682" t="n">
        <v>0</v>
      </c>
      <c r="O682" t="n">
        <v>0</v>
      </c>
      <c r="P682" t="n">
        <v>0</v>
      </c>
      <c r="Q682" t="n">
        <v>0</v>
      </c>
      <c r="R682" s="2" t="inlineStr"/>
    </row>
    <row r="683" ht="15" customHeight="1">
      <c r="A683" t="inlineStr">
        <is>
          <t>A 39870-2025</t>
        </is>
      </c>
      <c r="B683" s="1" t="n">
        <v>45891</v>
      </c>
      <c r="C683" s="1" t="n">
        <v>45991</v>
      </c>
      <c r="D683" t="inlineStr">
        <is>
          <t>VÄSTERBOTTENS LÄN</t>
        </is>
      </c>
      <c r="E683" t="inlineStr">
        <is>
          <t>SKELLEFTEÅ</t>
        </is>
      </c>
      <c r="G683" t="n">
        <v>4.3</v>
      </c>
      <c r="H683" t="n">
        <v>0</v>
      </c>
      <c r="I683" t="n">
        <v>0</v>
      </c>
      <c r="J683" t="n">
        <v>0</v>
      </c>
      <c r="K683" t="n">
        <v>0</v>
      </c>
      <c r="L683" t="n">
        <v>0</v>
      </c>
      <c r="M683" t="n">
        <v>0</v>
      </c>
      <c r="N683" t="n">
        <v>0</v>
      </c>
      <c r="O683" t="n">
        <v>0</v>
      </c>
      <c r="P683" t="n">
        <v>0</v>
      </c>
      <c r="Q683" t="n">
        <v>0</v>
      </c>
      <c r="R683" s="2" t="inlineStr"/>
    </row>
    <row r="684" ht="15" customHeight="1">
      <c r="A684" t="inlineStr">
        <is>
          <t>A 39875-2025</t>
        </is>
      </c>
      <c r="B684" s="1" t="n">
        <v>45891.61512731481</v>
      </c>
      <c r="C684" s="1" t="n">
        <v>45991</v>
      </c>
      <c r="D684" t="inlineStr">
        <is>
          <t>VÄSTERBOTTENS LÄN</t>
        </is>
      </c>
      <c r="E684" t="inlineStr">
        <is>
          <t>SKELLEFTEÅ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39888-2025</t>
        </is>
      </c>
      <c r="B685" s="1" t="n">
        <v>45891</v>
      </c>
      <c r="C685" s="1" t="n">
        <v>45991</v>
      </c>
      <c r="D685" t="inlineStr">
        <is>
          <t>VÄSTERBOTTENS LÄN</t>
        </is>
      </c>
      <c r="E685" t="inlineStr">
        <is>
          <t>SKELLEFTEÅ</t>
        </is>
      </c>
      <c r="G685" t="n">
        <v>11.5</v>
      </c>
      <c r="H685" t="n">
        <v>0</v>
      </c>
      <c r="I685" t="n">
        <v>0</v>
      </c>
      <c r="J685" t="n">
        <v>0</v>
      </c>
      <c r="K685" t="n">
        <v>0</v>
      </c>
      <c r="L685" t="n">
        <v>0</v>
      </c>
      <c r="M685" t="n">
        <v>0</v>
      </c>
      <c r="N685" t="n">
        <v>0</v>
      </c>
      <c r="O685" t="n">
        <v>0</v>
      </c>
      <c r="P685" t="n">
        <v>0</v>
      </c>
      <c r="Q685" t="n">
        <v>0</v>
      </c>
      <c r="R685" s="2" t="inlineStr"/>
    </row>
    <row r="686" ht="15" customHeight="1">
      <c r="A686" t="inlineStr">
        <is>
          <t>A 38558-2024</t>
        </is>
      </c>
      <c r="B686" s="1" t="n">
        <v>45546.62606481482</v>
      </c>
      <c r="C686" s="1" t="n">
        <v>45991</v>
      </c>
      <c r="D686" t="inlineStr">
        <is>
          <t>VÄSTERBOTTENS LÄN</t>
        </is>
      </c>
      <c r="E686" t="inlineStr">
        <is>
          <t>SKELLEFTEÅ</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38568-2024</t>
        </is>
      </c>
      <c r="B687" s="1" t="n">
        <v>45546.63684027778</v>
      </c>
      <c r="C687" s="1" t="n">
        <v>45991</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528-2022</t>
        </is>
      </c>
      <c r="B688" s="1" t="n">
        <v>44566.59707175926</v>
      </c>
      <c r="C688" s="1" t="n">
        <v>45991</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26601-2025</t>
        </is>
      </c>
      <c r="B689" s="1" t="n">
        <v>45808.88428240741</v>
      </c>
      <c r="C689" s="1" t="n">
        <v>45991</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12547-2025</t>
        </is>
      </c>
      <c r="B690" s="1" t="n">
        <v>45730.89319444444</v>
      </c>
      <c r="C690" s="1" t="n">
        <v>45991</v>
      </c>
      <c r="D690" t="inlineStr">
        <is>
          <t>VÄSTERBOTTENS LÄN</t>
        </is>
      </c>
      <c r="E690" t="inlineStr">
        <is>
          <t>SKELLEFTEÅ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40271-2025</t>
        </is>
      </c>
      <c r="B691" s="1" t="n">
        <v>45895.345625</v>
      </c>
      <c r="C691" s="1" t="n">
        <v>45991</v>
      </c>
      <c r="D691" t="inlineStr">
        <is>
          <t>VÄSTERBOTTENS LÄN</t>
        </is>
      </c>
      <c r="E691" t="inlineStr">
        <is>
          <t>SKELLEFTEÅ</t>
        </is>
      </c>
      <c r="G691" t="n">
        <v>12.1</v>
      </c>
      <c r="H691" t="n">
        <v>0</v>
      </c>
      <c r="I691" t="n">
        <v>0</v>
      </c>
      <c r="J691" t="n">
        <v>0</v>
      </c>
      <c r="K691" t="n">
        <v>0</v>
      </c>
      <c r="L691" t="n">
        <v>0</v>
      </c>
      <c r="M691" t="n">
        <v>0</v>
      </c>
      <c r="N691" t="n">
        <v>0</v>
      </c>
      <c r="O691" t="n">
        <v>0</v>
      </c>
      <c r="P691" t="n">
        <v>0</v>
      </c>
      <c r="Q691" t="n">
        <v>0</v>
      </c>
      <c r="R691" s="2" t="inlineStr"/>
    </row>
    <row r="692" ht="15" customHeight="1">
      <c r="A692" t="inlineStr">
        <is>
          <t>A 40295-2025</t>
        </is>
      </c>
      <c r="B692" s="1" t="n">
        <v>45895.38805555556</v>
      </c>
      <c r="C692" s="1" t="n">
        <v>45991</v>
      </c>
      <c r="D692" t="inlineStr">
        <is>
          <t>VÄSTERBOTTENS LÄN</t>
        </is>
      </c>
      <c r="E692" t="inlineStr">
        <is>
          <t>SKELLEFTEÅ</t>
        </is>
      </c>
      <c r="F692" t="inlineStr">
        <is>
          <t>Sveaskog</t>
        </is>
      </c>
      <c r="G692" t="n">
        <v>5.5</v>
      </c>
      <c r="H692" t="n">
        <v>0</v>
      </c>
      <c r="I692" t="n">
        <v>0</v>
      </c>
      <c r="J692" t="n">
        <v>0</v>
      </c>
      <c r="K692" t="n">
        <v>0</v>
      </c>
      <c r="L692" t="n">
        <v>0</v>
      </c>
      <c r="M692" t="n">
        <v>0</v>
      </c>
      <c r="N692" t="n">
        <v>0</v>
      </c>
      <c r="O692" t="n">
        <v>0</v>
      </c>
      <c r="P692" t="n">
        <v>0</v>
      </c>
      <c r="Q692" t="n">
        <v>0</v>
      </c>
      <c r="R692" s="2" t="inlineStr"/>
    </row>
    <row r="693" ht="15" customHeight="1">
      <c r="A693" t="inlineStr">
        <is>
          <t>A 1149-2021</t>
        </is>
      </c>
      <c r="B693" s="1" t="n">
        <v>44207</v>
      </c>
      <c r="C693" s="1" t="n">
        <v>45991</v>
      </c>
      <c r="D693" t="inlineStr">
        <is>
          <t>VÄSTERBOTTENS LÄN</t>
        </is>
      </c>
      <c r="E693" t="inlineStr">
        <is>
          <t>SKELLEFTEÅ</t>
        </is>
      </c>
      <c r="G693" t="n">
        <v>3.1</v>
      </c>
      <c r="H693" t="n">
        <v>0</v>
      </c>
      <c r="I693" t="n">
        <v>0</v>
      </c>
      <c r="J693" t="n">
        <v>0</v>
      </c>
      <c r="K693" t="n">
        <v>0</v>
      </c>
      <c r="L693" t="n">
        <v>0</v>
      </c>
      <c r="M693" t="n">
        <v>0</v>
      </c>
      <c r="N693" t="n">
        <v>0</v>
      </c>
      <c r="O693" t="n">
        <v>0</v>
      </c>
      <c r="P693" t="n">
        <v>0</v>
      </c>
      <c r="Q693" t="n">
        <v>0</v>
      </c>
      <c r="R693" s="2" t="inlineStr"/>
    </row>
    <row r="694" ht="15" customHeight="1">
      <c r="A694" t="inlineStr">
        <is>
          <t>A 40020-2025</t>
        </is>
      </c>
      <c r="B694" s="1" t="n">
        <v>45894.35414351852</v>
      </c>
      <c r="C694" s="1" t="n">
        <v>45991</v>
      </c>
      <c r="D694" t="inlineStr">
        <is>
          <t>VÄSTERBOTTENS LÄN</t>
        </is>
      </c>
      <c r="E694" t="inlineStr">
        <is>
          <t>SKELLEFTEÅ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26646-2025</t>
        </is>
      </c>
      <c r="B695" s="1" t="n">
        <v>45810.38410879629</v>
      </c>
      <c r="C695" s="1" t="n">
        <v>45991</v>
      </c>
      <c r="D695" t="inlineStr">
        <is>
          <t>VÄSTERBOTTENS LÄN</t>
        </is>
      </c>
      <c r="E695" t="inlineStr">
        <is>
          <t>SKELLEFTEÅ</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11771-2023</t>
        </is>
      </c>
      <c r="B696" s="1" t="n">
        <v>44994.6418287037</v>
      </c>
      <c r="C696" s="1" t="n">
        <v>45991</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27082-2025</t>
        </is>
      </c>
      <c r="B697" s="1" t="n">
        <v>45811.65423611111</v>
      </c>
      <c r="C697" s="1" t="n">
        <v>45991</v>
      </c>
      <c r="D697" t="inlineStr">
        <is>
          <t>VÄSTERBOTTENS LÄN</t>
        </is>
      </c>
      <c r="E697" t="inlineStr">
        <is>
          <t>SKELLEFTEÅ</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15706-2023</t>
        </is>
      </c>
      <c r="B698" s="1" t="n">
        <v>45020</v>
      </c>
      <c r="C698" s="1" t="n">
        <v>45991</v>
      </c>
      <c r="D698" t="inlineStr">
        <is>
          <t>VÄSTERBOTTENS LÄN</t>
        </is>
      </c>
      <c r="E698" t="inlineStr">
        <is>
          <t>SKELLEFTEÅ</t>
        </is>
      </c>
      <c r="G698" t="n">
        <v>2.8</v>
      </c>
      <c r="H698" t="n">
        <v>0</v>
      </c>
      <c r="I698" t="n">
        <v>0</v>
      </c>
      <c r="J698" t="n">
        <v>0</v>
      </c>
      <c r="K698" t="n">
        <v>0</v>
      </c>
      <c r="L698" t="n">
        <v>0</v>
      </c>
      <c r="M698" t="n">
        <v>0</v>
      </c>
      <c r="N698" t="n">
        <v>0</v>
      </c>
      <c r="O698" t="n">
        <v>0</v>
      </c>
      <c r="P698" t="n">
        <v>0</v>
      </c>
      <c r="Q698" t="n">
        <v>0</v>
      </c>
      <c r="R698" s="2" t="inlineStr"/>
    </row>
    <row r="699" ht="15" customHeight="1">
      <c r="A699" t="inlineStr">
        <is>
          <t>A 50531-2022</t>
        </is>
      </c>
      <c r="B699" s="1" t="n">
        <v>44866.57714120371</v>
      </c>
      <c r="C699" s="1" t="n">
        <v>45991</v>
      </c>
      <c r="D699" t="inlineStr">
        <is>
          <t>VÄSTERBOTTENS LÄN</t>
        </is>
      </c>
      <c r="E699" t="inlineStr">
        <is>
          <t>SKELLEFTEÅ</t>
        </is>
      </c>
      <c r="G699" t="n">
        <v>8.1</v>
      </c>
      <c r="H699" t="n">
        <v>0</v>
      </c>
      <c r="I699" t="n">
        <v>0</v>
      </c>
      <c r="J699" t="n">
        <v>0</v>
      </c>
      <c r="K699" t="n">
        <v>0</v>
      </c>
      <c r="L699" t="n">
        <v>0</v>
      </c>
      <c r="M699" t="n">
        <v>0</v>
      </c>
      <c r="N699" t="n">
        <v>0</v>
      </c>
      <c r="O699" t="n">
        <v>0</v>
      </c>
      <c r="P699" t="n">
        <v>0</v>
      </c>
      <c r="Q699" t="n">
        <v>0</v>
      </c>
      <c r="R699" s="2" t="inlineStr"/>
    </row>
    <row r="700" ht="15" customHeight="1">
      <c r="A700" t="inlineStr">
        <is>
          <t>A 6286-2025</t>
        </is>
      </c>
      <c r="B700" s="1" t="n">
        <v>45698</v>
      </c>
      <c r="C700" s="1" t="n">
        <v>45991</v>
      </c>
      <c r="D700" t="inlineStr">
        <is>
          <t>VÄSTERBOTTENS LÄN</t>
        </is>
      </c>
      <c r="E700" t="inlineStr">
        <is>
          <t>SKELLEFTEÅ</t>
        </is>
      </c>
      <c r="G700" t="n">
        <v>3.9</v>
      </c>
      <c r="H700" t="n">
        <v>0</v>
      </c>
      <c r="I700" t="n">
        <v>0</v>
      </c>
      <c r="J700" t="n">
        <v>0</v>
      </c>
      <c r="K700" t="n">
        <v>0</v>
      </c>
      <c r="L700" t="n">
        <v>0</v>
      </c>
      <c r="M700" t="n">
        <v>0</v>
      </c>
      <c r="N700" t="n">
        <v>0</v>
      </c>
      <c r="O700" t="n">
        <v>0</v>
      </c>
      <c r="P700" t="n">
        <v>0</v>
      </c>
      <c r="Q700" t="n">
        <v>0</v>
      </c>
      <c r="R700" s="2" t="inlineStr"/>
    </row>
    <row r="701" ht="15" customHeight="1">
      <c r="A701" t="inlineStr">
        <is>
          <t>A 31387-2025</t>
        </is>
      </c>
      <c r="B701" s="1" t="n">
        <v>45833</v>
      </c>
      <c r="C701" s="1" t="n">
        <v>45991</v>
      </c>
      <c r="D701" t="inlineStr">
        <is>
          <t>VÄSTERBOTTENS LÄN</t>
        </is>
      </c>
      <c r="E701" t="inlineStr">
        <is>
          <t>SKELLEFTEÅ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24142-2025</t>
        </is>
      </c>
      <c r="B702" s="1" t="n">
        <v>45796.64349537037</v>
      </c>
      <c r="C702" s="1" t="n">
        <v>45991</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56838-2024</t>
        </is>
      </c>
      <c r="B703" s="1" t="n">
        <v>45628.50866898148</v>
      </c>
      <c r="C703" s="1" t="n">
        <v>45991</v>
      </c>
      <c r="D703" t="inlineStr">
        <is>
          <t>VÄSTERBOTTENS LÄN</t>
        </is>
      </c>
      <c r="E703" t="inlineStr">
        <is>
          <t>SKELLEFTEÅ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26767-2025</t>
        </is>
      </c>
      <c r="B704" s="1" t="n">
        <v>45810.56726851852</v>
      </c>
      <c r="C704" s="1" t="n">
        <v>45991</v>
      </c>
      <c r="D704" t="inlineStr">
        <is>
          <t>VÄSTERBOTTENS LÄN</t>
        </is>
      </c>
      <c r="E704" t="inlineStr">
        <is>
          <t>SKELLEFTEÅ</t>
        </is>
      </c>
      <c r="F704" t="inlineStr">
        <is>
          <t>Holmen skog AB</t>
        </is>
      </c>
      <c r="G704" t="n">
        <v>9.9</v>
      </c>
      <c r="H704" t="n">
        <v>0</v>
      </c>
      <c r="I704" t="n">
        <v>0</v>
      </c>
      <c r="J704" t="n">
        <v>0</v>
      </c>
      <c r="K704" t="n">
        <v>0</v>
      </c>
      <c r="L704" t="n">
        <v>0</v>
      </c>
      <c r="M704" t="n">
        <v>0</v>
      </c>
      <c r="N704" t="n">
        <v>0</v>
      </c>
      <c r="O704" t="n">
        <v>0</v>
      </c>
      <c r="P704" t="n">
        <v>0</v>
      </c>
      <c r="Q704" t="n">
        <v>0</v>
      </c>
      <c r="R704" s="2" t="inlineStr"/>
    </row>
    <row r="705" ht="15" customHeight="1">
      <c r="A705" t="inlineStr">
        <is>
          <t>A 5636-2024</t>
        </is>
      </c>
      <c r="B705" s="1" t="n">
        <v>45334.61045138889</v>
      </c>
      <c r="C705" s="1" t="n">
        <v>45991</v>
      </c>
      <c r="D705" t="inlineStr">
        <is>
          <t>VÄSTERBOTTENS LÄN</t>
        </is>
      </c>
      <c r="E705" t="inlineStr">
        <is>
          <t>SKELLEFTEÅ</t>
        </is>
      </c>
      <c r="G705" t="n">
        <v>5.8</v>
      </c>
      <c r="H705" t="n">
        <v>0</v>
      </c>
      <c r="I705" t="n">
        <v>0</v>
      </c>
      <c r="J705" t="n">
        <v>0</v>
      </c>
      <c r="K705" t="n">
        <v>0</v>
      </c>
      <c r="L705" t="n">
        <v>0</v>
      </c>
      <c r="M705" t="n">
        <v>0</v>
      </c>
      <c r="N705" t="n">
        <v>0</v>
      </c>
      <c r="O705" t="n">
        <v>0</v>
      </c>
      <c r="P705" t="n">
        <v>0</v>
      </c>
      <c r="Q705" t="n">
        <v>0</v>
      </c>
      <c r="R705" s="2" t="inlineStr"/>
    </row>
    <row r="706" ht="15" customHeight="1">
      <c r="A706" t="inlineStr">
        <is>
          <t>A 38570-2025</t>
        </is>
      </c>
      <c r="B706" s="1" t="n">
        <v>45884</v>
      </c>
      <c r="C706" s="1" t="n">
        <v>45991</v>
      </c>
      <c r="D706" t="inlineStr">
        <is>
          <t>VÄSTERBOTTENS LÄN</t>
        </is>
      </c>
      <c r="E706" t="inlineStr">
        <is>
          <t>SKELLEFTEÅ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40730-2025</t>
        </is>
      </c>
      <c r="B707" s="1" t="n">
        <v>45897.35766203704</v>
      </c>
      <c r="C707" s="1" t="n">
        <v>45991</v>
      </c>
      <c r="D707" t="inlineStr">
        <is>
          <t>VÄSTERBOTTENS LÄN</t>
        </is>
      </c>
      <c r="E707" t="inlineStr">
        <is>
          <t>SKELLEFTEÅ</t>
        </is>
      </c>
      <c r="G707" t="n">
        <v>3.2</v>
      </c>
      <c r="H707" t="n">
        <v>0</v>
      </c>
      <c r="I707" t="n">
        <v>0</v>
      </c>
      <c r="J707" t="n">
        <v>0</v>
      </c>
      <c r="K707" t="n">
        <v>0</v>
      </c>
      <c r="L707" t="n">
        <v>0</v>
      </c>
      <c r="M707" t="n">
        <v>0</v>
      </c>
      <c r="N707" t="n">
        <v>0</v>
      </c>
      <c r="O707" t="n">
        <v>0</v>
      </c>
      <c r="P707" t="n">
        <v>0</v>
      </c>
      <c r="Q707" t="n">
        <v>0</v>
      </c>
      <c r="R707" s="2" t="inlineStr"/>
    </row>
    <row r="708" ht="15" customHeight="1">
      <c r="A708" t="inlineStr">
        <is>
          <t>A 27477-2025</t>
        </is>
      </c>
      <c r="B708" s="1" t="n">
        <v>45813.37619212963</v>
      </c>
      <c r="C708" s="1" t="n">
        <v>45991</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43599-2024</t>
        </is>
      </c>
      <c r="B709" s="1" t="n">
        <v>45569</v>
      </c>
      <c r="C709" s="1" t="n">
        <v>45991</v>
      </c>
      <c r="D709" t="inlineStr">
        <is>
          <t>VÄSTERBOTTENS LÄN</t>
        </is>
      </c>
      <c r="E709" t="inlineStr">
        <is>
          <t>SKELLEFTEÅ</t>
        </is>
      </c>
      <c r="G709" t="n">
        <v>5.5</v>
      </c>
      <c r="H709" t="n">
        <v>0</v>
      </c>
      <c r="I709" t="n">
        <v>0</v>
      </c>
      <c r="J709" t="n">
        <v>0</v>
      </c>
      <c r="K709" t="n">
        <v>0</v>
      </c>
      <c r="L709" t="n">
        <v>0</v>
      </c>
      <c r="M709" t="n">
        <v>0</v>
      </c>
      <c r="N709" t="n">
        <v>0</v>
      </c>
      <c r="O709" t="n">
        <v>0</v>
      </c>
      <c r="P709" t="n">
        <v>0</v>
      </c>
      <c r="Q709" t="n">
        <v>0</v>
      </c>
      <c r="R709" s="2" t="inlineStr"/>
    </row>
    <row r="710" ht="15" customHeight="1">
      <c r="A710" t="inlineStr">
        <is>
          <t>A 27851-2024</t>
        </is>
      </c>
      <c r="B710" s="1" t="n">
        <v>45475.6459837963</v>
      </c>
      <c r="C710" s="1" t="n">
        <v>45991</v>
      </c>
      <c r="D710" t="inlineStr">
        <is>
          <t>VÄSTERBOTTENS LÄN</t>
        </is>
      </c>
      <c r="E710" t="inlineStr">
        <is>
          <t>SKELLEFTEÅ</t>
        </is>
      </c>
      <c r="F710" t="inlineStr">
        <is>
          <t>Sveaskog</t>
        </is>
      </c>
      <c r="G710" t="n">
        <v>13.3</v>
      </c>
      <c r="H710" t="n">
        <v>0</v>
      </c>
      <c r="I710" t="n">
        <v>0</v>
      </c>
      <c r="J710" t="n">
        <v>0</v>
      </c>
      <c r="K710" t="n">
        <v>0</v>
      </c>
      <c r="L710" t="n">
        <v>0</v>
      </c>
      <c r="M710" t="n">
        <v>0</v>
      </c>
      <c r="N710" t="n">
        <v>0</v>
      </c>
      <c r="O710" t="n">
        <v>0</v>
      </c>
      <c r="P710" t="n">
        <v>0</v>
      </c>
      <c r="Q710" t="n">
        <v>0</v>
      </c>
      <c r="R710" s="2" t="inlineStr"/>
    </row>
    <row r="711" ht="15" customHeight="1">
      <c r="A711" t="inlineStr">
        <is>
          <t>A 52105-2023</t>
        </is>
      </c>
      <c r="B711" s="1" t="n">
        <v>45223.92668981481</v>
      </c>
      <c r="C711" s="1" t="n">
        <v>45991</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27641-2025</t>
        </is>
      </c>
      <c r="B712" s="1" t="n">
        <v>45813.58498842592</v>
      </c>
      <c r="C712" s="1" t="n">
        <v>45991</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16201-2025</t>
        </is>
      </c>
      <c r="B713" s="1" t="n">
        <v>45750</v>
      </c>
      <c r="C713" s="1" t="n">
        <v>45991</v>
      </c>
      <c r="D713" t="inlineStr">
        <is>
          <t>VÄSTERBOTTENS LÄN</t>
        </is>
      </c>
      <c r="E713" t="inlineStr">
        <is>
          <t>SKELLEFTEÅ</t>
        </is>
      </c>
      <c r="G713" t="n">
        <v>4.3</v>
      </c>
      <c r="H713" t="n">
        <v>0</v>
      </c>
      <c r="I713" t="n">
        <v>0</v>
      </c>
      <c r="J713" t="n">
        <v>0</v>
      </c>
      <c r="K713" t="n">
        <v>0</v>
      </c>
      <c r="L713" t="n">
        <v>0</v>
      </c>
      <c r="M713" t="n">
        <v>0</v>
      </c>
      <c r="N713" t="n">
        <v>0</v>
      </c>
      <c r="O713" t="n">
        <v>0</v>
      </c>
      <c r="P713" t="n">
        <v>0</v>
      </c>
      <c r="Q713" t="n">
        <v>0</v>
      </c>
      <c r="R713" s="2" t="inlineStr"/>
    </row>
    <row r="714" ht="15" customHeight="1">
      <c r="A714" t="inlineStr">
        <is>
          <t>A 40615-2025</t>
        </is>
      </c>
      <c r="B714" s="1" t="n">
        <v>45896.57956018519</v>
      </c>
      <c r="C714" s="1" t="n">
        <v>45991</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11956-2025</t>
        </is>
      </c>
      <c r="B715" s="1" t="n">
        <v>45728.56809027777</v>
      </c>
      <c r="C715" s="1" t="n">
        <v>45991</v>
      </c>
      <c r="D715" t="inlineStr">
        <is>
          <t>VÄSTERBOTTENS LÄN</t>
        </is>
      </c>
      <c r="E715" t="inlineStr">
        <is>
          <t>SKELLEFTEÅ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27400-2025</t>
        </is>
      </c>
      <c r="B716" s="1" t="n">
        <v>45812.69835648148</v>
      </c>
      <c r="C716" s="1" t="n">
        <v>45991</v>
      </c>
      <c r="D716" t="inlineStr">
        <is>
          <t>VÄSTERBOTTENS LÄN</t>
        </is>
      </c>
      <c r="E716" t="inlineStr">
        <is>
          <t>SKELLEFTEÅ</t>
        </is>
      </c>
      <c r="G716" t="n">
        <v>5.1</v>
      </c>
      <c r="H716" t="n">
        <v>0</v>
      </c>
      <c r="I716" t="n">
        <v>0</v>
      </c>
      <c r="J716" t="n">
        <v>0</v>
      </c>
      <c r="K716" t="n">
        <v>0</v>
      </c>
      <c r="L716" t="n">
        <v>0</v>
      </c>
      <c r="M716" t="n">
        <v>0</v>
      </c>
      <c r="N716" t="n">
        <v>0</v>
      </c>
      <c r="O716" t="n">
        <v>0</v>
      </c>
      <c r="P716" t="n">
        <v>0</v>
      </c>
      <c r="Q716" t="n">
        <v>0</v>
      </c>
      <c r="R716" s="2" t="inlineStr"/>
    </row>
    <row r="717" ht="15" customHeight="1">
      <c r="A717" t="inlineStr">
        <is>
          <t>A 27437-2025</t>
        </is>
      </c>
      <c r="B717" s="1" t="n">
        <v>45813.31398148148</v>
      </c>
      <c r="C717" s="1" t="n">
        <v>45991</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10568-2023</t>
        </is>
      </c>
      <c r="B718" s="1" t="n">
        <v>44981</v>
      </c>
      <c r="C718" s="1" t="n">
        <v>45991</v>
      </c>
      <c r="D718" t="inlineStr">
        <is>
          <t>VÄSTERBOTTENS LÄN</t>
        </is>
      </c>
      <c r="E718" t="inlineStr">
        <is>
          <t>SKELLEFTEÅ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11638-2023</t>
        </is>
      </c>
      <c r="B719" s="1" t="n">
        <v>44994.44827546296</v>
      </c>
      <c r="C719" s="1" t="n">
        <v>45991</v>
      </c>
      <c r="D719" t="inlineStr">
        <is>
          <t>VÄSTERBOTTENS LÄN</t>
        </is>
      </c>
      <c r="E719" t="inlineStr">
        <is>
          <t>SKELLEFTEÅ</t>
        </is>
      </c>
      <c r="G719" t="n">
        <v>19.8</v>
      </c>
      <c r="H719" t="n">
        <v>0</v>
      </c>
      <c r="I719" t="n">
        <v>0</v>
      </c>
      <c r="J719" t="n">
        <v>0</v>
      </c>
      <c r="K719" t="n">
        <v>0</v>
      </c>
      <c r="L719" t="n">
        <v>0</v>
      </c>
      <c r="M719" t="n">
        <v>0</v>
      </c>
      <c r="N719" t="n">
        <v>0</v>
      </c>
      <c r="O719" t="n">
        <v>0</v>
      </c>
      <c r="P719" t="n">
        <v>0</v>
      </c>
      <c r="Q719" t="n">
        <v>0</v>
      </c>
      <c r="R719" s="2" t="inlineStr"/>
    </row>
    <row r="720" ht="15" customHeight="1">
      <c r="A720" t="inlineStr">
        <is>
          <t>A 27442-2025</t>
        </is>
      </c>
      <c r="B720" s="1" t="n">
        <v>45813.31957175926</v>
      </c>
      <c r="C720" s="1" t="n">
        <v>45991</v>
      </c>
      <c r="D720" t="inlineStr">
        <is>
          <t>VÄSTERBOTTENS LÄN</t>
        </is>
      </c>
      <c r="E720" t="inlineStr">
        <is>
          <t>SKELLEFTEÅ</t>
        </is>
      </c>
      <c r="G720" t="n">
        <v>3.6</v>
      </c>
      <c r="H720" t="n">
        <v>0</v>
      </c>
      <c r="I720" t="n">
        <v>0</v>
      </c>
      <c r="J720" t="n">
        <v>0</v>
      </c>
      <c r="K720" t="n">
        <v>0</v>
      </c>
      <c r="L720" t="n">
        <v>0</v>
      </c>
      <c r="M720" t="n">
        <v>0</v>
      </c>
      <c r="N720" t="n">
        <v>0</v>
      </c>
      <c r="O720" t="n">
        <v>0</v>
      </c>
      <c r="P720" t="n">
        <v>0</v>
      </c>
      <c r="Q720" t="n">
        <v>0</v>
      </c>
      <c r="R720" s="2" t="inlineStr"/>
    </row>
    <row r="721" ht="15" customHeight="1">
      <c r="A721" t="inlineStr">
        <is>
          <t>A 27433-2025</t>
        </is>
      </c>
      <c r="B721" s="1" t="n">
        <v>45813.31068287037</v>
      </c>
      <c r="C721" s="1" t="n">
        <v>45991</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12009-2022</t>
        </is>
      </c>
      <c r="B722" s="1" t="n">
        <v>44635</v>
      </c>
      <c r="C722" s="1" t="n">
        <v>45991</v>
      </c>
      <c r="D722" t="inlineStr">
        <is>
          <t>VÄSTERBOTTENS LÄN</t>
        </is>
      </c>
      <c r="E722" t="inlineStr">
        <is>
          <t>SKELLEFTEÅ</t>
        </is>
      </c>
      <c r="G722" t="n">
        <v>2.7</v>
      </c>
      <c r="H722" t="n">
        <v>0</v>
      </c>
      <c r="I722" t="n">
        <v>0</v>
      </c>
      <c r="J722" t="n">
        <v>0</v>
      </c>
      <c r="K722" t="n">
        <v>0</v>
      </c>
      <c r="L722" t="n">
        <v>0</v>
      </c>
      <c r="M722" t="n">
        <v>0</v>
      </c>
      <c r="N722" t="n">
        <v>0</v>
      </c>
      <c r="O722" t="n">
        <v>0</v>
      </c>
      <c r="P722" t="n">
        <v>0</v>
      </c>
      <c r="Q722" t="n">
        <v>0</v>
      </c>
      <c r="R722" s="2" t="inlineStr"/>
    </row>
    <row r="723" ht="15" customHeight="1">
      <c r="A723" t="inlineStr">
        <is>
          <t>A 64723-2023</t>
        </is>
      </c>
      <c r="B723" s="1" t="n">
        <v>45281</v>
      </c>
      <c r="C723" s="1" t="n">
        <v>45991</v>
      </c>
      <c r="D723" t="inlineStr">
        <is>
          <t>VÄSTERBOTTENS LÄN</t>
        </is>
      </c>
      <c r="E723" t="inlineStr">
        <is>
          <t>SKELLEFTEÅ</t>
        </is>
      </c>
      <c r="G723" t="n">
        <v>0.1</v>
      </c>
      <c r="H723" t="n">
        <v>0</v>
      </c>
      <c r="I723" t="n">
        <v>0</v>
      </c>
      <c r="J723" t="n">
        <v>0</v>
      </c>
      <c r="K723" t="n">
        <v>0</v>
      </c>
      <c r="L723" t="n">
        <v>0</v>
      </c>
      <c r="M723" t="n">
        <v>0</v>
      </c>
      <c r="N723" t="n">
        <v>0</v>
      </c>
      <c r="O723" t="n">
        <v>0</v>
      </c>
      <c r="P723" t="n">
        <v>0</v>
      </c>
      <c r="Q723" t="n">
        <v>0</v>
      </c>
      <c r="R723" s="2" t="inlineStr"/>
    </row>
    <row r="724" ht="15" customHeight="1">
      <c r="A724" t="inlineStr">
        <is>
          <t>A 57569-2022</t>
        </is>
      </c>
      <c r="B724" s="1" t="n">
        <v>44896.92769675926</v>
      </c>
      <c r="C724" s="1" t="n">
        <v>45991</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57577-2022</t>
        </is>
      </c>
      <c r="B725" s="1" t="n">
        <v>44896.92947916667</v>
      </c>
      <c r="C725" s="1" t="n">
        <v>45991</v>
      </c>
      <c r="D725" t="inlineStr">
        <is>
          <t>VÄSTERBOTTENS LÄN</t>
        </is>
      </c>
      <c r="E725" t="inlineStr">
        <is>
          <t>SKELLEFTEÅ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27578-2025</t>
        </is>
      </c>
      <c r="B726" s="1" t="n">
        <v>45813</v>
      </c>
      <c r="C726" s="1" t="n">
        <v>45991</v>
      </c>
      <c r="D726" t="inlineStr">
        <is>
          <t>VÄSTERBOTTENS LÄN</t>
        </is>
      </c>
      <c r="E726" t="inlineStr">
        <is>
          <t>SKELLEFTEÅ</t>
        </is>
      </c>
      <c r="G726" t="n">
        <v>0.3</v>
      </c>
      <c r="H726" t="n">
        <v>0</v>
      </c>
      <c r="I726" t="n">
        <v>0</v>
      </c>
      <c r="J726" t="n">
        <v>0</v>
      </c>
      <c r="K726" t="n">
        <v>0</v>
      </c>
      <c r="L726" t="n">
        <v>0</v>
      </c>
      <c r="M726" t="n">
        <v>0</v>
      </c>
      <c r="N726" t="n">
        <v>0</v>
      </c>
      <c r="O726" t="n">
        <v>0</v>
      </c>
      <c r="P726" t="n">
        <v>0</v>
      </c>
      <c r="Q726" t="n">
        <v>0</v>
      </c>
      <c r="R726" s="2" t="inlineStr"/>
    </row>
    <row r="727" ht="15" customHeight="1">
      <c r="A727" t="inlineStr">
        <is>
          <t>A 27579-2025</t>
        </is>
      </c>
      <c r="B727" s="1" t="n">
        <v>45813</v>
      </c>
      <c r="C727" s="1" t="n">
        <v>45991</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26546-2024</t>
        </is>
      </c>
      <c r="B728" s="1" t="n">
        <v>45469.61939814815</v>
      </c>
      <c r="C728" s="1" t="n">
        <v>45991</v>
      </c>
      <c r="D728" t="inlineStr">
        <is>
          <t>VÄSTERBOTTENS LÄN</t>
        </is>
      </c>
      <c r="E728" t="inlineStr">
        <is>
          <t>SKELLEFTEÅ</t>
        </is>
      </c>
      <c r="F728" t="inlineStr">
        <is>
          <t>Sveaskog</t>
        </is>
      </c>
      <c r="G728" t="n">
        <v>6.6</v>
      </c>
      <c r="H728" t="n">
        <v>0</v>
      </c>
      <c r="I728" t="n">
        <v>0</v>
      </c>
      <c r="J728" t="n">
        <v>0</v>
      </c>
      <c r="K728" t="n">
        <v>0</v>
      </c>
      <c r="L728" t="n">
        <v>0</v>
      </c>
      <c r="M728" t="n">
        <v>0</v>
      </c>
      <c r="N728" t="n">
        <v>0</v>
      </c>
      <c r="O728" t="n">
        <v>0</v>
      </c>
      <c r="P728" t="n">
        <v>0</v>
      </c>
      <c r="Q728" t="n">
        <v>0</v>
      </c>
      <c r="R728" s="2" t="inlineStr"/>
    </row>
    <row r="729" ht="15" customHeight="1">
      <c r="A729" t="inlineStr">
        <is>
          <t>A 12851-2025</t>
        </is>
      </c>
      <c r="B729" s="1" t="n">
        <v>45733</v>
      </c>
      <c r="C729" s="1" t="n">
        <v>45991</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48620-2024</t>
        </is>
      </c>
      <c r="B730" s="1" t="n">
        <v>45593</v>
      </c>
      <c r="C730" s="1" t="n">
        <v>45991</v>
      </c>
      <c r="D730" t="inlineStr">
        <is>
          <t>VÄSTERBOTTENS LÄN</t>
        </is>
      </c>
      <c r="E730" t="inlineStr">
        <is>
          <t>SKELLEFTEÅ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27144-2025</t>
        </is>
      </c>
      <c r="B731" s="1" t="n">
        <v>45812.28108796296</v>
      </c>
      <c r="C731" s="1" t="n">
        <v>45991</v>
      </c>
      <c r="D731" t="inlineStr">
        <is>
          <t>VÄSTERBOTTENS LÄN</t>
        </is>
      </c>
      <c r="E731" t="inlineStr">
        <is>
          <t>SKELLEFTEÅ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16415-2025</t>
        </is>
      </c>
      <c r="B732" s="1" t="n">
        <v>45751.46192129629</v>
      </c>
      <c r="C732" s="1" t="n">
        <v>45991</v>
      </c>
      <c r="D732" t="inlineStr">
        <is>
          <t>VÄSTERBOTTENS LÄN</t>
        </is>
      </c>
      <c r="E732" t="inlineStr">
        <is>
          <t>SKELLEFTEÅ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6448-2024</t>
        </is>
      </c>
      <c r="B733" s="1" t="n">
        <v>45338.67314814815</v>
      </c>
      <c r="C733" s="1" t="n">
        <v>45991</v>
      </c>
      <c r="D733" t="inlineStr">
        <is>
          <t>VÄSTERBOTTENS LÄN</t>
        </is>
      </c>
      <c r="E733" t="inlineStr">
        <is>
          <t>SKELLEFTEÅ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16409-2025</t>
        </is>
      </c>
      <c r="B734" s="1" t="n">
        <v>45751.45391203704</v>
      </c>
      <c r="C734" s="1" t="n">
        <v>45991</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40771-2025</t>
        </is>
      </c>
      <c r="B735" s="1" t="n">
        <v>45897.40736111111</v>
      </c>
      <c r="C735" s="1" t="n">
        <v>45991</v>
      </c>
      <c r="D735" t="inlineStr">
        <is>
          <t>VÄSTERBOTTENS LÄN</t>
        </is>
      </c>
      <c r="E735" t="inlineStr">
        <is>
          <t>SKELLEFTEÅ</t>
        </is>
      </c>
      <c r="G735" t="n">
        <v>5.1</v>
      </c>
      <c r="H735" t="n">
        <v>0</v>
      </c>
      <c r="I735" t="n">
        <v>0</v>
      </c>
      <c r="J735" t="n">
        <v>0</v>
      </c>
      <c r="K735" t="n">
        <v>0</v>
      </c>
      <c r="L735" t="n">
        <v>0</v>
      </c>
      <c r="M735" t="n">
        <v>0</v>
      </c>
      <c r="N735" t="n">
        <v>0</v>
      </c>
      <c r="O735" t="n">
        <v>0</v>
      </c>
      <c r="P735" t="n">
        <v>0</v>
      </c>
      <c r="Q735" t="n">
        <v>0</v>
      </c>
      <c r="R735" s="2" t="inlineStr"/>
    </row>
    <row r="736" ht="15" customHeight="1">
      <c r="A736" t="inlineStr">
        <is>
          <t>A 27875-2025</t>
        </is>
      </c>
      <c r="B736" s="1" t="n">
        <v>45817.43524305556</v>
      </c>
      <c r="C736" s="1" t="n">
        <v>45991</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27877-2025</t>
        </is>
      </c>
      <c r="B737" s="1" t="n">
        <v>45817.44212962963</v>
      </c>
      <c r="C737" s="1" t="n">
        <v>45991</v>
      </c>
      <c r="D737" t="inlineStr">
        <is>
          <t>VÄSTERBOTTENS LÄN</t>
        </is>
      </c>
      <c r="E737" t="inlineStr">
        <is>
          <t>SKELLEFTEÅ</t>
        </is>
      </c>
      <c r="G737" t="n">
        <v>0.5</v>
      </c>
      <c r="H737" t="n">
        <v>0</v>
      </c>
      <c r="I737" t="n">
        <v>0</v>
      </c>
      <c r="J737" t="n">
        <v>0</v>
      </c>
      <c r="K737" t="n">
        <v>0</v>
      </c>
      <c r="L737" t="n">
        <v>0</v>
      </c>
      <c r="M737" t="n">
        <v>0</v>
      </c>
      <c r="N737" t="n">
        <v>0</v>
      </c>
      <c r="O737" t="n">
        <v>0</v>
      </c>
      <c r="P737" t="n">
        <v>0</v>
      </c>
      <c r="Q737" t="n">
        <v>0</v>
      </c>
      <c r="R737" s="2" t="inlineStr"/>
    </row>
    <row r="738" ht="15" customHeight="1">
      <c r="A738" t="inlineStr">
        <is>
          <t>A 28327-2025</t>
        </is>
      </c>
      <c r="B738" s="1" t="n">
        <v>45817</v>
      </c>
      <c r="C738" s="1" t="n">
        <v>45991</v>
      </c>
      <c r="D738" t="inlineStr">
        <is>
          <t>VÄSTERBOTTENS LÄN</t>
        </is>
      </c>
      <c r="E738" t="inlineStr">
        <is>
          <t>SKELLEFTEÅ</t>
        </is>
      </c>
      <c r="G738" t="n">
        <v>2.7</v>
      </c>
      <c r="H738" t="n">
        <v>0</v>
      </c>
      <c r="I738" t="n">
        <v>0</v>
      </c>
      <c r="J738" t="n">
        <v>0</v>
      </c>
      <c r="K738" t="n">
        <v>0</v>
      </c>
      <c r="L738" t="n">
        <v>0</v>
      </c>
      <c r="M738" t="n">
        <v>0</v>
      </c>
      <c r="N738" t="n">
        <v>0</v>
      </c>
      <c r="O738" t="n">
        <v>0</v>
      </c>
      <c r="P738" t="n">
        <v>0</v>
      </c>
      <c r="Q738" t="n">
        <v>0</v>
      </c>
      <c r="R738" s="2" t="inlineStr"/>
    </row>
    <row r="739" ht="15" customHeight="1">
      <c r="A739" t="inlineStr">
        <is>
          <t>A 41150-2025</t>
        </is>
      </c>
      <c r="B739" s="1" t="n">
        <v>45898.50738425926</v>
      </c>
      <c r="C739" s="1" t="n">
        <v>45991</v>
      </c>
      <c r="D739" t="inlineStr">
        <is>
          <t>VÄSTERBOTTENS LÄN</t>
        </is>
      </c>
      <c r="E739" t="inlineStr">
        <is>
          <t>SKELLEFTEÅ</t>
        </is>
      </c>
      <c r="G739" t="n">
        <v>2.5</v>
      </c>
      <c r="H739" t="n">
        <v>0</v>
      </c>
      <c r="I739" t="n">
        <v>0</v>
      </c>
      <c r="J739" t="n">
        <v>0</v>
      </c>
      <c r="K739" t="n">
        <v>0</v>
      </c>
      <c r="L739" t="n">
        <v>0</v>
      </c>
      <c r="M739" t="n">
        <v>0</v>
      </c>
      <c r="N739" t="n">
        <v>0</v>
      </c>
      <c r="O739" t="n">
        <v>0</v>
      </c>
      <c r="P739" t="n">
        <v>0</v>
      </c>
      <c r="Q739" t="n">
        <v>0</v>
      </c>
      <c r="R739" s="2" t="inlineStr"/>
    </row>
    <row r="740" ht="15" customHeight="1">
      <c r="A740" t="inlineStr">
        <is>
          <t>A 35168-2024</t>
        </is>
      </c>
      <c r="B740" s="1" t="n">
        <v>45530.40608796296</v>
      </c>
      <c r="C740" s="1" t="n">
        <v>45991</v>
      </c>
      <c r="D740" t="inlineStr">
        <is>
          <t>VÄSTERBOTTENS LÄN</t>
        </is>
      </c>
      <c r="E740" t="inlineStr">
        <is>
          <t>SKELLEFTEÅ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41554-2025</t>
        </is>
      </c>
      <c r="B741" s="1" t="n">
        <v>45901.59134259259</v>
      </c>
      <c r="C741" s="1" t="n">
        <v>45991</v>
      </c>
      <c r="D741" t="inlineStr">
        <is>
          <t>VÄSTERBOTTENS LÄN</t>
        </is>
      </c>
      <c r="E741" t="inlineStr">
        <is>
          <t>SKELLEFTEÅ</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41574-2025</t>
        </is>
      </c>
      <c r="B742" s="1" t="n">
        <v>45901</v>
      </c>
      <c r="C742" s="1" t="n">
        <v>45991</v>
      </c>
      <c r="D742" t="inlineStr">
        <is>
          <t>VÄSTERBOTTENS LÄN</t>
        </is>
      </c>
      <c r="E742" t="inlineStr">
        <is>
          <t>SKELLEFTEÅ</t>
        </is>
      </c>
      <c r="G742" t="n">
        <v>6.9</v>
      </c>
      <c r="H742" t="n">
        <v>0</v>
      </c>
      <c r="I742" t="n">
        <v>0</v>
      </c>
      <c r="J742" t="n">
        <v>0</v>
      </c>
      <c r="K742" t="n">
        <v>0</v>
      </c>
      <c r="L742" t="n">
        <v>0</v>
      </c>
      <c r="M742" t="n">
        <v>0</v>
      </c>
      <c r="N742" t="n">
        <v>0</v>
      </c>
      <c r="O742" t="n">
        <v>0</v>
      </c>
      <c r="P742" t="n">
        <v>0</v>
      </c>
      <c r="Q742" t="n">
        <v>0</v>
      </c>
      <c r="R742" s="2" t="inlineStr"/>
    </row>
    <row r="743" ht="15" customHeight="1">
      <c r="A743" t="inlineStr">
        <is>
          <t>A 41326-2025</t>
        </is>
      </c>
      <c r="B743" s="1" t="n">
        <v>45899.28303240741</v>
      </c>
      <c r="C743" s="1" t="n">
        <v>45991</v>
      </c>
      <c r="D743" t="inlineStr">
        <is>
          <t>VÄSTERBOTTENS LÄN</t>
        </is>
      </c>
      <c r="E743" t="inlineStr">
        <is>
          <t>SKELLEFTEÅ</t>
        </is>
      </c>
      <c r="F743" t="inlineStr">
        <is>
          <t>Holmen skog AB</t>
        </is>
      </c>
      <c r="G743" t="n">
        <v>21.6</v>
      </c>
      <c r="H743" t="n">
        <v>0</v>
      </c>
      <c r="I743" t="n">
        <v>0</v>
      </c>
      <c r="J743" t="n">
        <v>0</v>
      </c>
      <c r="K743" t="n">
        <v>0</v>
      </c>
      <c r="L743" t="n">
        <v>0</v>
      </c>
      <c r="M743" t="n">
        <v>0</v>
      </c>
      <c r="N743" t="n">
        <v>0</v>
      </c>
      <c r="O743" t="n">
        <v>0</v>
      </c>
      <c r="P743" t="n">
        <v>0</v>
      </c>
      <c r="Q743" t="n">
        <v>0</v>
      </c>
      <c r="R743" s="2" t="inlineStr"/>
    </row>
    <row r="744" ht="15" customHeight="1">
      <c r="A744" t="inlineStr">
        <is>
          <t>A 25182-2025</t>
        </is>
      </c>
      <c r="B744" s="1" t="n">
        <v>45800.44905092593</v>
      </c>
      <c r="C744" s="1" t="n">
        <v>45991</v>
      </c>
      <c r="D744" t="inlineStr">
        <is>
          <t>VÄSTERBOTTENS LÄN</t>
        </is>
      </c>
      <c r="E744" t="inlineStr">
        <is>
          <t>SKELLEFTEÅ</t>
        </is>
      </c>
      <c r="G744" t="n">
        <v>19.3</v>
      </c>
      <c r="H744" t="n">
        <v>0</v>
      </c>
      <c r="I744" t="n">
        <v>0</v>
      </c>
      <c r="J744" t="n">
        <v>0</v>
      </c>
      <c r="K744" t="n">
        <v>0</v>
      </c>
      <c r="L744" t="n">
        <v>0</v>
      </c>
      <c r="M744" t="n">
        <v>0</v>
      </c>
      <c r="N744" t="n">
        <v>0</v>
      </c>
      <c r="O744" t="n">
        <v>0</v>
      </c>
      <c r="P744" t="n">
        <v>0</v>
      </c>
      <c r="Q744" t="n">
        <v>0</v>
      </c>
      <c r="R744" s="2" t="inlineStr"/>
    </row>
    <row r="745" ht="15" customHeight="1">
      <c r="A745" t="inlineStr">
        <is>
          <t>A 28337-2025</t>
        </is>
      </c>
      <c r="B745" s="1" t="n">
        <v>45817</v>
      </c>
      <c r="C745" s="1" t="n">
        <v>45991</v>
      </c>
      <c r="D745" t="inlineStr">
        <is>
          <t>VÄSTERBOTTENS LÄN</t>
        </is>
      </c>
      <c r="E745" t="inlineStr">
        <is>
          <t>SKELLEFTEÅ</t>
        </is>
      </c>
      <c r="G745" t="n">
        <v>16.4</v>
      </c>
      <c r="H745" t="n">
        <v>0</v>
      </c>
      <c r="I745" t="n">
        <v>0</v>
      </c>
      <c r="J745" t="n">
        <v>0</v>
      </c>
      <c r="K745" t="n">
        <v>0</v>
      </c>
      <c r="L745" t="n">
        <v>0</v>
      </c>
      <c r="M745" t="n">
        <v>0</v>
      </c>
      <c r="N745" t="n">
        <v>0</v>
      </c>
      <c r="O745" t="n">
        <v>0</v>
      </c>
      <c r="P745" t="n">
        <v>0</v>
      </c>
      <c r="Q745" t="n">
        <v>0</v>
      </c>
      <c r="R745" s="2" t="inlineStr"/>
    </row>
    <row r="746" ht="15" customHeight="1">
      <c r="A746" t="inlineStr">
        <is>
          <t>A 27869-2025</t>
        </is>
      </c>
      <c r="B746" s="1" t="n">
        <v>45817.42847222222</v>
      </c>
      <c r="C746" s="1" t="n">
        <v>45991</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58555-2023</t>
        </is>
      </c>
      <c r="B747" s="1" t="n">
        <v>45251.43552083334</v>
      </c>
      <c r="C747" s="1" t="n">
        <v>45991</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27715-2025</t>
        </is>
      </c>
      <c r="B748" s="1" t="n">
        <v>45813.92237268519</v>
      </c>
      <c r="C748" s="1" t="n">
        <v>45991</v>
      </c>
      <c r="D748" t="inlineStr">
        <is>
          <t>VÄSTERBOTTENS LÄN</t>
        </is>
      </c>
      <c r="E748" t="inlineStr">
        <is>
          <t>SKELLEFTEÅ</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41058-2025</t>
        </is>
      </c>
      <c r="B749" s="1" t="n">
        <v>45898.40689814815</v>
      </c>
      <c r="C749" s="1" t="n">
        <v>45991</v>
      </c>
      <c r="D749" t="inlineStr">
        <is>
          <t>VÄSTERBOTTENS LÄN</t>
        </is>
      </c>
      <c r="E749" t="inlineStr">
        <is>
          <t>SKELLEFTEÅ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41102-2025</t>
        </is>
      </c>
      <c r="B750" s="1" t="n">
        <v>45898.45258101852</v>
      </c>
      <c r="C750" s="1" t="n">
        <v>45991</v>
      </c>
      <c r="D750" t="inlineStr">
        <is>
          <t>VÄSTERBOTTENS LÄN</t>
        </is>
      </c>
      <c r="E750" t="inlineStr">
        <is>
          <t>SKELLEFTEÅ</t>
        </is>
      </c>
      <c r="G750" t="n">
        <v>6.3</v>
      </c>
      <c r="H750" t="n">
        <v>0</v>
      </c>
      <c r="I750" t="n">
        <v>0</v>
      </c>
      <c r="J750" t="n">
        <v>0</v>
      </c>
      <c r="K750" t="n">
        <v>0</v>
      </c>
      <c r="L750" t="n">
        <v>0</v>
      </c>
      <c r="M750" t="n">
        <v>0</v>
      </c>
      <c r="N750" t="n">
        <v>0</v>
      </c>
      <c r="O750" t="n">
        <v>0</v>
      </c>
      <c r="P750" t="n">
        <v>0</v>
      </c>
      <c r="Q750" t="n">
        <v>0</v>
      </c>
      <c r="R750" s="2" t="inlineStr"/>
    </row>
    <row r="751" ht="15" customHeight="1">
      <c r="A751" t="inlineStr">
        <is>
          <t>A 16219-2025</t>
        </is>
      </c>
      <c r="B751" s="1" t="n">
        <v>45750</v>
      </c>
      <c r="C751" s="1" t="n">
        <v>45991</v>
      </c>
      <c r="D751" t="inlineStr">
        <is>
          <t>VÄSTERBOTTENS LÄN</t>
        </is>
      </c>
      <c r="E751" t="inlineStr">
        <is>
          <t>SKELLEFTEÅ</t>
        </is>
      </c>
      <c r="G751" t="n">
        <v>3.3</v>
      </c>
      <c r="H751" t="n">
        <v>0</v>
      </c>
      <c r="I751" t="n">
        <v>0</v>
      </c>
      <c r="J751" t="n">
        <v>0</v>
      </c>
      <c r="K751" t="n">
        <v>0</v>
      </c>
      <c r="L751" t="n">
        <v>0</v>
      </c>
      <c r="M751" t="n">
        <v>0</v>
      </c>
      <c r="N751" t="n">
        <v>0</v>
      </c>
      <c r="O751" t="n">
        <v>0</v>
      </c>
      <c r="P751" t="n">
        <v>0</v>
      </c>
      <c r="Q751" t="n">
        <v>0</v>
      </c>
      <c r="R751" s="2" t="inlineStr"/>
    </row>
    <row r="752" ht="15" customHeight="1">
      <c r="A752" t="inlineStr">
        <is>
          <t>A 19731-2025</t>
        </is>
      </c>
      <c r="B752" s="1" t="n">
        <v>45771.36564814814</v>
      </c>
      <c r="C752" s="1" t="n">
        <v>45991</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27876-2025</t>
        </is>
      </c>
      <c r="B753" s="1" t="n">
        <v>45817.43787037037</v>
      </c>
      <c r="C753" s="1" t="n">
        <v>45991</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48093-2024</t>
        </is>
      </c>
      <c r="B754" s="1" t="n">
        <v>45589.60805555555</v>
      </c>
      <c r="C754" s="1" t="n">
        <v>45991</v>
      </c>
      <c r="D754" t="inlineStr">
        <is>
          <t>VÄSTERBOTTENS LÄN</t>
        </is>
      </c>
      <c r="E754" t="inlineStr">
        <is>
          <t>SKELLEFTEÅ</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37134-2023</t>
        </is>
      </c>
      <c r="B755" s="1" t="n">
        <v>45155.57627314814</v>
      </c>
      <c r="C755" s="1" t="n">
        <v>45991</v>
      </c>
      <c r="D755" t="inlineStr">
        <is>
          <t>VÄSTERBOTTENS LÄN</t>
        </is>
      </c>
      <c r="E755" t="inlineStr">
        <is>
          <t>SKELLEFTEÅ</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44829-2024</t>
        </is>
      </c>
      <c r="B756" s="1" t="n">
        <v>45574.67832175926</v>
      </c>
      <c r="C756" s="1" t="n">
        <v>45991</v>
      </c>
      <c r="D756" t="inlineStr">
        <is>
          <t>VÄSTERBOTTENS LÄN</t>
        </is>
      </c>
      <c r="E756" t="inlineStr">
        <is>
          <t>SKELLEFTEÅ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41534-2025</t>
        </is>
      </c>
      <c r="B757" s="1" t="n">
        <v>45901.56</v>
      </c>
      <c r="C757" s="1" t="n">
        <v>45991</v>
      </c>
      <c r="D757" t="inlineStr">
        <is>
          <t>VÄSTERBOTTENS LÄN</t>
        </is>
      </c>
      <c r="E757" t="inlineStr">
        <is>
          <t>SKELLEFTEÅ</t>
        </is>
      </c>
      <c r="G757" t="n">
        <v>4.5</v>
      </c>
      <c r="H757" t="n">
        <v>0</v>
      </c>
      <c r="I757" t="n">
        <v>0</v>
      </c>
      <c r="J757" t="n">
        <v>0</v>
      </c>
      <c r="K757" t="n">
        <v>0</v>
      </c>
      <c r="L757" t="n">
        <v>0</v>
      </c>
      <c r="M757" t="n">
        <v>0</v>
      </c>
      <c r="N757" t="n">
        <v>0</v>
      </c>
      <c r="O757" t="n">
        <v>0</v>
      </c>
      <c r="P757" t="n">
        <v>0</v>
      </c>
      <c r="Q757" t="n">
        <v>0</v>
      </c>
      <c r="R757" s="2" t="inlineStr"/>
    </row>
    <row r="758" ht="15" customHeight="1">
      <c r="A758" t="inlineStr">
        <is>
          <t>A 28221-2025</t>
        </is>
      </c>
      <c r="B758" s="1" t="n">
        <v>45818</v>
      </c>
      <c r="C758" s="1" t="n">
        <v>45991</v>
      </c>
      <c r="D758" t="inlineStr">
        <is>
          <t>VÄSTERBOTTENS LÄN</t>
        </is>
      </c>
      <c r="E758" t="inlineStr">
        <is>
          <t>SKELLEFTEÅ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55739-2023</t>
        </is>
      </c>
      <c r="B759" s="1" t="n">
        <v>45239</v>
      </c>
      <c r="C759" s="1" t="n">
        <v>45991</v>
      </c>
      <c r="D759" t="inlineStr">
        <is>
          <t>VÄSTERBOTTENS LÄN</t>
        </is>
      </c>
      <c r="E759" t="inlineStr">
        <is>
          <t>SKELLEFTEÅ</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55744-2023</t>
        </is>
      </c>
      <c r="B760" s="1" t="n">
        <v>45239.4444212963</v>
      </c>
      <c r="C760" s="1" t="n">
        <v>45991</v>
      </c>
      <c r="D760" t="inlineStr">
        <is>
          <t>VÄSTERBOTTENS LÄN</t>
        </is>
      </c>
      <c r="E760" t="inlineStr">
        <is>
          <t>SKELLEFTEÅ</t>
        </is>
      </c>
      <c r="G760" t="n">
        <v>12.4</v>
      </c>
      <c r="H760" t="n">
        <v>0</v>
      </c>
      <c r="I760" t="n">
        <v>0</v>
      </c>
      <c r="J760" t="n">
        <v>0</v>
      </c>
      <c r="K760" t="n">
        <v>0</v>
      </c>
      <c r="L760" t="n">
        <v>0</v>
      </c>
      <c r="M760" t="n">
        <v>0</v>
      </c>
      <c r="N760" t="n">
        <v>0</v>
      </c>
      <c r="O760" t="n">
        <v>0</v>
      </c>
      <c r="P760" t="n">
        <v>0</v>
      </c>
      <c r="Q760" t="n">
        <v>0</v>
      </c>
      <c r="R760" s="2" t="inlineStr"/>
    </row>
    <row r="761" ht="15" customHeight="1">
      <c r="A761" t="inlineStr">
        <is>
          <t>A 59945-2023</t>
        </is>
      </c>
      <c r="B761" s="1" t="n">
        <v>45254</v>
      </c>
      <c r="C761" s="1" t="n">
        <v>45991</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57578-2022</t>
        </is>
      </c>
      <c r="B762" s="1" t="n">
        <v>44896.93035879629</v>
      </c>
      <c r="C762" s="1" t="n">
        <v>45991</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27864-2025</t>
        </is>
      </c>
      <c r="B763" s="1" t="n">
        <v>45817.42127314815</v>
      </c>
      <c r="C763" s="1" t="n">
        <v>45991</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57583-2022</t>
        </is>
      </c>
      <c r="B764" s="1" t="n">
        <v>44896.9309375</v>
      </c>
      <c r="C764" s="1" t="n">
        <v>45991</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28311-2025</t>
        </is>
      </c>
      <c r="B765" s="1" t="n">
        <v>45818.62216435185</v>
      </c>
      <c r="C765" s="1" t="n">
        <v>45991</v>
      </c>
      <c r="D765" t="inlineStr">
        <is>
          <t>VÄSTERBOTTENS LÄN</t>
        </is>
      </c>
      <c r="E765" t="inlineStr">
        <is>
          <t>SKELLEFTEÅ</t>
        </is>
      </c>
      <c r="G765" t="n">
        <v>4.1</v>
      </c>
      <c r="H765" t="n">
        <v>0</v>
      </c>
      <c r="I765" t="n">
        <v>0</v>
      </c>
      <c r="J765" t="n">
        <v>0</v>
      </c>
      <c r="K765" t="n">
        <v>0</v>
      </c>
      <c r="L765" t="n">
        <v>0</v>
      </c>
      <c r="M765" t="n">
        <v>0</v>
      </c>
      <c r="N765" t="n">
        <v>0</v>
      </c>
      <c r="O765" t="n">
        <v>0</v>
      </c>
      <c r="P765" t="n">
        <v>0</v>
      </c>
      <c r="Q765" t="n">
        <v>0</v>
      </c>
      <c r="R765" s="2" t="inlineStr"/>
    </row>
    <row r="766" ht="15" customHeight="1">
      <c r="A766" t="inlineStr">
        <is>
          <t>A 28316-2025</t>
        </is>
      </c>
      <c r="B766" s="1" t="n">
        <v>45818.62799768519</v>
      </c>
      <c r="C766" s="1" t="n">
        <v>45991</v>
      </c>
      <c r="D766" t="inlineStr">
        <is>
          <t>VÄSTERBOTTENS LÄN</t>
        </is>
      </c>
      <c r="E766" t="inlineStr">
        <is>
          <t>SKELLEFTEÅ</t>
        </is>
      </c>
      <c r="G766" t="n">
        <v>2.9</v>
      </c>
      <c r="H766" t="n">
        <v>0</v>
      </c>
      <c r="I766" t="n">
        <v>0</v>
      </c>
      <c r="J766" t="n">
        <v>0</v>
      </c>
      <c r="K766" t="n">
        <v>0</v>
      </c>
      <c r="L766" t="n">
        <v>0</v>
      </c>
      <c r="M766" t="n">
        <v>0</v>
      </c>
      <c r="N766" t="n">
        <v>0</v>
      </c>
      <c r="O766" t="n">
        <v>0</v>
      </c>
      <c r="P766" t="n">
        <v>0</v>
      </c>
      <c r="Q766" t="n">
        <v>0</v>
      </c>
      <c r="R766" s="2" t="inlineStr"/>
    </row>
    <row r="767" ht="15" customHeight="1">
      <c r="A767" t="inlineStr">
        <is>
          <t>A 28360-2025</t>
        </is>
      </c>
      <c r="B767" s="1" t="n">
        <v>45818.80997685185</v>
      </c>
      <c r="C767" s="1" t="n">
        <v>45991</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37946-2024</t>
        </is>
      </c>
      <c r="B768" s="1" t="n">
        <v>45544.50325231482</v>
      </c>
      <c r="C768" s="1" t="n">
        <v>45991</v>
      </c>
      <c r="D768" t="inlineStr">
        <is>
          <t>VÄSTERBOTTENS LÄN</t>
        </is>
      </c>
      <c r="E768" t="inlineStr">
        <is>
          <t>SKELLEFTEÅ</t>
        </is>
      </c>
      <c r="F768" t="inlineStr">
        <is>
          <t>Holmen skog AB</t>
        </is>
      </c>
      <c r="G768" t="n">
        <v>7.2</v>
      </c>
      <c r="H768" t="n">
        <v>0</v>
      </c>
      <c r="I768" t="n">
        <v>0</v>
      </c>
      <c r="J768" t="n">
        <v>0</v>
      </c>
      <c r="K768" t="n">
        <v>0</v>
      </c>
      <c r="L768" t="n">
        <v>0</v>
      </c>
      <c r="M768" t="n">
        <v>0</v>
      </c>
      <c r="N768" t="n">
        <v>0</v>
      </c>
      <c r="O768" t="n">
        <v>0</v>
      </c>
      <c r="P768" t="n">
        <v>0</v>
      </c>
      <c r="Q768" t="n">
        <v>0</v>
      </c>
      <c r="R768" s="2" t="inlineStr"/>
    </row>
    <row r="769" ht="15" customHeight="1">
      <c r="A769" t="inlineStr">
        <is>
          <t>A 10852-2023</t>
        </is>
      </c>
      <c r="B769" s="1" t="n">
        <v>44985</v>
      </c>
      <c r="C769" s="1" t="n">
        <v>45991</v>
      </c>
      <c r="D769" t="inlineStr">
        <is>
          <t>VÄSTERBOTTENS LÄN</t>
        </is>
      </c>
      <c r="E769" t="inlineStr">
        <is>
          <t>SKELLEFTEÅ</t>
        </is>
      </c>
      <c r="G769" t="n">
        <v>7.5</v>
      </c>
      <c r="H769" t="n">
        <v>0</v>
      </c>
      <c r="I769" t="n">
        <v>0</v>
      </c>
      <c r="J769" t="n">
        <v>0</v>
      </c>
      <c r="K769" t="n">
        <v>0</v>
      </c>
      <c r="L769" t="n">
        <v>0</v>
      </c>
      <c r="M769" t="n">
        <v>0</v>
      </c>
      <c r="N769" t="n">
        <v>0</v>
      </c>
      <c r="O769" t="n">
        <v>0</v>
      </c>
      <c r="P769" t="n">
        <v>0</v>
      </c>
      <c r="Q769" t="n">
        <v>0</v>
      </c>
      <c r="R769" s="2" t="inlineStr"/>
    </row>
    <row r="770" ht="15" customHeight="1">
      <c r="A770" t="inlineStr">
        <is>
          <t>A 28359-2025</t>
        </is>
      </c>
      <c r="B770" s="1" t="n">
        <v>45818.79951388889</v>
      </c>
      <c r="C770" s="1" t="n">
        <v>45991</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17842-2023</t>
        </is>
      </c>
      <c r="B771" s="1" t="n">
        <v>45037.65628472222</v>
      </c>
      <c r="C771" s="1" t="n">
        <v>45991</v>
      </c>
      <c r="D771" t="inlineStr">
        <is>
          <t>VÄSTERBOTTENS LÄN</t>
        </is>
      </c>
      <c r="E771" t="inlineStr">
        <is>
          <t>SKELLEFTEÅ</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28577-2025</t>
        </is>
      </c>
      <c r="B772" s="1" t="n">
        <v>45819</v>
      </c>
      <c r="C772" s="1" t="n">
        <v>45991</v>
      </c>
      <c r="D772" t="inlineStr">
        <is>
          <t>VÄSTERBOTTENS LÄN</t>
        </is>
      </c>
      <c r="E772" t="inlineStr">
        <is>
          <t>SKELLEFTEÅ</t>
        </is>
      </c>
      <c r="G772" t="n">
        <v>4.4</v>
      </c>
      <c r="H772" t="n">
        <v>0</v>
      </c>
      <c r="I772" t="n">
        <v>0</v>
      </c>
      <c r="J772" t="n">
        <v>0</v>
      </c>
      <c r="K772" t="n">
        <v>0</v>
      </c>
      <c r="L772" t="n">
        <v>0</v>
      </c>
      <c r="M772" t="n">
        <v>0</v>
      </c>
      <c r="N772" t="n">
        <v>0</v>
      </c>
      <c r="O772" t="n">
        <v>0</v>
      </c>
      <c r="P772" t="n">
        <v>0</v>
      </c>
      <c r="Q772" t="n">
        <v>0</v>
      </c>
      <c r="R772" s="2" t="inlineStr"/>
    </row>
    <row r="773" ht="15" customHeight="1">
      <c r="A773" t="inlineStr">
        <is>
          <t>A 28114-2025</t>
        </is>
      </c>
      <c r="B773" s="1" t="n">
        <v>45817.96760416667</v>
      </c>
      <c r="C773" s="1" t="n">
        <v>45991</v>
      </c>
      <c r="D773" t="inlineStr">
        <is>
          <t>VÄSTERBOTTENS LÄN</t>
        </is>
      </c>
      <c r="E773" t="inlineStr">
        <is>
          <t>SKELLEFTEÅ</t>
        </is>
      </c>
      <c r="F773" t="inlineStr">
        <is>
          <t>Sveaskog</t>
        </is>
      </c>
      <c r="G773" t="n">
        <v>4.6</v>
      </c>
      <c r="H773" t="n">
        <v>0</v>
      </c>
      <c r="I773" t="n">
        <v>0</v>
      </c>
      <c r="J773" t="n">
        <v>0</v>
      </c>
      <c r="K773" t="n">
        <v>0</v>
      </c>
      <c r="L773" t="n">
        <v>0</v>
      </c>
      <c r="M773" t="n">
        <v>0</v>
      </c>
      <c r="N773" t="n">
        <v>0</v>
      </c>
      <c r="O773" t="n">
        <v>0</v>
      </c>
      <c r="P773" t="n">
        <v>0</v>
      </c>
      <c r="Q773" t="n">
        <v>0</v>
      </c>
      <c r="R773" s="2" t="inlineStr"/>
    </row>
    <row r="774" ht="15" customHeight="1">
      <c r="A774" t="inlineStr">
        <is>
          <t>A 41532-2025</t>
        </is>
      </c>
      <c r="B774" s="1" t="n">
        <v>45901.55744212963</v>
      </c>
      <c r="C774" s="1" t="n">
        <v>45991</v>
      </c>
      <c r="D774" t="inlineStr">
        <is>
          <t>VÄSTERBOTTENS LÄN</t>
        </is>
      </c>
      <c r="E774" t="inlineStr">
        <is>
          <t>SKELLEFTEÅ</t>
        </is>
      </c>
      <c r="F774" t="inlineStr">
        <is>
          <t>Holmen skog AB</t>
        </is>
      </c>
      <c r="G774" t="n">
        <v>7.1</v>
      </c>
      <c r="H774" t="n">
        <v>0</v>
      </c>
      <c r="I774" t="n">
        <v>0</v>
      </c>
      <c r="J774" t="n">
        <v>0</v>
      </c>
      <c r="K774" t="n">
        <v>0</v>
      </c>
      <c r="L774" t="n">
        <v>0</v>
      </c>
      <c r="M774" t="n">
        <v>0</v>
      </c>
      <c r="N774" t="n">
        <v>0</v>
      </c>
      <c r="O774" t="n">
        <v>0</v>
      </c>
      <c r="P774" t="n">
        <v>0</v>
      </c>
      <c r="Q774" t="n">
        <v>0</v>
      </c>
      <c r="R774" s="2" t="inlineStr"/>
    </row>
    <row r="775" ht="15" customHeight="1">
      <c r="A775" t="inlineStr">
        <is>
          <t>A 3944-2022</t>
        </is>
      </c>
      <c r="B775" s="1" t="n">
        <v>44587</v>
      </c>
      <c r="C775" s="1" t="n">
        <v>45991</v>
      </c>
      <c r="D775" t="inlineStr">
        <is>
          <t>VÄSTERBOTTENS LÄN</t>
        </is>
      </c>
      <c r="E775" t="inlineStr">
        <is>
          <t>SKELLEFTEÅ</t>
        </is>
      </c>
      <c r="F775" t="inlineStr">
        <is>
          <t>Kommuner</t>
        </is>
      </c>
      <c r="G775" t="n">
        <v>6.6</v>
      </c>
      <c r="H775" t="n">
        <v>0</v>
      </c>
      <c r="I775" t="n">
        <v>0</v>
      </c>
      <c r="J775" t="n">
        <v>0</v>
      </c>
      <c r="K775" t="n">
        <v>0</v>
      </c>
      <c r="L775" t="n">
        <v>0</v>
      </c>
      <c r="M775" t="n">
        <v>0</v>
      </c>
      <c r="N775" t="n">
        <v>0</v>
      </c>
      <c r="O775" t="n">
        <v>0</v>
      </c>
      <c r="P775" t="n">
        <v>0</v>
      </c>
      <c r="Q775" t="n">
        <v>0</v>
      </c>
      <c r="R775" s="2" t="inlineStr"/>
    </row>
    <row r="776" ht="15" customHeight="1">
      <c r="A776" t="inlineStr">
        <is>
          <t>A 28373-2025</t>
        </is>
      </c>
      <c r="B776" s="1" t="n">
        <v>45819</v>
      </c>
      <c r="C776" s="1" t="n">
        <v>45991</v>
      </c>
      <c r="D776" t="inlineStr">
        <is>
          <t>VÄSTERBOTTENS LÄN</t>
        </is>
      </c>
      <c r="E776" t="inlineStr">
        <is>
          <t>SKELLEFTEÅ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11254-2025</t>
        </is>
      </c>
      <c r="B777" s="1" t="n">
        <v>45726.38625</v>
      </c>
      <c r="C777" s="1" t="n">
        <v>45991</v>
      </c>
      <c r="D777" t="inlineStr">
        <is>
          <t>VÄSTERBOTTENS LÄN</t>
        </is>
      </c>
      <c r="E777" t="inlineStr">
        <is>
          <t>SKELLEFTEÅ</t>
        </is>
      </c>
      <c r="G777" t="n">
        <v>12.6</v>
      </c>
      <c r="H777" t="n">
        <v>0</v>
      </c>
      <c r="I777" t="n">
        <v>0</v>
      </c>
      <c r="J777" t="n">
        <v>0</v>
      </c>
      <c r="K777" t="n">
        <v>0</v>
      </c>
      <c r="L777" t="n">
        <v>0</v>
      </c>
      <c r="M777" t="n">
        <v>0</v>
      </c>
      <c r="N777" t="n">
        <v>0</v>
      </c>
      <c r="O777" t="n">
        <v>0</v>
      </c>
      <c r="P777" t="n">
        <v>0</v>
      </c>
      <c r="Q777" t="n">
        <v>0</v>
      </c>
      <c r="R777" s="2" t="inlineStr"/>
    </row>
    <row r="778" ht="15" customHeight="1">
      <c r="A778" t="inlineStr">
        <is>
          <t>A 30711-2025</t>
        </is>
      </c>
      <c r="B778" s="1" t="n">
        <v>45831.55188657407</v>
      </c>
      <c r="C778" s="1" t="n">
        <v>45991</v>
      </c>
      <c r="D778" t="inlineStr">
        <is>
          <t>VÄSTERBOTTENS LÄN</t>
        </is>
      </c>
      <c r="E778" t="inlineStr">
        <is>
          <t>SKELLEFTEÅ</t>
        </is>
      </c>
      <c r="F778" t="inlineStr">
        <is>
          <t>Sveaskog</t>
        </is>
      </c>
      <c r="G778" t="n">
        <v>21.5</v>
      </c>
      <c r="H778" t="n">
        <v>0</v>
      </c>
      <c r="I778" t="n">
        <v>0</v>
      </c>
      <c r="J778" t="n">
        <v>0</v>
      </c>
      <c r="K778" t="n">
        <v>0</v>
      </c>
      <c r="L778" t="n">
        <v>0</v>
      </c>
      <c r="M778" t="n">
        <v>0</v>
      </c>
      <c r="N778" t="n">
        <v>0</v>
      </c>
      <c r="O778" t="n">
        <v>0</v>
      </c>
      <c r="P778" t="n">
        <v>0</v>
      </c>
      <c r="Q778" t="n">
        <v>0</v>
      </c>
      <c r="R778" s="2" t="inlineStr"/>
    </row>
    <row r="779" ht="15" customHeight="1">
      <c r="A779" t="inlineStr">
        <is>
          <t>A 45421-2024</t>
        </is>
      </c>
      <c r="B779" s="1" t="n">
        <v>45576.60200231482</v>
      </c>
      <c r="C779" s="1" t="n">
        <v>45991</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31355-2025</t>
        </is>
      </c>
      <c r="B780" s="1" t="n">
        <v>45833.43050925926</v>
      </c>
      <c r="C780" s="1" t="n">
        <v>45991</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28377-2025</t>
        </is>
      </c>
      <c r="B781" s="1" t="n">
        <v>45819</v>
      </c>
      <c r="C781" s="1" t="n">
        <v>45991</v>
      </c>
      <c r="D781" t="inlineStr">
        <is>
          <t>VÄSTERBOTTENS LÄN</t>
        </is>
      </c>
      <c r="E781" t="inlineStr">
        <is>
          <t>SKELLEFTEÅ</t>
        </is>
      </c>
      <c r="G781" t="n">
        <v>3.5</v>
      </c>
      <c r="H781" t="n">
        <v>0</v>
      </c>
      <c r="I781" t="n">
        <v>0</v>
      </c>
      <c r="J781" t="n">
        <v>0</v>
      </c>
      <c r="K781" t="n">
        <v>0</v>
      </c>
      <c r="L781" t="n">
        <v>0</v>
      </c>
      <c r="M781" t="n">
        <v>0</v>
      </c>
      <c r="N781" t="n">
        <v>0</v>
      </c>
      <c r="O781" t="n">
        <v>0</v>
      </c>
      <c r="P781" t="n">
        <v>0</v>
      </c>
      <c r="Q781" t="n">
        <v>0</v>
      </c>
      <c r="R781" s="2" t="inlineStr"/>
    </row>
    <row r="782" ht="15" customHeight="1">
      <c r="A782" t="inlineStr">
        <is>
          <t>A 28408-2025</t>
        </is>
      </c>
      <c r="B782" s="1" t="n">
        <v>45819.34600694444</v>
      </c>
      <c r="C782" s="1" t="n">
        <v>45991</v>
      </c>
      <c r="D782" t="inlineStr">
        <is>
          <t>VÄSTERBOTTENS LÄN</t>
        </is>
      </c>
      <c r="E782" t="inlineStr">
        <is>
          <t>SKELLEFTEÅ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28354-2025</t>
        </is>
      </c>
      <c r="B783" s="1" t="n">
        <v>45818.77484953704</v>
      </c>
      <c r="C783" s="1" t="n">
        <v>45991</v>
      </c>
      <c r="D783" t="inlineStr">
        <is>
          <t>VÄSTERBOTTENS LÄN</t>
        </is>
      </c>
      <c r="E783" t="inlineStr">
        <is>
          <t>SKELLEFTEÅ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28358-2025</t>
        </is>
      </c>
      <c r="B784" s="1" t="n">
        <v>45818.79246527778</v>
      </c>
      <c r="C784" s="1" t="n">
        <v>45991</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22796-2024</t>
        </is>
      </c>
      <c r="B785" s="1" t="n">
        <v>45448</v>
      </c>
      <c r="C785" s="1" t="n">
        <v>45991</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17015-2025</t>
        </is>
      </c>
      <c r="B786" s="1" t="n">
        <v>45755.55318287037</v>
      </c>
      <c r="C786" s="1" t="n">
        <v>45991</v>
      </c>
      <c r="D786" t="inlineStr">
        <is>
          <t>VÄSTERBOTTENS LÄN</t>
        </is>
      </c>
      <c r="E786" t="inlineStr">
        <is>
          <t>SKELLEFTEÅ</t>
        </is>
      </c>
      <c r="G786" t="n">
        <v>4.1</v>
      </c>
      <c r="H786" t="n">
        <v>0</v>
      </c>
      <c r="I786" t="n">
        <v>0</v>
      </c>
      <c r="J786" t="n">
        <v>0</v>
      </c>
      <c r="K786" t="n">
        <v>0</v>
      </c>
      <c r="L786" t="n">
        <v>0</v>
      </c>
      <c r="M786" t="n">
        <v>0</v>
      </c>
      <c r="N786" t="n">
        <v>0</v>
      </c>
      <c r="O786" t="n">
        <v>0</v>
      </c>
      <c r="P786" t="n">
        <v>0</v>
      </c>
      <c r="Q786" t="n">
        <v>0</v>
      </c>
      <c r="R786" s="2" t="inlineStr"/>
    </row>
    <row r="787" ht="15" customHeight="1">
      <c r="A787" t="inlineStr">
        <is>
          <t>A 28220-2025</t>
        </is>
      </c>
      <c r="B787" s="1" t="n">
        <v>45818.47373842593</v>
      </c>
      <c r="C787" s="1" t="n">
        <v>45991</v>
      </c>
      <c r="D787" t="inlineStr">
        <is>
          <t>VÄSTERBOTTENS LÄN</t>
        </is>
      </c>
      <c r="E787" t="inlineStr">
        <is>
          <t>SKELLEFTEÅ</t>
        </is>
      </c>
      <c r="G787" t="n">
        <v>4.2</v>
      </c>
      <c r="H787" t="n">
        <v>0</v>
      </c>
      <c r="I787" t="n">
        <v>0</v>
      </c>
      <c r="J787" t="n">
        <v>0</v>
      </c>
      <c r="K787" t="n">
        <v>0</v>
      </c>
      <c r="L787" t="n">
        <v>0</v>
      </c>
      <c r="M787" t="n">
        <v>0</v>
      </c>
      <c r="N787" t="n">
        <v>0</v>
      </c>
      <c r="O787" t="n">
        <v>0</v>
      </c>
      <c r="P787" t="n">
        <v>0</v>
      </c>
      <c r="Q787" t="n">
        <v>0</v>
      </c>
      <c r="R787" s="2" t="inlineStr"/>
    </row>
    <row r="788" ht="15" customHeight="1">
      <c r="A788" t="inlineStr">
        <is>
          <t>A 41507-2025</t>
        </is>
      </c>
      <c r="B788" s="1" t="n">
        <v>45901.52850694444</v>
      </c>
      <c r="C788" s="1" t="n">
        <v>45991</v>
      </c>
      <c r="D788" t="inlineStr">
        <is>
          <t>VÄSTERBOTTENS LÄN</t>
        </is>
      </c>
      <c r="E788" t="inlineStr">
        <is>
          <t>SKELLEFTEÅ</t>
        </is>
      </c>
      <c r="F788" t="inlineStr">
        <is>
          <t>Holmen skog AB</t>
        </is>
      </c>
      <c r="G788" t="n">
        <v>4.4</v>
      </c>
      <c r="H788" t="n">
        <v>0</v>
      </c>
      <c r="I788" t="n">
        <v>0</v>
      </c>
      <c r="J788" t="n">
        <v>0</v>
      </c>
      <c r="K788" t="n">
        <v>0</v>
      </c>
      <c r="L788" t="n">
        <v>0</v>
      </c>
      <c r="M788" t="n">
        <v>0</v>
      </c>
      <c r="N788" t="n">
        <v>0</v>
      </c>
      <c r="O788" t="n">
        <v>0</v>
      </c>
      <c r="P788" t="n">
        <v>0</v>
      </c>
      <c r="Q788" t="n">
        <v>0</v>
      </c>
      <c r="R788" s="2" t="inlineStr"/>
    </row>
    <row r="789" ht="15" customHeight="1">
      <c r="A789" t="inlineStr">
        <is>
          <t>A 544-2025</t>
        </is>
      </c>
      <c r="B789" s="1" t="n">
        <v>45660</v>
      </c>
      <c r="C789" s="1" t="n">
        <v>45991</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29134-2025</t>
        </is>
      </c>
      <c r="B790" s="1" t="n">
        <v>45821.60568287037</v>
      </c>
      <c r="C790" s="1" t="n">
        <v>45991</v>
      </c>
      <c r="D790" t="inlineStr">
        <is>
          <t>VÄSTERBOTTENS LÄN</t>
        </is>
      </c>
      <c r="E790" t="inlineStr">
        <is>
          <t>SKELLEFTEÅ</t>
        </is>
      </c>
      <c r="F790" t="inlineStr">
        <is>
          <t>Holmen skog AB</t>
        </is>
      </c>
      <c r="G790" t="n">
        <v>10.5</v>
      </c>
      <c r="H790" t="n">
        <v>0</v>
      </c>
      <c r="I790" t="n">
        <v>0</v>
      </c>
      <c r="J790" t="n">
        <v>0</v>
      </c>
      <c r="K790" t="n">
        <v>0</v>
      </c>
      <c r="L790" t="n">
        <v>0</v>
      </c>
      <c r="M790" t="n">
        <v>0</v>
      </c>
      <c r="N790" t="n">
        <v>0</v>
      </c>
      <c r="O790" t="n">
        <v>0</v>
      </c>
      <c r="P790" t="n">
        <v>0</v>
      </c>
      <c r="Q790" t="n">
        <v>0</v>
      </c>
      <c r="R790" s="2" t="inlineStr"/>
    </row>
    <row r="791" ht="15" customHeight="1">
      <c r="A791" t="inlineStr">
        <is>
          <t>A 59180-2021</t>
        </is>
      </c>
      <c r="B791" s="1" t="n">
        <v>44489</v>
      </c>
      <c r="C791" s="1" t="n">
        <v>45991</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31669-2025</t>
        </is>
      </c>
      <c r="B792" s="1" t="n">
        <v>45834.36547453704</v>
      </c>
      <c r="C792" s="1" t="n">
        <v>45991</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40409-2025</t>
        </is>
      </c>
      <c r="B793" s="1" t="n">
        <v>45895</v>
      </c>
      <c r="C793" s="1" t="n">
        <v>45991</v>
      </c>
      <c r="D793" t="inlineStr">
        <is>
          <t>VÄSTERBOTTENS LÄN</t>
        </is>
      </c>
      <c r="E793" t="inlineStr">
        <is>
          <t>SKELLEFTEÅ</t>
        </is>
      </c>
      <c r="G793" t="n">
        <v>4.7</v>
      </c>
      <c r="H793" t="n">
        <v>0</v>
      </c>
      <c r="I793" t="n">
        <v>0</v>
      </c>
      <c r="J793" t="n">
        <v>0</v>
      </c>
      <c r="K793" t="n">
        <v>0</v>
      </c>
      <c r="L793" t="n">
        <v>0</v>
      </c>
      <c r="M793" t="n">
        <v>0</v>
      </c>
      <c r="N793" t="n">
        <v>0</v>
      </c>
      <c r="O793" t="n">
        <v>0</v>
      </c>
      <c r="P793" t="n">
        <v>0</v>
      </c>
      <c r="Q793" t="n">
        <v>0</v>
      </c>
      <c r="R793" s="2" t="inlineStr"/>
    </row>
    <row r="794" ht="15" customHeight="1">
      <c r="A794" t="inlineStr">
        <is>
          <t>A 38457-2022</t>
        </is>
      </c>
      <c r="B794" s="1" t="n">
        <v>44813</v>
      </c>
      <c r="C794" s="1" t="n">
        <v>45991</v>
      </c>
      <c r="D794" t="inlineStr">
        <is>
          <t>VÄSTERBOTTENS LÄN</t>
        </is>
      </c>
      <c r="E794" t="inlineStr">
        <is>
          <t>SKELLEFTEÅ</t>
        </is>
      </c>
      <c r="F794" t="inlineStr">
        <is>
          <t>Holmen skog AB</t>
        </is>
      </c>
      <c r="G794" t="n">
        <v>6.7</v>
      </c>
      <c r="H794" t="n">
        <v>0</v>
      </c>
      <c r="I794" t="n">
        <v>0</v>
      </c>
      <c r="J794" t="n">
        <v>0</v>
      </c>
      <c r="K794" t="n">
        <v>0</v>
      </c>
      <c r="L794" t="n">
        <v>0</v>
      </c>
      <c r="M794" t="n">
        <v>0</v>
      </c>
      <c r="N794" t="n">
        <v>0</v>
      </c>
      <c r="O794" t="n">
        <v>0</v>
      </c>
      <c r="P794" t="n">
        <v>0</v>
      </c>
      <c r="Q794" t="n">
        <v>0</v>
      </c>
      <c r="R794" s="2" t="inlineStr"/>
    </row>
    <row r="795" ht="15" customHeight="1">
      <c r="A795" t="inlineStr">
        <is>
          <t>A 28573-2025</t>
        </is>
      </c>
      <c r="B795" s="1" t="n">
        <v>45819</v>
      </c>
      <c r="C795" s="1" t="n">
        <v>45991</v>
      </c>
      <c r="D795" t="inlineStr">
        <is>
          <t>VÄSTERBOTTENS LÄN</t>
        </is>
      </c>
      <c r="E795" t="inlineStr">
        <is>
          <t>SKELLEFTEÅ</t>
        </is>
      </c>
      <c r="G795" t="n">
        <v>4.9</v>
      </c>
      <c r="H795" t="n">
        <v>0</v>
      </c>
      <c r="I795" t="n">
        <v>0</v>
      </c>
      <c r="J795" t="n">
        <v>0</v>
      </c>
      <c r="K795" t="n">
        <v>0</v>
      </c>
      <c r="L795" t="n">
        <v>0</v>
      </c>
      <c r="M795" t="n">
        <v>0</v>
      </c>
      <c r="N795" t="n">
        <v>0</v>
      </c>
      <c r="O795" t="n">
        <v>0</v>
      </c>
      <c r="P795" t="n">
        <v>0</v>
      </c>
      <c r="Q795" t="n">
        <v>0</v>
      </c>
      <c r="R795" s="2" t="inlineStr"/>
    </row>
    <row r="796" ht="15" customHeight="1">
      <c r="A796" t="inlineStr">
        <is>
          <t>A 22429-2025</t>
        </is>
      </c>
      <c r="B796" s="1" t="n">
        <v>45786</v>
      </c>
      <c r="C796" s="1" t="n">
        <v>45991</v>
      </c>
      <c r="D796" t="inlineStr">
        <is>
          <t>VÄSTERBOTTENS LÄN</t>
        </is>
      </c>
      <c r="E796" t="inlineStr">
        <is>
          <t>SKELLEFTEÅ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41720-2025</t>
        </is>
      </c>
      <c r="B797" s="1" t="n">
        <v>45902.4481712963</v>
      </c>
      <c r="C797" s="1" t="n">
        <v>45991</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14394-2025</t>
        </is>
      </c>
      <c r="B798" s="1" t="n">
        <v>45741</v>
      </c>
      <c r="C798" s="1" t="n">
        <v>45991</v>
      </c>
      <c r="D798" t="inlineStr">
        <is>
          <t>VÄSTERBOTTENS LÄN</t>
        </is>
      </c>
      <c r="E798" t="inlineStr">
        <is>
          <t>SKELLEFTEÅ</t>
        </is>
      </c>
      <c r="G798" t="n">
        <v>5.9</v>
      </c>
      <c r="H798" t="n">
        <v>0</v>
      </c>
      <c r="I798" t="n">
        <v>0</v>
      </c>
      <c r="J798" t="n">
        <v>0</v>
      </c>
      <c r="K798" t="n">
        <v>0</v>
      </c>
      <c r="L798" t="n">
        <v>0</v>
      </c>
      <c r="M798" t="n">
        <v>0</v>
      </c>
      <c r="N798" t="n">
        <v>0</v>
      </c>
      <c r="O798" t="n">
        <v>0</v>
      </c>
      <c r="P798" t="n">
        <v>0</v>
      </c>
      <c r="Q798" t="n">
        <v>0</v>
      </c>
      <c r="R798" s="2" t="inlineStr"/>
    </row>
    <row r="799" ht="15" customHeight="1">
      <c r="A799" t="inlineStr">
        <is>
          <t>A 41670-2025</t>
        </is>
      </c>
      <c r="B799" s="1" t="n">
        <v>45902.361875</v>
      </c>
      <c r="C799" s="1" t="n">
        <v>45991</v>
      </c>
      <c r="D799" t="inlineStr">
        <is>
          <t>VÄSTERBOTTENS LÄN</t>
        </is>
      </c>
      <c r="E799" t="inlineStr">
        <is>
          <t>SKELLEFTEÅ</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41909-2025</t>
        </is>
      </c>
      <c r="B800" s="1" t="n">
        <v>45903.4078125</v>
      </c>
      <c r="C800" s="1" t="n">
        <v>45991</v>
      </c>
      <c r="D800" t="inlineStr">
        <is>
          <t>VÄSTERBOTTENS LÄN</t>
        </is>
      </c>
      <c r="E800" t="inlineStr">
        <is>
          <t>SKELLEFTEÅ</t>
        </is>
      </c>
      <c r="G800" t="n">
        <v>4.4</v>
      </c>
      <c r="H800" t="n">
        <v>0</v>
      </c>
      <c r="I800" t="n">
        <v>0</v>
      </c>
      <c r="J800" t="n">
        <v>0</v>
      </c>
      <c r="K800" t="n">
        <v>0</v>
      </c>
      <c r="L800" t="n">
        <v>0</v>
      </c>
      <c r="M800" t="n">
        <v>0</v>
      </c>
      <c r="N800" t="n">
        <v>0</v>
      </c>
      <c r="O800" t="n">
        <v>0</v>
      </c>
      <c r="P800" t="n">
        <v>0</v>
      </c>
      <c r="Q800" t="n">
        <v>0</v>
      </c>
      <c r="R800" s="2" t="inlineStr"/>
    </row>
    <row r="801" ht="15" customHeight="1">
      <c r="A801" t="inlineStr">
        <is>
          <t>A 41953-2025</t>
        </is>
      </c>
      <c r="B801" s="1" t="n">
        <v>45903.45978009259</v>
      </c>
      <c r="C801" s="1" t="n">
        <v>45991</v>
      </c>
      <c r="D801" t="inlineStr">
        <is>
          <t>VÄSTERBOTTENS LÄN</t>
        </is>
      </c>
      <c r="E801" t="inlineStr">
        <is>
          <t>SKELLEFTEÅ</t>
        </is>
      </c>
      <c r="F801" t="inlineStr">
        <is>
          <t>Holmen skog AB</t>
        </is>
      </c>
      <c r="G801" t="n">
        <v>3.9</v>
      </c>
      <c r="H801" t="n">
        <v>0</v>
      </c>
      <c r="I801" t="n">
        <v>0</v>
      </c>
      <c r="J801" t="n">
        <v>0</v>
      </c>
      <c r="K801" t="n">
        <v>0</v>
      </c>
      <c r="L801" t="n">
        <v>0</v>
      </c>
      <c r="M801" t="n">
        <v>0</v>
      </c>
      <c r="N801" t="n">
        <v>0</v>
      </c>
      <c r="O801" t="n">
        <v>0</v>
      </c>
      <c r="P801" t="n">
        <v>0</v>
      </c>
      <c r="Q801" t="n">
        <v>0</v>
      </c>
      <c r="R801" s="2" t="inlineStr"/>
    </row>
    <row r="802" ht="15" customHeight="1">
      <c r="A802" t="inlineStr">
        <is>
          <t>A 28148-2023</t>
        </is>
      </c>
      <c r="B802" s="1" t="n">
        <v>45099.48684027778</v>
      </c>
      <c r="C802" s="1" t="n">
        <v>45991</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42007-2025</t>
        </is>
      </c>
      <c r="B803" s="1" t="n">
        <v>45903.55988425926</v>
      </c>
      <c r="C803" s="1" t="n">
        <v>45991</v>
      </c>
      <c r="D803" t="inlineStr">
        <is>
          <t>VÄSTERBOTTENS LÄN</t>
        </is>
      </c>
      <c r="E803" t="inlineStr">
        <is>
          <t>SKELLEFTEÅ</t>
        </is>
      </c>
      <c r="F803" t="inlineStr">
        <is>
          <t>Holmen skog AB</t>
        </is>
      </c>
      <c r="G803" t="n">
        <v>2.5</v>
      </c>
      <c r="H803" t="n">
        <v>0</v>
      </c>
      <c r="I803" t="n">
        <v>0</v>
      </c>
      <c r="J803" t="n">
        <v>0</v>
      </c>
      <c r="K803" t="n">
        <v>0</v>
      </c>
      <c r="L803" t="n">
        <v>0</v>
      </c>
      <c r="M803" t="n">
        <v>0</v>
      </c>
      <c r="N803" t="n">
        <v>0</v>
      </c>
      <c r="O803" t="n">
        <v>0</v>
      </c>
      <c r="P803" t="n">
        <v>0</v>
      </c>
      <c r="Q803" t="n">
        <v>0</v>
      </c>
      <c r="R803" s="2" t="inlineStr"/>
    </row>
    <row r="804" ht="15" customHeight="1">
      <c r="A804" t="inlineStr">
        <is>
          <t>A 28787-2025</t>
        </is>
      </c>
      <c r="B804" s="1" t="n">
        <v>45820.46806712963</v>
      </c>
      <c r="C804" s="1" t="n">
        <v>45991</v>
      </c>
      <c r="D804" t="inlineStr">
        <is>
          <t>VÄSTERBOTTENS LÄN</t>
        </is>
      </c>
      <c r="E804" t="inlineStr">
        <is>
          <t>SKELLEFTEÅ</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54880-2024</t>
        </is>
      </c>
      <c r="B805" s="1" t="n">
        <v>45618.61046296296</v>
      </c>
      <c r="C805" s="1" t="n">
        <v>45991</v>
      </c>
      <c r="D805" t="inlineStr">
        <is>
          <t>VÄSTERBOTTENS LÄN</t>
        </is>
      </c>
      <c r="E805" t="inlineStr">
        <is>
          <t>SKELLEFTEÅ</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28171-2023</t>
        </is>
      </c>
      <c r="B806" s="1" t="n">
        <v>45096</v>
      </c>
      <c r="C806" s="1" t="n">
        <v>45991</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42020-2025</t>
        </is>
      </c>
      <c r="B807" s="1" t="n">
        <v>45903.58728009259</v>
      </c>
      <c r="C807" s="1" t="n">
        <v>45991</v>
      </c>
      <c r="D807" t="inlineStr">
        <is>
          <t>VÄSTERBOTTENS LÄN</t>
        </is>
      </c>
      <c r="E807" t="inlineStr">
        <is>
          <t>SKELLEFTEÅ</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52062-2023</t>
        </is>
      </c>
      <c r="B808" s="1" t="n">
        <v>45216</v>
      </c>
      <c r="C808" s="1" t="n">
        <v>45991</v>
      </c>
      <c r="D808" t="inlineStr">
        <is>
          <t>VÄSTERBOTTENS LÄN</t>
        </is>
      </c>
      <c r="E808" t="inlineStr">
        <is>
          <t>SKELLEFTEÅ</t>
        </is>
      </c>
      <c r="G808" t="n">
        <v>3.6</v>
      </c>
      <c r="H808" t="n">
        <v>0</v>
      </c>
      <c r="I808" t="n">
        <v>0</v>
      </c>
      <c r="J808" t="n">
        <v>0</v>
      </c>
      <c r="K808" t="n">
        <v>0</v>
      </c>
      <c r="L808" t="n">
        <v>0</v>
      </c>
      <c r="M808" t="n">
        <v>0</v>
      </c>
      <c r="N808" t="n">
        <v>0</v>
      </c>
      <c r="O808" t="n">
        <v>0</v>
      </c>
      <c r="P808" t="n">
        <v>0</v>
      </c>
      <c r="Q808" t="n">
        <v>0</v>
      </c>
      <c r="R808" s="2" t="inlineStr"/>
    </row>
    <row r="809" ht="15" customHeight="1">
      <c r="A809" t="inlineStr">
        <is>
          <t>A 28777-2025</t>
        </is>
      </c>
      <c r="B809" s="1" t="n">
        <v>45820.44814814815</v>
      </c>
      <c r="C809" s="1" t="n">
        <v>45991</v>
      </c>
      <c r="D809" t="inlineStr">
        <is>
          <t>VÄSTERBOTTENS LÄN</t>
        </is>
      </c>
      <c r="E809" t="inlineStr">
        <is>
          <t>SKELLEFTEÅ</t>
        </is>
      </c>
      <c r="G809" t="n">
        <v>12.4</v>
      </c>
      <c r="H809" t="n">
        <v>0</v>
      </c>
      <c r="I809" t="n">
        <v>0</v>
      </c>
      <c r="J809" t="n">
        <v>0</v>
      </c>
      <c r="K809" t="n">
        <v>0</v>
      </c>
      <c r="L809" t="n">
        <v>0</v>
      </c>
      <c r="M809" t="n">
        <v>0</v>
      </c>
      <c r="N809" t="n">
        <v>0</v>
      </c>
      <c r="O809" t="n">
        <v>0</v>
      </c>
      <c r="P809" t="n">
        <v>0</v>
      </c>
      <c r="Q809" t="n">
        <v>0</v>
      </c>
      <c r="R809" s="2" t="inlineStr"/>
    </row>
    <row r="810" ht="15" customHeight="1">
      <c r="A810" t="inlineStr">
        <is>
          <t>A 36149-2025</t>
        </is>
      </c>
      <c r="B810" s="1" t="n">
        <v>45866</v>
      </c>
      <c r="C810" s="1" t="n">
        <v>45991</v>
      </c>
      <c r="D810" t="inlineStr">
        <is>
          <t>VÄSTERBOTTENS LÄN</t>
        </is>
      </c>
      <c r="E810" t="inlineStr">
        <is>
          <t>SKELLEFTEÅ</t>
        </is>
      </c>
      <c r="G810" t="n">
        <v>4.4</v>
      </c>
      <c r="H810" t="n">
        <v>0</v>
      </c>
      <c r="I810" t="n">
        <v>0</v>
      </c>
      <c r="J810" t="n">
        <v>0</v>
      </c>
      <c r="K810" t="n">
        <v>0</v>
      </c>
      <c r="L810" t="n">
        <v>0</v>
      </c>
      <c r="M810" t="n">
        <v>0</v>
      </c>
      <c r="N810" t="n">
        <v>0</v>
      </c>
      <c r="O810" t="n">
        <v>0</v>
      </c>
      <c r="P810" t="n">
        <v>0</v>
      </c>
      <c r="Q810" t="n">
        <v>0</v>
      </c>
      <c r="R810" s="2" t="inlineStr"/>
    </row>
    <row r="811" ht="15" customHeight="1">
      <c r="A811" t="inlineStr">
        <is>
          <t>A 31780-2025</t>
        </is>
      </c>
      <c r="B811" s="1" t="n">
        <v>45834.52940972222</v>
      </c>
      <c r="C811" s="1" t="n">
        <v>45991</v>
      </c>
      <c r="D811" t="inlineStr">
        <is>
          <t>VÄSTERBOTTENS LÄN</t>
        </is>
      </c>
      <c r="E811" t="inlineStr">
        <is>
          <t>SKELLEFTEÅ</t>
        </is>
      </c>
      <c r="G811" t="n">
        <v>7.8</v>
      </c>
      <c r="H811" t="n">
        <v>0</v>
      </c>
      <c r="I811" t="n">
        <v>0</v>
      </c>
      <c r="J811" t="n">
        <v>0</v>
      </c>
      <c r="K811" t="n">
        <v>0</v>
      </c>
      <c r="L811" t="n">
        <v>0</v>
      </c>
      <c r="M811" t="n">
        <v>0</v>
      </c>
      <c r="N811" t="n">
        <v>0</v>
      </c>
      <c r="O811" t="n">
        <v>0</v>
      </c>
      <c r="P811" t="n">
        <v>0</v>
      </c>
      <c r="Q811" t="n">
        <v>0</v>
      </c>
      <c r="R811" s="2" t="inlineStr"/>
    </row>
    <row r="812" ht="15" customHeight="1">
      <c r="A812" t="inlineStr">
        <is>
          <t>A 61145-2023</t>
        </is>
      </c>
      <c r="B812" s="1" t="n">
        <v>45261.96739583334</v>
      </c>
      <c r="C812" s="1" t="n">
        <v>45991</v>
      </c>
      <c r="D812" t="inlineStr">
        <is>
          <t>VÄSTERBOTTENS LÄN</t>
        </is>
      </c>
      <c r="E812" t="inlineStr">
        <is>
          <t>SKELLEFTEÅ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20825-2025</t>
        </is>
      </c>
      <c r="B813" s="1" t="n">
        <v>45776</v>
      </c>
      <c r="C813" s="1" t="n">
        <v>45991</v>
      </c>
      <c r="D813" t="inlineStr">
        <is>
          <t>VÄSTERBOTTENS LÄN</t>
        </is>
      </c>
      <c r="E813" t="inlineStr">
        <is>
          <t>SKELLEFTEÅ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41908-2025</t>
        </is>
      </c>
      <c r="B814" s="1" t="n">
        <v>45903.40730324074</v>
      </c>
      <c r="C814" s="1" t="n">
        <v>45991</v>
      </c>
      <c r="D814" t="inlineStr">
        <is>
          <t>VÄSTERBOTTENS LÄN</t>
        </is>
      </c>
      <c r="E814" t="inlineStr">
        <is>
          <t>SKELLEFTEÅ</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25515-2021</t>
        </is>
      </c>
      <c r="B815" s="1" t="n">
        <v>44342.94759259259</v>
      </c>
      <c r="C815" s="1" t="n">
        <v>45991</v>
      </c>
      <c r="D815" t="inlineStr">
        <is>
          <t>VÄSTERBOTTENS LÄN</t>
        </is>
      </c>
      <c r="E815" t="inlineStr">
        <is>
          <t>SKELLEFTEÅ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70748-2021</t>
        </is>
      </c>
      <c r="B816" s="1" t="n">
        <v>44537.63729166667</v>
      </c>
      <c r="C816" s="1" t="n">
        <v>45991</v>
      </c>
      <c r="D816" t="inlineStr">
        <is>
          <t>VÄSTERBOTTENS LÄN</t>
        </is>
      </c>
      <c r="E816" t="inlineStr">
        <is>
          <t>SKELLEFTEÅ</t>
        </is>
      </c>
      <c r="G816" t="n">
        <v>3.4</v>
      </c>
      <c r="H816" t="n">
        <v>0</v>
      </c>
      <c r="I816" t="n">
        <v>0</v>
      </c>
      <c r="J816" t="n">
        <v>0</v>
      </c>
      <c r="K816" t="n">
        <v>0</v>
      </c>
      <c r="L816" t="n">
        <v>0</v>
      </c>
      <c r="M816" t="n">
        <v>0</v>
      </c>
      <c r="N816" t="n">
        <v>0</v>
      </c>
      <c r="O816" t="n">
        <v>0</v>
      </c>
      <c r="P816" t="n">
        <v>0</v>
      </c>
      <c r="Q816" t="n">
        <v>0</v>
      </c>
      <c r="R816" s="2" t="inlineStr"/>
    </row>
    <row r="817" ht="15" customHeight="1">
      <c r="A817" t="inlineStr">
        <is>
          <t>A 41910-2025</t>
        </is>
      </c>
      <c r="B817" s="1" t="n">
        <v>45903.40789351852</v>
      </c>
      <c r="C817" s="1" t="n">
        <v>45991</v>
      </c>
      <c r="D817" t="inlineStr">
        <is>
          <t>VÄSTERBOTTENS LÄN</t>
        </is>
      </c>
      <c r="E817" t="inlineStr">
        <is>
          <t>SKELLEFTEÅ</t>
        </is>
      </c>
      <c r="G817" t="n">
        <v>4</v>
      </c>
      <c r="H817" t="n">
        <v>0</v>
      </c>
      <c r="I817" t="n">
        <v>0</v>
      </c>
      <c r="J817" t="n">
        <v>0</v>
      </c>
      <c r="K817" t="n">
        <v>0</v>
      </c>
      <c r="L817" t="n">
        <v>0</v>
      </c>
      <c r="M817" t="n">
        <v>0</v>
      </c>
      <c r="N817" t="n">
        <v>0</v>
      </c>
      <c r="O817" t="n">
        <v>0</v>
      </c>
      <c r="P817" t="n">
        <v>0</v>
      </c>
      <c r="Q817" t="n">
        <v>0</v>
      </c>
      <c r="R817" s="2" t="inlineStr"/>
    </row>
    <row r="818" ht="15" customHeight="1">
      <c r="A818" t="inlineStr">
        <is>
          <t>A 41917-2025</t>
        </is>
      </c>
      <c r="B818" s="1" t="n">
        <v>45903.42202546296</v>
      </c>
      <c r="C818" s="1" t="n">
        <v>45991</v>
      </c>
      <c r="D818" t="inlineStr">
        <is>
          <t>VÄSTERBOTTENS LÄN</t>
        </is>
      </c>
      <c r="E818" t="inlineStr">
        <is>
          <t>SKELLEFTEÅ</t>
        </is>
      </c>
      <c r="G818" t="n">
        <v>4.3</v>
      </c>
      <c r="H818" t="n">
        <v>0</v>
      </c>
      <c r="I818" t="n">
        <v>0</v>
      </c>
      <c r="J818" t="n">
        <v>0</v>
      </c>
      <c r="K818" t="n">
        <v>0</v>
      </c>
      <c r="L818" t="n">
        <v>0</v>
      </c>
      <c r="M818" t="n">
        <v>0</v>
      </c>
      <c r="N818" t="n">
        <v>0</v>
      </c>
      <c r="O818" t="n">
        <v>0</v>
      </c>
      <c r="P818" t="n">
        <v>0</v>
      </c>
      <c r="Q818" t="n">
        <v>0</v>
      </c>
      <c r="R818" s="2" t="inlineStr"/>
    </row>
    <row r="819" ht="15" customHeight="1">
      <c r="A819" t="inlineStr">
        <is>
          <t>A 28989-2025</t>
        </is>
      </c>
      <c r="B819" s="1" t="n">
        <v>45821.37027777778</v>
      </c>
      <c r="C819" s="1" t="n">
        <v>45991</v>
      </c>
      <c r="D819" t="inlineStr">
        <is>
          <t>VÄSTERBOTTENS LÄN</t>
        </is>
      </c>
      <c r="E819" t="inlineStr">
        <is>
          <t>SKELLEFTEÅ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28291-2021</t>
        </is>
      </c>
      <c r="B820" s="1" t="n">
        <v>44356.27717592593</v>
      </c>
      <c r="C820" s="1" t="n">
        <v>45991</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41721-2025</t>
        </is>
      </c>
      <c r="B821" s="1" t="n">
        <v>45902.44825231482</v>
      </c>
      <c r="C821" s="1" t="n">
        <v>45991</v>
      </c>
      <c r="D821" t="inlineStr">
        <is>
          <t>VÄSTERBOTTENS LÄN</t>
        </is>
      </c>
      <c r="E821" t="inlineStr">
        <is>
          <t>SKELLEFTEÅ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35338-2023</t>
        </is>
      </c>
      <c r="B822" s="1" t="n">
        <v>45145</v>
      </c>
      <c r="C822" s="1" t="n">
        <v>45991</v>
      </c>
      <c r="D822" t="inlineStr">
        <is>
          <t>VÄSTERBOTTENS LÄN</t>
        </is>
      </c>
      <c r="E822" t="inlineStr">
        <is>
          <t>SKELLEFTEÅ</t>
        </is>
      </c>
      <c r="G822" t="n">
        <v>4.1</v>
      </c>
      <c r="H822" t="n">
        <v>0</v>
      </c>
      <c r="I822" t="n">
        <v>0</v>
      </c>
      <c r="J822" t="n">
        <v>0</v>
      </c>
      <c r="K822" t="n">
        <v>0</v>
      </c>
      <c r="L822" t="n">
        <v>0</v>
      </c>
      <c r="M822" t="n">
        <v>0</v>
      </c>
      <c r="N822" t="n">
        <v>0</v>
      </c>
      <c r="O822" t="n">
        <v>0</v>
      </c>
      <c r="P822" t="n">
        <v>0</v>
      </c>
      <c r="Q822" t="n">
        <v>0</v>
      </c>
      <c r="R822" s="2" t="inlineStr"/>
    </row>
    <row r="823" ht="15" customHeight="1">
      <c r="A823" t="inlineStr">
        <is>
          <t>A 28984-2025</t>
        </is>
      </c>
      <c r="B823" s="1" t="n">
        <v>45821.36861111111</v>
      </c>
      <c r="C823" s="1" t="n">
        <v>45991</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27219-2025</t>
        </is>
      </c>
      <c r="B824" s="1" t="n">
        <v>45812</v>
      </c>
      <c r="C824" s="1" t="n">
        <v>45991</v>
      </c>
      <c r="D824" t="inlineStr">
        <is>
          <t>VÄSTERBOTTENS LÄN</t>
        </is>
      </c>
      <c r="E824" t="inlineStr">
        <is>
          <t>SKELLEFTEÅ</t>
        </is>
      </c>
      <c r="G824" t="n">
        <v>5.1</v>
      </c>
      <c r="H824" t="n">
        <v>0</v>
      </c>
      <c r="I824" t="n">
        <v>0</v>
      </c>
      <c r="J824" t="n">
        <v>0</v>
      </c>
      <c r="K824" t="n">
        <v>0</v>
      </c>
      <c r="L824" t="n">
        <v>0</v>
      </c>
      <c r="M824" t="n">
        <v>0</v>
      </c>
      <c r="N824" t="n">
        <v>0</v>
      </c>
      <c r="O824" t="n">
        <v>0</v>
      </c>
      <c r="P824" t="n">
        <v>0</v>
      </c>
      <c r="Q824" t="n">
        <v>0</v>
      </c>
      <c r="R824" s="2" t="inlineStr"/>
    </row>
    <row r="825" ht="15" customHeight="1">
      <c r="A825" t="inlineStr">
        <is>
          <t>A 42241-2025</t>
        </is>
      </c>
      <c r="B825" s="1" t="n">
        <v>45903</v>
      </c>
      <c r="C825" s="1" t="n">
        <v>45991</v>
      </c>
      <c r="D825" t="inlineStr">
        <is>
          <t>VÄSTERBOTTENS LÄN</t>
        </is>
      </c>
      <c r="E825" t="inlineStr">
        <is>
          <t>SKELLEFTEÅ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22516-2023</t>
        </is>
      </c>
      <c r="B826" s="1" t="n">
        <v>45069</v>
      </c>
      <c r="C826" s="1" t="n">
        <v>45991</v>
      </c>
      <c r="D826" t="inlineStr">
        <is>
          <t>VÄSTERBOTTENS LÄN</t>
        </is>
      </c>
      <c r="E826" t="inlineStr">
        <is>
          <t>SKELLEFTEÅ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42234-2025</t>
        </is>
      </c>
      <c r="B827" s="1" t="n">
        <v>45903</v>
      </c>
      <c r="C827" s="1" t="n">
        <v>45991</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41677-2025</t>
        </is>
      </c>
      <c r="B828" s="1" t="n">
        <v>45902.37362268518</v>
      </c>
      <c r="C828" s="1" t="n">
        <v>45991</v>
      </c>
      <c r="D828" t="inlineStr">
        <is>
          <t>VÄSTERBOTTENS LÄN</t>
        </is>
      </c>
      <c r="E828" t="inlineStr">
        <is>
          <t>SKELLEFTEÅ</t>
        </is>
      </c>
      <c r="F828" t="inlineStr">
        <is>
          <t>Holmen skog AB</t>
        </is>
      </c>
      <c r="G828" t="n">
        <v>1</v>
      </c>
      <c r="H828" t="n">
        <v>0</v>
      </c>
      <c r="I828" t="n">
        <v>0</v>
      </c>
      <c r="J828" t="n">
        <v>0</v>
      </c>
      <c r="K828" t="n">
        <v>0</v>
      </c>
      <c r="L828" t="n">
        <v>0</v>
      </c>
      <c r="M828" t="n">
        <v>0</v>
      </c>
      <c r="N828" t="n">
        <v>0</v>
      </c>
      <c r="O828" t="n">
        <v>0</v>
      </c>
      <c r="P828" t="n">
        <v>0</v>
      </c>
      <c r="Q828" t="n">
        <v>0</v>
      </c>
      <c r="R828" s="2" t="inlineStr"/>
    </row>
    <row r="829" ht="15" customHeight="1">
      <c r="A829" t="inlineStr">
        <is>
          <t>A 28804-2025</t>
        </is>
      </c>
      <c r="B829" s="1" t="n">
        <v>45820.50423611111</v>
      </c>
      <c r="C829" s="1" t="n">
        <v>45991</v>
      </c>
      <c r="D829" t="inlineStr">
        <is>
          <t>VÄSTERBOTTENS LÄN</t>
        </is>
      </c>
      <c r="E829" t="inlineStr">
        <is>
          <t>SKELLEFTEÅ</t>
        </is>
      </c>
      <c r="F829" t="inlineStr">
        <is>
          <t>Holmen skog AB</t>
        </is>
      </c>
      <c r="G829" t="n">
        <v>10.5</v>
      </c>
      <c r="H829" t="n">
        <v>0</v>
      </c>
      <c r="I829" t="n">
        <v>0</v>
      </c>
      <c r="J829" t="n">
        <v>0</v>
      </c>
      <c r="K829" t="n">
        <v>0</v>
      </c>
      <c r="L829" t="n">
        <v>0</v>
      </c>
      <c r="M829" t="n">
        <v>0</v>
      </c>
      <c r="N829" t="n">
        <v>0</v>
      </c>
      <c r="O829" t="n">
        <v>0</v>
      </c>
      <c r="P829" t="n">
        <v>0</v>
      </c>
      <c r="Q829" t="n">
        <v>0</v>
      </c>
      <c r="R829" s="2" t="inlineStr"/>
    </row>
    <row r="830" ht="15" customHeight="1">
      <c r="A830" t="inlineStr">
        <is>
          <t>A 41701-2025</t>
        </is>
      </c>
      <c r="B830" s="1" t="n">
        <v>45902.41085648148</v>
      </c>
      <c r="C830" s="1" t="n">
        <v>45991</v>
      </c>
      <c r="D830" t="inlineStr">
        <is>
          <t>VÄSTERBOTTENS LÄN</t>
        </is>
      </c>
      <c r="E830" t="inlineStr">
        <is>
          <t>SKELLEFTEÅ</t>
        </is>
      </c>
      <c r="G830" t="n">
        <v>6</v>
      </c>
      <c r="H830" t="n">
        <v>0</v>
      </c>
      <c r="I830" t="n">
        <v>0</v>
      </c>
      <c r="J830" t="n">
        <v>0</v>
      </c>
      <c r="K830" t="n">
        <v>0</v>
      </c>
      <c r="L830" t="n">
        <v>0</v>
      </c>
      <c r="M830" t="n">
        <v>0</v>
      </c>
      <c r="N830" t="n">
        <v>0</v>
      </c>
      <c r="O830" t="n">
        <v>0</v>
      </c>
      <c r="P830" t="n">
        <v>0</v>
      </c>
      <c r="Q830" t="n">
        <v>0</v>
      </c>
      <c r="R830" s="2" t="inlineStr"/>
    </row>
    <row r="831" ht="15" customHeight="1">
      <c r="A831" t="inlineStr">
        <is>
          <t>A 29277-2025</t>
        </is>
      </c>
      <c r="B831" s="1" t="n">
        <v>45824.41894675926</v>
      </c>
      <c r="C831" s="1" t="n">
        <v>45991</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29455-2025</t>
        </is>
      </c>
      <c r="B832" s="1" t="n">
        <v>45824.68148148148</v>
      </c>
      <c r="C832" s="1" t="n">
        <v>45991</v>
      </c>
      <c r="D832" t="inlineStr">
        <is>
          <t>VÄSTERBOTTENS LÄN</t>
        </is>
      </c>
      <c r="E832" t="inlineStr">
        <is>
          <t>SKELLEFTEÅ</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42248-2025</t>
        </is>
      </c>
      <c r="B833" s="1" t="n">
        <v>45903</v>
      </c>
      <c r="C833" s="1" t="n">
        <v>45991</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42250-2025</t>
        </is>
      </c>
      <c r="B834" s="1" t="n">
        <v>45903</v>
      </c>
      <c r="C834" s="1" t="n">
        <v>45991</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29413-2025</t>
        </is>
      </c>
      <c r="B835" s="1" t="n">
        <v>45824.62412037037</v>
      </c>
      <c r="C835" s="1" t="n">
        <v>45991</v>
      </c>
      <c r="D835" t="inlineStr">
        <is>
          <t>VÄSTERBOTTENS LÄN</t>
        </is>
      </c>
      <c r="E835" t="inlineStr">
        <is>
          <t>SKELLEFTEÅ</t>
        </is>
      </c>
      <c r="F835" t="inlineStr">
        <is>
          <t>Holmen skog AB</t>
        </is>
      </c>
      <c r="G835" t="n">
        <v>13.2</v>
      </c>
      <c r="H835" t="n">
        <v>0</v>
      </c>
      <c r="I835" t="n">
        <v>0</v>
      </c>
      <c r="J835" t="n">
        <v>0</v>
      </c>
      <c r="K835" t="n">
        <v>0</v>
      </c>
      <c r="L835" t="n">
        <v>0</v>
      </c>
      <c r="M835" t="n">
        <v>0</v>
      </c>
      <c r="N835" t="n">
        <v>0</v>
      </c>
      <c r="O835" t="n">
        <v>0</v>
      </c>
      <c r="P835" t="n">
        <v>0</v>
      </c>
      <c r="Q835" t="n">
        <v>0</v>
      </c>
      <c r="R835" s="2" t="inlineStr"/>
    </row>
    <row r="836" ht="15" customHeight="1">
      <c r="A836" t="inlineStr">
        <is>
          <t>A 46268-2024</t>
        </is>
      </c>
      <c r="B836" s="1" t="n">
        <v>45581</v>
      </c>
      <c r="C836" s="1" t="n">
        <v>45991</v>
      </c>
      <c r="D836" t="inlineStr">
        <is>
          <t>VÄSTERBOTTENS LÄN</t>
        </is>
      </c>
      <c r="E836" t="inlineStr">
        <is>
          <t>SKELLEFTEÅ</t>
        </is>
      </c>
      <c r="F836" t="inlineStr">
        <is>
          <t>Holmen skog AB</t>
        </is>
      </c>
      <c r="G836" t="n">
        <v>0.3</v>
      </c>
      <c r="H836" t="n">
        <v>0</v>
      </c>
      <c r="I836" t="n">
        <v>0</v>
      </c>
      <c r="J836" t="n">
        <v>0</v>
      </c>
      <c r="K836" t="n">
        <v>0</v>
      </c>
      <c r="L836" t="n">
        <v>0</v>
      </c>
      <c r="M836" t="n">
        <v>0</v>
      </c>
      <c r="N836" t="n">
        <v>0</v>
      </c>
      <c r="O836" t="n">
        <v>0</v>
      </c>
      <c r="P836" t="n">
        <v>0</v>
      </c>
      <c r="Q836" t="n">
        <v>0</v>
      </c>
      <c r="R836" s="2" t="inlineStr"/>
    </row>
    <row r="837" ht="15" customHeight="1">
      <c r="A837" t="inlineStr">
        <is>
          <t>A 46377-2024</t>
        </is>
      </c>
      <c r="B837" s="1" t="n">
        <v>45582</v>
      </c>
      <c r="C837" s="1" t="n">
        <v>45991</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42059-2025</t>
        </is>
      </c>
      <c r="B838" s="1" t="n">
        <v>45903</v>
      </c>
      <c r="C838" s="1" t="n">
        <v>45991</v>
      </c>
      <c r="D838" t="inlineStr">
        <is>
          <t>VÄSTERBOTTENS LÄN</t>
        </is>
      </c>
      <c r="E838" t="inlineStr">
        <is>
          <t>SKELLEFTEÅ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27990-2024</t>
        </is>
      </c>
      <c r="B839" s="1" t="n">
        <v>45476.42824074074</v>
      </c>
      <c r="C839" s="1" t="n">
        <v>45991</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41992-2025</t>
        </is>
      </c>
      <c r="B840" s="1" t="n">
        <v>45903</v>
      </c>
      <c r="C840" s="1" t="n">
        <v>45991</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35437-2023</t>
        </is>
      </c>
      <c r="B841" s="1" t="n">
        <v>45146</v>
      </c>
      <c r="C841" s="1" t="n">
        <v>45991</v>
      </c>
      <c r="D841" t="inlineStr">
        <is>
          <t>VÄSTERBOTTENS LÄN</t>
        </is>
      </c>
      <c r="E841" t="inlineStr">
        <is>
          <t>SKELLEFTEÅ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29442-2025</t>
        </is>
      </c>
      <c r="B842" s="1" t="n">
        <v>45824.66078703704</v>
      </c>
      <c r="C842" s="1" t="n">
        <v>45991</v>
      </c>
      <c r="D842" t="inlineStr">
        <is>
          <t>VÄSTERBOTTENS LÄN</t>
        </is>
      </c>
      <c r="E842" t="inlineStr">
        <is>
          <t>SKELLEFTEÅ</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41697-2025</t>
        </is>
      </c>
      <c r="B843" s="1" t="n">
        <v>45902.4074537037</v>
      </c>
      <c r="C843" s="1" t="n">
        <v>45991</v>
      </c>
      <c r="D843" t="inlineStr">
        <is>
          <t>VÄSTERBOTTENS LÄN</t>
        </is>
      </c>
      <c r="E843" t="inlineStr">
        <is>
          <t>SKELLEFTEÅ</t>
        </is>
      </c>
      <c r="G843" t="n">
        <v>3.2</v>
      </c>
      <c r="H843" t="n">
        <v>0</v>
      </c>
      <c r="I843" t="n">
        <v>0</v>
      </c>
      <c r="J843" t="n">
        <v>0</v>
      </c>
      <c r="K843" t="n">
        <v>0</v>
      </c>
      <c r="L843" t="n">
        <v>0</v>
      </c>
      <c r="M843" t="n">
        <v>0</v>
      </c>
      <c r="N843" t="n">
        <v>0</v>
      </c>
      <c r="O843" t="n">
        <v>0</v>
      </c>
      <c r="P843" t="n">
        <v>0</v>
      </c>
      <c r="Q843" t="n">
        <v>0</v>
      </c>
      <c r="R843" s="2" t="inlineStr"/>
    </row>
    <row r="844" ht="15" customHeight="1">
      <c r="A844" t="inlineStr">
        <is>
          <t>A 29194-2025</t>
        </is>
      </c>
      <c r="B844" s="1" t="n">
        <v>45822</v>
      </c>
      <c r="C844" s="1" t="n">
        <v>45991</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42086-2025</t>
        </is>
      </c>
      <c r="B845" s="1" t="n">
        <v>45903.69359953704</v>
      </c>
      <c r="C845" s="1" t="n">
        <v>45991</v>
      </c>
      <c r="D845" t="inlineStr">
        <is>
          <t>VÄSTERBOTTENS LÄN</t>
        </is>
      </c>
      <c r="E845" t="inlineStr">
        <is>
          <t>SKELLEFTEÅ</t>
        </is>
      </c>
      <c r="G845" t="n">
        <v>5.5</v>
      </c>
      <c r="H845" t="n">
        <v>0</v>
      </c>
      <c r="I845" t="n">
        <v>0</v>
      </c>
      <c r="J845" t="n">
        <v>0</v>
      </c>
      <c r="K845" t="n">
        <v>0</v>
      </c>
      <c r="L845" t="n">
        <v>0</v>
      </c>
      <c r="M845" t="n">
        <v>0</v>
      </c>
      <c r="N845" t="n">
        <v>0</v>
      </c>
      <c r="O845" t="n">
        <v>0</v>
      </c>
      <c r="P845" t="n">
        <v>0</v>
      </c>
      <c r="Q845" t="n">
        <v>0</v>
      </c>
      <c r="R845" s="2" t="inlineStr"/>
    </row>
    <row r="846" ht="15" customHeight="1">
      <c r="A846" t="inlineStr">
        <is>
          <t>A 41973-2025</t>
        </is>
      </c>
      <c r="B846" s="1" t="n">
        <v>45903.49407407407</v>
      </c>
      <c r="C846" s="1" t="n">
        <v>45991</v>
      </c>
      <c r="D846" t="inlineStr">
        <is>
          <t>VÄSTERBOTTENS LÄN</t>
        </is>
      </c>
      <c r="E846" t="inlineStr">
        <is>
          <t>SKELLEFTEÅ</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29694-2025</t>
        </is>
      </c>
      <c r="B847" s="1" t="n">
        <v>45825.54637731481</v>
      </c>
      <c r="C847" s="1" t="n">
        <v>45991</v>
      </c>
      <c r="D847" t="inlineStr">
        <is>
          <t>VÄSTERBOTTENS LÄN</t>
        </is>
      </c>
      <c r="E847" t="inlineStr">
        <is>
          <t>SKELLEFTEÅ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29750-2025</t>
        </is>
      </c>
      <c r="B848" s="1" t="n">
        <v>45825.60854166667</v>
      </c>
      <c r="C848" s="1" t="n">
        <v>45991</v>
      </c>
      <c r="D848" t="inlineStr">
        <is>
          <t>VÄSTERBOTTENS LÄN</t>
        </is>
      </c>
      <c r="E848" t="inlineStr">
        <is>
          <t>SKELLEFTEÅ</t>
        </is>
      </c>
      <c r="F848" t="inlineStr">
        <is>
          <t>Holmen skog AB</t>
        </is>
      </c>
      <c r="G848" t="n">
        <v>5.1</v>
      </c>
      <c r="H848" t="n">
        <v>0</v>
      </c>
      <c r="I848" t="n">
        <v>0</v>
      </c>
      <c r="J848" t="n">
        <v>0</v>
      </c>
      <c r="K848" t="n">
        <v>0</v>
      </c>
      <c r="L848" t="n">
        <v>0</v>
      </c>
      <c r="M848" t="n">
        <v>0</v>
      </c>
      <c r="N848" t="n">
        <v>0</v>
      </c>
      <c r="O848" t="n">
        <v>0</v>
      </c>
      <c r="P848" t="n">
        <v>0</v>
      </c>
      <c r="Q848" t="n">
        <v>0</v>
      </c>
      <c r="R848" s="2" t="inlineStr"/>
    </row>
    <row r="849" ht="15" customHeight="1">
      <c r="A849" t="inlineStr">
        <is>
          <t>A 29757-2025</t>
        </is>
      </c>
      <c r="B849" s="1" t="n">
        <v>45825.61582175926</v>
      </c>
      <c r="C849" s="1" t="n">
        <v>45991</v>
      </c>
      <c r="D849" t="inlineStr">
        <is>
          <t>VÄSTERBOTTENS LÄN</t>
        </is>
      </c>
      <c r="E849" t="inlineStr">
        <is>
          <t>SKELLEFTEÅ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53642-2022</t>
        </is>
      </c>
      <c r="B850" s="1" t="n">
        <v>44879</v>
      </c>
      <c r="C850" s="1" t="n">
        <v>45991</v>
      </c>
      <c r="D850" t="inlineStr">
        <is>
          <t>VÄSTERBOTTENS LÄN</t>
        </is>
      </c>
      <c r="E850" t="inlineStr">
        <is>
          <t>SKELLEFTEÅ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28169-2025</t>
        </is>
      </c>
      <c r="B851" s="1" t="n">
        <v>45818</v>
      </c>
      <c r="C851" s="1" t="n">
        <v>45991</v>
      </c>
      <c r="D851" t="inlineStr">
        <is>
          <t>VÄSTERBOTTENS LÄN</t>
        </is>
      </c>
      <c r="E851" t="inlineStr">
        <is>
          <t>SKELLEFTEÅ</t>
        </is>
      </c>
      <c r="F851" t="inlineStr">
        <is>
          <t>Holmen skog AB</t>
        </is>
      </c>
      <c r="G851" t="n">
        <v>0.2</v>
      </c>
      <c r="H851" t="n">
        <v>0</v>
      </c>
      <c r="I851" t="n">
        <v>0</v>
      </c>
      <c r="J851" t="n">
        <v>0</v>
      </c>
      <c r="K851" t="n">
        <v>0</v>
      </c>
      <c r="L851" t="n">
        <v>0</v>
      </c>
      <c r="M851" t="n">
        <v>0</v>
      </c>
      <c r="N851" t="n">
        <v>0</v>
      </c>
      <c r="O851" t="n">
        <v>0</v>
      </c>
      <c r="P851" t="n">
        <v>0</v>
      </c>
      <c r="Q851" t="n">
        <v>0</v>
      </c>
      <c r="R851" s="2" t="inlineStr"/>
    </row>
    <row r="852" ht="15" customHeight="1">
      <c r="A852" t="inlineStr">
        <is>
          <t>A 28961-2025</t>
        </is>
      </c>
      <c r="B852" s="1" t="n">
        <v>45821.32046296296</v>
      </c>
      <c r="C852" s="1" t="n">
        <v>45991</v>
      </c>
      <c r="D852" t="inlineStr">
        <is>
          <t>VÄSTERBOTTENS LÄN</t>
        </is>
      </c>
      <c r="E852" t="inlineStr">
        <is>
          <t>SKELLEFTEÅ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29765-2025</t>
        </is>
      </c>
      <c r="B853" s="1" t="n">
        <v>45825.61898148148</v>
      </c>
      <c r="C853" s="1" t="n">
        <v>45991</v>
      </c>
      <c r="D853" t="inlineStr">
        <is>
          <t>VÄSTERBOTTENS LÄN</t>
        </is>
      </c>
      <c r="E853" t="inlineStr">
        <is>
          <t>SKELLEFTEÅ</t>
        </is>
      </c>
      <c r="G853" t="n">
        <v>6.6</v>
      </c>
      <c r="H853" t="n">
        <v>0</v>
      </c>
      <c r="I853" t="n">
        <v>0</v>
      </c>
      <c r="J853" t="n">
        <v>0</v>
      </c>
      <c r="K853" t="n">
        <v>0</v>
      </c>
      <c r="L853" t="n">
        <v>0</v>
      </c>
      <c r="M853" t="n">
        <v>0</v>
      </c>
      <c r="N853" t="n">
        <v>0</v>
      </c>
      <c r="O853" t="n">
        <v>0</v>
      </c>
      <c r="P853" t="n">
        <v>0</v>
      </c>
      <c r="Q853" t="n">
        <v>0</v>
      </c>
      <c r="R853" s="2" t="inlineStr"/>
    </row>
    <row r="854" ht="15" customHeight="1">
      <c r="A854" t="inlineStr">
        <is>
          <t>A 42118-2025</t>
        </is>
      </c>
      <c r="B854" s="1" t="n">
        <v>45904.33653935185</v>
      </c>
      <c r="C854" s="1" t="n">
        <v>45991</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27157-2025</t>
        </is>
      </c>
      <c r="B855" s="1" t="n">
        <v>45812.33298611111</v>
      </c>
      <c r="C855" s="1" t="n">
        <v>45991</v>
      </c>
      <c r="D855" t="inlineStr">
        <is>
          <t>VÄSTERBOTTENS LÄN</t>
        </is>
      </c>
      <c r="E855" t="inlineStr">
        <is>
          <t>SKELLEFTEÅ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16539-2025</t>
        </is>
      </c>
      <c r="B856" s="1" t="n">
        <v>45751.66283564815</v>
      </c>
      <c r="C856" s="1" t="n">
        <v>45991</v>
      </c>
      <c r="D856" t="inlineStr">
        <is>
          <t>VÄSTERBOTTENS LÄN</t>
        </is>
      </c>
      <c r="E856" t="inlineStr">
        <is>
          <t>SKELLEFTEÅ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29663-2025</t>
        </is>
      </c>
      <c r="B857" s="1" t="n">
        <v>45825.48967592593</v>
      </c>
      <c r="C857" s="1" t="n">
        <v>45991</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53716-2024</t>
        </is>
      </c>
      <c r="B858" s="1" t="n">
        <v>45615.43059027778</v>
      </c>
      <c r="C858" s="1" t="n">
        <v>45991</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37855-2023</t>
        </is>
      </c>
      <c r="B859" s="1" t="n">
        <v>45160.40148148148</v>
      </c>
      <c r="C859" s="1" t="n">
        <v>45991</v>
      </c>
      <c r="D859" t="inlineStr">
        <is>
          <t>VÄSTERBOTTENS LÄN</t>
        </is>
      </c>
      <c r="E859" t="inlineStr">
        <is>
          <t>SKELLEFTEÅ</t>
        </is>
      </c>
      <c r="F859" t="inlineStr">
        <is>
          <t>Holmen skog AB</t>
        </is>
      </c>
      <c r="G859" t="n">
        <v>12.3</v>
      </c>
      <c r="H859" t="n">
        <v>0</v>
      </c>
      <c r="I859" t="n">
        <v>0</v>
      </c>
      <c r="J859" t="n">
        <v>0</v>
      </c>
      <c r="K859" t="n">
        <v>0</v>
      </c>
      <c r="L859" t="n">
        <v>0</v>
      </c>
      <c r="M859" t="n">
        <v>0</v>
      </c>
      <c r="N859" t="n">
        <v>0</v>
      </c>
      <c r="O859" t="n">
        <v>0</v>
      </c>
      <c r="P859" t="n">
        <v>0</v>
      </c>
      <c r="Q859" t="n">
        <v>0</v>
      </c>
      <c r="R859" s="2" t="inlineStr"/>
    </row>
    <row r="860" ht="15" customHeight="1">
      <c r="A860" t="inlineStr">
        <is>
          <t>A 12873-2025</t>
        </is>
      </c>
      <c r="B860" s="1" t="n">
        <v>45733</v>
      </c>
      <c r="C860" s="1" t="n">
        <v>45991</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27560-2022</t>
        </is>
      </c>
      <c r="B861" s="1" t="n">
        <v>44742.9269212963</v>
      </c>
      <c r="C861" s="1" t="n">
        <v>45991</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43515-2022</t>
        </is>
      </c>
      <c r="B862" s="1" t="n">
        <v>44837.3690162037</v>
      </c>
      <c r="C862" s="1" t="n">
        <v>45991</v>
      </c>
      <c r="D862" t="inlineStr">
        <is>
          <t>VÄSTERBOTTENS LÄN</t>
        </is>
      </c>
      <c r="E862" t="inlineStr">
        <is>
          <t>SKELLEFTEÅ</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38995-2022</t>
        </is>
      </c>
      <c r="B863" s="1" t="n">
        <v>44816</v>
      </c>
      <c r="C863" s="1" t="n">
        <v>45991</v>
      </c>
      <c r="D863" t="inlineStr">
        <is>
          <t>VÄSTERBOTTENS LÄN</t>
        </is>
      </c>
      <c r="E863" t="inlineStr">
        <is>
          <t>SKELLEFTEÅ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29665-2025</t>
        </is>
      </c>
      <c r="B864" s="1" t="n">
        <v>45825.49140046296</v>
      </c>
      <c r="C864" s="1" t="n">
        <v>45991</v>
      </c>
      <c r="D864" t="inlineStr">
        <is>
          <t>VÄSTERBOTTENS LÄN</t>
        </is>
      </c>
      <c r="E864" t="inlineStr">
        <is>
          <t>SKELLEFTEÅ</t>
        </is>
      </c>
      <c r="G864" t="n">
        <v>1</v>
      </c>
      <c r="H864" t="n">
        <v>0</v>
      </c>
      <c r="I864" t="n">
        <v>0</v>
      </c>
      <c r="J864" t="n">
        <v>0</v>
      </c>
      <c r="K864" t="n">
        <v>0</v>
      </c>
      <c r="L864" t="n">
        <v>0</v>
      </c>
      <c r="M864" t="n">
        <v>0</v>
      </c>
      <c r="N864" t="n">
        <v>0</v>
      </c>
      <c r="O864" t="n">
        <v>0</v>
      </c>
      <c r="P864" t="n">
        <v>0</v>
      </c>
      <c r="Q864" t="n">
        <v>0</v>
      </c>
      <c r="R864" s="2" t="inlineStr"/>
    </row>
    <row r="865" ht="15" customHeight="1">
      <c r="A865" t="inlineStr">
        <is>
          <t>A 42401-2025</t>
        </is>
      </c>
      <c r="B865" s="1" t="n">
        <v>45905.37298611111</v>
      </c>
      <c r="C865" s="1" t="n">
        <v>45991</v>
      </c>
      <c r="D865" t="inlineStr">
        <is>
          <t>VÄSTERBOTTENS LÄN</t>
        </is>
      </c>
      <c r="E865" t="inlineStr">
        <is>
          <t>SKELLEFTEÅ</t>
        </is>
      </c>
      <c r="F865" t="inlineStr">
        <is>
          <t>Holmen skog AB</t>
        </is>
      </c>
      <c r="G865" t="n">
        <v>11.9</v>
      </c>
      <c r="H865" t="n">
        <v>0</v>
      </c>
      <c r="I865" t="n">
        <v>0</v>
      </c>
      <c r="J865" t="n">
        <v>0</v>
      </c>
      <c r="K865" t="n">
        <v>0</v>
      </c>
      <c r="L865" t="n">
        <v>0</v>
      </c>
      <c r="M865" t="n">
        <v>0</v>
      </c>
      <c r="N865" t="n">
        <v>0</v>
      </c>
      <c r="O865" t="n">
        <v>0</v>
      </c>
      <c r="P865" t="n">
        <v>0</v>
      </c>
      <c r="Q865" t="n">
        <v>0</v>
      </c>
      <c r="R865" s="2" t="inlineStr"/>
    </row>
    <row r="866" ht="15" customHeight="1">
      <c r="A866" t="inlineStr">
        <is>
          <t>A 54813-2023</t>
        </is>
      </c>
      <c r="B866" s="1" t="n">
        <v>45236</v>
      </c>
      <c r="C866" s="1" t="n">
        <v>45991</v>
      </c>
      <c r="D866" t="inlineStr">
        <is>
          <t>VÄSTERBOTTENS LÄN</t>
        </is>
      </c>
      <c r="E866" t="inlineStr">
        <is>
          <t>SKELLEFTEÅ</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29613-2025</t>
        </is>
      </c>
      <c r="B867" s="1" t="n">
        <v>45825</v>
      </c>
      <c r="C867" s="1" t="n">
        <v>45991</v>
      </c>
      <c r="D867" t="inlineStr">
        <is>
          <t>VÄSTERBOTTENS LÄN</t>
        </is>
      </c>
      <c r="E867" t="inlineStr">
        <is>
          <t>SKELLEFTEÅ</t>
        </is>
      </c>
      <c r="G867" t="n">
        <v>0.1</v>
      </c>
      <c r="H867" t="n">
        <v>0</v>
      </c>
      <c r="I867" t="n">
        <v>0</v>
      </c>
      <c r="J867" t="n">
        <v>0</v>
      </c>
      <c r="K867" t="n">
        <v>0</v>
      </c>
      <c r="L867" t="n">
        <v>0</v>
      </c>
      <c r="M867" t="n">
        <v>0</v>
      </c>
      <c r="N867" t="n">
        <v>0</v>
      </c>
      <c r="O867" t="n">
        <v>0</v>
      </c>
      <c r="P867" t="n">
        <v>0</v>
      </c>
      <c r="Q867" t="n">
        <v>0</v>
      </c>
      <c r="R867" s="2" t="inlineStr"/>
    </row>
    <row r="868" ht="15" customHeight="1">
      <c r="A868" t="inlineStr">
        <is>
          <t>A 17478-2023</t>
        </is>
      </c>
      <c r="B868" s="1" t="n">
        <v>45034</v>
      </c>
      <c r="C868" s="1" t="n">
        <v>45991</v>
      </c>
      <c r="D868" t="inlineStr">
        <is>
          <t>VÄSTERBOTTENS LÄN</t>
        </is>
      </c>
      <c r="E868" t="inlineStr">
        <is>
          <t>SKELLEFTEÅ</t>
        </is>
      </c>
      <c r="G868" t="n">
        <v>6.3</v>
      </c>
      <c r="H868" t="n">
        <v>0</v>
      </c>
      <c r="I868" t="n">
        <v>0</v>
      </c>
      <c r="J868" t="n">
        <v>0</v>
      </c>
      <c r="K868" t="n">
        <v>0</v>
      </c>
      <c r="L868" t="n">
        <v>0</v>
      </c>
      <c r="M868" t="n">
        <v>0</v>
      </c>
      <c r="N868" t="n">
        <v>0</v>
      </c>
      <c r="O868" t="n">
        <v>0</v>
      </c>
      <c r="P868" t="n">
        <v>0</v>
      </c>
      <c r="Q868" t="n">
        <v>0</v>
      </c>
      <c r="R868" s="2" t="inlineStr"/>
    </row>
    <row r="869" ht="15" customHeight="1">
      <c r="A869" t="inlineStr">
        <is>
          <t>A 16602-2025</t>
        </is>
      </c>
      <c r="B869" s="1" t="n">
        <v>45753.53373842593</v>
      </c>
      <c r="C869" s="1" t="n">
        <v>45991</v>
      </c>
      <c r="D869" t="inlineStr">
        <is>
          <t>VÄSTERBOTTENS LÄN</t>
        </is>
      </c>
      <c r="E869" t="inlineStr">
        <is>
          <t>SKELLEFTEÅ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18637-2025</t>
        </is>
      </c>
      <c r="B870" s="1" t="n">
        <v>45763.56527777778</v>
      </c>
      <c r="C870" s="1" t="n">
        <v>45991</v>
      </c>
      <c r="D870" t="inlineStr">
        <is>
          <t>VÄSTERBOTTENS LÄN</t>
        </is>
      </c>
      <c r="E870" t="inlineStr">
        <is>
          <t>SKELLEFTEÅ</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64391-2021</t>
        </is>
      </c>
      <c r="B871" s="1" t="n">
        <v>44511</v>
      </c>
      <c r="C871" s="1" t="n">
        <v>45991</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8141-2025</t>
        </is>
      </c>
      <c r="B872" s="1" t="n">
        <v>45708.27729166667</v>
      </c>
      <c r="C872" s="1" t="n">
        <v>45991</v>
      </c>
      <c r="D872" t="inlineStr">
        <is>
          <t>VÄSTERBOTTENS LÄN</t>
        </is>
      </c>
      <c r="E872" t="inlineStr">
        <is>
          <t>SKELLEFTEÅ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42133-2025</t>
        </is>
      </c>
      <c r="B873" s="1" t="n">
        <v>45904.34597222223</v>
      </c>
      <c r="C873" s="1" t="n">
        <v>45991</v>
      </c>
      <c r="D873" t="inlineStr">
        <is>
          <t>VÄSTERBOTTENS LÄN</t>
        </is>
      </c>
      <c r="E873" t="inlineStr">
        <is>
          <t>SKELLEFTEÅ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53183-2023</t>
        </is>
      </c>
      <c r="B874" s="1" t="n">
        <v>45229.41625</v>
      </c>
      <c r="C874" s="1" t="n">
        <v>45991</v>
      </c>
      <c r="D874" t="inlineStr">
        <is>
          <t>VÄSTERBOTTENS LÄN</t>
        </is>
      </c>
      <c r="E874" t="inlineStr">
        <is>
          <t>SKELLEFTEÅ</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42114-2025</t>
        </is>
      </c>
      <c r="B875" s="1" t="n">
        <v>45904.33050925926</v>
      </c>
      <c r="C875" s="1" t="n">
        <v>45991</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42136-2025</t>
        </is>
      </c>
      <c r="B876" s="1" t="n">
        <v>45904</v>
      </c>
      <c r="C876" s="1" t="n">
        <v>45991</v>
      </c>
      <c r="D876" t="inlineStr">
        <is>
          <t>VÄSTERBOTTENS LÄN</t>
        </is>
      </c>
      <c r="E876" t="inlineStr">
        <is>
          <t>SKELLEFTEÅ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30081-2025</t>
        </is>
      </c>
      <c r="B877" s="1" t="n">
        <v>45826.65171296296</v>
      </c>
      <c r="C877" s="1" t="n">
        <v>45991</v>
      </c>
      <c r="D877" t="inlineStr">
        <is>
          <t>VÄSTERBOTTENS LÄN</t>
        </is>
      </c>
      <c r="E877" t="inlineStr">
        <is>
          <t>SKELLEFTEÅ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42137-2025</t>
        </is>
      </c>
      <c r="B878" s="1" t="n">
        <v>45904.35496527778</v>
      </c>
      <c r="C878" s="1" t="n">
        <v>45991</v>
      </c>
      <c r="D878" t="inlineStr">
        <is>
          <t>VÄSTERBOTTENS LÄN</t>
        </is>
      </c>
      <c r="E878" t="inlineStr">
        <is>
          <t>SKELLEFTEÅ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48133-2022</t>
        </is>
      </c>
      <c r="B879" s="1" t="n">
        <v>44857</v>
      </c>
      <c r="C879" s="1" t="n">
        <v>45991</v>
      </c>
      <c r="D879" t="inlineStr">
        <is>
          <t>VÄSTERBOTTENS LÄN</t>
        </is>
      </c>
      <c r="E879" t="inlineStr">
        <is>
          <t>SKELLEFTEÅ</t>
        </is>
      </c>
      <c r="F879" t="inlineStr">
        <is>
          <t>Sveaskog</t>
        </is>
      </c>
      <c r="G879" t="n">
        <v>18.3</v>
      </c>
      <c r="H879" t="n">
        <v>0</v>
      </c>
      <c r="I879" t="n">
        <v>0</v>
      </c>
      <c r="J879" t="n">
        <v>0</v>
      </c>
      <c r="K879" t="n">
        <v>0</v>
      </c>
      <c r="L879" t="n">
        <v>0</v>
      </c>
      <c r="M879" t="n">
        <v>0</v>
      </c>
      <c r="N879" t="n">
        <v>0</v>
      </c>
      <c r="O879" t="n">
        <v>0</v>
      </c>
      <c r="P879" t="n">
        <v>0</v>
      </c>
      <c r="Q879" t="n">
        <v>0</v>
      </c>
      <c r="R879" s="2" t="inlineStr"/>
    </row>
    <row r="880" ht="15" customHeight="1">
      <c r="A880" t="inlineStr">
        <is>
          <t>A 58557-2024</t>
        </is>
      </c>
      <c r="B880" s="1" t="n">
        <v>45635.46780092592</v>
      </c>
      <c r="C880" s="1" t="n">
        <v>45991</v>
      </c>
      <c r="D880" t="inlineStr">
        <is>
          <t>VÄSTERBOTTENS LÄN</t>
        </is>
      </c>
      <c r="E880" t="inlineStr">
        <is>
          <t>SKELLEFTEÅ</t>
        </is>
      </c>
      <c r="G880" t="n">
        <v>5.6</v>
      </c>
      <c r="H880" t="n">
        <v>0</v>
      </c>
      <c r="I880" t="n">
        <v>0</v>
      </c>
      <c r="J880" t="n">
        <v>0</v>
      </c>
      <c r="K880" t="n">
        <v>0</v>
      </c>
      <c r="L880" t="n">
        <v>0</v>
      </c>
      <c r="M880" t="n">
        <v>0</v>
      </c>
      <c r="N880" t="n">
        <v>0</v>
      </c>
      <c r="O880" t="n">
        <v>0</v>
      </c>
      <c r="P880" t="n">
        <v>0</v>
      </c>
      <c r="Q880" t="n">
        <v>0</v>
      </c>
      <c r="R880" s="2" t="inlineStr"/>
    </row>
    <row r="881" ht="15" customHeight="1">
      <c r="A881" t="inlineStr">
        <is>
          <t>A 30438-2025</t>
        </is>
      </c>
      <c r="B881" s="1" t="n">
        <v>45827.64153935185</v>
      </c>
      <c r="C881" s="1" t="n">
        <v>45991</v>
      </c>
      <c r="D881" t="inlineStr">
        <is>
          <t>VÄSTERBOTTENS LÄN</t>
        </is>
      </c>
      <c r="E881" t="inlineStr">
        <is>
          <t>SKELLEFTEÅ</t>
        </is>
      </c>
      <c r="G881" t="n">
        <v>4.2</v>
      </c>
      <c r="H881" t="n">
        <v>0</v>
      </c>
      <c r="I881" t="n">
        <v>0</v>
      </c>
      <c r="J881" t="n">
        <v>0</v>
      </c>
      <c r="K881" t="n">
        <v>0</v>
      </c>
      <c r="L881" t="n">
        <v>0</v>
      </c>
      <c r="M881" t="n">
        <v>0</v>
      </c>
      <c r="N881" t="n">
        <v>0</v>
      </c>
      <c r="O881" t="n">
        <v>0</v>
      </c>
      <c r="P881" t="n">
        <v>0</v>
      </c>
      <c r="Q881" t="n">
        <v>0</v>
      </c>
      <c r="R881" s="2" t="inlineStr"/>
    </row>
    <row r="882" ht="15" customHeight="1">
      <c r="A882" t="inlineStr">
        <is>
          <t>A 42107-2025</t>
        </is>
      </c>
      <c r="B882" s="1" t="n">
        <v>45903.90503472222</v>
      </c>
      <c r="C882" s="1" t="n">
        <v>45991</v>
      </c>
      <c r="D882" t="inlineStr">
        <is>
          <t>VÄSTERBOTTENS LÄN</t>
        </is>
      </c>
      <c r="E882" t="inlineStr">
        <is>
          <t>SKELLEFTEÅ</t>
        </is>
      </c>
      <c r="G882" t="n">
        <v>8.1</v>
      </c>
      <c r="H882" t="n">
        <v>0</v>
      </c>
      <c r="I882" t="n">
        <v>0</v>
      </c>
      <c r="J882" t="n">
        <v>0</v>
      </c>
      <c r="K882" t="n">
        <v>0</v>
      </c>
      <c r="L882" t="n">
        <v>0</v>
      </c>
      <c r="M882" t="n">
        <v>0</v>
      </c>
      <c r="N882" t="n">
        <v>0</v>
      </c>
      <c r="O882" t="n">
        <v>0</v>
      </c>
      <c r="P882" t="n">
        <v>0</v>
      </c>
      <c r="Q882" t="n">
        <v>0</v>
      </c>
      <c r="R882" s="2" t="inlineStr"/>
    </row>
    <row r="883" ht="15" customHeight="1">
      <c r="A883" t="inlineStr">
        <is>
          <t>A 42116-2025</t>
        </is>
      </c>
      <c r="B883" s="1" t="n">
        <v>45904.33420138889</v>
      </c>
      <c r="C883" s="1" t="n">
        <v>45991</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42121-2025</t>
        </is>
      </c>
      <c r="B884" s="1" t="n">
        <v>45904.34252314815</v>
      </c>
      <c r="C884" s="1" t="n">
        <v>45991</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45384-2021</t>
        </is>
      </c>
      <c r="B885" s="1" t="n">
        <v>44440.3184375</v>
      </c>
      <c r="C885" s="1" t="n">
        <v>45991</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30172-2025</t>
        </is>
      </c>
      <c r="B886" s="1" t="n">
        <v>45827</v>
      </c>
      <c r="C886" s="1" t="n">
        <v>45991</v>
      </c>
      <c r="D886" t="inlineStr">
        <is>
          <t>VÄSTERBOTTENS LÄN</t>
        </is>
      </c>
      <c r="E886" t="inlineStr">
        <is>
          <t>SKELLEFTEÅ</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42808-2022</t>
        </is>
      </c>
      <c r="B887" s="1" t="n">
        <v>44832</v>
      </c>
      <c r="C887" s="1" t="n">
        <v>45991</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59324-2024</t>
        </is>
      </c>
      <c r="B888" s="1" t="n">
        <v>45637.72047453704</v>
      </c>
      <c r="C888" s="1" t="n">
        <v>45991</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55233-2024</t>
        </is>
      </c>
      <c r="B889" s="1" t="n">
        <v>45620</v>
      </c>
      <c r="C889" s="1" t="n">
        <v>45991</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55253-2024</t>
        </is>
      </c>
      <c r="B890" s="1" t="n">
        <v>45620</v>
      </c>
      <c r="C890" s="1" t="n">
        <v>45991</v>
      </c>
      <c r="D890" t="inlineStr">
        <is>
          <t>VÄSTERBOTTENS LÄN</t>
        </is>
      </c>
      <c r="E890" t="inlineStr">
        <is>
          <t>SKELLEFTEÅ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42796-2025</t>
        </is>
      </c>
      <c r="B891" s="1" t="n">
        <v>45908.52939814814</v>
      </c>
      <c r="C891" s="1" t="n">
        <v>45991</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1964-2025</t>
        </is>
      </c>
      <c r="B892" s="1" t="n">
        <v>45672.37693287037</v>
      </c>
      <c r="C892" s="1" t="n">
        <v>45991</v>
      </c>
      <c r="D892" t="inlineStr">
        <is>
          <t>VÄSTERBOTTENS LÄN</t>
        </is>
      </c>
      <c r="E892" t="inlineStr">
        <is>
          <t>SKELLEFTEÅ</t>
        </is>
      </c>
      <c r="G892" t="n">
        <v>2.5</v>
      </c>
      <c r="H892" t="n">
        <v>0</v>
      </c>
      <c r="I892" t="n">
        <v>0</v>
      </c>
      <c r="J892" t="n">
        <v>0</v>
      </c>
      <c r="K892" t="n">
        <v>0</v>
      </c>
      <c r="L892" t="n">
        <v>0</v>
      </c>
      <c r="M892" t="n">
        <v>0</v>
      </c>
      <c r="N892" t="n">
        <v>0</v>
      </c>
      <c r="O892" t="n">
        <v>0</v>
      </c>
      <c r="P892" t="n">
        <v>0</v>
      </c>
      <c r="Q892" t="n">
        <v>0</v>
      </c>
      <c r="R892" s="2" t="inlineStr"/>
    </row>
    <row r="893" ht="15" customHeight="1">
      <c r="A893" t="inlineStr">
        <is>
          <t>A 1980-2025</t>
        </is>
      </c>
      <c r="B893" s="1" t="n">
        <v>45671</v>
      </c>
      <c r="C893" s="1" t="n">
        <v>45991</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51502-2025</t>
        </is>
      </c>
      <c r="B894" s="1" t="n">
        <v>45950.63775462963</v>
      </c>
      <c r="C894" s="1" t="n">
        <v>45991</v>
      </c>
      <c r="D894" t="inlineStr">
        <is>
          <t>VÄSTERBOTTENS LÄN</t>
        </is>
      </c>
      <c r="E894" t="inlineStr">
        <is>
          <t>SKELLEFTEÅ</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35189-2022</t>
        </is>
      </c>
      <c r="B895" s="1" t="n">
        <v>44797</v>
      </c>
      <c r="C895" s="1" t="n">
        <v>45991</v>
      </c>
      <c r="D895" t="inlineStr">
        <is>
          <t>VÄSTERBOTTENS LÄN</t>
        </is>
      </c>
      <c r="E895" t="inlineStr">
        <is>
          <t>SKELLEFTEÅ</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51290-2025</t>
        </is>
      </c>
      <c r="B896" s="1" t="n">
        <v>45950.34587962963</v>
      </c>
      <c r="C896" s="1" t="n">
        <v>45991</v>
      </c>
      <c r="D896" t="inlineStr">
        <is>
          <t>VÄSTERBOTTENS LÄN</t>
        </is>
      </c>
      <c r="E896" t="inlineStr">
        <is>
          <t>SKELLEFTEÅ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51438-2025</t>
        </is>
      </c>
      <c r="B897" s="1" t="n">
        <v>45950.56954861111</v>
      </c>
      <c r="C897" s="1" t="n">
        <v>45991</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38578-2022</t>
        </is>
      </c>
      <c r="B898" s="1" t="n">
        <v>44813.48444444445</v>
      </c>
      <c r="C898" s="1" t="n">
        <v>45991</v>
      </c>
      <c r="D898" t="inlineStr">
        <is>
          <t>VÄSTERBOTTENS LÄN</t>
        </is>
      </c>
      <c r="E898" t="inlineStr">
        <is>
          <t>SKELLEFTEÅ</t>
        </is>
      </c>
      <c r="F898" t="inlineStr">
        <is>
          <t>Holmen skog AB</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51624-2025</t>
        </is>
      </c>
      <c r="B899" s="1" t="n">
        <v>45951.41597222222</v>
      </c>
      <c r="C899" s="1" t="n">
        <v>45991</v>
      </c>
      <c r="D899" t="inlineStr">
        <is>
          <t>VÄSTERBOTTENS LÄN</t>
        </is>
      </c>
      <c r="E899" t="inlineStr">
        <is>
          <t>SKELLEFTEÅ</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51641-2025</t>
        </is>
      </c>
      <c r="B900" s="1" t="n">
        <v>45951.44424768518</v>
      </c>
      <c r="C900" s="1" t="n">
        <v>45991</v>
      </c>
      <c r="D900" t="inlineStr">
        <is>
          <t>VÄSTERBOTTENS LÄN</t>
        </is>
      </c>
      <c r="E900" t="inlineStr">
        <is>
          <t>SKELLEFTEÅ</t>
        </is>
      </c>
      <c r="F900" t="inlineStr">
        <is>
          <t>Sveaskog</t>
        </is>
      </c>
      <c r="G900" t="n">
        <v>4</v>
      </c>
      <c r="H900" t="n">
        <v>0</v>
      </c>
      <c r="I900" t="n">
        <v>0</v>
      </c>
      <c r="J900" t="n">
        <v>0</v>
      </c>
      <c r="K900" t="n">
        <v>0</v>
      </c>
      <c r="L900" t="n">
        <v>0</v>
      </c>
      <c r="M900" t="n">
        <v>0</v>
      </c>
      <c r="N900" t="n">
        <v>0</v>
      </c>
      <c r="O900" t="n">
        <v>0</v>
      </c>
      <c r="P900" t="n">
        <v>0</v>
      </c>
      <c r="Q900" t="n">
        <v>0</v>
      </c>
      <c r="R900" s="2" t="inlineStr"/>
    </row>
    <row r="901" ht="15" customHeight="1">
      <c r="A901" t="inlineStr">
        <is>
          <t>A 51289-2025</t>
        </is>
      </c>
      <c r="B901" s="1" t="n">
        <v>45950.34569444445</v>
      </c>
      <c r="C901" s="1" t="n">
        <v>45991</v>
      </c>
      <c r="D901" t="inlineStr">
        <is>
          <t>VÄSTERBOTTENS LÄN</t>
        </is>
      </c>
      <c r="E901" t="inlineStr">
        <is>
          <t>SKELLEFTEÅ</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57191-2023</t>
        </is>
      </c>
      <c r="B902" s="1" t="n">
        <v>45245</v>
      </c>
      <c r="C902" s="1" t="n">
        <v>45991</v>
      </c>
      <c r="D902" t="inlineStr">
        <is>
          <t>VÄSTERBOTTENS LÄN</t>
        </is>
      </c>
      <c r="E902" t="inlineStr">
        <is>
          <t>SKELLEFTEÅ</t>
        </is>
      </c>
      <c r="F902" t="inlineStr">
        <is>
          <t>Sveaskog</t>
        </is>
      </c>
      <c r="G902" t="n">
        <v>11.3</v>
      </c>
      <c r="H902" t="n">
        <v>0</v>
      </c>
      <c r="I902" t="n">
        <v>0</v>
      </c>
      <c r="J902" t="n">
        <v>0</v>
      </c>
      <c r="K902" t="n">
        <v>0</v>
      </c>
      <c r="L902" t="n">
        <v>0</v>
      </c>
      <c r="M902" t="n">
        <v>0</v>
      </c>
      <c r="N902" t="n">
        <v>0</v>
      </c>
      <c r="O902" t="n">
        <v>0</v>
      </c>
      <c r="P902" t="n">
        <v>0</v>
      </c>
      <c r="Q902" t="n">
        <v>0</v>
      </c>
      <c r="R902" s="2" t="inlineStr"/>
    </row>
    <row r="903" ht="15" customHeight="1">
      <c r="A903" t="inlineStr">
        <is>
          <t>A 24963-2023</t>
        </is>
      </c>
      <c r="B903" s="1" t="n">
        <v>45085</v>
      </c>
      <c r="C903" s="1" t="n">
        <v>45991</v>
      </c>
      <c r="D903" t="inlineStr">
        <is>
          <t>VÄSTERBOTTENS LÄN</t>
        </is>
      </c>
      <c r="E903" t="inlineStr">
        <is>
          <t>SKELLEFTEÅ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51312-2025</t>
        </is>
      </c>
      <c r="B904" s="1" t="n">
        <v>45950.37475694445</v>
      </c>
      <c r="C904" s="1" t="n">
        <v>45991</v>
      </c>
      <c r="D904" t="inlineStr">
        <is>
          <t>VÄSTERBOTTENS LÄN</t>
        </is>
      </c>
      <c r="E904" t="inlineStr">
        <is>
          <t>SKELLEFTEÅ</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4510-2025</t>
        </is>
      </c>
      <c r="B905" s="1" t="n">
        <v>45686</v>
      </c>
      <c r="C905" s="1" t="n">
        <v>45991</v>
      </c>
      <c r="D905" t="inlineStr">
        <is>
          <t>VÄSTERBOTTENS LÄN</t>
        </is>
      </c>
      <c r="E905" t="inlineStr">
        <is>
          <t>SKELLEFTEÅ</t>
        </is>
      </c>
      <c r="G905" t="n">
        <v>0.8</v>
      </c>
      <c r="H905" t="n">
        <v>0</v>
      </c>
      <c r="I905" t="n">
        <v>0</v>
      </c>
      <c r="J905" t="n">
        <v>0</v>
      </c>
      <c r="K905" t="n">
        <v>0</v>
      </c>
      <c r="L905" t="n">
        <v>0</v>
      </c>
      <c r="M905" t="n">
        <v>0</v>
      </c>
      <c r="N905" t="n">
        <v>0</v>
      </c>
      <c r="O905" t="n">
        <v>0</v>
      </c>
      <c r="P905" t="n">
        <v>0</v>
      </c>
      <c r="Q905" t="n">
        <v>0</v>
      </c>
      <c r="R905" s="2" t="inlineStr"/>
    </row>
    <row r="906" ht="15" customHeight="1">
      <c r="A906" t="inlineStr">
        <is>
          <t>A 51635-2025</t>
        </is>
      </c>
      <c r="B906" s="1" t="n">
        <v>45951.43149305556</v>
      </c>
      <c r="C906" s="1" t="n">
        <v>45991</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30195-2025</t>
        </is>
      </c>
      <c r="B907" s="1" t="n">
        <v>45827.35383101852</v>
      </c>
      <c r="C907" s="1" t="n">
        <v>45991</v>
      </c>
      <c r="D907" t="inlineStr">
        <is>
          <t>VÄSTERBOTTENS LÄN</t>
        </is>
      </c>
      <c r="E907" t="inlineStr">
        <is>
          <t>SKELLEFTEÅ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51594-2025</t>
        </is>
      </c>
      <c r="B908" s="1" t="n">
        <v>45951.36555555555</v>
      </c>
      <c r="C908" s="1" t="n">
        <v>45991</v>
      </c>
      <c r="D908" t="inlineStr">
        <is>
          <t>VÄSTERBOTTENS LÄN</t>
        </is>
      </c>
      <c r="E908" t="inlineStr">
        <is>
          <t>SKELLEFTEÅ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51667-2025</t>
        </is>
      </c>
      <c r="B909" s="1" t="n">
        <v>45951.4958449074</v>
      </c>
      <c r="C909" s="1" t="n">
        <v>45991</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51670-2025</t>
        </is>
      </c>
      <c r="B910" s="1" t="n">
        <v>45951.49685185185</v>
      </c>
      <c r="C910" s="1" t="n">
        <v>45991</v>
      </c>
      <c r="D910" t="inlineStr">
        <is>
          <t>VÄSTERBOTTENS LÄN</t>
        </is>
      </c>
      <c r="E910" t="inlineStr">
        <is>
          <t>SKELLEFTEÅ</t>
        </is>
      </c>
      <c r="F910" t="inlineStr">
        <is>
          <t>Holmen skog AB</t>
        </is>
      </c>
      <c r="G910" t="n">
        <v>8.9</v>
      </c>
      <c r="H910" t="n">
        <v>0</v>
      </c>
      <c r="I910" t="n">
        <v>0</v>
      </c>
      <c r="J910" t="n">
        <v>0</v>
      </c>
      <c r="K910" t="n">
        <v>0</v>
      </c>
      <c r="L910" t="n">
        <v>0</v>
      </c>
      <c r="M910" t="n">
        <v>0</v>
      </c>
      <c r="N910" t="n">
        <v>0</v>
      </c>
      <c r="O910" t="n">
        <v>0</v>
      </c>
      <c r="P910" t="n">
        <v>0</v>
      </c>
      <c r="Q910" t="n">
        <v>0</v>
      </c>
      <c r="R910" s="2" t="inlineStr"/>
    </row>
    <row r="911" ht="15" customHeight="1">
      <c r="A911" t="inlineStr">
        <is>
          <t>A 59744-2022</t>
        </is>
      </c>
      <c r="B911" s="1" t="n">
        <v>44908</v>
      </c>
      <c r="C911" s="1" t="n">
        <v>45991</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8839-2025</t>
        </is>
      </c>
      <c r="B912" s="1" t="n">
        <v>45713</v>
      </c>
      <c r="C912" s="1" t="n">
        <v>45991</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8840-2025</t>
        </is>
      </c>
      <c r="B913" s="1" t="n">
        <v>45713.30810185185</v>
      </c>
      <c r="C913" s="1" t="n">
        <v>45991</v>
      </c>
      <c r="D913" t="inlineStr">
        <is>
          <t>VÄSTERBOTTENS LÄN</t>
        </is>
      </c>
      <c r="E913" t="inlineStr">
        <is>
          <t>SKELLEFTEÅ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10978-2025</t>
        </is>
      </c>
      <c r="B914" s="1" t="n">
        <v>45723</v>
      </c>
      <c r="C914" s="1" t="n">
        <v>45991</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10980-2025</t>
        </is>
      </c>
      <c r="B915" s="1" t="n">
        <v>45723</v>
      </c>
      <c r="C915" s="1" t="n">
        <v>45991</v>
      </c>
      <c r="D915" t="inlineStr">
        <is>
          <t>VÄSTERBOTTENS LÄN</t>
        </is>
      </c>
      <c r="E915" t="inlineStr">
        <is>
          <t>SKELLEFTEÅ</t>
        </is>
      </c>
      <c r="G915" t="n">
        <v>0.2</v>
      </c>
      <c r="H915" t="n">
        <v>0</v>
      </c>
      <c r="I915" t="n">
        <v>0</v>
      </c>
      <c r="J915" t="n">
        <v>0</v>
      </c>
      <c r="K915" t="n">
        <v>0</v>
      </c>
      <c r="L915" t="n">
        <v>0</v>
      </c>
      <c r="M915" t="n">
        <v>0</v>
      </c>
      <c r="N915" t="n">
        <v>0</v>
      </c>
      <c r="O915" t="n">
        <v>0</v>
      </c>
      <c r="P915" t="n">
        <v>0</v>
      </c>
      <c r="Q915" t="n">
        <v>0</v>
      </c>
      <c r="R915" s="2" t="inlineStr"/>
    </row>
    <row r="916" ht="15" customHeight="1">
      <c r="A916" t="inlineStr">
        <is>
          <t>A 31077-2025</t>
        </is>
      </c>
      <c r="B916" s="1" t="n">
        <v>45831</v>
      </c>
      <c r="C916" s="1" t="n">
        <v>45991</v>
      </c>
      <c r="D916" t="inlineStr">
        <is>
          <t>VÄSTERBOTTENS LÄN</t>
        </is>
      </c>
      <c r="E916" t="inlineStr">
        <is>
          <t>SKELLEFTEÅ</t>
        </is>
      </c>
      <c r="G916" t="n">
        <v>4.3</v>
      </c>
      <c r="H916" t="n">
        <v>0</v>
      </c>
      <c r="I916" t="n">
        <v>0</v>
      </c>
      <c r="J916" t="n">
        <v>0</v>
      </c>
      <c r="K916" t="n">
        <v>0</v>
      </c>
      <c r="L916" t="n">
        <v>0</v>
      </c>
      <c r="M916" t="n">
        <v>0</v>
      </c>
      <c r="N916" t="n">
        <v>0</v>
      </c>
      <c r="O916" t="n">
        <v>0</v>
      </c>
      <c r="P916" t="n">
        <v>0</v>
      </c>
      <c r="Q916" t="n">
        <v>0</v>
      </c>
      <c r="R916" s="2" t="inlineStr"/>
    </row>
    <row r="917" ht="15" customHeight="1">
      <c r="A917" t="inlineStr">
        <is>
          <t>A 18368-2024</t>
        </is>
      </c>
      <c r="B917" s="1" t="n">
        <v>45422</v>
      </c>
      <c r="C917" s="1" t="n">
        <v>45991</v>
      </c>
      <c r="D917" t="inlineStr">
        <is>
          <t>VÄSTERBOTTENS LÄN</t>
        </is>
      </c>
      <c r="E917" t="inlineStr">
        <is>
          <t>SKELLEFTEÅ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51630-2025</t>
        </is>
      </c>
      <c r="B918" s="1" t="n">
        <v>45951.42327546296</v>
      </c>
      <c r="C918" s="1" t="n">
        <v>45991</v>
      </c>
      <c r="D918" t="inlineStr">
        <is>
          <t>VÄSTERBOTTENS LÄN</t>
        </is>
      </c>
      <c r="E918" t="inlineStr">
        <is>
          <t>SKELLEFTEÅ</t>
        </is>
      </c>
      <c r="F918" t="inlineStr">
        <is>
          <t>Sveaskog</t>
        </is>
      </c>
      <c r="G918" t="n">
        <v>11.5</v>
      </c>
      <c r="H918" t="n">
        <v>0</v>
      </c>
      <c r="I918" t="n">
        <v>0</v>
      </c>
      <c r="J918" t="n">
        <v>0</v>
      </c>
      <c r="K918" t="n">
        <v>0</v>
      </c>
      <c r="L918" t="n">
        <v>0</v>
      </c>
      <c r="M918" t="n">
        <v>0</v>
      </c>
      <c r="N918" t="n">
        <v>0</v>
      </c>
      <c r="O918" t="n">
        <v>0</v>
      </c>
      <c r="P918" t="n">
        <v>0</v>
      </c>
      <c r="Q918" t="n">
        <v>0</v>
      </c>
      <c r="R918" s="2" t="inlineStr"/>
    </row>
    <row r="919" ht="15" customHeight="1">
      <c r="A919" t="inlineStr">
        <is>
          <t>A 51660-2025</t>
        </is>
      </c>
      <c r="B919" s="1" t="n">
        <v>45951.4765162037</v>
      </c>
      <c r="C919" s="1" t="n">
        <v>45991</v>
      </c>
      <c r="D919" t="inlineStr">
        <is>
          <t>VÄSTERBOTTENS LÄN</t>
        </is>
      </c>
      <c r="E919" t="inlineStr">
        <is>
          <t>SKELLEFTEÅ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51573-2025</t>
        </is>
      </c>
      <c r="B920" s="1" t="n">
        <v>45951.33599537037</v>
      </c>
      <c r="C920" s="1" t="n">
        <v>45991</v>
      </c>
      <c r="D920" t="inlineStr">
        <is>
          <t>VÄSTERBOTTENS LÄN</t>
        </is>
      </c>
      <c r="E920" t="inlineStr">
        <is>
          <t>SKELLEFTEÅ</t>
        </is>
      </c>
      <c r="G920" t="n">
        <v>3.8</v>
      </c>
      <c r="H920" t="n">
        <v>0</v>
      </c>
      <c r="I920" t="n">
        <v>0</v>
      </c>
      <c r="J920" t="n">
        <v>0</v>
      </c>
      <c r="K920" t="n">
        <v>0</v>
      </c>
      <c r="L920" t="n">
        <v>0</v>
      </c>
      <c r="M920" t="n">
        <v>0</v>
      </c>
      <c r="N920" t="n">
        <v>0</v>
      </c>
      <c r="O920" t="n">
        <v>0</v>
      </c>
      <c r="P920" t="n">
        <v>0</v>
      </c>
      <c r="Q920" t="n">
        <v>0</v>
      </c>
      <c r="R920" s="2" t="inlineStr"/>
    </row>
    <row r="921" ht="15" customHeight="1">
      <c r="A921" t="inlineStr">
        <is>
          <t>A 51250-2025</t>
        </is>
      </c>
      <c r="B921" s="1" t="n">
        <v>45948.46230324074</v>
      </c>
      <c r="C921" s="1" t="n">
        <v>45991</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51632-2025</t>
        </is>
      </c>
      <c r="B922" s="1" t="n">
        <v>45951.42534722222</v>
      </c>
      <c r="C922" s="1" t="n">
        <v>45991</v>
      </c>
      <c r="D922" t="inlineStr">
        <is>
          <t>VÄSTERBOTTENS LÄN</t>
        </is>
      </c>
      <c r="E922" t="inlineStr">
        <is>
          <t>SKELLEFTEÅ</t>
        </is>
      </c>
      <c r="G922" t="n">
        <v>4.6</v>
      </c>
      <c r="H922" t="n">
        <v>0</v>
      </c>
      <c r="I922" t="n">
        <v>0</v>
      </c>
      <c r="J922" t="n">
        <v>0</v>
      </c>
      <c r="K922" t="n">
        <v>0</v>
      </c>
      <c r="L922" t="n">
        <v>0</v>
      </c>
      <c r="M922" t="n">
        <v>0</v>
      </c>
      <c r="N922" t="n">
        <v>0</v>
      </c>
      <c r="O922" t="n">
        <v>0</v>
      </c>
      <c r="P922" t="n">
        <v>0</v>
      </c>
      <c r="Q922" t="n">
        <v>0</v>
      </c>
      <c r="R922" s="2" t="inlineStr"/>
    </row>
    <row r="923" ht="15" customHeight="1">
      <c r="A923" t="inlineStr">
        <is>
          <t>A 42661-2025</t>
        </is>
      </c>
      <c r="B923" s="1" t="n">
        <v>45907.60118055555</v>
      </c>
      <c r="C923" s="1" t="n">
        <v>45991</v>
      </c>
      <c r="D923" t="inlineStr">
        <is>
          <t>VÄSTERBOTTENS LÄN</t>
        </is>
      </c>
      <c r="E923" t="inlineStr">
        <is>
          <t>SKELLEFTEÅ</t>
        </is>
      </c>
      <c r="G923" t="n">
        <v>2.1</v>
      </c>
      <c r="H923" t="n">
        <v>0</v>
      </c>
      <c r="I923" t="n">
        <v>0</v>
      </c>
      <c r="J923" t="n">
        <v>0</v>
      </c>
      <c r="K923" t="n">
        <v>0</v>
      </c>
      <c r="L923" t="n">
        <v>0</v>
      </c>
      <c r="M923" t="n">
        <v>0</v>
      </c>
      <c r="N923" t="n">
        <v>0</v>
      </c>
      <c r="O923" t="n">
        <v>0</v>
      </c>
      <c r="P923" t="n">
        <v>0</v>
      </c>
      <c r="Q923" t="n">
        <v>0</v>
      </c>
      <c r="R923" s="2" t="inlineStr"/>
    </row>
    <row r="924" ht="15" customHeight="1">
      <c r="A924" t="inlineStr">
        <is>
          <t>A 31168-2025</t>
        </is>
      </c>
      <c r="B924" s="1" t="n">
        <v>45832.66167824074</v>
      </c>
      <c r="C924" s="1" t="n">
        <v>45991</v>
      </c>
      <c r="D924" t="inlineStr">
        <is>
          <t>VÄSTERBOTTENS LÄN</t>
        </is>
      </c>
      <c r="E924" t="inlineStr">
        <is>
          <t>SKELLEFTEÅ</t>
        </is>
      </c>
      <c r="F924" t="inlineStr">
        <is>
          <t>Holmen skog AB</t>
        </is>
      </c>
      <c r="G924" t="n">
        <v>5.3</v>
      </c>
      <c r="H924" t="n">
        <v>0</v>
      </c>
      <c r="I924" t="n">
        <v>0</v>
      </c>
      <c r="J924" t="n">
        <v>0</v>
      </c>
      <c r="K924" t="n">
        <v>0</v>
      </c>
      <c r="L924" t="n">
        <v>0</v>
      </c>
      <c r="M924" t="n">
        <v>0</v>
      </c>
      <c r="N924" t="n">
        <v>0</v>
      </c>
      <c r="O924" t="n">
        <v>0</v>
      </c>
      <c r="P924" t="n">
        <v>0</v>
      </c>
      <c r="Q924" t="n">
        <v>0</v>
      </c>
      <c r="R924" s="2" t="inlineStr"/>
    </row>
    <row r="925" ht="15" customHeight="1">
      <c r="A925" t="inlineStr">
        <is>
          <t>A 51420-2025</t>
        </is>
      </c>
      <c r="B925" s="1" t="n">
        <v>45950.51708333333</v>
      </c>
      <c r="C925" s="1" t="n">
        <v>45991</v>
      </c>
      <c r="D925" t="inlineStr">
        <is>
          <t>VÄSTERBOTTENS LÄN</t>
        </is>
      </c>
      <c r="E925" t="inlineStr">
        <is>
          <t>SKELLEFTEÅ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31178-2025</t>
        </is>
      </c>
      <c r="B926" s="1" t="n">
        <v>45832.67209490741</v>
      </c>
      <c r="C926" s="1" t="n">
        <v>45991</v>
      </c>
      <c r="D926" t="inlineStr">
        <is>
          <t>VÄSTERBOTTENS LÄN</t>
        </is>
      </c>
      <c r="E926" t="inlineStr">
        <is>
          <t>SKELLEFTEÅ</t>
        </is>
      </c>
      <c r="F926" t="inlineStr">
        <is>
          <t>Holmen skog AB</t>
        </is>
      </c>
      <c r="G926" t="n">
        <v>19.2</v>
      </c>
      <c r="H926" t="n">
        <v>0</v>
      </c>
      <c r="I926" t="n">
        <v>0</v>
      </c>
      <c r="J926" t="n">
        <v>0</v>
      </c>
      <c r="K926" t="n">
        <v>0</v>
      </c>
      <c r="L926" t="n">
        <v>0</v>
      </c>
      <c r="M926" t="n">
        <v>0</v>
      </c>
      <c r="N926" t="n">
        <v>0</v>
      </c>
      <c r="O926" t="n">
        <v>0</v>
      </c>
      <c r="P926" t="n">
        <v>0</v>
      </c>
      <c r="Q926" t="n">
        <v>0</v>
      </c>
      <c r="R926" s="2" t="inlineStr"/>
    </row>
    <row r="927" ht="15" customHeight="1">
      <c r="A927" t="inlineStr">
        <is>
          <t>A 31108-2025</t>
        </is>
      </c>
      <c r="B927" s="1" t="n">
        <v>45832</v>
      </c>
      <c r="C927" s="1" t="n">
        <v>45991</v>
      </c>
      <c r="D927" t="inlineStr">
        <is>
          <t>VÄSTERBOTTENS LÄN</t>
        </is>
      </c>
      <c r="E927" t="inlineStr">
        <is>
          <t>SKELLEFTEÅ</t>
        </is>
      </c>
      <c r="F927" t="inlineStr">
        <is>
          <t>Holmen skog AB</t>
        </is>
      </c>
      <c r="G927" t="n">
        <v>3.9</v>
      </c>
      <c r="H927" t="n">
        <v>0</v>
      </c>
      <c r="I927" t="n">
        <v>0</v>
      </c>
      <c r="J927" t="n">
        <v>0</v>
      </c>
      <c r="K927" t="n">
        <v>0</v>
      </c>
      <c r="L927" t="n">
        <v>0</v>
      </c>
      <c r="M927" t="n">
        <v>0</v>
      </c>
      <c r="N927" t="n">
        <v>0</v>
      </c>
      <c r="O927" t="n">
        <v>0</v>
      </c>
      <c r="P927" t="n">
        <v>0</v>
      </c>
      <c r="Q927" t="n">
        <v>0</v>
      </c>
      <c r="R927" s="2" t="inlineStr"/>
    </row>
    <row r="928" ht="15" customHeight="1">
      <c r="A928" t="inlineStr">
        <is>
          <t>A 31271-2025</t>
        </is>
      </c>
      <c r="B928" s="1" t="n">
        <v>45833.33717592592</v>
      </c>
      <c r="C928" s="1" t="n">
        <v>45991</v>
      </c>
      <c r="D928" t="inlineStr">
        <is>
          <t>VÄSTERBOTTENS LÄN</t>
        </is>
      </c>
      <c r="E928" t="inlineStr">
        <is>
          <t>SKELLEFTEÅ</t>
        </is>
      </c>
      <c r="G928" t="n">
        <v>3.8</v>
      </c>
      <c r="H928" t="n">
        <v>0</v>
      </c>
      <c r="I928" t="n">
        <v>0</v>
      </c>
      <c r="J928" t="n">
        <v>0</v>
      </c>
      <c r="K928" t="n">
        <v>0</v>
      </c>
      <c r="L928" t="n">
        <v>0</v>
      </c>
      <c r="M928" t="n">
        <v>0</v>
      </c>
      <c r="N928" t="n">
        <v>0</v>
      </c>
      <c r="O928" t="n">
        <v>0</v>
      </c>
      <c r="P928" t="n">
        <v>0</v>
      </c>
      <c r="Q928" t="n">
        <v>0</v>
      </c>
      <c r="R928" s="2" t="inlineStr"/>
    </row>
    <row r="929" ht="15" customHeight="1">
      <c r="A929" t="inlineStr">
        <is>
          <t>A 5828-2022</t>
        </is>
      </c>
      <c r="B929" s="1" t="n">
        <v>44596</v>
      </c>
      <c r="C929" s="1" t="n">
        <v>45991</v>
      </c>
      <c r="D929" t="inlineStr">
        <is>
          <t>VÄSTERBOTTENS LÄN</t>
        </is>
      </c>
      <c r="E929" t="inlineStr">
        <is>
          <t>SKELLEFTEÅ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10051-2021</t>
        </is>
      </c>
      <c r="B930" s="1" t="n">
        <v>44256</v>
      </c>
      <c r="C930" s="1" t="n">
        <v>45991</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31520-2025</t>
        </is>
      </c>
      <c r="B931" s="1" t="n">
        <v>45833.60758101852</v>
      </c>
      <c r="C931" s="1" t="n">
        <v>45991</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31257-2025</t>
        </is>
      </c>
      <c r="B932" s="1" t="n">
        <v>45833.32091435185</v>
      </c>
      <c r="C932" s="1" t="n">
        <v>45991</v>
      </c>
      <c r="D932" t="inlineStr">
        <is>
          <t>VÄSTERBOTTENS LÄN</t>
        </is>
      </c>
      <c r="E932" t="inlineStr">
        <is>
          <t>SKELLEFTEÅ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32746-2023</t>
        </is>
      </c>
      <c r="B933" s="1" t="n">
        <v>45122</v>
      </c>
      <c r="C933" s="1" t="n">
        <v>45991</v>
      </c>
      <c r="D933" t="inlineStr">
        <is>
          <t>VÄSTERBOTTENS LÄN</t>
        </is>
      </c>
      <c r="E933" t="inlineStr">
        <is>
          <t>SKELLEFTEÅ</t>
        </is>
      </c>
      <c r="F933" t="inlineStr">
        <is>
          <t>Holmen skog AB</t>
        </is>
      </c>
      <c r="G933" t="n">
        <v>6.1</v>
      </c>
      <c r="H933" t="n">
        <v>0</v>
      </c>
      <c r="I933" t="n">
        <v>0</v>
      </c>
      <c r="J933" t="n">
        <v>0</v>
      </c>
      <c r="K933" t="n">
        <v>0</v>
      </c>
      <c r="L933" t="n">
        <v>0</v>
      </c>
      <c r="M933" t="n">
        <v>0</v>
      </c>
      <c r="N933" t="n">
        <v>0</v>
      </c>
      <c r="O933" t="n">
        <v>0</v>
      </c>
      <c r="P933" t="n">
        <v>0</v>
      </c>
      <c r="Q933" t="n">
        <v>0</v>
      </c>
      <c r="R933" s="2" t="inlineStr"/>
    </row>
    <row r="934" ht="15" customHeight="1">
      <c r="A934" t="inlineStr">
        <is>
          <t>A 58429-2022</t>
        </is>
      </c>
      <c r="B934" s="1" t="n">
        <v>44901</v>
      </c>
      <c r="C934" s="1" t="n">
        <v>45991</v>
      </c>
      <c r="D934" t="inlineStr">
        <is>
          <t>VÄSTERBOTTENS LÄN</t>
        </is>
      </c>
      <c r="E934" t="inlineStr">
        <is>
          <t>SKELLEFTEÅ</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51350-2025</t>
        </is>
      </c>
      <c r="B935" s="1" t="n">
        <v>45950.43576388889</v>
      </c>
      <c r="C935" s="1" t="n">
        <v>45991</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31779-2025</t>
        </is>
      </c>
      <c r="B936" s="1" t="n">
        <v>45834.52873842593</v>
      </c>
      <c r="C936" s="1" t="n">
        <v>45991</v>
      </c>
      <c r="D936" t="inlineStr">
        <is>
          <t>VÄSTERBOTTENS LÄN</t>
        </is>
      </c>
      <c r="E936" t="inlineStr">
        <is>
          <t>SKELLEFTEÅ</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31743-2025</t>
        </is>
      </c>
      <c r="B937" s="1" t="n">
        <v>45834.47671296296</v>
      </c>
      <c r="C937" s="1" t="n">
        <v>45991</v>
      </c>
      <c r="D937" t="inlineStr">
        <is>
          <t>VÄSTERBOTTENS LÄN</t>
        </is>
      </c>
      <c r="E937" t="inlineStr">
        <is>
          <t>SKELLEFTEÅ</t>
        </is>
      </c>
      <c r="G937" t="n">
        <v>1</v>
      </c>
      <c r="H937" t="n">
        <v>0</v>
      </c>
      <c r="I937" t="n">
        <v>0</v>
      </c>
      <c r="J937" t="n">
        <v>0</v>
      </c>
      <c r="K937" t="n">
        <v>0</v>
      </c>
      <c r="L937" t="n">
        <v>0</v>
      </c>
      <c r="M937" t="n">
        <v>0</v>
      </c>
      <c r="N937" t="n">
        <v>0</v>
      </c>
      <c r="O937" t="n">
        <v>0</v>
      </c>
      <c r="P937" t="n">
        <v>0</v>
      </c>
      <c r="Q937" t="n">
        <v>0</v>
      </c>
      <c r="R937" s="2" t="inlineStr"/>
    </row>
    <row r="938" ht="15" customHeight="1">
      <c r="A938" t="inlineStr">
        <is>
          <t>A 30743-2023</t>
        </is>
      </c>
      <c r="B938" s="1" t="n">
        <v>45112.6362037037</v>
      </c>
      <c r="C938" s="1" t="n">
        <v>45991</v>
      </c>
      <c r="D938" t="inlineStr">
        <is>
          <t>VÄSTERBOTTENS LÄN</t>
        </is>
      </c>
      <c r="E938" t="inlineStr">
        <is>
          <t>SKELLEFTEÅ</t>
        </is>
      </c>
      <c r="F938" t="inlineStr">
        <is>
          <t>Sveaskog</t>
        </is>
      </c>
      <c r="G938" t="n">
        <v>5.7</v>
      </c>
      <c r="H938" t="n">
        <v>0</v>
      </c>
      <c r="I938" t="n">
        <v>0</v>
      </c>
      <c r="J938" t="n">
        <v>0</v>
      </c>
      <c r="K938" t="n">
        <v>0</v>
      </c>
      <c r="L938" t="n">
        <v>0</v>
      </c>
      <c r="M938" t="n">
        <v>0</v>
      </c>
      <c r="N938" t="n">
        <v>0</v>
      </c>
      <c r="O938" t="n">
        <v>0</v>
      </c>
      <c r="P938" t="n">
        <v>0</v>
      </c>
      <c r="Q938" t="n">
        <v>0</v>
      </c>
      <c r="R938" s="2" t="inlineStr"/>
    </row>
    <row r="939" ht="15" customHeight="1">
      <c r="A939" t="inlineStr">
        <is>
          <t>A 10655-2024</t>
        </is>
      </c>
      <c r="B939" s="1" t="n">
        <v>45368</v>
      </c>
      <c r="C939" s="1" t="n">
        <v>45991</v>
      </c>
      <c r="D939" t="inlineStr">
        <is>
          <t>VÄSTERBOTTENS LÄN</t>
        </is>
      </c>
      <c r="E939" t="inlineStr">
        <is>
          <t>SKELLEFTEÅ</t>
        </is>
      </c>
      <c r="G939" t="n">
        <v>3.4</v>
      </c>
      <c r="H939" t="n">
        <v>0</v>
      </c>
      <c r="I939" t="n">
        <v>0</v>
      </c>
      <c r="J939" t="n">
        <v>0</v>
      </c>
      <c r="K939" t="n">
        <v>0</v>
      </c>
      <c r="L939" t="n">
        <v>0</v>
      </c>
      <c r="M939" t="n">
        <v>0</v>
      </c>
      <c r="N939" t="n">
        <v>0</v>
      </c>
      <c r="O939" t="n">
        <v>0</v>
      </c>
      <c r="P939" t="n">
        <v>0</v>
      </c>
      <c r="Q939" t="n">
        <v>0</v>
      </c>
      <c r="R939" s="2" t="inlineStr"/>
    </row>
    <row r="940" ht="15" customHeight="1">
      <c r="A940" t="inlineStr">
        <is>
          <t>A 51348-2025</t>
        </is>
      </c>
      <c r="B940" s="1" t="n">
        <v>45950.43511574074</v>
      </c>
      <c r="C940" s="1" t="n">
        <v>45991</v>
      </c>
      <c r="D940" t="inlineStr">
        <is>
          <t>VÄSTERBOTTENS LÄN</t>
        </is>
      </c>
      <c r="E940" t="inlineStr">
        <is>
          <t>SKELLEFTEÅ</t>
        </is>
      </c>
      <c r="G940" t="n">
        <v>6.6</v>
      </c>
      <c r="H940" t="n">
        <v>0</v>
      </c>
      <c r="I940" t="n">
        <v>0</v>
      </c>
      <c r="J940" t="n">
        <v>0</v>
      </c>
      <c r="K940" t="n">
        <v>0</v>
      </c>
      <c r="L940" t="n">
        <v>0</v>
      </c>
      <c r="M940" t="n">
        <v>0</v>
      </c>
      <c r="N940" t="n">
        <v>0</v>
      </c>
      <c r="O940" t="n">
        <v>0</v>
      </c>
      <c r="P940" t="n">
        <v>0</v>
      </c>
      <c r="Q940" t="n">
        <v>0</v>
      </c>
      <c r="R940" s="2" t="inlineStr"/>
    </row>
    <row r="941" ht="15" customHeight="1">
      <c r="A941" t="inlineStr">
        <is>
          <t>A 51351-2025</t>
        </is>
      </c>
      <c r="B941" s="1" t="n">
        <v>45950.43614583334</v>
      </c>
      <c r="C941" s="1" t="n">
        <v>45991</v>
      </c>
      <c r="D941" t="inlineStr">
        <is>
          <t>VÄSTERBOTTENS LÄN</t>
        </is>
      </c>
      <c r="E941" t="inlineStr">
        <is>
          <t>SKELLEFTEÅ</t>
        </is>
      </c>
      <c r="G941" t="n">
        <v>2.2</v>
      </c>
      <c r="H941" t="n">
        <v>0</v>
      </c>
      <c r="I941" t="n">
        <v>0</v>
      </c>
      <c r="J941" t="n">
        <v>0</v>
      </c>
      <c r="K941" t="n">
        <v>0</v>
      </c>
      <c r="L941" t="n">
        <v>0</v>
      </c>
      <c r="M941" t="n">
        <v>0</v>
      </c>
      <c r="N941" t="n">
        <v>0</v>
      </c>
      <c r="O941" t="n">
        <v>0</v>
      </c>
      <c r="P941" t="n">
        <v>0</v>
      </c>
      <c r="Q941" t="n">
        <v>0</v>
      </c>
      <c r="R941" s="2" t="inlineStr"/>
    </row>
    <row r="942" ht="15" customHeight="1">
      <c r="A942" t="inlineStr">
        <is>
          <t>A 16355-2025</t>
        </is>
      </c>
      <c r="B942" s="1" t="n">
        <v>45751.38821759259</v>
      </c>
      <c r="C942" s="1" t="n">
        <v>45991</v>
      </c>
      <c r="D942" t="inlineStr">
        <is>
          <t>VÄSTERBOTTENS LÄN</t>
        </is>
      </c>
      <c r="E942" t="inlineStr">
        <is>
          <t>SKELLEFTEÅ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51665-2025</t>
        </is>
      </c>
      <c r="B943" s="1" t="n">
        <v>45951.49236111111</v>
      </c>
      <c r="C943" s="1" t="n">
        <v>45991</v>
      </c>
      <c r="D943" t="inlineStr">
        <is>
          <t>VÄSTERBOTTENS LÄN</t>
        </is>
      </c>
      <c r="E943" t="inlineStr">
        <is>
          <t>SKELLEFTEÅ</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52038-2025</t>
        </is>
      </c>
      <c r="B944" s="1" t="n">
        <v>45952.61511574074</v>
      </c>
      <c r="C944" s="1" t="n">
        <v>45991</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52025-2025</t>
        </is>
      </c>
      <c r="B945" s="1" t="n">
        <v>45952.60319444445</v>
      </c>
      <c r="C945" s="1" t="n">
        <v>45991</v>
      </c>
      <c r="D945" t="inlineStr">
        <is>
          <t>VÄSTERBOTTENS LÄN</t>
        </is>
      </c>
      <c r="E945" t="inlineStr">
        <is>
          <t>SKELLEFTEÅ</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22044-2024</t>
        </is>
      </c>
      <c r="B946" s="1" t="n">
        <v>45443</v>
      </c>
      <c r="C946" s="1" t="n">
        <v>45991</v>
      </c>
      <c r="D946" t="inlineStr">
        <is>
          <t>VÄSTERBOTTENS LÄN</t>
        </is>
      </c>
      <c r="E946" t="inlineStr">
        <is>
          <t>SKELLEFTEÅ</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52009-2025</t>
        </is>
      </c>
      <c r="B947" s="1" t="n">
        <v>45952.59457175926</v>
      </c>
      <c r="C947" s="1" t="n">
        <v>45991</v>
      </c>
      <c r="D947" t="inlineStr">
        <is>
          <t>VÄSTERBOTTENS LÄN</t>
        </is>
      </c>
      <c r="E947" t="inlineStr">
        <is>
          <t>SKELLEFTEÅ</t>
        </is>
      </c>
      <c r="G947" t="n">
        <v>10</v>
      </c>
      <c r="H947" t="n">
        <v>0</v>
      </c>
      <c r="I947" t="n">
        <v>0</v>
      </c>
      <c r="J947" t="n">
        <v>0</v>
      </c>
      <c r="K947" t="n">
        <v>0</v>
      </c>
      <c r="L947" t="n">
        <v>0</v>
      </c>
      <c r="M947" t="n">
        <v>0</v>
      </c>
      <c r="N947" t="n">
        <v>0</v>
      </c>
      <c r="O947" t="n">
        <v>0</v>
      </c>
      <c r="P947" t="n">
        <v>0</v>
      </c>
      <c r="Q947" t="n">
        <v>0</v>
      </c>
      <c r="R947" s="2" t="inlineStr"/>
    </row>
    <row r="948" ht="15" customHeight="1">
      <c r="A948" t="inlineStr">
        <is>
          <t>A 52037-2025</t>
        </is>
      </c>
      <c r="B948" s="1" t="n">
        <v>45952.61508101852</v>
      </c>
      <c r="C948" s="1" t="n">
        <v>45991</v>
      </c>
      <c r="D948" t="inlineStr">
        <is>
          <t>VÄSTERBOTTENS LÄN</t>
        </is>
      </c>
      <c r="E948" t="inlineStr">
        <is>
          <t>SKELLEFTEÅ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52042-2025</t>
        </is>
      </c>
      <c r="B949" s="1" t="n">
        <v>45952.61533564814</v>
      </c>
      <c r="C949" s="1" t="n">
        <v>45991</v>
      </c>
      <c r="D949" t="inlineStr">
        <is>
          <t>VÄSTERBOTTENS LÄN</t>
        </is>
      </c>
      <c r="E949" t="inlineStr">
        <is>
          <t>SKELLEFTEÅ</t>
        </is>
      </c>
      <c r="G949" t="n">
        <v>2.8</v>
      </c>
      <c r="H949" t="n">
        <v>0</v>
      </c>
      <c r="I949" t="n">
        <v>0</v>
      </c>
      <c r="J949" t="n">
        <v>0</v>
      </c>
      <c r="K949" t="n">
        <v>0</v>
      </c>
      <c r="L949" t="n">
        <v>0</v>
      </c>
      <c r="M949" t="n">
        <v>0</v>
      </c>
      <c r="N949" t="n">
        <v>0</v>
      </c>
      <c r="O949" t="n">
        <v>0</v>
      </c>
      <c r="P949" t="n">
        <v>0</v>
      </c>
      <c r="Q949" t="n">
        <v>0</v>
      </c>
      <c r="R949" s="2" t="inlineStr"/>
    </row>
    <row r="950" ht="15" customHeight="1">
      <c r="A950" t="inlineStr">
        <is>
          <t>A 28567-2025</t>
        </is>
      </c>
      <c r="B950" s="1" t="n">
        <v>45819</v>
      </c>
      <c r="C950" s="1" t="n">
        <v>45991</v>
      </c>
      <c r="D950" t="inlineStr">
        <is>
          <t>VÄSTERBOTTENS LÄN</t>
        </is>
      </c>
      <c r="E950" t="inlineStr">
        <is>
          <t>SKELLEFTEÅ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31628-2025</t>
        </is>
      </c>
      <c r="B951" s="1" t="n">
        <v>45834.30734953703</v>
      </c>
      <c r="C951" s="1" t="n">
        <v>45991</v>
      </c>
      <c r="D951" t="inlineStr">
        <is>
          <t>VÄSTERBOTTENS LÄN</t>
        </is>
      </c>
      <c r="E951" t="inlineStr">
        <is>
          <t>SKELLEFTEÅ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31670-2025</t>
        </is>
      </c>
      <c r="B952" s="1" t="n">
        <v>45834.36549768518</v>
      </c>
      <c r="C952" s="1" t="n">
        <v>45991</v>
      </c>
      <c r="D952" t="inlineStr">
        <is>
          <t>VÄSTERBOTTENS LÄN</t>
        </is>
      </c>
      <c r="E952" t="inlineStr">
        <is>
          <t>SKELLEFTEÅ</t>
        </is>
      </c>
      <c r="G952" t="n">
        <v>0.3</v>
      </c>
      <c r="H952" t="n">
        <v>0</v>
      </c>
      <c r="I952" t="n">
        <v>0</v>
      </c>
      <c r="J952" t="n">
        <v>0</v>
      </c>
      <c r="K952" t="n">
        <v>0</v>
      </c>
      <c r="L952" t="n">
        <v>0</v>
      </c>
      <c r="M952" t="n">
        <v>0</v>
      </c>
      <c r="N952" t="n">
        <v>0</v>
      </c>
      <c r="O952" t="n">
        <v>0</v>
      </c>
      <c r="P952" t="n">
        <v>0</v>
      </c>
      <c r="Q952" t="n">
        <v>0</v>
      </c>
      <c r="R952" s="2" t="inlineStr"/>
    </row>
    <row r="953" ht="15" customHeight="1">
      <c r="A953" t="inlineStr">
        <is>
          <t>A 54081-2022</t>
        </is>
      </c>
      <c r="B953" s="1" t="n">
        <v>44881</v>
      </c>
      <c r="C953" s="1" t="n">
        <v>45991</v>
      </c>
      <c r="D953" t="inlineStr">
        <is>
          <t>VÄSTERBOTTENS LÄN</t>
        </is>
      </c>
      <c r="E953" t="inlineStr">
        <is>
          <t>SKELLEFTEÅ</t>
        </is>
      </c>
      <c r="G953" t="n">
        <v>4.3</v>
      </c>
      <c r="H953" t="n">
        <v>0</v>
      </c>
      <c r="I953" t="n">
        <v>0</v>
      </c>
      <c r="J953" t="n">
        <v>0</v>
      </c>
      <c r="K953" t="n">
        <v>0</v>
      </c>
      <c r="L953" t="n">
        <v>0</v>
      </c>
      <c r="M953" t="n">
        <v>0</v>
      </c>
      <c r="N953" t="n">
        <v>0</v>
      </c>
      <c r="O953" t="n">
        <v>0</v>
      </c>
      <c r="P953" t="n">
        <v>0</v>
      </c>
      <c r="Q953" t="n">
        <v>0</v>
      </c>
      <c r="R953" s="2" t="inlineStr"/>
    </row>
    <row r="954" ht="15" customHeight="1">
      <c r="A954" t="inlineStr">
        <is>
          <t>A 43463-2025</t>
        </is>
      </c>
      <c r="B954" s="1" t="n">
        <v>45911.46953703704</v>
      </c>
      <c r="C954" s="1" t="n">
        <v>45991</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1955-2025</t>
        </is>
      </c>
      <c r="B955" s="1" t="n">
        <v>45671</v>
      </c>
      <c r="C955" s="1" t="n">
        <v>45991</v>
      </c>
      <c r="D955" t="inlineStr">
        <is>
          <t>VÄSTERBOTTENS LÄN</t>
        </is>
      </c>
      <c r="E955" t="inlineStr">
        <is>
          <t>SKELLEFTEÅ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32047-2025</t>
        </is>
      </c>
      <c r="B956" s="1" t="n">
        <v>45835.44034722223</v>
      </c>
      <c r="C956" s="1" t="n">
        <v>45991</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31627-2025</t>
        </is>
      </c>
      <c r="B957" s="1" t="n">
        <v>45834.30527777778</v>
      </c>
      <c r="C957" s="1" t="n">
        <v>45991</v>
      </c>
      <c r="D957" t="inlineStr">
        <is>
          <t>VÄSTERBOTTENS LÄN</t>
        </is>
      </c>
      <c r="E957" t="inlineStr">
        <is>
          <t>SKELLEFTEÅ</t>
        </is>
      </c>
      <c r="F957" t="inlineStr">
        <is>
          <t>Holmen skog AB</t>
        </is>
      </c>
      <c r="G957" t="n">
        <v>7.7</v>
      </c>
      <c r="H957" t="n">
        <v>0</v>
      </c>
      <c r="I957" t="n">
        <v>0</v>
      </c>
      <c r="J957" t="n">
        <v>0</v>
      </c>
      <c r="K957" t="n">
        <v>0</v>
      </c>
      <c r="L957" t="n">
        <v>0</v>
      </c>
      <c r="M957" t="n">
        <v>0</v>
      </c>
      <c r="N957" t="n">
        <v>0</v>
      </c>
      <c r="O957" t="n">
        <v>0</v>
      </c>
      <c r="P957" t="n">
        <v>0</v>
      </c>
      <c r="Q957" t="n">
        <v>0</v>
      </c>
      <c r="R957" s="2" t="inlineStr"/>
    </row>
    <row r="958" ht="15" customHeight="1">
      <c r="A958" t="inlineStr">
        <is>
          <t>A 31717-2025</t>
        </is>
      </c>
      <c r="B958" s="1" t="n">
        <v>45834.46008101852</v>
      </c>
      <c r="C958" s="1" t="n">
        <v>45991</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17628-2025</t>
        </is>
      </c>
      <c r="B959" s="1" t="n">
        <v>45757.97299768519</v>
      </c>
      <c r="C959" s="1" t="n">
        <v>45991</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31988-2025</t>
        </is>
      </c>
      <c r="B960" s="1" t="n">
        <v>45835.363125</v>
      </c>
      <c r="C960" s="1" t="n">
        <v>45991</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31688-2025</t>
        </is>
      </c>
      <c r="B961" s="1" t="n">
        <v>45834.40149305556</v>
      </c>
      <c r="C961" s="1" t="n">
        <v>45991</v>
      </c>
      <c r="D961" t="inlineStr">
        <is>
          <t>VÄSTERBOTTENS LÄN</t>
        </is>
      </c>
      <c r="E961" t="inlineStr">
        <is>
          <t>SKELLEFTEÅ</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31727-2025</t>
        </is>
      </c>
      <c r="B962" s="1" t="n">
        <v>45834.46859953704</v>
      </c>
      <c r="C962" s="1" t="n">
        <v>45991</v>
      </c>
      <c r="D962" t="inlineStr">
        <is>
          <t>VÄSTERBOTTENS LÄN</t>
        </is>
      </c>
      <c r="E962" t="inlineStr">
        <is>
          <t>SKELLEFTEÅ</t>
        </is>
      </c>
      <c r="G962" t="n">
        <v>4.5</v>
      </c>
      <c r="H962" t="n">
        <v>0</v>
      </c>
      <c r="I962" t="n">
        <v>0</v>
      </c>
      <c r="J962" t="n">
        <v>0</v>
      </c>
      <c r="K962" t="n">
        <v>0</v>
      </c>
      <c r="L962" t="n">
        <v>0</v>
      </c>
      <c r="M962" t="n">
        <v>0</v>
      </c>
      <c r="N962" t="n">
        <v>0</v>
      </c>
      <c r="O962" t="n">
        <v>0</v>
      </c>
      <c r="P962" t="n">
        <v>0</v>
      </c>
      <c r="Q962" t="n">
        <v>0</v>
      </c>
      <c r="R962" s="2" t="inlineStr"/>
    </row>
    <row r="963" ht="15" customHeight="1">
      <c r="A963" t="inlineStr">
        <is>
          <t>A 18584-2022</t>
        </is>
      </c>
      <c r="B963" s="1" t="n">
        <v>44687</v>
      </c>
      <c r="C963" s="1" t="n">
        <v>45991</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31739-2025</t>
        </is>
      </c>
      <c r="B964" s="1" t="n">
        <v>45834.47350694444</v>
      </c>
      <c r="C964" s="1" t="n">
        <v>45991</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43596-2025</t>
        </is>
      </c>
      <c r="B965" s="1" t="n">
        <v>45911.66240740741</v>
      </c>
      <c r="C965" s="1" t="n">
        <v>45991</v>
      </c>
      <c r="D965" t="inlineStr">
        <is>
          <t>VÄSTERBOTTENS LÄN</t>
        </is>
      </c>
      <c r="E965" t="inlineStr">
        <is>
          <t>SKELLEFTEÅ</t>
        </is>
      </c>
      <c r="G965" t="n">
        <v>7.7</v>
      </c>
      <c r="H965" t="n">
        <v>0</v>
      </c>
      <c r="I965" t="n">
        <v>0</v>
      </c>
      <c r="J965" t="n">
        <v>0</v>
      </c>
      <c r="K965" t="n">
        <v>0</v>
      </c>
      <c r="L965" t="n">
        <v>0</v>
      </c>
      <c r="M965" t="n">
        <v>0</v>
      </c>
      <c r="N965" t="n">
        <v>0</v>
      </c>
      <c r="O965" t="n">
        <v>0</v>
      </c>
      <c r="P965" t="n">
        <v>0</v>
      </c>
      <c r="Q965" t="n">
        <v>0</v>
      </c>
      <c r="R965" s="2" t="inlineStr"/>
    </row>
    <row r="966" ht="15" customHeight="1">
      <c r="A966" t="inlineStr">
        <is>
          <t>A 43600-2025</t>
        </is>
      </c>
      <c r="B966" s="1" t="n">
        <v>45911.66473379629</v>
      </c>
      <c r="C966" s="1" t="n">
        <v>45991</v>
      </c>
      <c r="D966" t="inlineStr">
        <is>
          <t>VÄSTERBOTTENS LÄN</t>
        </is>
      </c>
      <c r="E966" t="inlineStr">
        <is>
          <t>SKELLEFTEÅ</t>
        </is>
      </c>
      <c r="G966" t="n">
        <v>3.1</v>
      </c>
      <c r="H966" t="n">
        <v>0</v>
      </c>
      <c r="I966" t="n">
        <v>0</v>
      </c>
      <c r="J966" t="n">
        <v>0</v>
      </c>
      <c r="K966" t="n">
        <v>0</v>
      </c>
      <c r="L966" t="n">
        <v>0</v>
      </c>
      <c r="M966" t="n">
        <v>0</v>
      </c>
      <c r="N966" t="n">
        <v>0</v>
      </c>
      <c r="O966" t="n">
        <v>0</v>
      </c>
      <c r="P966" t="n">
        <v>0</v>
      </c>
      <c r="Q966" t="n">
        <v>0</v>
      </c>
      <c r="R966" s="2" t="inlineStr"/>
    </row>
    <row r="967" ht="15" customHeight="1">
      <c r="A967" t="inlineStr">
        <is>
          <t>A 31958-2025</t>
        </is>
      </c>
      <c r="B967" s="1" t="n">
        <v>45835.34219907408</v>
      </c>
      <c r="C967" s="1" t="n">
        <v>45991</v>
      </c>
      <c r="D967" t="inlineStr">
        <is>
          <t>VÄSTERBOTTENS LÄN</t>
        </is>
      </c>
      <c r="E967" t="inlineStr">
        <is>
          <t>SKELLEFTEÅ</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31997-2025</t>
        </is>
      </c>
      <c r="B968" s="1" t="n">
        <v>45835.37637731482</v>
      </c>
      <c r="C968" s="1" t="n">
        <v>45991</v>
      </c>
      <c r="D968" t="inlineStr">
        <is>
          <t>VÄSTERBOTTENS LÄN</t>
        </is>
      </c>
      <c r="E968" t="inlineStr">
        <is>
          <t>SKELLEFTEÅ</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37819-2022</t>
        </is>
      </c>
      <c r="B969" s="1" t="n">
        <v>44810</v>
      </c>
      <c r="C969" s="1" t="n">
        <v>45991</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31797-2025</t>
        </is>
      </c>
      <c r="B970" s="1" t="n">
        <v>45834.55078703703</v>
      </c>
      <c r="C970" s="1" t="n">
        <v>45991</v>
      </c>
      <c r="D970" t="inlineStr">
        <is>
          <t>VÄSTERBOTTENS LÄN</t>
        </is>
      </c>
      <c r="E970" t="inlineStr">
        <is>
          <t>SKELLEFTEÅ</t>
        </is>
      </c>
      <c r="G970" t="n">
        <v>19.1</v>
      </c>
      <c r="H970" t="n">
        <v>0</v>
      </c>
      <c r="I970" t="n">
        <v>0</v>
      </c>
      <c r="J970" t="n">
        <v>0</v>
      </c>
      <c r="K970" t="n">
        <v>0</v>
      </c>
      <c r="L970" t="n">
        <v>0</v>
      </c>
      <c r="M970" t="n">
        <v>0</v>
      </c>
      <c r="N970" t="n">
        <v>0</v>
      </c>
      <c r="O970" t="n">
        <v>0</v>
      </c>
      <c r="P970" t="n">
        <v>0</v>
      </c>
      <c r="Q970" t="n">
        <v>0</v>
      </c>
      <c r="R970" s="2" t="inlineStr"/>
    </row>
    <row r="971" ht="15" customHeight="1">
      <c r="A971" t="inlineStr">
        <is>
          <t>A 31938-2025</t>
        </is>
      </c>
      <c r="B971" s="1" t="n">
        <v>45835.29355324074</v>
      </c>
      <c r="C971" s="1" t="n">
        <v>45991</v>
      </c>
      <c r="D971" t="inlineStr">
        <is>
          <t>VÄSTERBOTTENS LÄN</t>
        </is>
      </c>
      <c r="E971" t="inlineStr">
        <is>
          <t>SKELLEFTEÅ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23704-2023</t>
        </is>
      </c>
      <c r="B972" s="1" t="n">
        <v>45075</v>
      </c>
      <c r="C972" s="1" t="n">
        <v>45991</v>
      </c>
      <c r="D972" t="inlineStr">
        <is>
          <t>VÄSTERBOTTENS LÄN</t>
        </is>
      </c>
      <c r="E972" t="inlineStr">
        <is>
          <t>SKELLEFTEÅ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51592-2024</t>
        </is>
      </c>
      <c r="B973" s="1" t="n">
        <v>45604.64886574074</v>
      </c>
      <c r="C973" s="1" t="n">
        <v>45991</v>
      </c>
      <c r="D973" t="inlineStr">
        <is>
          <t>VÄSTERBOTTENS LÄN</t>
        </is>
      </c>
      <c r="E973" t="inlineStr">
        <is>
          <t>SKELLEFTEÅ</t>
        </is>
      </c>
      <c r="F973" t="inlineStr">
        <is>
          <t>Sveaskog</t>
        </is>
      </c>
      <c r="G973" t="n">
        <v>15.1</v>
      </c>
      <c r="H973" t="n">
        <v>0</v>
      </c>
      <c r="I973" t="n">
        <v>0</v>
      </c>
      <c r="J973" t="n">
        <v>0</v>
      </c>
      <c r="K973" t="n">
        <v>0</v>
      </c>
      <c r="L973" t="n">
        <v>0</v>
      </c>
      <c r="M973" t="n">
        <v>0</v>
      </c>
      <c r="N973" t="n">
        <v>0</v>
      </c>
      <c r="O973" t="n">
        <v>0</v>
      </c>
      <c r="P973" t="n">
        <v>0</v>
      </c>
      <c r="Q973" t="n">
        <v>0</v>
      </c>
      <c r="R973" s="2" t="inlineStr"/>
    </row>
    <row r="974" ht="15" customHeight="1">
      <c r="A974" t="inlineStr">
        <is>
          <t>A 32066-2025</t>
        </is>
      </c>
      <c r="B974" s="1" t="n">
        <v>45835.44824074074</v>
      </c>
      <c r="C974" s="1" t="n">
        <v>45991</v>
      </c>
      <c r="D974" t="inlineStr">
        <is>
          <t>VÄSTERBOTTENS LÄN</t>
        </is>
      </c>
      <c r="E974" t="inlineStr">
        <is>
          <t>SKELLEFTEÅ</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51977-2025</t>
        </is>
      </c>
      <c r="B975" s="1" t="n">
        <v>45952.56453703704</v>
      </c>
      <c r="C975" s="1" t="n">
        <v>45991</v>
      </c>
      <c r="D975" t="inlineStr">
        <is>
          <t>VÄSTERBOTTENS LÄN</t>
        </is>
      </c>
      <c r="E975" t="inlineStr">
        <is>
          <t>SKELLEFTEÅ</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51934-2025</t>
        </is>
      </c>
      <c r="B976" s="1" t="n">
        <v>45952.51155092593</v>
      </c>
      <c r="C976" s="1" t="n">
        <v>45991</v>
      </c>
      <c r="D976" t="inlineStr">
        <is>
          <t>VÄSTERBOTTENS LÄN</t>
        </is>
      </c>
      <c r="E976" t="inlineStr">
        <is>
          <t>SKELLEFTEÅ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52094-2025</t>
        </is>
      </c>
      <c r="B977" s="1" t="n">
        <v>45952.67895833333</v>
      </c>
      <c r="C977" s="1" t="n">
        <v>45991</v>
      </c>
      <c r="D977" t="inlineStr">
        <is>
          <t>VÄSTERBOTTENS LÄN</t>
        </is>
      </c>
      <c r="E977" t="inlineStr">
        <is>
          <t>SKELLEFTEÅ</t>
        </is>
      </c>
      <c r="G977" t="n">
        <v>4</v>
      </c>
      <c r="H977" t="n">
        <v>0</v>
      </c>
      <c r="I977" t="n">
        <v>0</v>
      </c>
      <c r="J977" t="n">
        <v>0</v>
      </c>
      <c r="K977" t="n">
        <v>0</v>
      </c>
      <c r="L977" t="n">
        <v>0</v>
      </c>
      <c r="M977" t="n">
        <v>0</v>
      </c>
      <c r="N977" t="n">
        <v>0</v>
      </c>
      <c r="O977" t="n">
        <v>0</v>
      </c>
      <c r="P977" t="n">
        <v>0</v>
      </c>
      <c r="Q977" t="n">
        <v>0</v>
      </c>
      <c r="R977" s="2" t="inlineStr"/>
    </row>
    <row r="978" ht="15" customHeight="1">
      <c r="A978" t="inlineStr">
        <is>
          <t>A 52095-2025</t>
        </is>
      </c>
      <c r="B978" s="1" t="n">
        <v>45952.67899305555</v>
      </c>
      <c r="C978" s="1" t="n">
        <v>45991</v>
      </c>
      <c r="D978" t="inlineStr">
        <is>
          <t>VÄSTERBOTTENS LÄN</t>
        </is>
      </c>
      <c r="E978" t="inlineStr">
        <is>
          <t>SKELLEFTEÅ</t>
        </is>
      </c>
      <c r="G978" t="n">
        <v>4</v>
      </c>
      <c r="H978" t="n">
        <v>0</v>
      </c>
      <c r="I978" t="n">
        <v>0</v>
      </c>
      <c r="J978" t="n">
        <v>0</v>
      </c>
      <c r="K978" t="n">
        <v>0</v>
      </c>
      <c r="L978" t="n">
        <v>0</v>
      </c>
      <c r="M978" t="n">
        <v>0</v>
      </c>
      <c r="N978" t="n">
        <v>0</v>
      </c>
      <c r="O978" t="n">
        <v>0</v>
      </c>
      <c r="P978" t="n">
        <v>0</v>
      </c>
      <c r="Q978" t="n">
        <v>0</v>
      </c>
      <c r="R978" s="2" t="inlineStr"/>
    </row>
    <row r="979" ht="15" customHeight="1">
      <c r="A979" t="inlineStr">
        <is>
          <t>A 32780-2025</t>
        </is>
      </c>
      <c r="B979" s="1" t="n">
        <v>45839.46975694445</v>
      </c>
      <c r="C979" s="1" t="n">
        <v>45991</v>
      </c>
      <c r="D979" t="inlineStr">
        <is>
          <t>VÄSTERBOTTENS LÄN</t>
        </is>
      </c>
      <c r="E979" t="inlineStr">
        <is>
          <t>SKELLEFTEÅ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3265-2022</t>
        </is>
      </c>
      <c r="B980" s="1" t="n">
        <v>44583.7693287037</v>
      </c>
      <c r="C980" s="1" t="n">
        <v>45991</v>
      </c>
      <c r="D980" t="inlineStr">
        <is>
          <t>VÄSTERBOTTENS LÄN</t>
        </is>
      </c>
      <c r="E980" t="inlineStr">
        <is>
          <t>SKELLEFTEÅ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21336-2023</t>
        </is>
      </c>
      <c r="B981" s="1" t="n">
        <v>45062</v>
      </c>
      <c r="C981" s="1" t="n">
        <v>45991</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35771-2022</t>
        </is>
      </c>
      <c r="B982" s="1" t="n">
        <v>44801</v>
      </c>
      <c r="C982" s="1" t="n">
        <v>45991</v>
      </c>
      <c r="D982" t="inlineStr">
        <is>
          <t>VÄSTERBOTTENS LÄN</t>
        </is>
      </c>
      <c r="E982" t="inlineStr">
        <is>
          <t>SKELLEFTEÅ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32450-2025</t>
        </is>
      </c>
      <c r="B983" s="1" t="n">
        <v>45838.38953703704</v>
      </c>
      <c r="C983" s="1" t="n">
        <v>45991</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52039-2025</t>
        </is>
      </c>
      <c r="B984" s="1" t="n">
        <v>45952.61512731481</v>
      </c>
      <c r="C984" s="1" t="n">
        <v>45991</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32601-2025</t>
        </is>
      </c>
      <c r="B985" s="1" t="n">
        <v>45838.62275462963</v>
      </c>
      <c r="C985" s="1" t="n">
        <v>45991</v>
      </c>
      <c r="D985" t="inlineStr">
        <is>
          <t>VÄSTERBOTTENS LÄN</t>
        </is>
      </c>
      <c r="E985" t="inlineStr">
        <is>
          <t>SKELLEFTEÅ</t>
        </is>
      </c>
      <c r="F985" t="inlineStr">
        <is>
          <t>Holmen skog AB</t>
        </is>
      </c>
      <c r="G985" t="n">
        <v>4.1</v>
      </c>
      <c r="H985" t="n">
        <v>0</v>
      </c>
      <c r="I985" t="n">
        <v>0</v>
      </c>
      <c r="J985" t="n">
        <v>0</v>
      </c>
      <c r="K985" t="n">
        <v>0</v>
      </c>
      <c r="L985" t="n">
        <v>0</v>
      </c>
      <c r="M985" t="n">
        <v>0</v>
      </c>
      <c r="N985" t="n">
        <v>0</v>
      </c>
      <c r="O985" t="n">
        <v>0</v>
      </c>
      <c r="P985" t="n">
        <v>0</v>
      </c>
      <c r="Q985" t="n">
        <v>0</v>
      </c>
      <c r="R985" s="2" t="inlineStr"/>
    </row>
    <row r="986" ht="15" customHeight="1">
      <c r="A986" t="inlineStr">
        <is>
          <t>A 32640-2025</t>
        </is>
      </c>
      <c r="B986" s="1" t="n">
        <v>45838.65730324074</v>
      </c>
      <c r="C986" s="1" t="n">
        <v>45991</v>
      </c>
      <c r="D986" t="inlineStr">
        <is>
          <t>VÄSTERBOTTENS LÄN</t>
        </is>
      </c>
      <c r="E986" t="inlineStr">
        <is>
          <t>SKELLEFTEÅ</t>
        </is>
      </c>
      <c r="G986" t="n">
        <v>7.9</v>
      </c>
      <c r="H986" t="n">
        <v>0</v>
      </c>
      <c r="I986" t="n">
        <v>0</v>
      </c>
      <c r="J986" t="n">
        <v>0</v>
      </c>
      <c r="K986" t="n">
        <v>0</v>
      </c>
      <c r="L986" t="n">
        <v>0</v>
      </c>
      <c r="M986" t="n">
        <v>0</v>
      </c>
      <c r="N986" t="n">
        <v>0</v>
      </c>
      <c r="O986" t="n">
        <v>0</v>
      </c>
      <c r="P986" t="n">
        <v>0</v>
      </c>
      <c r="Q986" t="n">
        <v>0</v>
      </c>
      <c r="R986" s="2" t="inlineStr"/>
    </row>
    <row r="987" ht="15" customHeight="1">
      <c r="A987" t="inlineStr">
        <is>
          <t>A 32638-2025</t>
        </is>
      </c>
      <c r="B987" s="1" t="n">
        <v>45838.65724537037</v>
      </c>
      <c r="C987" s="1" t="n">
        <v>45991</v>
      </c>
      <c r="D987" t="inlineStr">
        <is>
          <t>VÄSTERBOTTENS LÄN</t>
        </is>
      </c>
      <c r="E987" t="inlineStr">
        <is>
          <t>SKELLEFTEÅ</t>
        </is>
      </c>
      <c r="G987" t="n">
        <v>4.8</v>
      </c>
      <c r="H987" t="n">
        <v>0</v>
      </c>
      <c r="I987" t="n">
        <v>0</v>
      </c>
      <c r="J987" t="n">
        <v>0</v>
      </c>
      <c r="K987" t="n">
        <v>0</v>
      </c>
      <c r="L987" t="n">
        <v>0</v>
      </c>
      <c r="M987" t="n">
        <v>0</v>
      </c>
      <c r="N987" t="n">
        <v>0</v>
      </c>
      <c r="O987" t="n">
        <v>0</v>
      </c>
      <c r="P987" t="n">
        <v>0</v>
      </c>
      <c r="Q987" t="n">
        <v>0</v>
      </c>
      <c r="R987" s="2" t="inlineStr"/>
    </row>
    <row r="988" ht="15" customHeight="1">
      <c r="A988" t="inlineStr">
        <is>
          <t>A 32781-2025</t>
        </is>
      </c>
      <c r="B988" s="1" t="n">
        <v>45839.47243055556</v>
      </c>
      <c r="C988" s="1" t="n">
        <v>45991</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43372-2025</t>
        </is>
      </c>
      <c r="B989" s="1" t="n">
        <v>45911.35015046296</v>
      </c>
      <c r="C989" s="1" t="n">
        <v>45991</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32550-2025</t>
        </is>
      </c>
      <c r="B990" s="1" t="n">
        <v>45838.54916666666</v>
      </c>
      <c r="C990" s="1" t="n">
        <v>45991</v>
      </c>
      <c r="D990" t="inlineStr">
        <is>
          <t>VÄSTERBOTTENS LÄN</t>
        </is>
      </c>
      <c r="E990" t="inlineStr">
        <is>
          <t>SKELLEFTEÅ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43312-2025</t>
        </is>
      </c>
      <c r="B991" s="1" t="n">
        <v>45910.65115740741</v>
      </c>
      <c r="C991" s="1" t="n">
        <v>45991</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32931-2025</t>
        </is>
      </c>
      <c r="B992" s="1" t="n">
        <v>45839.66858796297</v>
      </c>
      <c r="C992" s="1" t="n">
        <v>45991</v>
      </c>
      <c r="D992" t="inlineStr">
        <is>
          <t>VÄSTERBOTTENS LÄN</t>
        </is>
      </c>
      <c r="E992" t="inlineStr">
        <is>
          <t>SKELLEFTEÅ</t>
        </is>
      </c>
      <c r="F992" t="inlineStr">
        <is>
          <t>Holmen skog AB</t>
        </is>
      </c>
      <c r="G992" t="n">
        <v>7.7</v>
      </c>
      <c r="H992" t="n">
        <v>0</v>
      </c>
      <c r="I992" t="n">
        <v>0</v>
      </c>
      <c r="J992" t="n">
        <v>0</v>
      </c>
      <c r="K992" t="n">
        <v>0</v>
      </c>
      <c r="L992" t="n">
        <v>0</v>
      </c>
      <c r="M992" t="n">
        <v>0</v>
      </c>
      <c r="N992" t="n">
        <v>0</v>
      </c>
      <c r="O992" t="n">
        <v>0</v>
      </c>
      <c r="P992" t="n">
        <v>0</v>
      </c>
      <c r="Q992" t="n">
        <v>0</v>
      </c>
      <c r="R992" s="2" t="inlineStr"/>
    </row>
    <row r="993" ht="15" customHeight="1">
      <c r="A993" t="inlineStr">
        <is>
          <t>A 32955-2025</t>
        </is>
      </c>
      <c r="B993" s="1" t="n">
        <v>45839</v>
      </c>
      <c r="C993" s="1" t="n">
        <v>45991</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46304-2024</t>
        </is>
      </c>
      <c r="B994" s="1" t="n">
        <v>45581</v>
      </c>
      <c r="C994" s="1" t="n">
        <v>45991</v>
      </c>
      <c r="D994" t="inlineStr">
        <is>
          <t>VÄSTERBOTTENS LÄN</t>
        </is>
      </c>
      <c r="E994" t="inlineStr">
        <is>
          <t>SKELLEFTEÅ</t>
        </is>
      </c>
      <c r="F994" t="inlineStr">
        <is>
          <t>Holmen skog AB</t>
        </is>
      </c>
      <c r="G994" t="n">
        <v>0.3</v>
      </c>
      <c r="H994" t="n">
        <v>0</v>
      </c>
      <c r="I994" t="n">
        <v>0</v>
      </c>
      <c r="J994" t="n">
        <v>0</v>
      </c>
      <c r="K994" t="n">
        <v>0</v>
      </c>
      <c r="L994" t="n">
        <v>0</v>
      </c>
      <c r="M994" t="n">
        <v>0</v>
      </c>
      <c r="N994" t="n">
        <v>0</v>
      </c>
      <c r="O994" t="n">
        <v>0</v>
      </c>
      <c r="P994" t="n">
        <v>0</v>
      </c>
      <c r="Q994" t="n">
        <v>0</v>
      </c>
      <c r="R994" s="2" t="inlineStr"/>
    </row>
    <row r="995" ht="15" customHeight="1">
      <c r="A995" t="inlineStr">
        <is>
          <t>A 52040-2025</t>
        </is>
      </c>
      <c r="B995" s="1" t="n">
        <v>45952.61515046296</v>
      </c>
      <c r="C995" s="1" t="n">
        <v>45991</v>
      </c>
      <c r="D995" t="inlineStr">
        <is>
          <t>VÄSTERBOTTENS LÄN</t>
        </is>
      </c>
      <c r="E995" t="inlineStr">
        <is>
          <t>SKELLEFTEÅ</t>
        </is>
      </c>
      <c r="G995" t="n">
        <v>5.6</v>
      </c>
      <c r="H995" t="n">
        <v>0</v>
      </c>
      <c r="I995" t="n">
        <v>0</v>
      </c>
      <c r="J995" t="n">
        <v>0</v>
      </c>
      <c r="K995" t="n">
        <v>0</v>
      </c>
      <c r="L995" t="n">
        <v>0</v>
      </c>
      <c r="M995" t="n">
        <v>0</v>
      </c>
      <c r="N995" t="n">
        <v>0</v>
      </c>
      <c r="O995" t="n">
        <v>0</v>
      </c>
      <c r="P995" t="n">
        <v>0</v>
      </c>
      <c r="Q995" t="n">
        <v>0</v>
      </c>
      <c r="R995" s="2" t="inlineStr"/>
    </row>
    <row r="996" ht="15" customHeight="1">
      <c r="A996" t="inlineStr">
        <is>
          <t>A 52041-2025</t>
        </is>
      </c>
      <c r="B996" s="1" t="n">
        <v>45952.61530092593</v>
      </c>
      <c r="C996" s="1" t="n">
        <v>45991</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43317-2025</t>
        </is>
      </c>
      <c r="B997" s="1" t="n">
        <v>45910.65524305555</v>
      </c>
      <c r="C997" s="1" t="n">
        <v>45991</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43318-2025</t>
        </is>
      </c>
      <c r="B998" s="1" t="n">
        <v>45910</v>
      </c>
      <c r="C998" s="1" t="n">
        <v>45991</v>
      </c>
      <c r="D998" t="inlineStr">
        <is>
          <t>VÄSTERBOTTENS LÄN</t>
        </is>
      </c>
      <c r="E998" t="inlineStr">
        <is>
          <t>SKELLEFTEÅ</t>
        </is>
      </c>
      <c r="G998" t="n">
        <v>0.4</v>
      </c>
      <c r="H998" t="n">
        <v>0</v>
      </c>
      <c r="I998" t="n">
        <v>0</v>
      </c>
      <c r="J998" t="n">
        <v>0</v>
      </c>
      <c r="K998" t="n">
        <v>0</v>
      </c>
      <c r="L998" t="n">
        <v>0</v>
      </c>
      <c r="M998" t="n">
        <v>0</v>
      </c>
      <c r="N998" t="n">
        <v>0</v>
      </c>
      <c r="O998" t="n">
        <v>0</v>
      </c>
      <c r="P998" t="n">
        <v>0</v>
      </c>
      <c r="Q998" t="n">
        <v>0</v>
      </c>
      <c r="R998" s="2" t="inlineStr"/>
    </row>
    <row r="999" ht="15" customHeight="1">
      <c r="A999" t="inlineStr">
        <is>
          <t>A 43327-2025</t>
        </is>
      </c>
      <c r="B999" s="1" t="n">
        <v>45910.67043981481</v>
      </c>
      <c r="C999" s="1" t="n">
        <v>45991</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35736-2023</t>
        </is>
      </c>
      <c r="B1000" s="1" t="n">
        <v>45147</v>
      </c>
      <c r="C1000" s="1" t="n">
        <v>45991</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12928-2021</t>
        </is>
      </c>
      <c r="B1001" s="1" t="n">
        <v>44270</v>
      </c>
      <c r="C1001" s="1" t="n">
        <v>45991</v>
      </c>
      <c r="D1001" t="inlineStr">
        <is>
          <t>VÄSTERBOTTENS LÄN</t>
        </is>
      </c>
      <c r="E1001" t="inlineStr">
        <is>
          <t>SKELLEFTEÅ</t>
        </is>
      </c>
      <c r="G1001" t="n">
        <v>17.8</v>
      </c>
      <c r="H1001" t="n">
        <v>0</v>
      </c>
      <c r="I1001" t="n">
        <v>0</v>
      </c>
      <c r="J1001" t="n">
        <v>0</v>
      </c>
      <c r="K1001" t="n">
        <v>0</v>
      </c>
      <c r="L1001" t="n">
        <v>0</v>
      </c>
      <c r="M1001" t="n">
        <v>0</v>
      </c>
      <c r="N1001" t="n">
        <v>0</v>
      </c>
      <c r="O1001" t="n">
        <v>0</v>
      </c>
      <c r="P1001" t="n">
        <v>0</v>
      </c>
      <c r="Q1001" t="n">
        <v>0</v>
      </c>
      <c r="R1001" s="2" t="inlineStr"/>
    </row>
    <row r="1002" ht="15" customHeight="1">
      <c r="A1002" t="inlineStr">
        <is>
          <t>A 43427-2025</t>
        </is>
      </c>
      <c r="B1002" s="1" t="n">
        <v>45911.419375</v>
      </c>
      <c r="C1002" s="1" t="n">
        <v>45991</v>
      </c>
      <c r="D1002" t="inlineStr">
        <is>
          <t>VÄSTERBOTTENS LÄN</t>
        </is>
      </c>
      <c r="E1002" t="inlineStr">
        <is>
          <t>SKELLEFTEÅ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32329-2025</t>
        </is>
      </c>
      <c r="B1003" s="1" t="n">
        <v>45836.48517361111</v>
      </c>
      <c r="C1003" s="1" t="n">
        <v>45991</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65096-2020</t>
        </is>
      </c>
      <c r="B1004" s="1" t="n">
        <v>44167</v>
      </c>
      <c r="C1004" s="1" t="n">
        <v>45991</v>
      </c>
      <c r="D1004" t="inlineStr">
        <is>
          <t>VÄSTERBOTTENS LÄN</t>
        </is>
      </c>
      <c r="E1004" t="inlineStr">
        <is>
          <t>SKELLEFTEÅ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27817-2022</t>
        </is>
      </c>
      <c r="B1005" s="1" t="n">
        <v>44743</v>
      </c>
      <c r="C1005" s="1" t="n">
        <v>45991</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32551-2025</t>
        </is>
      </c>
      <c r="B1006" s="1" t="n">
        <v>45838.5503587963</v>
      </c>
      <c r="C1006" s="1" t="n">
        <v>45991</v>
      </c>
      <c r="D1006" t="inlineStr">
        <is>
          <t>VÄSTERBOTTENS LÄN</t>
        </is>
      </c>
      <c r="E1006" t="inlineStr">
        <is>
          <t>SKELLEFTEÅ</t>
        </is>
      </c>
      <c r="F1006" t="inlineStr">
        <is>
          <t>Holmen skog AB</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41409-2022</t>
        </is>
      </c>
      <c r="B1007" s="1" t="n">
        <v>44826.63581018519</v>
      </c>
      <c r="C1007" s="1" t="n">
        <v>45991</v>
      </c>
      <c r="D1007" t="inlineStr">
        <is>
          <t>VÄSTERBOTTENS LÄN</t>
        </is>
      </c>
      <c r="E1007" t="inlineStr">
        <is>
          <t>SKELLEFTEÅ</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32485-2025</t>
        </is>
      </c>
      <c r="B1008" s="1" t="n">
        <v>45838.43662037037</v>
      </c>
      <c r="C1008" s="1" t="n">
        <v>45991</v>
      </c>
      <c r="D1008" t="inlineStr">
        <is>
          <t>VÄSTERBOTTENS LÄN</t>
        </is>
      </c>
      <c r="E1008" t="inlineStr">
        <is>
          <t>SKELLEFTEÅ</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32486-2025</t>
        </is>
      </c>
      <c r="B1009" s="1" t="n">
        <v>45838.44112268519</v>
      </c>
      <c r="C1009" s="1" t="n">
        <v>45991</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43307-2025</t>
        </is>
      </c>
      <c r="B1010" s="1" t="n">
        <v>45910.64238425926</v>
      </c>
      <c r="C1010" s="1" t="n">
        <v>45991</v>
      </c>
      <c r="D1010" t="inlineStr">
        <is>
          <t>VÄSTERBOTTENS LÄN</t>
        </is>
      </c>
      <c r="E1010" t="inlineStr">
        <is>
          <t>SKELLEFTEÅ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43309-2025</t>
        </is>
      </c>
      <c r="B1011" s="1" t="n">
        <v>45910.64689814814</v>
      </c>
      <c r="C1011" s="1" t="n">
        <v>45991</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32639-2025</t>
        </is>
      </c>
      <c r="B1012" s="1" t="n">
        <v>45838.65726851852</v>
      </c>
      <c r="C1012" s="1" t="n">
        <v>45991</v>
      </c>
      <c r="D1012" t="inlineStr">
        <is>
          <t>VÄSTERBOTTENS LÄN</t>
        </is>
      </c>
      <c r="E1012" t="inlineStr">
        <is>
          <t>SKELLEFTEÅ</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43325-2025</t>
        </is>
      </c>
      <c r="B1013" s="1" t="n">
        <v>45910.66576388889</v>
      </c>
      <c r="C1013" s="1" t="n">
        <v>45991</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52444-2023</t>
        </is>
      </c>
      <c r="B1014" s="1" t="n">
        <v>45225.37877314815</v>
      </c>
      <c r="C1014" s="1" t="n">
        <v>45991</v>
      </c>
      <c r="D1014" t="inlineStr">
        <is>
          <t>VÄSTERBOTTENS LÄN</t>
        </is>
      </c>
      <c r="E1014" t="inlineStr">
        <is>
          <t>SKELLEFTEÅ</t>
        </is>
      </c>
      <c r="F1014" t="inlineStr">
        <is>
          <t>Sveaskog</t>
        </is>
      </c>
      <c r="G1014" t="n">
        <v>28.5</v>
      </c>
      <c r="H1014" t="n">
        <v>0</v>
      </c>
      <c r="I1014" t="n">
        <v>0</v>
      </c>
      <c r="J1014" t="n">
        <v>0</v>
      </c>
      <c r="K1014" t="n">
        <v>0</v>
      </c>
      <c r="L1014" t="n">
        <v>0</v>
      </c>
      <c r="M1014" t="n">
        <v>0</v>
      </c>
      <c r="N1014" t="n">
        <v>0</v>
      </c>
      <c r="O1014" t="n">
        <v>0</v>
      </c>
      <c r="P1014" t="n">
        <v>0</v>
      </c>
      <c r="Q1014" t="n">
        <v>0</v>
      </c>
      <c r="R1014" s="2" t="inlineStr"/>
    </row>
    <row r="1015" ht="15" customHeight="1">
      <c r="A1015" t="inlineStr">
        <is>
          <t>A 52010-2025</t>
        </is>
      </c>
      <c r="B1015" s="1" t="n">
        <v>45952.59462962963</v>
      </c>
      <c r="C1015" s="1" t="n">
        <v>45991</v>
      </c>
      <c r="D1015" t="inlineStr">
        <is>
          <t>VÄSTERBOTTENS LÄN</t>
        </is>
      </c>
      <c r="E1015" t="inlineStr">
        <is>
          <t>SKELLEFTEÅ</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32451-2025</t>
        </is>
      </c>
      <c r="B1016" s="1" t="n">
        <v>45838.39283564815</v>
      </c>
      <c r="C1016" s="1" t="n">
        <v>45991</v>
      </c>
      <c r="D1016" t="inlineStr">
        <is>
          <t>VÄSTERBOTTENS LÄN</t>
        </is>
      </c>
      <c r="E1016" t="inlineStr">
        <is>
          <t>SKELLEFTEÅ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32578-2025</t>
        </is>
      </c>
      <c r="B1017" s="1" t="n">
        <v>45838.59311342592</v>
      </c>
      <c r="C1017" s="1" t="n">
        <v>45991</v>
      </c>
      <c r="D1017" t="inlineStr">
        <is>
          <t>VÄSTERBOTTENS LÄN</t>
        </is>
      </c>
      <c r="E1017" t="inlineStr">
        <is>
          <t>SKELLEFTEÅ</t>
        </is>
      </c>
      <c r="F1017" t="inlineStr">
        <is>
          <t>Holmen skog AB</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31955-2025</t>
        </is>
      </c>
      <c r="B1018" s="1" t="n">
        <v>45835</v>
      </c>
      <c r="C1018" s="1" t="n">
        <v>45991</v>
      </c>
      <c r="D1018" t="inlineStr">
        <is>
          <t>VÄSTERBOTTENS LÄN</t>
        </is>
      </c>
      <c r="E1018" t="inlineStr">
        <is>
          <t>SKELLEFTEÅ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65009-2023</t>
        </is>
      </c>
      <c r="B1019" s="1" t="n">
        <v>45287.37836805556</v>
      </c>
      <c r="C1019" s="1" t="n">
        <v>45991</v>
      </c>
      <c r="D1019" t="inlineStr">
        <is>
          <t>VÄSTERBOTTENS LÄN</t>
        </is>
      </c>
      <c r="E1019" t="inlineStr">
        <is>
          <t>SKELLEFTEÅ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52864-2025</t>
        </is>
      </c>
      <c r="B1020" s="1" t="n">
        <v>45954</v>
      </c>
      <c r="C1020" s="1" t="n">
        <v>45991</v>
      </c>
      <c r="D1020" t="inlineStr">
        <is>
          <t>VÄSTERBOTTENS LÄN</t>
        </is>
      </c>
      <c r="E1020" t="inlineStr">
        <is>
          <t>SKELLEFTEÅ</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52956-2025</t>
        </is>
      </c>
      <c r="B1021" s="1" t="n">
        <v>45957.65681712963</v>
      </c>
      <c r="C1021" s="1" t="n">
        <v>45991</v>
      </c>
      <c r="D1021" t="inlineStr">
        <is>
          <t>VÄSTERBOTTENS LÄN</t>
        </is>
      </c>
      <c r="E1021" t="inlineStr">
        <is>
          <t>SKELLEFTEÅ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10291-2023</t>
        </is>
      </c>
      <c r="B1022" s="1" t="n">
        <v>44986</v>
      </c>
      <c r="C1022" s="1" t="n">
        <v>45991</v>
      </c>
      <c r="D1022" t="inlineStr">
        <is>
          <t>VÄSTERBOTTENS LÄN</t>
        </is>
      </c>
      <c r="E1022" t="inlineStr">
        <is>
          <t>SKELLEFTEÅ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32933-2025</t>
        </is>
      </c>
      <c r="B1023" s="1" t="n">
        <v>45839.67144675926</v>
      </c>
      <c r="C1023" s="1" t="n">
        <v>45991</v>
      </c>
      <c r="D1023" t="inlineStr">
        <is>
          <t>VÄSTERBOTTENS LÄN</t>
        </is>
      </c>
      <c r="E1023" t="inlineStr">
        <is>
          <t>SKELLEFTEÅ</t>
        </is>
      </c>
      <c r="F1023" t="inlineStr">
        <is>
          <t>Holmen skog AB</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43861-2025</t>
        </is>
      </c>
      <c r="B1024" s="1" t="n">
        <v>45912.65596064815</v>
      </c>
      <c r="C1024" s="1" t="n">
        <v>45991</v>
      </c>
      <c r="D1024" t="inlineStr">
        <is>
          <t>VÄSTERBOTTENS LÄN</t>
        </is>
      </c>
      <c r="E1024" t="inlineStr">
        <is>
          <t>SKELLEFTEÅ</t>
        </is>
      </c>
      <c r="F1024" t="inlineStr">
        <is>
          <t>Sveaskog</t>
        </is>
      </c>
      <c r="G1024" t="n">
        <v>15.6</v>
      </c>
      <c r="H1024" t="n">
        <v>0</v>
      </c>
      <c r="I1024" t="n">
        <v>0</v>
      </c>
      <c r="J1024" t="n">
        <v>0</v>
      </c>
      <c r="K1024" t="n">
        <v>0</v>
      </c>
      <c r="L1024" t="n">
        <v>0</v>
      </c>
      <c r="M1024" t="n">
        <v>0</v>
      </c>
      <c r="N1024" t="n">
        <v>0</v>
      </c>
      <c r="O1024" t="n">
        <v>0</v>
      </c>
      <c r="P1024" t="n">
        <v>0</v>
      </c>
      <c r="Q1024" t="n">
        <v>0</v>
      </c>
      <c r="R1024" s="2" t="inlineStr"/>
    </row>
    <row r="1025" ht="15" customHeight="1">
      <c r="A1025" t="inlineStr">
        <is>
          <t>A 43894-2025</t>
        </is>
      </c>
      <c r="B1025" s="1" t="n">
        <v>45912.73649305556</v>
      </c>
      <c r="C1025" s="1" t="n">
        <v>45991</v>
      </c>
      <c r="D1025" t="inlineStr">
        <is>
          <t>VÄSTERBOTTENS LÄN</t>
        </is>
      </c>
      <c r="E1025" t="inlineStr">
        <is>
          <t>SKELLEFTEÅ</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43895-2025</t>
        </is>
      </c>
      <c r="B1026" s="1" t="n">
        <v>45912.73758101852</v>
      </c>
      <c r="C1026" s="1" t="n">
        <v>45991</v>
      </c>
      <c r="D1026" t="inlineStr">
        <is>
          <t>VÄSTERBOTTENS LÄN</t>
        </is>
      </c>
      <c r="E1026" t="inlineStr">
        <is>
          <t>SKELLEFTEÅ</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43948-2025</t>
        </is>
      </c>
      <c r="B1027" s="1" t="n">
        <v>45915.37621527778</v>
      </c>
      <c r="C1027" s="1" t="n">
        <v>45991</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43825-2025</t>
        </is>
      </c>
      <c r="B1028" s="1" t="n">
        <v>45912.61891203704</v>
      </c>
      <c r="C1028" s="1" t="n">
        <v>45991</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24496-2025</t>
        </is>
      </c>
      <c r="B1029" s="1" t="n">
        <v>45798</v>
      </c>
      <c r="C1029" s="1" t="n">
        <v>45991</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33093-2025</t>
        </is>
      </c>
      <c r="B1030" s="1" t="n">
        <v>45840.47180555556</v>
      </c>
      <c r="C1030" s="1" t="n">
        <v>45991</v>
      </c>
      <c r="D1030" t="inlineStr">
        <is>
          <t>VÄSTERBOTTENS LÄN</t>
        </is>
      </c>
      <c r="E1030" t="inlineStr">
        <is>
          <t>SKELLEFTEÅ</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52736-2025</t>
        </is>
      </c>
      <c r="B1031" s="1" t="n">
        <v>45957.37329861111</v>
      </c>
      <c r="C1031" s="1" t="n">
        <v>45991</v>
      </c>
      <c r="D1031" t="inlineStr">
        <is>
          <t>VÄSTERBOTTENS LÄN</t>
        </is>
      </c>
      <c r="E1031" t="inlineStr">
        <is>
          <t>SKELLEFTEÅ</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44120-2025</t>
        </is>
      </c>
      <c r="B1032" s="1" t="n">
        <v>45915.57791666667</v>
      </c>
      <c r="C1032" s="1" t="n">
        <v>45991</v>
      </c>
      <c r="D1032" t="inlineStr">
        <is>
          <t>VÄSTERBOTTENS LÄN</t>
        </is>
      </c>
      <c r="E1032" t="inlineStr">
        <is>
          <t>SKELLEFTEÅ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44070-2025</t>
        </is>
      </c>
      <c r="B1033" s="1" t="n">
        <v>45915.54528935185</v>
      </c>
      <c r="C1033" s="1" t="n">
        <v>45991</v>
      </c>
      <c r="D1033" t="inlineStr">
        <is>
          <t>VÄSTERBOTTENS LÄN</t>
        </is>
      </c>
      <c r="E1033" t="inlineStr">
        <is>
          <t>SKELLEFTEÅ</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7462-2022</t>
        </is>
      </c>
      <c r="B1034" s="1" t="n">
        <v>44606</v>
      </c>
      <c r="C1034" s="1" t="n">
        <v>45991</v>
      </c>
      <c r="D1034" t="inlineStr">
        <is>
          <t>VÄSTERBOTTENS LÄN</t>
        </is>
      </c>
      <c r="E1034" t="inlineStr">
        <is>
          <t>SKELLEFTEÅ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44009-2025</t>
        </is>
      </c>
      <c r="B1035" s="1" t="n">
        <v>45915.46326388889</v>
      </c>
      <c r="C1035" s="1" t="n">
        <v>45991</v>
      </c>
      <c r="D1035" t="inlineStr">
        <is>
          <t>VÄSTERBOTTENS LÄN</t>
        </is>
      </c>
      <c r="E1035" t="inlineStr">
        <is>
          <t>SKELLEFTEÅ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55063-2022</t>
        </is>
      </c>
      <c r="B1036" s="1" t="n">
        <v>44886</v>
      </c>
      <c r="C1036" s="1" t="n">
        <v>45991</v>
      </c>
      <c r="D1036" t="inlineStr">
        <is>
          <t>VÄSTERBOTTENS LÄN</t>
        </is>
      </c>
      <c r="E1036" t="inlineStr">
        <is>
          <t>SKELLEFTEÅ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33304-2025</t>
        </is>
      </c>
      <c r="B1037" s="1" t="n">
        <v>45841.29636574074</v>
      </c>
      <c r="C1037" s="1" t="n">
        <v>45991</v>
      </c>
      <c r="D1037" t="inlineStr">
        <is>
          <t>VÄSTERBOTTENS LÄN</t>
        </is>
      </c>
      <c r="E1037" t="inlineStr">
        <is>
          <t>SKELLEFTEÅ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29263-2025</t>
        </is>
      </c>
      <c r="B1038" s="1" t="n">
        <v>45824.39538194444</v>
      </c>
      <c r="C1038" s="1" t="n">
        <v>45991</v>
      </c>
      <c r="D1038" t="inlineStr">
        <is>
          <t>VÄSTERBOTTENS LÄN</t>
        </is>
      </c>
      <c r="E1038" t="inlineStr">
        <is>
          <t>SKELLEFTEÅ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33283-2021</t>
        </is>
      </c>
      <c r="B1039" s="1" t="n">
        <v>44377.38222222222</v>
      </c>
      <c r="C1039" s="1" t="n">
        <v>45991</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33073-2025</t>
        </is>
      </c>
      <c r="B1040" s="1" t="n">
        <v>45840.45332175926</v>
      </c>
      <c r="C1040" s="1" t="n">
        <v>45991</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44182-2025</t>
        </is>
      </c>
      <c r="B1041" s="1" t="n">
        <v>45915.60943287037</v>
      </c>
      <c r="C1041" s="1" t="n">
        <v>45991</v>
      </c>
      <c r="D1041" t="inlineStr">
        <is>
          <t>VÄSTERBOTTENS LÄN</t>
        </is>
      </c>
      <c r="E1041" t="inlineStr">
        <is>
          <t>SKELLEFTEÅ</t>
        </is>
      </c>
      <c r="F1041" t="inlineStr">
        <is>
          <t>Sveaskog</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3143-2024</t>
        </is>
      </c>
      <c r="B1042" s="1" t="n">
        <v>45316.58484953704</v>
      </c>
      <c r="C1042" s="1" t="n">
        <v>45991</v>
      </c>
      <c r="D1042" t="inlineStr">
        <is>
          <t>VÄSTERBOTTENS LÄN</t>
        </is>
      </c>
      <c r="E1042" t="inlineStr">
        <is>
          <t>SKELLEFTEÅ</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52419-2025</t>
        </is>
      </c>
      <c r="B1043" s="1" t="n">
        <v>45954.36858796296</v>
      </c>
      <c r="C1043" s="1" t="n">
        <v>45991</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19160-2025</t>
        </is>
      </c>
      <c r="B1044" s="1" t="n">
        <v>45769.36587962963</v>
      </c>
      <c r="C1044" s="1" t="n">
        <v>45991</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44082-2025</t>
        </is>
      </c>
      <c r="B1045" s="1" t="n">
        <v>45915.55302083334</v>
      </c>
      <c r="C1045" s="1" t="n">
        <v>45991</v>
      </c>
      <c r="D1045" t="inlineStr">
        <is>
          <t>VÄSTERBOTTENS LÄN</t>
        </is>
      </c>
      <c r="E1045" t="inlineStr">
        <is>
          <t>SKELLEFTEÅ</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34508-2023</t>
        </is>
      </c>
      <c r="B1046" s="1" t="n">
        <v>45133</v>
      </c>
      <c r="C1046" s="1" t="n">
        <v>45991</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33303-2025</t>
        </is>
      </c>
      <c r="B1047" s="1" t="n">
        <v>45841.29267361111</v>
      </c>
      <c r="C1047" s="1" t="n">
        <v>45991</v>
      </c>
      <c r="D1047" t="inlineStr">
        <is>
          <t>VÄSTERBOTTENS LÄN</t>
        </is>
      </c>
      <c r="E1047" t="inlineStr">
        <is>
          <t>SKELLEFTEÅ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33305-2025</t>
        </is>
      </c>
      <c r="B1048" s="1" t="n">
        <v>45841.30456018518</v>
      </c>
      <c r="C1048" s="1" t="n">
        <v>45991</v>
      </c>
      <c r="D1048" t="inlineStr">
        <is>
          <t>VÄSTERBOTTENS LÄN</t>
        </is>
      </c>
      <c r="E1048" t="inlineStr">
        <is>
          <t>SKELLEFTEÅ</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33579-2025</t>
        </is>
      </c>
      <c r="B1049" s="1" t="n">
        <v>45841.59310185185</v>
      </c>
      <c r="C1049" s="1" t="n">
        <v>45991</v>
      </c>
      <c r="D1049" t="inlineStr">
        <is>
          <t>VÄSTERBOTTENS LÄN</t>
        </is>
      </c>
      <c r="E1049" t="inlineStr">
        <is>
          <t>SKELLEFTEÅ</t>
        </is>
      </c>
      <c r="F1049" t="inlineStr">
        <is>
          <t>Holmen skog AB</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52657-2025</t>
        </is>
      </c>
      <c r="B1050" s="1" t="n">
        <v>45955.42762731481</v>
      </c>
      <c r="C1050" s="1" t="n">
        <v>45991</v>
      </c>
      <c r="D1050" t="inlineStr">
        <is>
          <t>VÄSTERBOTTENS LÄN</t>
        </is>
      </c>
      <c r="E1050" t="inlineStr">
        <is>
          <t>SKELLEFTEÅ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44113-2025</t>
        </is>
      </c>
      <c r="B1051" s="1" t="n">
        <v>45915.57501157407</v>
      </c>
      <c r="C1051" s="1" t="n">
        <v>45991</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52987-2025</t>
        </is>
      </c>
      <c r="B1052" s="1" t="n">
        <v>45957.70400462963</v>
      </c>
      <c r="C1052" s="1" t="n">
        <v>45991</v>
      </c>
      <c r="D1052" t="inlineStr">
        <is>
          <t>VÄSTERBOTTENS LÄN</t>
        </is>
      </c>
      <c r="E1052" t="inlineStr">
        <is>
          <t>SKELLEFTEÅ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50872-2022</t>
        </is>
      </c>
      <c r="B1053" s="1" t="n">
        <v>44867</v>
      </c>
      <c r="C1053" s="1" t="n">
        <v>45991</v>
      </c>
      <c r="D1053" t="inlineStr">
        <is>
          <t>VÄSTERBOTTENS LÄN</t>
        </is>
      </c>
      <c r="E1053" t="inlineStr">
        <is>
          <t>SKELLEFTEÅ</t>
        </is>
      </c>
      <c r="F1053" t="inlineStr">
        <is>
          <t>Holmen skog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43677-2025</t>
        </is>
      </c>
      <c r="B1054" s="1" t="n">
        <v>45912.3656712963</v>
      </c>
      <c r="C1054" s="1" t="n">
        <v>45991</v>
      </c>
      <c r="D1054" t="inlineStr">
        <is>
          <t>VÄSTERBOTTENS LÄN</t>
        </is>
      </c>
      <c r="E1054" t="inlineStr">
        <is>
          <t>SKELLEFTEÅ</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43683-2025</t>
        </is>
      </c>
      <c r="B1055" s="1" t="n">
        <v>45912.37668981482</v>
      </c>
      <c r="C1055" s="1" t="n">
        <v>45991</v>
      </c>
      <c r="D1055" t="inlineStr">
        <is>
          <t>VÄSTERBOTTENS LÄN</t>
        </is>
      </c>
      <c r="E1055" t="inlineStr">
        <is>
          <t>SKELLEFTEÅ</t>
        </is>
      </c>
      <c r="F1055" t="inlineStr">
        <is>
          <t>Holmen skog AB</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12545-2025</t>
        </is>
      </c>
      <c r="B1056" s="1" t="n">
        <v>45730.86586805555</v>
      </c>
      <c r="C1056" s="1" t="n">
        <v>45991</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28365-2025</t>
        </is>
      </c>
      <c r="B1057" s="1" t="n">
        <v>45818.83288194444</v>
      </c>
      <c r="C1057" s="1" t="n">
        <v>45991</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43797-2025</t>
        </is>
      </c>
      <c r="B1058" s="1" t="n">
        <v>45912.5659837963</v>
      </c>
      <c r="C1058" s="1" t="n">
        <v>45991</v>
      </c>
      <c r="D1058" t="inlineStr">
        <is>
          <t>VÄSTERBOTTENS LÄN</t>
        </is>
      </c>
      <c r="E1058" t="inlineStr">
        <is>
          <t>SKELLEFTEÅ</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33104-2025</t>
        </is>
      </c>
      <c r="B1059" s="1" t="n">
        <v>45840.48296296296</v>
      </c>
      <c r="C1059" s="1" t="n">
        <v>45991</v>
      </c>
      <c r="D1059" t="inlineStr">
        <is>
          <t>VÄSTERBOTTENS LÄN</t>
        </is>
      </c>
      <c r="E1059" t="inlineStr">
        <is>
          <t>SKELLEFTEÅ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33154-2025</t>
        </is>
      </c>
      <c r="B1060" s="1" t="n">
        <v>45840.55459490741</v>
      </c>
      <c r="C1060" s="1" t="n">
        <v>45991</v>
      </c>
      <c r="D1060" t="inlineStr">
        <is>
          <t>VÄSTERBOTTENS LÄN</t>
        </is>
      </c>
      <c r="E1060" t="inlineStr">
        <is>
          <t>SKELLEFTEÅ</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44101-2025</t>
        </is>
      </c>
      <c r="B1061" s="1" t="n">
        <v>45915.56788194444</v>
      </c>
      <c r="C1061" s="1" t="n">
        <v>45991</v>
      </c>
      <c r="D1061" t="inlineStr">
        <is>
          <t>VÄSTERBOTTENS LÄN</t>
        </is>
      </c>
      <c r="E1061" t="inlineStr">
        <is>
          <t>SKELLEFTEÅ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58776-2024</t>
        </is>
      </c>
      <c r="B1062" s="1" t="n">
        <v>45635.80726851852</v>
      </c>
      <c r="C1062" s="1" t="n">
        <v>45991</v>
      </c>
      <c r="D1062" t="inlineStr">
        <is>
          <t>VÄSTERBOTTENS LÄN</t>
        </is>
      </c>
      <c r="E1062" t="inlineStr">
        <is>
          <t>SKELLEFTEÅ</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52872-2025</t>
        </is>
      </c>
      <c r="B1063" s="1" t="n">
        <v>45957.52386574074</v>
      </c>
      <c r="C1063" s="1" t="n">
        <v>45991</v>
      </c>
      <c r="D1063" t="inlineStr">
        <is>
          <t>VÄSTERBOTTENS LÄN</t>
        </is>
      </c>
      <c r="E1063" t="inlineStr">
        <is>
          <t>SKELLEFTEÅ</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38301-2023</t>
        </is>
      </c>
      <c r="B1064" s="1" t="n">
        <v>45160</v>
      </c>
      <c r="C1064" s="1" t="n">
        <v>45991</v>
      </c>
      <c r="D1064" t="inlineStr">
        <is>
          <t>VÄSTERBOTTENS LÄN</t>
        </is>
      </c>
      <c r="E1064" t="inlineStr">
        <is>
          <t>SKELLEFTEÅ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52388-2025</t>
        </is>
      </c>
      <c r="B1065" s="1" t="n">
        <v>45954.32572916667</v>
      </c>
      <c r="C1065" s="1" t="n">
        <v>45991</v>
      </c>
      <c r="D1065" t="inlineStr">
        <is>
          <t>VÄSTERBOTTENS LÄN</t>
        </is>
      </c>
      <c r="E1065" t="inlineStr">
        <is>
          <t>SKELLEFTEÅ</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34027-2025</t>
        </is>
      </c>
      <c r="B1066" s="1" t="n">
        <v>45845.35981481482</v>
      </c>
      <c r="C1066" s="1" t="n">
        <v>45991</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25943-2024</t>
        </is>
      </c>
      <c r="B1067" s="1" t="n">
        <v>45467</v>
      </c>
      <c r="C1067" s="1" t="n">
        <v>45991</v>
      </c>
      <c r="D1067" t="inlineStr">
        <is>
          <t>VÄSTERBOTTENS LÄN</t>
        </is>
      </c>
      <c r="E1067" t="inlineStr">
        <is>
          <t>SKELLEFTEÅ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52889-2025</t>
        </is>
      </c>
      <c r="B1068" s="1" t="n">
        <v>45957.57303240741</v>
      </c>
      <c r="C1068" s="1" t="n">
        <v>45991</v>
      </c>
      <c r="D1068" t="inlineStr">
        <is>
          <t>VÄSTERBOTTENS LÄN</t>
        </is>
      </c>
      <c r="E1068" t="inlineStr">
        <is>
          <t>SKELLEFTEÅ</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9470-2024</t>
        </is>
      </c>
      <c r="B1069" s="1" t="n">
        <v>45359.55322916667</v>
      </c>
      <c r="C1069" s="1" t="n">
        <v>45991</v>
      </c>
      <c r="D1069" t="inlineStr">
        <is>
          <t>VÄSTERBOTTENS LÄN</t>
        </is>
      </c>
      <c r="E1069" t="inlineStr">
        <is>
          <t>SKELLEFTEÅ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20559-2024</t>
        </is>
      </c>
      <c r="B1070" s="1" t="n">
        <v>45436</v>
      </c>
      <c r="C1070" s="1" t="n">
        <v>45991</v>
      </c>
      <c r="D1070" t="inlineStr">
        <is>
          <t>VÄSTERBOTTENS LÄN</t>
        </is>
      </c>
      <c r="E1070" t="inlineStr">
        <is>
          <t>SKELLEFTEÅ</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32919-2024</t>
        </is>
      </c>
      <c r="B1071" s="1" t="n">
        <v>45516.95201388889</v>
      </c>
      <c r="C1071" s="1" t="n">
        <v>45991</v>
      </c>
      <c r="D1071" t="inlineStr">
        <is>
          <t>VÄSTERBOTTENS LÄN</t>
        </is>
      </c>
      <c r="E1071" t="inlineStr">
        <is>
          <t>SKELLEFTEÅ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12759-2024</t>
        </is>
      </c>
      <c r="B1072" s="1" t="n">
        <v>45384</v>
      </c>
      <c r="C1072" s="1" t="n">
        <v>45991</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52588-2025</t>
        </is>
      </c>
      <c r="B1073" s="1" t="n">
        <v>45954.6333912037</v>
      </c>
      <c r="C1073" s="1" t="n">
        <v>45991</v>
      </c>
      <c r="D1073" t="inlineStr">
        <is>
          <t>VÄSTERBOTTENS LÄN</t>
        </is>
      </c>
      <c r="E1073" t="inlineStr">
        <is>
          <t>SKELLEFTEÅ</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4447-2023</t>
        </is>
      </c>
      <c r="B1074" s="1" t="n">
        <v>44951</v>
      </c>
      <c r="C1074" s="1" t="n">
        <v>45991</v>
      </c>
      <c r="D1074" t="inlineStr">
        <is>
          <t>VÄSTERBOTTENS LÄN</t>
        </is>
      </c>
      <c r="E1074" t="inlineStr">
        <is>
          <t>SKELLEFTEÅ</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43729-2025</t>
        </is>
      </c>
      <c r="B1075" s="1" t="n">
        <v>45912.43429398148</v>
      </c>
      <c r="C1075" s="1" t="n">
        <v>45991</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33918-2025</t>
        </is>
      </c>
      <c r="B1076" s="1" t="n">
        <v>45842.61505787037</v>
      </c>
      <c r="C1076" s="1" t="n">
        <v>45991</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61089-2023</t>
        </is>
      </c>
      <c r="B1077" s="1" t="n">
        <v>45260</v>
      </c>
      <c r="C1077" s="1" t="n">
        <v>45991</v>
      </c>
      <c r="D1077" t="inlineStr">
        <is>
          <t>VÄSTERBOTTENS LÄN</t>
        </is>
      </c>
      <c r="E1077" t="inlineStr">
        <is>
          <t>SKELLEFTEÅ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33994-2025</t>
        </is>
      </c>
      <c r="B1078" s="1" t="n">
        <v>45843.66199074074</v>
      </c>
      <c r="C1078" s="1" t="n">
        <v>45991</v>
      </c>
      <c r="D1078" t="inlineStr">
        <is>
          <t>VÄSTERBOTTENS LÄN</t>
        </is>
      </c>
      <c r="E1078" t="inlineStr">
        <is>
          <t>SKELLEFTEÅ</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43791-2025</t>
        </is>
      </c>
      <c r="B1079" s="1" t="n">
        <v>45912.54636574074</v>
      </c>
      <c r="C1079" s="1" t="n">
        <v>45991</v>
      </c>
      <c r="D1079" t="inlineStr">
        <is>
          <t>VÄSTERBOTTENS LÄN</t>
        </is>
      </c>
      <c r="E1079" t="inlineStr">
        <is>
          <t>SKELLEFTEÅ</t>
        </is>
      </c>
      <c r="F1079" t="inlineStr">
        <is>
          <t>Holmen skog AB</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45991</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43800-2025</t>
        </is>
      </c>
      <c r="B1081" s="1" t="n">
        <v>45912.57226851852</v>
      </c>
      <c r="C1081" s="1" t="n">
        <v>45991</v>
      </c>
      <c r="D1081" t="inlineStr">
        <is>
          <t>VÄSTERBOTTENS LÄN</t>
        </is>
      </c>
      <c r="E1081" t="inlineStr">
        <is>
          <t>SKELLEFTEÅ</t>
        </is>
      </c>
      <c r="F1081" t="inlineStr">
        <is>
          <t>Sveaskog</t>
        </is>
      </c>
      <c r="G1081" t="n">
        <v>25.3</v>
      </c>
      <c r="H1081" t="n">
        <v>0</v>
      </c>
      <c r="I1081" t="n">
        <v>0</v>
      </c>
      <c r="J1081" t="n">
        <v>0</v>
      </c>
      <c r="K1081" t="n">
        <v>0</v>
      </c>
      <c r="L1081" t="n">
        <v>0</v>
      </c>
      <c r="M1081" t="n">
        <v>0</v>
      </c>
      <c r="N1081" t="n">
        <v>0</v>
      </c>
      <c r="O1081" t="n">
        <v>0</v>
      </c>
      <c r="P1081" t="n">
        <v>0</v>
      </c>
      <c r="Q1081" t="n">
        <v>0</v>
      </c>
      <c r="R1081" s="2" t="inlineStr"/>
    </row>
    <row r="1082" ht="15" customHeight="1">
      <c r="A1082" t="inlineStr">
        <is>
          <t>A 18104-2021</t>
        </is>
      </c>
      <c r="B1082" s="1" t="n">
        <v>44302</v>
      </c>
      <c r="C1082" s="1" t="n">
        <v>45991</v>
      </c>
      <c r="D1082" t="inlineStr">
        <is>
          <t>VÄSTERBOTTENS LÄN</t>
        </is>
      </c>
      <c r="E1082" t="inlineStr">
        <is>
          <t>SKELLEFTEÅ</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52793-2025</t>
        </is>
      </c>
      <c r="B1083" s="1" t="n">
        <v>45957.43465277777</v>
      </c>
      <c r="C1083" s="1" t="n">
        <v>45991</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56299-2022</t>
        </is>
      </c>
      <c r="B1084" s="1" t="n">
        <v>44887</v>
      </c>
      <c r="C1084" s="1" t="n">
        <v>45991</v>
      </c>
      <c r="D1084" t="inlineStr">
        <is>
          <t>VÄSTERBOTTENS LÄN</t>
        </is>
      </c>
      <c r="E1084" t="inlineStr">
        <is>
          <t>SKELLEFTEÅ</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43727-2025</t>
        </is>
      </c>
      <c r="B1085" s="1" t="n">
        <v>45912.42981481482</v>
      </c>
      <c r="C1085" s="1" t="n">
        <v>45991</v>
      </c>
      <c r="D1085" t="inlineStr">
        <is>
          <t>VÄSTERBOTTENS LÄN</t>
        </is>
      </c>
      <c r="E1085" t="inlineStr">
        <is>
          <t>SKELLEFTEÅ</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10074-2025</t>
        </is>
      </c>
      <c r="B1086" s="1" t="n">
        <v>45719</v>
      </c>
      <c r="C1086" s="1" t="n">
        <v>45991</v>
      </c>
      <c r="D1086" t="inlineStr">
        <is>
          <t>VÄSTERBOTTENS LÄN</t>
        </is>
      </c>
      <c r="E1086" t="inlineStr">
        <is>
          <t>SKELLEFTEÅ</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33736-2025</t>
        </is>
      </c>
      <c r="B1087" s="1" t="n">
        <v>45842.33180555556</v>
      </c>
      <c r="C1087" s="1" t="n">
        <v>45991</v>
      </c>
      <c r="D1087" t="inlineStr">
        <is>
          <t>VÄSTERBOTTENS LÄN</t>
        </is>
      </c>
      <c r="E1087" t="inlineStr">
        <is>
          <t>SKELLEFTEÅ</t>
        </is>
      </c>
      <c r="F1087" t="inlineStr">
        <is>
          <t>Holmen skog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33737-2025</t>
        </is>
      </c>
      <c r="B1088" s="1" t="n">
        <v>45842.33768518519</v>
      </c>
      <c r="C1088" s="1" t="n">
        <v>45991</v>
      </c>
      <c r="D1088" t="inlineStr">
        <is>
          <t>VÄSTERBOTTENS LÄN</t>
        </is>
      </c>
      <c r="E1088" t="inlineStr">
        <is>
          <t>SKELLEFTEÅ</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44061-2025</t>
        </is>
      </c>
      <c r="B1089" s="1" t="n">
        <v>45915.53731481481</v>
      </c>
      <c r="C1089" s="1" t="n">
        <v>45991</v>
      </c>
      <c r="D1089" t="inlineStr">
        <is>
          <t>VÄSTERBOTTENS LÄN</t>
        </is>
      </c>
      <c r="E1089" t="inlineStr">
        <is>
          <t>SKELLEFTEÅ</t>
        </is>
      </c>
      <c r="F1089" t="inlineStr">
        <is>
          <t>Sveaskog</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52984-2025</t>
        </is>
      </c>
      <c r="B1090" s="1" t="n">
        <v>45957</v>
      </c>
      <c r="C1090" s="1" t="n">
        <v>45991</v>
      </c>
      <c r="D1090" t="inlineStr">
        <is>
          <t>VÄSTERBOTTENS LÄN</t>
        </is>
      </c>
      <c r="E1090" t="inlineStr">
        <is>
          <t>SKELLEFTEÅ</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33810-2025</t>
        </is>
      </c>
      <c r="B1091" s="1" t="n">
        <v>45842.45144675926</v>
      </c>
      <c r="C1091" s="1" t="n">
        <v>45991</v>
      </c>
      <c r="D1091" t="inlineStr">
        <is>
          <t>VÄSTERBOTTENS LÄN</t>
        </is>
      </c>
      <c r="E1091" t="inlineStr">
        <is>
          <t>SKELLEFTEÅ</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34082-2025</t>
        </is>
      </c>
      <c r="B1092" s="1" t="n">
        <v>45845.46190972222</v>
      </c>
      <c r="C1092" s="1" t="n">
        <v>45991</v>
      </c>
      <c r="D1092" t="inlineStr">
        <is>
          <t>VÄSTERBOTTENS LÄN</t>
        </is>
      </c>
      <c r="E1092" t="inlineStr">
        <is>
          <t>SKELLEFTEÅ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52596-2025</t>
        </is>
      </c>
      <c r="B1093" s="1" t="n">
        <v>45954.65212962963</v>
      </c>
      <c r="C1093" s="1" t="n">
        <v>45991</v>
      </c>
      <c r="D1093" t="inlineStr">
        <is>
          <t>VÄSTERBOTTENS LÄN</t>
        </is>
      </c>
      <c r="E1093" t="inlineStr">
        <is>
          <t>SKELLEFTEÅ</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52558-2025</t>
        </is>
      </c>
      <c r="B1094" s="1" t="n">
        <v>45954.56898148148</v>
      </c>
      <c r="C1094" s="1" t="n">
        <v>45991</v>
      </c>
      <c r="D1094" t="inlineStr">
        <is>
          <t>VÄSTERBOTTENS LÄN</t>
        </is>
      </c>
      <c r="E1094" t="inlineStr">
        <is>
          <t>SKELLEFTEÅ</t>
        </is>
      </c>
      <c r="F1094" t="inlineStr">
        <is>
          <t>Holmen skog AB</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33892-2025</t>
        </is>
      </c>
      <c r="B1095" s="1" t="n">
        <v>45842.5753125</v>
      </c>
      <c r="C1095" s="1" t="n">
        <v>45991</v>
      </c>
      <c r="D1095" t="inlineStr">
        <is>
          <t>VÄSTERBOTTENS LÄN</t>
        </is>
      </c>
      <c r="E1095" t="inlineStr">
        <is>
          <t>SKELLEFTEÅ</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52660-2025</t>
        </is>
      </c>
      <c r="B1096" s="1" t="n">
        <v>45955.46928240741</v>
      </c>
      <c r="C1096" s="1" t="n">
        <v>45991</v>
      </c>
      <c r="D1096" t="inlineStr">
        <is>
          <t>VÄSTERBOTTENS LÄN</t>
        </is>
      </c>
      <c r="E1096" t="inlineStr">
        <is>
          <t>SKELLEFTEÅ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52661-2025</t>
        </is>
      </c>
      <c r="B1097" s="1" t="n">
        <v>45955.46943287037</v>
      </c>
      <c r="C1097" s="1" t="n">
        <v>45991</v>
      </c>
      <c r="D1097" t="inlineStr">
        <is>
          <t>VÄSTERBOTTENS LÄN</t>
        </is>
      </c>
      <c r="E1097" t="inlineStr">
        <is>
          <t>SKELLEFTEÅ</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44106-2025</t>
        </is>
      </c>
      <c r="B1098" s="1" t="n">
        <v>45915.57119212963</v>
      </c>
      <c r="C1098" s="1" t="n">
        <v>45991</v>
      </c>
      <c r="D1098" t="inlineStr">
        <is>
          <t>VÄSTERBOTTENS LÄN</t>
        </is>
      </c>
      <c r="E1098" t="inlineStr">
        <is>
          <t>SKELLEFTEÅ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44063-2025</t>
        </is>
      </c>
      <c r="B1099" s="1" t="n">
        <v>45915.53975694445</v>
      </c>
      <c r="C1099" s="1" t="n">
        <v>45991</v>
      </c>
      <c r="D1099" t="inlineStr">
        <is>
          <t>VÄSTERBOTTENS LÄN</t>
        </is>
      </c>
      <c r="E1099" t="inlineStr">
        <is>
          <t>SKELLEFTEÅ</t>
        </is>
      </c>
      <c r="F1099" t="inlineStr">
        <is>
          <t>Sveaskog</t>
        </is>
      </c>
      <c r="G1099" t="n">
        <v>16.1</v>
      </c>
      <c r="H1099" t="n">
        <v>0</v>
      </c>
      <c r="I1099" t="n">
        <v>0</v>
      </c>
      <c r="J1099" t="n">
        <v>0</v>
      </c>
      <c r="K1099" t="n">
        <v>0</v>
      </c>
      <c r="L1099" t="n">
        <v>0</v>
      </c>
      <c r="M1099" t="n">
        <v>0</v>
      </c>
      <c r="N1099" t="n">
        <v>0</v>
      </c>
      <c r="O1099" t="n">
        <v>0</v>
      </c>
      <c r="P1099" t="n">
        <v>0</v>
      </c>
      <c r="Q1099" t="n">
        <v>0</v>
      </c>
      <c r="R1099" s="2" t="inlineStr"/>
    </row>
    <row r="1100" ht="15" customHeight="1">
      <c r="A1100" t="inlineStr">
        <is>
          <t>A 7800-2024</t>
        </is>
      </c>
      <c r="B1100" s="1" t="n">
        <v>45348</v>
      </c>
      <c r="C1100" s="1" t="n">
        <v>45991</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44602-2025</t>
        </is>
      </c>
      <c r="B1101" s="1" t="n">
        <v>45917.43920138889</v>
      </c>
      <c r="C1101" s="1" t="n">
        <v>45991</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7832-2024</t>
        </is>
      </c>
      <c r="B1102" s="1" t="n">
        <v>45349.80663194445</v>
      </c>
      <c r="C1102" s="1" t="n">
        <v>45991</v>
      </c>
      <c r="D1102" t="inlineStr">
        <is>
          <t>VÄSTERBOTTENS LÄN</t>
        </is>
      </c>
      <c r="E1102" t="inlineStr">
        <is>
          <t>SKELLEFTEÅ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53469-2025</t>
        </is>
      </c>
      <c r="B1103" s="1" t="n">
        <v>45959.70898148148</v>
      </c>
      <c r="C1103" s="1" t="n">
        <v>45991</v>
      </c>
      <c r="D1103" t="inlineStr">
        <is>
          <t>VÄSTERBOTTENS LÄN</t>
        </is>
      </c>
      <c r="E1103" t="inlineStr">
        <is>
          <t>SKELLEFTEÅ</t>
        </is>
      </c>
      <c r="F1103" t="inlineStr">
        <is>
          <t>Sveaskog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34056-2025</t>
        </is>
      </c>
      <c r="B1104" s="1" t="n">
        <v>45845.41228009259</v>
      </c>
      <c r="C1104" s="1" t="n">
        <v>45991</v>
      </c>
      <c r="D1104" t="inlineStr">
        <is>
          <t>VÄSTERBOTTENS LÄN</t>
        </is>
      </c>
      <c r="E1104" t="inlineStr">
        <is>
          <t>SKELLEFTEÅ</t>
        </is>
      </c>
      <c r="F1104" t="inlineStr">
        <is>
          <t>Holmen skog AB</t>
        </is>
      </c>
      <c r="G1104" t="n">
        <v>11.3</v>
      </c>
      <c r="H1104" t="n">
        <v>0</v>
      </c>
      <c r="I1104" t="n">
        <v>0</v>
      </c>
      <c r="J1104" t="n">
        <v>0</v>
      </c>
      <c r="K1104" t="n">
        <v>0</v>
      </c>
      <c r="L1104" t="n">
        <v>0</v>
      </c>
      <c r="M1104" t="n">
        <v>0</v>
      </c>
      <c r="N1104" t="n">
        <v>0</v>
      </c>
      <c r="O1104" t="n">
        <v>0</v>
      </c>
      <c r="P1104" t="n">
        <v>0</v>
      </c>
      <c r="Q1104" t="n">
        <v>0</v>
      </c>
      <c r="R1104" s="2" t="inlineStr"/>
    </row>
    <row r="1105" ht="15" customHeight="1">
      <c r="A1105" t="inlineStr">
        <is>
          <t>A 53050-2025</t>
        </is>
      </c>
      <c r="B1105" s="1" t="n">
        <v>45958.3625462963</v>
      </c>
      <c r="C1105" s="1" t="n">
        <v>45991</v>
      </c>
      <c r="D1105" t="inlineStr">
        <is>
          <t>VÄSTERBOTTENS LÄN</t>
        </is>
      </c>
      <c r="E1105" t="inlineStr">
        <is>
          <t>SKELLEFTEÅ</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33785-2025</t>
        </is>
      </c>
      <c r="B1106" s="1" t="n">
        <v>45842.40923611111</v>
      </c>
      <c r="C1106" s="1" t="n">
        <v>45991</v>
      </c>
      <c r="D1106" t="inlineStr">
        <is>
          <t>VÄSTERBOTTENS LÄN</t>
        </is>
      </c>
      <c r="E1106" t="inlineStr">
        <is>
          <t>SKELLEFTEÅ</t>
        </is>
      </c>
      <c r="F1106" t="inlineStr">
        <is>
          <t>Holmen skog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33800-2025</t>
        </is>
      </c>
      <c r="B1107" s="1" t="n">
        <v>45842.44159722222</v>
      </c>
      <c r="C1107" s="1" t="n">
        <v>45991</v>
      </c>
      <c r="D1107" t="inlineStr">
        <is>
          <t>VÄSTERBOTTENS LÄN</t>
        </is>
      </c>
      <c r="E1107" t="inlineStr">
        <is>
          <t>SKELLEFTEÅ</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9035-2021</t>
        </is>
      </c>
      <c r="B1108" s="1" t="n">
        <v>44249</v>
      </c>
      <c r="C1108" s="1" t="n">
        <v>45991</v>
      </c>
      <c r="D1108" t="inlineStr">
        <is>
          <t>VÄSTERBOTTENS LÄN</t>
        </is>
      </c>
      <c r="E1108" t="inlineStr">
        <is>
          <t>SKELLEFTEÅ</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53375-2025</t>
        </is>
      </c>
      <c r="B1109" s="1" t="n">
        <v>45959.52104166667</v>
      </c>
      <c r="C1109" s="1" t="n">
        <v>45991</v>
      </c>
      <c r="D1109" t="inlineStr">
        <is>
          <t>VÄSTERBOTTENS LÄN</t>
        </is>
      </c>
      <c r="E1109" t="inlineStr">
        <is>
          <t>SKELLEFTEÅ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44714-2025</t>
        </is>
      </c>
      <c r="B1110" s="1" t="n">
        <v>45917.62650462963</v>
      </c>
      <c r="C1110" s="1" t="n">
        <v>45991</v>
      </c>
      <c r="D1110" t="inlineStr">
        <is>
          <t>VÄSTERBOTTENS LÄN</t>
        </is>
      </c>
      <c r="E1110" t="inlineStr">
        <is>
          <t>SKELLEFTEÅ</t>
        </is>
      </c>
      <c r="F1110" t="inlineStr">
        <is>
          <t>Sveaskog</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44739-2025</t>
        </is>
      </c>
      <c r="B1111" s="1" t="n">
        <v>45917.66063657407</v>
      </c>
      <c r="C1111" s="1" t="n">
        <v>45991</v>
      </c>
      <c r="D1111" t="inlineStr">
        <is>
          <t>VÄSTERBOTTENS LÄN</t>
        </is>
      </c>
      <c r="E1111" t="inlineStr">
        <is>
          <t>SKELLEFTEÅ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34274-2025</t>
        </is>
      </c>
      <c r="B1112" s="1" t="n">
        <v>45845.86229166666</v>
      </c>
      <c r="C1112" s="1" t="n">
        <v>45991</v>
      </c>
      <c r="D1112" t="inlineStr">
        <is>
          <t>VÄSTERBOTTENS LÄN</t>
        </is>
      </c>
      <c r="E1112" t="inlineStr">
        <is>
          <t>SKELLEFTEÅ</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44637-2025</t>
        </is>
      </c>
      <c r="B1113" s="1" t="n">
        <v>45917.50743055555</v>
      </c>
      <c r="C1113" s="1" t="n">
        <v>45991</v>
      </c>
      <c r="D1113" t="inlineStr">
        <is>
          <t>VÄSTERBOTTENS LÄN</t>
        </is>
      </c>
      <c r="E1113" t="inlineStr">
        <is>
          <t>SKELLEFTEÅ</t>
        </is>
      </c>
      <c r="F1113" t="inlineStr">
        <is>
          <t>Holmen skog AB</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33792-2024</t>
        </is>
      </c>
      <c r="B1114" s="1" t="n">
        <v>45520</v>
      </c>
      <c r="C1114" s="1" t="n">
        <v>45991</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34315-2025</t>
        </is>
      </c>
      <c r="B1115" s="1" t="n">
        <v>45846.4034837963</v>
      </c>
      <c r="C1115" s="1" t="n">
        <v>45991</v>
      </c>
      <c r="D1115" t="inlineStr">
        <is>
          <t>VÄSTERBOTTENS LÄN</t>
        </is>
      </c>
      <c r="E1115" t="inlineStr">
        <is>
          <t>SKELLEFTEÅ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44408-2025</t>
        </is>
      </c>
      <c r="B1116" s="1" t="n">
        <v>45916.53047453704</v>
      </c>
      <c r="C1116" s="1" t="n">
        <v>45991</v>
      </c>
      <c r="D1116" t="inlineStr">
        <is>
          <t>VÄSTERBOTTENS LÄN</t>
        </is>
      </c>
      <c r="E1116" t="inlineStr">
        <is>
          <t>SKELLEFTEÅ</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44729-2025</t>
        </is>
      </c>
      <c r="B1117" s="1" t="n">
        <v>45917.64934027778</v>
      </c>
      <c r="C1117" s="1" t="n">
        <v>45991</v>
      </c>
      <c r="D1117" t="inlineStr">
        <is>
          <t>VÄSTERBOTTENS LÄN</t>
        </is>
      </c>
      <c r="E1117" t="inlineStr">
        <is>
          <t>SKELLEFTEÅ</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34471-2025</t>
        </is>
      </c>
      <c r="B1118" s="1" t="n">
        <v>45847</v>
      </c>
      <c r="C1118" s="1" t="n">
        <v>45991</v>
      </c>
      <c r="D1118" t="inlineStr">
        <is>
          <t>VÄSTERBOTTENS LÄN</t>
        </is>
      </c>
      <c r="E1118" t="inlineStr">
        <is>
          <t>SKELLEFTEÅ</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44483-2024</t>
        </is>
      </c>
      <c r="B1119" s="1" t="n">
        <v>45574</v>
      </c>
      <c r="C1119" s="1" t="n">
        <v>45991</v>
      </c>
      <c r="D1119" t="inlineStr">
        <is>
          <t>VÄSTERBOTTENS LÄN</t>
        </is>
      </c>
      <c r="E1119" t="inlineStr">
        <is>
          <t>SKELLEFTEÅ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34273-2025</t>
        </is>
      </c>
      <c r="B1120" s="1" t="n">
        <v>45845.85751157408</v>
      </c>
      <c r="C1120" s="1" t="n">
        <v>45991</v>
      </c>
      <c r="D1120" t="inlineStr">
        <is>
          <t>VÄSTERBOTTENS LÄN</t>
        </is>
      </c>
      <c r="E1120" t="inlineStr">
        <is>
          <t>SKELLEFTEÅ</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28153-2023</t>
        </is>
      </c>
      <c r="B1121" s="1" t="n">
        <v>45096</v>
      </c>
      <c r="C1121" s="1" t="n">
        <v>45991</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28158-2023</t>
        </is>
      </c>
      <c r="B1122" s="1" t="n">
        <v>45096</v>
      </c>
      <c r="C1122" s="1" t="n">
        <v>45991</v>
      </c>
      <c r="D1122" t="inlineStr">
        <is>
          <t>VÄSTERBOTTENS LÄN</t>
        </is>
      </c>
      <c r="E1122" t="inlineStr">
        <is>
          <t>SKELLEFTEÅ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34362-2025</t>
        </is>
      </c>
      <c r="B1123" s="1" t="n">
        <v>45846.48827546297</v>
      </c>
      <c r="C1123" s="1" t="n">
        <v>45991</v>
      </c>
      <c r="D1123" t="inlineStr">
        <is>
          <t>VÄSTERBOTTENS LÄN</t>
        </is>
      </c>
      <c r="E1123" t="inlineStr">
        <is>
          <t>SKELLEFTEÅ</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34405-2025</t>
        </is>
      </c>
      <c r="B1124" s="1" t="n">
        <v>45846.6277662037</v>
      </c>
      <c r="C1124" s="1" t="n">
        <v>45991</v>
      </c>
      <c r="D1124" t="inlineStr">
        <is>
          <t>VÄSTERBOTTENS LÄN</t>
        </is>
      </c>
      <c r="E1124" t="inlineStr">
        <is>
          <t>SKELLEFTEÅ</t>
        </is>
      </c>
      <c r="G1124" t="n">
        <v>13.6</v>
      </c>
      <c r="H1124" t="n">
        <v>0</v>
      </c>
      <c r="I1124" t="n">
        <v>0</v>
      </c>
      <c r="J1124" t="n">
        <v>0</v>
      </c>
      <c r="K1124" t="n">
        <v>0</v>
      </c>
      <c r="L1124" t="n">
        <v>0</v>
      </c>
      <c r="M1124" t="n">
        <v>0</v>
      </c>
      <c r="N1124" t="n">
        <v>0</v>
      </c>
      <c r="O1124" t="n">
        <v>0</v>
      </c>
      <c r="P1124" t="n">
        <v>0</v>
      </c>
      <c r="Q1124" t="n">
        <v>0</v>
      </c>
      <c r="R1124" s="2" t="inlineStr"/>
    </row>
    <row r="1125" ht="15" customHeight="1">
      <c r="A1125" t="inlineStr">
        <is>
          <t>A 34437-2025</t>
        </is>
      </c>
      <c r="B1125" s="1" t="n">
        <v>45846.68461805556</v>
      </c>
      <c r="C1125" s="1" t="n">
        <v>45991</v>
      </c>
      <c r="D1125" t="inlineStr">
        <is>
          <t>VÄSTERBOTTENS LÄN</t>
        </is>
      </c>
      <c r="E1125" t="inlineStr">
        <is>
          <t>SKELLEFTEÅ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34672-2025</t>
        </is>
      </c>
      <c r="B1126" s="1" t="n">
        <v>45847</v>
      </c>
      <c r="C1126" s="1" t="n">
        <v>45991</v>
      </c>
      <c r="D1126" t="inlineStr">
        <is>
          <t>VÄSTERBOTTENS LÄN</t>
        </is>
      </c>
      <c r="E1126" t="inlineStr">
        <is>
          <t>SKELLEFTEÅ</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44726-2025</t>
        </is>
      </c>
      <c r="B1127" s="1" t="n">
        <v>45917.64392361111</v>
      </c>
      <c r="C1127" s="1" t="n">
        <v>45991</v>
      </c>
      <c r="D1127" t="inlineStr">
        <is>
          <t>VÄSTERBOTTENS LÄN</t>
        </is>
      </c>
      <c r="E1127" t="inlineStr">
        <is>
          <t>SKELLEFTEÅ</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34536-2025</t>
        </is>
      </c>
      <c r="B1128" s="1" t="n">
        <v>45847.5141087963</v>
      </c>
      <c r="C1128" s="1" t="n">
        <v>45991</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53027-2025</t>
        </is>
      </c>
      <c r="B1129" s="1" t="n">
        <v>45958.34142361111</v>
      </c>
      <c r="C1129" s="1" t="n">
        <v>45991</v>
      </c>
      <c r="D1129" t="inlineStr">
        <is>
          <t>VÄSTERBOTTENS LÄN</t>
        </is>
      </c>
      <c r="E1129" t="inlineStr">
        <is>
          <t>SKELLEFTEÅ</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45200-2024</t>
        </is>
      </c>
      <c r="B1130" s="1" t="n">
        <v>45575.69085648148</v>
      </c>
      <c r="C1130" s="1" t="n">
        <v>45991</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64370-2023</t>
        </is>
      </c>
      <c r="B1131" s="1" t="n">
        <v>45280</v>
      </c>
      <c r="C1131" s="1" t="n">
        <v>45991</v>
      </c>
      <c r="D1131" t="inlineStr">
        <is>
          <t>VÄSTERBOTTENS LÄN</t>
        </is>
      </c>
      <c r="E1131" t="inlineStr">
        <is>
          <t>SKELLEFTEÅ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53505-2024</t>
        </is>
      </c>
      <c r="B1132" s="1" t="n">
        <v>45614.59049768518</v>
      </c>
      <c r="C1132" s="1" t="n">
        <v>45991</v>
      </c>
      <c r="D1132" t="inlineStr">
        <is>
          <t>VÄSTERBOTTENS LÄN</t>
        </is>
      </c>
      <c r="E1132" t="inlineStr">
        <is>
          <t>SKELLEFTEÅ</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60506-2022</t>
        </is>
      </c>
      <c r="B1133" s="1" t="n">
        <v>44911.44916666667</v>
      </c>
      <c r="C1133" s="1" t="n">
        <v>45991</v>
      </c>
      <c r="D1133" t="inlineStr">
        <is>
          <t>VÄSTERBOTTENS LÄN</t>
        </is>
      </c>
      <c r="E1133" t="inlineStr">
        <is>
          <t>SKELLEFTEÅ</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2720-2023</t>
        </is>
      </c>
      <c r="B1134" s="1" t="n">
        <v>44944</v>
      </c>
      <c r="C1134" s="1" t="n">
        <v>45991</v>
      </c>
      <c r="D1134" t="inlineStr">
        <is>
          <t>VÄSTERBOTTENS LÄN</t>
        </is>
      </c>
      <c r="E1134" t="inlineStr">
        <is>
          <t>SKELLEFTEÅ</t>
        </is>
      </c>
      <c r="G1134" t="n">
        <v>31.7</v>
      </c>
      <c r="H1134" t="n">
        <v>0</v>
      </c>
      <c r="I1134" t="n">
        <v>0</v>
      </c>
      <c r="J1134" t="n">
        <v>0</v>
      </c>
      <c r="K1134" t="n">
        <v>0</v>
      </c>
      <c r="L1134" t="n">
        <v>0</v>
      </c>
      <c r="M1134" t="n">
        <v>0</v>
      </c>
      <c r="N1134" t="n">
        <v>0</v>
      </c>
      <c r="O1134" t="n">
        <v>0</v>
      </c>
      <c r="P1134" t="n">
        <v>0</v>
      </c>
      <c r="Q1134" t="n">
        <v>0</v>
      </c>
      <c r="R1134" s="2" t="inlineStr"/>
    </row>
    <row r="1135" ht="15" customHeight="1">
      <c r="A1135" t="inlineStr">
        <is>
          <t>A 53415-2025</t>
        </is>
      </c>
      <c r="B1135" s="1" t="n">
        <v>45959.58013888889</v>
      </c>
      <c r="C1135" s="1" t="n">
        <v>45991</v>
      </c>
      <c r="D1135" t="inlineStr">
        <is>
          <t>VÄSTERBOTTENS LÄN</t>
        </is>
      </c>
      <c r="E1135" t="inlineStr">
        <is>
          <t>SKELLEFTEÅ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64716-2023</t>
        </is>
      </c>
      <c r="B1136" s="1" t="n">
        <v>45281</v>
      </c>
      <c r="C1136" s="1" t="n">
        <v>45991</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34678-2025</t>
        </is>
      </c>
      <c r="B1137" s="1" t="n">
        <v>45848.42638888889</v>
      </c>
      <c r="C1137" s="1" t="n">
        <v>45991</v>
      </c>
      <c r="D1137" t="inlineStr">
        <is>
          <t>VÄSTERBOTTENS LÄN</t>
        </is>
      </c>
      <c r="E1137" t="inlineStr">
        <is>
          <t>SKELLEFTEÅ</t>
        </is>
      </c>
      <c r="F1137" t="inlineStr">
        <is>
          <t>Holmen skog AB</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54476-2023</t>
        </is>
      </c>
      <c r="B1138" s="1" t="n">
        <v>45233.47082175926</v>
      </c>
      <c r="C1138" s="1" t="n">
        <v>45991</v>
      </c>
      <c r="D1138" t="inlineStr">
        <is>
          <t>VÄSTERBOTTENS LÄN</t>
        </is>
      </c>
      <c r="E1138" t="inlineStr">
        <is>
          <t>SKELLEFTEÅ</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34724-2025</t>
        </is>
      </c>
      <c r="B1139" s="1" t="n">
        <v>45848.55504629629</v>
      </c>
      <c r="C1139" s="1" t="n">
        <v>45991</v>
      </c>
      <c r="D1139" t="inlineStr">
        <is>
          <t>VÄSTERBOTTENS LÄN</t>
        </is>
      </c>
      <c r="E1139" t="inlineStr">
        <is>
          <t>SKELLEFTEÅ</t>
        </is>
      </c>
      <c r="F1139" t="inlineStr">
        <is>
          <t>Holmen skog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34657-2025</t>
        </is>
      </c>
      <c r="B1140" s="1" t="n">
        <v>45848.36267361111</v>
      </c>
      <c r="C1140" s="1" t="n">
        <v>45991</v>
      </c>
      <c r="D1140" t="inlineStr">
        <is>
          <t>VÄSTERBOTTENS LÄN</t>
        </is>
      </c>
      <c r="E1140" t="inlineStr">
        <is>
          <t>SKELLEFTEÅ</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34716-2025</t>
        </is>
      </c>
      <c r="B1141" s="1" t="n">
        <v>45848.52747685185</v>
      </c>
      <c r="C1141" s="1" t="n">
        <v>45991</v>
      </c>
      <c r="D1141" t="inlineStr">
        <is>
          <t>VÄSTERBOTTENS LÄN</t>
        </is>
      </c>
      <c r="E1141" t="inlineStr">
        <is>
          <t>SKELLEFTEÅ</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34791-2025</t>
        </is>
      </c>
      <c r="B1142" s="1" t="n">
        <v>45848</v>
      </c>
      <c r="C1142" s="1" t="n">
        <v>45991</v>
      </c>
      <c r="D1142" t="inlineStr">
        <is>
          <t>VÄSTERBOTTENS LÄN</t>
        </is>
      </c>
      <c r="E1142" t="inlineStr">
        <is>
          <t>SKELLEFTEÅ</t>
        </is>
      </c>
      <c r="G1142" t="n">
        <v>15.9</v>
      </c>
      <c r="H1142" t="n">
        <v>0</v>
      </c>
      <c r="I1142" t="n">
        <v>0</v>
      </c>
      <c r="J1142" t="n">
        <v>0</v>
      </c>
      <c r="K1142" t="n">
        <v>0</v>
      </c>
      <c r="L1142" t="n">
        <v>0</v>
      </c>
      <c r="M1142" t="n">
        <v>0</v>
      </c>
      <c r="N1142" t="n">
        <v>0</v>
      </c>
      <c r="O1142" t="n">
        <v>0</v>
      </c>
      <c r="P1142" t="n">
        <v>0</v>
      </c>
      <c r="Q1142" t="n">
        <v>0</v>
      </c>
      <c r="R1142" s="2" t="inlineStr"/>
    </row>
    <row r="1143" ht="15" customHeight="1">
      <c r="A1143" t="inlineStr">
        <is>
          <t>A 44353-2025</t>
        </is>
      </c>
      <c r="B1143" s="1" t="n">
        <v>45916.44612268519</v>
      </c>
      <c r="C1143" s="1" t="n">
        <v>45991</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56157-2024</t>
        </is>
      </c>
      <c r="B1144" s="1" t="n">
        <v>45623</v>
      </c>
      <c r="C1144" s="1" t="n">
        <v>45991</v>
      </c>
      <c r="D1144" t="inlineStr">
        <is>
          <t>VÄSTERBOTTENS LÄN</t>
        </is>
      </c>
      <c r="E1144" t="inlineStr">
        <is>
          <t>SKELLEFTEÅ</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26031-2022</t>
        </is>
      </c>
      <c r="B1145" s="1" t="n">
        <v>44734.57721064815</v>
      </c>
      <c r="C1145" s="1" t="n">
        <v>45991</v>
      </c>
      <c r="D1145" t="inlineStr">
        <is>
          <t>VÄSTERBOTTENS LÄN</t>
        </is>
      </c>
      <c r="E1145" t="inlineStr">
        <is>
          <t>SKELLEFTEÅ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55654-2024</t>
        </is>
      </c>
      <c r="B1146" s="1" t="n">
        <v>45621</v>
      </c>
      <c r="C1146" s="1" t="n">
        <v>45991</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53376-2025</t>
        </is>
      </c>
      <c r="B1147" s="1" t="n">
        <v>45959.52413194445</v>
      </c>
      <c r="C1147" s="1" t="n">
        <v>45991</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53385-2025</t>
        </is>
      </c>
      <c r="B1148" s="1" t="n">
        <v>45959.54261574074</v>
      </c>
      <c r="C1148" s="1" t="n">
        <v>45991</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35090-2025</t>
        </is>
      </c>
      <c r="B1149" s="1" t="n">
        <v>45852.52563657407</v>
      </c>
      <c r="C1149" s="1" t="n">
        <v>45991</v>
      </c>
      <c r="D1149" t="inlineStr">
        <is>
          <t>VÄSTERBOTTENS LÄN</t>
        </is>
      </c>
      <c r="E1149" t="inlineStr">
        <is>
          <t>SKELLEFTEÅ</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49171-2024</t>
        </is>
      </c>
      <c r="B1150" s="1" t="n">
        <v>45595.30685185185</v>
      </c>
      <c r="C1150" s="1" t="n">
        <v>45991</v>
      </c>
      <c r="D1150" t="inlineStr">
        <is>
          <t>VÄSTERBOTTENS LÄN</t>
        </is>
      </c>
      <c r="E1150" t="inlineStr">
        <is>
          <t>SKELLEFTEÅ</t>
        </is>
      </c>
      <c r="F1150" t="inlineStr">
        <is>
          <t>Sveaskog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53026-2025</t>
        </is>
      </c>
      <c r="B1151" s="1" t="n">
        <v>45958.34028935185</v>
      </c>
      <c r="C1151" s="1" t="n">
        <v>45991</v>
      </c>
      <c r="D1151" t="inlineStr">
        <is>
          <t>VÄSTERBOTTENS LÄN</t>
        </is>
      </c>
      <c r="E1151" t="inlineStr">
        <is>
          <t>SKELLEFTEÅ</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53023-2025</t>
        </is>
      </c>
      <c r="B1152" s="1" t="n">
        <v>45958.3203125</v>
      </c>
      <c r="C1152" s="1" t="n">
        <v>45991</v>
      </c>
      <c r="D1152" t="inlineStr">
        <is>
          <t>VÄSTERBOTTENS LÄN</t>
        </is>
      </c>
      <c r="E1152" t="inlineStr">
        <is>
          <t>SKELLEFTEÅ</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47496-2024</t>
        </is>
      </c>
      <c r="B1153" s="1" t="n">
        <v>45587</v>
      </c>
      <c r="C1153" s="1" t="n">
        <v>45991</v>
      </c>
      <c r="D1153" t="inlineStr">
        <is>
          <t>VÄSTERBOTTENS LÄN</t>
        </is>
      </c>
      <c r="E1153" t="inlineStr">
        <is>
          <t>SKELLEFTEÅ</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40967-2024</t>
        </is>
      </c>
      <c r="B1154" s="1" t="n">
        <v>45558.67306712963</v>
      </c>
      <c r="C1154" s="1" t="n">
        <v>45991</v>
      </c>
      <c r="D1154" t="inlineStr">
        <is>
          <t>VÄSTERBOTTENS LÄN</t>
        </is>
      </c>
      <c r="E1154" t="inlineStr">
        <is>
          <t>SKELLEFTEÅ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44826-2025</t>
        </is>
      </c>
      <c r="B1155" s="1" t="n">
        <v>45918.38855324074</v>
      </c>
      <c r="C1155" s="1" t="n">
        <v>45991</v>
      </c>
      <c r="D1155" t="inlineStr">
        <is>
          <t>VÄSTERBOTTENS LÄN</t>
        </is>
      </c>
      <c r="E1155" t="inlineStr">
        <is>
          <t>SKELLEFTEÅ</t>
        </is>
      </c>
      <c r="F1155" t="inlineStr">
        <is>
          <t>Holmen skog AB</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35223-2025</t>
        </is>
      </c>
      <c r="B1156" s="1" t="n">
        <v>45853.55226851852</v>
      </c>
      <c r="C1156" s="1" t="n">
        <v>45991</v>
      </c>
      <c r="D1156" t="inlineStr">
        <is>
          <t>VÄSTERBOTTENS LÄN</t>
        </is>
      </c>
      <c r="E1156" t="inlineStr">
        <is>
          <t>SKELLEFTEÅ</t>
        </is>
      </c>
      <c r="F1156" t="inlineStr">
        <is>
          <t>Holmen skog AB</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53533-2025</t>
        </is>
      </c>
      <c r="B1157" s="1" t="n">
        <v>45960.36548611111</v>
      </c>
      <c r="C1157" s="1" t="n">
        <v>45991</v>
      </c>
      <c r="D1157" t="inlineStr">
        <is>
          <t>VÄSTERBOTTENS LÄN</t>
        </is>
      </c>
      <c r="E1157" t="inlineStr">
        <is>
          <t>SKELLEFTEÅ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29649-2021</t>
        </is>
      </c>
      <c r="B1158" s="1" t="n">
        <v>44362</v>
      </c>
      <c r="C1158" s="1" t="n">
        <v>45991</v>
      </c>
      <c r="D1158" t="inlineStr">
        <is>
          <t>VÄSTERBOTTENS LÄN</t>
        </is>
      </c>
      <c r="E1158" t="inlineStr">
        <is>
          <t>SKELLEFTEÅ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53775-2025</t>
        </is>
      </c>
      <c r="B1159" s="1" t="n">
        <v>45960.68865740741</v>
      </c>
      <c r="C1159" s="1" t="n">
        <v>45991</v>
      </c>
      <c r="D1159" t="inlineStr">
        <is>
          <t>VÄSTERBOTTENS LÄN</t>
        </is>
      </c>
      <c r="E1159" t="inlineStr">
        <is>
          <t>SKELLEFTEÅ</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29264-2025</t>
        </is>
      </c>
      <c r="B1160" s="1" t="n">
        <v>45824.39657407408</v>
      </c>
      <c r="C1160" s="1" t="n">
        <v>45991</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60601-2023</t>
        </is>
      </c>
      <c r="B1161" s="1" t="n">
        <v>45260</v>
      </c>
      <c r="C1161" s="1" t="n">
        <v>45991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62047-2024</t>
        </is>
      </c>
      <c r="B1162" s="1" t="n">
        <v>45656.36306712963</v>
      </c>
      <c r="C1162" s="1" t="n">
        <v>45991</v>
      </c>
      <c r="D1162" t="inlineStr">
        <is>
          <t>VÄSTERBOTTENS LÄN</t>
        </is>
      </c>
      <c r="E1162" t="inlineStr">
        <is>
          <t>SKELLEFTEÅ</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42249-2024</t>
        </is>
      </c>
      <c r="B1163" s="1" t="n">
        <v>45562.5778587963</v>
      </c>
      <c r="C1163" s="1" t="n">
        <v>45991</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44942-2025</t>
        </is>
      </c>
      <c r="B1164" s="1" t="n">
        <v>45918</v>
      </c>
      <c r="C1164" s="1" t="n">
        <v>45991</v>
      </c>
      <c r="D1164" t="inlineStr">
        <is>
          <t>VÄSTERBOTTENS LÄN</t>
        </is>
      </c>
      <c r="E1164" t="inlineStr">
        <is>
          <t>SKELLEFTEÅ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35428-2025</t>
        </is>
      </c>
      <c r="B1165" s="1" t="n">
        <v>45855.44019675926</v>
      </c>
      <c r="C1165" s="1" t="n">
        <v>45991</v>
      </c>
      <c r="D1165" t="inlineStr">
        <is>
          <t>VÄSTERBOTTENS LÄN</t>
        </is>
      </c>
      <c r="E1165" t="inlineStr">
        <is>
          <t>SKELLEFTEÅ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53959-2025</t>
        </is>
      </c>
      <c r="B1166" s="1" t="n">
        <v>45961.53371527778</v>
      </c>
      <c r="C1166" s="1" t="n">
        <v>45991</v>
      </c>
      <c r="D1166" t="inlineStr">
        <is>
          <t>VÄSTERBOTTENS LÄN</t>
        </is>
      </c>
      <c r="E1166" t="inlineStr">
        <is>
          <t>SKELLEFTEÅ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35433-2025</t>
        </is>
      </c>
      <c r="B1167" s="1" t="n">
        <v>45855.4525462963</v>
      </c>
      <c r="C1167" s="1" t="n">
        <v>45991</v>
      </c>
      <c r="D1167" t="inlineStr">
        <is>
          <t>VÄSTERBOTTENS LÄN</t>
        </is>
      </c>
      <c r="E1167" t="inlineStr">
        <is>
          <t>SKELLEFTEÅ</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56995-2022</t>
        </is>
      </c>
      <c r="B1168" s="1" t="n">
        <v>44894</v>
      </c>
      <c r="C1168" s="1" t="n">
        <v>45991</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61569-2022</t>
        </is>
      </c>
      <c r="B1169" s="1" t="n">
        <v>44916</v>
      </c>
      <c r="C1169" s="1" t="n">
        <v>45991</v>
      </c>
      <c r="D1169" t="inlineStr">
        <is>
          <t>VÄSTERBOTTENS LÄN</t>
        </is>
      </c>
      <c r="E1169" t="inlineStr">
        <is>
          <t>SKELLEFTEÅ</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44908-2025</t>
        </is>
      </c>
      <c r="B1170" s="1" t="n">
        <v>45918.53197916667</v>
      </c>
      <c r="C1170" s="1" t="n">
        <v>45991</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55775-2023</t>
        </is>
      </c>
      <c r="B1171" s="1" t="n">
        <v>45232</v>
      </c>
      <c r="C1171" s="1" t="n">
        <v>45991</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45183-2025</t>
        </is>
      </c>
      <c r="B1172" s="1" t="n">
        <v>45919.53484953703</v>
      </c>
      <c r="C1172" s="1" t="n">
        <v>45991</v>
      </c>
      <c r="D1172" t="inlineStr">
        <is>
          <t>VÄSTERBOTTENS LÄN</t>
        </is>
      </c>
      <c r="E1172" t="inlineStr">
        <is>
          <t>SKELLEFTEÅ</t>
        </is>
      </c>
      <c r="F1172" t="inlineStr">
        <is>
          <t>Holmen skog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28244-2021</t>
        </is>
      </c>
      <c r="B1173" s="1" t="n">
        <v>44355</v>
      </c>
      <c r="C1173" s="1" t="n">
        <v>45991</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40794-2025</t>
        </is>
      </c>
      <c r="B1174" s="1" t="n">
        <v>45897</v>
      </c>
      <c r="C1174" s="1" t="n">
        <v>45991</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44823-2025</t>
        </is>
      </c>
      <c r="B1175" s="1" t="n">
        <v>45918.38574074074</v>
      </c>
      <c r="C1175" s="1" t="n">
        <v>45991</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44921-2025</t>
        </is>
      </c>
      <c r="B1176" s="1" t="n">
        <v>45918.55270833334</v>
      </c>
      <c r="C1176" s="1" t="n">
        <v>45991</v>
      </c>
      <c r="D1176" t="inlineStr">
        <is>
          <t>VÄSTERBOTTENS LÄN</t>
        </is>
      </c>
      <c r="E1176" t="inlineStr">
        <is>
          <t>SKELLEFTEÅ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29267-2025</t>
        </is>
      </c>
      <c r="B1177" s="1" t="n">
        <v>45824.40275462963</v>
      </c>
      <c r="C1177" s="1" t="n">
        <v>45991</v>
      </c>
      <c r="D1177" t="inlineStr">
        <is>
          <t>VÄSTERBOTTENS LÄN</t>
        </is>
      </c>
      <c r="E1177" t="inlineStr">
        <is>
          <t>SKELLEFTEÅ</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30395-2024</t>
        </is>
      </c>
      <c r="B1178" s="1" t="n">
        <v>45491</v>
      </c>
      <c r="C1178" s="1" t="n">
        <v>45991</v>
      </c>
      <c r="D1178" t="inlineStr">
        <is>
          <t>VÄSTERBOTTENS LÄN</t>
        </is>
      </c>
      <c r="E1178" t="inlineStr">
        <is>
          <t>SKELLEFTEÅ</t>
        </is>
      </c>
      <c r="F1178" t="inlineStr">
        <is>
          <t>Holmen skog AB</t>
        </is>
      </c>
      <c r="G1178" t="n">
        <v>15.8</v>
      </c>
      <c r="H1178" t="n">
        <v>0</v>
      </c>
      <c r="I1178" t="n">
        <v>0</v>
      </c>
      <c r="J1178" t="n">
        <v>0</v>
      </c>
      <c r="K1178" t="n">
        <v>0</v>
      </c>
      <c r="L1178" t="n">
        <v>0</v>
      </c>
      <c r="M1178" t="n">
        <v>0</v>
      </c>
      <c r="N1178" t="n">
        <v>0</v>
      </c>
      <c r="O1178" t="n">
        <v>0</v>
      </c>
      <c r="P1178" t="n">
        <v>0</v>
      </c>
      <c r="Q1178" t="n">
        <v>0</v>
      </c>
      <c r="R1178" s="2" t="inlineStr"/>
    </row>
    <row r="1179" ht="15" customHeight="1">
      <c r="A1179" t="inlineStr">
        <is>
          <t>A 41038-2024</t>
        </is>
      </c>
      <c r="B1179" s="1" t="n">
        <v>45559.36113425926</v>
      </c>
      <c r="C1179" s="1" t="n">
        <v>45991</v>
      </c>
      <c r="D1179" t="inlineStr">
        <is>
          <t>VÄSTERBOTTENS LÄN</t>
        </is>
      </c>
      <c r="E1179" t="inlineStr">
        <is>
          <t>SKELLEFTEÅ</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54401-2023</t>
        </is>
      </c>
      <c r="B1180" s="1" t="n">
        <v>45226</v>
      </c>
      <c r="C1180" s="1" t="n">
        <v>45991</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34614-2024</t>
        </is>
      </c>
      <c r="B1181" s="1" t="n">
        <v>45526</v>
      </c>
      <c r="C1181" s="1" t="n">
        <v>45991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46302-2023</t>
        </is>
      </c>
      <c r="B1182" s="1" t="n">
        <v>45191</v>
      </c>
      <c r="C1182" s="1" t="n">
        <v>45991</v>
      </c>
      <c r="D1182" t="inlineStr">
        <is>
          <t>VÄSTERBOTTENS LÄN</t>
        </is>
      </c>
      <c r="E1182" t="inlineStr">
        <is>
          <t>SKELLEFTEÅ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59993-2024</t>
        </is>
      </c>
      <c r="B1183" s="1" t="n">
        <v>45642.40476851852</v>
      </c>
      <c r="C1183" s="1" t="n">
        <v>45991</v>
      </c>
      <c r="D1183" t="inlineStr">
        <is>
          <t>VÄSTERBOTTENS LÄN</t>
        </is>
      </c>
      <c r="E1183" t="inlineStr">
        <is>
          <t>SKELLEFTEÅ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53515-2025</t>
        </is>
      </c>
      <c r="B1184" s="1" t="n">
        <v>45959</v>
      </c>
      <c r="C1184" s="1" t="n">
        <v>45991</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24181-2025</t>
        </is>
      </c>
      <c r="B1185" s="1" t="n">
        <v>45796.78885416667</v>
      </c>
      <c r="C1185" s="1" t="n">
        <v>45991</v>
      </c>
      <c r="D1185" t="inlineStr">
        <is>
          <t>VÄSTERBOTTENS LÄN</t>
        </is>
      </c>
      <c r="E1185" t="inlineStr">
        <is>
          <t>SKELLEFTEÅ</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53512-2025</t>
        </is>
      </c>
      <c r="B1186" s="1" t="n">
        <v>45960.34540509259</v>
      </c>
      <c r="C1186" s="1" t="n">
        <v>45991</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53514-2025</t>
        </is>
      </c>
      <c r="B1187" s="1" t="n">
        <v>45960.34552083333</v>
      </c>
      <c r="C1187" s="1" t="n">
        <v>45991</v>
      </c>
      <c r="D1187" t="inlineStr">
        <is>
          <t>VÄSTERBOTTENS LÄN</t>
        </is>
      </c>
      <c r="E1187" t="inlineStr">
        <is>
          <t>SKELLEFTEÅ</t>
        </is>
      </c>
      <c r="G1187" t="n">
        <v>18.1</v>
      </c>
      <c r="H1187" t="n">
        <v>0</v>
      </c>
      <c r="I1187" t="n">
        <v>0</v>
      </c>
      <c r="J1187" t="n">
        <v>0</v>
      </c>
      <c r="K1187" t="n">
        <v>0</v>
      </c>
      <c r="L1187" t="n">
        <v>0</v>
      </c>
      <c r="M1187" t="n">
        <v>0</v>
      </c>
      <c r="N1187" t="n">
        <v>0</v>
      </c>
      <c r="O1187" t="n">
        <v>0</v>
      </c>
      <c r="P1187" t="n">
        <v>0</v>
      </c>
      <c r="Q1187" t="n">
        <v>0</v>
      </c>
      <c r="R1187" s="2" t="inlineStr"/>
    </row>
    <row r="1188" ht="15" customHeight="1">
      <c r="A1188" t="inlineStr">
        <is>
          <t>A 73159-2021</t>
        </is>
      </c>
      <c r="B1188" s="1" t="n">
        <v>44550</v>
      </c>
      <c r="C1188" s="1" t="n">
        <v>45991</v>
      </c>
      <c r="D1188" t="inlineStr">
        <is>
          <t>VÄSTERBOTTENS LÄN</t>
        </is>
      </c>
      <c r="E1188" t="inlineStr">
        <is>
          <t>SKELLEFTEÅ</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1627-2025</t>
        </is>
      </c>
      <c r="B1189" s="1" t="n">
        <v>45670.6259375</v>
      </c>
      <c r="C1189" s="1" t="n">
        <v>45991</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2308-2025</t>
        </is>
      </c>
      <c r="B1190" s="1" t="n">
        <v>45673.60113425926</v>
      </c>
      <c r="C1190" s="1" t="n">
        <v>45991</v>
      </c>
      <c r="D1190" t="inlineStr">
        <is>
          <t>VÄSTERBOTTENS LÄN</t>
        </is>
      </c>
      <c r="E1190" t="inlineStr">
        <is>
          <t>SKELLEFTEÅ</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44920-2025</t>
        </is>
      </c>
      <c r="B1191" s="1" t="n">
        <v>45918.55259259259</v>
      </c>
      <c r="C1191" s="1" t="n">
        <v>45991</v>
      </c>
      <c r="D1191" t="inlineStr">
        <is>
          <t>VÄSTERBOTTENS LÄN</t>
        </is>
      </c>
      <c r="E1191" t="inlineStr">
        <is>
          <t>SKELLEFTEÅ</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44911-2025</t>
        </is>
      </c>
      <c r="B1192" s="1" t="n">
        <v>45918.53216435185</v>
      </c>
      <c r="C1192" s="1" t="n">
        <v>45991</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44922-2025</t>
        </is>
      </c>
      <c r="B1193" s="1" t="n">
        <v>45918.55274305555</v>
      </c>
      <c r="C1193" s="1" t="n">
        <v>45991</v>
      </c>
      <c r="D1193" t="inlineStr">
        <is>
          <t>VÄSTERBOTTENS LÄN</t>
        </is>
      </c>
      <c r="E1193" t="inlineStr">
        <is>
          <t>SKELLEFTEÅ</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53767-2025</t>
        </is>
      </c>
      <c r="B1194" s="1" t="n">
        <v>45960.67798611111</v>
      </c>
      <c r="C1194" s="1" t="n">
        <v>45991</v>
      </c>
      <c r="D1194" t="inlineStr">
        <is>
          <t>VÄSTERBOTTENS LÄN</t>
        </is>
      </c>
      <c r="E1194" t="inlineStr">
        <is>
          <t>SKELLEFTEÅ</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35772-2025</t>
        </is>
      </c>
      <c r="B1195" s="1" t="n">
        <v>45860.67483796296</v>
      </c>
      <c r="C1195" s="1" t="n">
        <v>45991</v>
      </c>
      <c r="D1195" t="inlineStr">
        <is>
          <t>VÄSTERBOTTENS LÄN</t>
        </is>
      </c>
      <c r="E1195" t="inlineStr">
        <is>
          <t>SKELLEFTEÅ</t>
        </is>
      </c>
      <c r="F1195" t="inlineStr">
        <is>
          <t>Holmen skog AB</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53531-2025</t>
        </is>
      </c>
      <c r="B1196" s="1" t="n">
        <v>45960.36533564814</v>
      </c>
      <c r="C1196" s="1" t="n">
        <v>45991</v>
      </c>
      <c r="D1196" t="inlineStr">
        <is>
          <t>VÄSTERBOTTENS LÄN</t>
        </is>
      </c>
      <c r="E1196" t="inlineStr">
        <is>
          <t>SKELLEFTEÅ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44909-2025</t>
        </is>
      </c>
      <c r="B1197" s="1" t="n">
        <v>45918.53211805555</v>
      </c>
      <c r="C1197" s="1" t="n">
        <v>45991</v>
      </c>
      <c r="D1197" t="inlineStr">
        <is>
          <t>VÄSTERBOTTENS LÄN</t>
        </is>
      </c>
      <c r="E1197" t="inlineStr">
        <is>
          <t>SKELLEFTEÅ</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44910-2025</t>
        </is>
      </c>
      <c r="B1198" s="1" t="n">
        <v>45918.5321412037</v>
      </c>
      <c r="C1198" s="1" t="n">
        <v>45991</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35633-2025</t>
        </is>
      </c>
      <c r="B1199" s="1" t="n">
        <v>45859.45072916667</v>
      </c>
      <c r="C1199" s="1" t="n">
        <v>45991</v>
      </c>
      <c r="D1199" t="inlineStr">
        <is>
          <t>VÄSTERBOTTENS LÄN</t>
        </is>
      </c>
      <c r="E1199" t="inlineStr">
        <is>
          <t>SKELLEFTEÅ</t>
        </is>
      </c>
      <c r="F1199" t="inlineStr">
        <is>
          <t>Holmen skog AB</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12694-2025</t>
        </is>
      </c>
      <c r="B1200" s="1" t="n">
        <v>45733.46015046296</v>
      </c>
      <c r="C1200" s="1" t="n">
        <v>45991</v>
      </c>
      <c r="D1200" t="inlineStr">
        <is>
          <t>VÄSTERBOTTENS LÄN</t>
        </is>
      </c>
      <c r="E1200" t="inlineStr">
        <is>
          <t>SKELLEFTEÅ</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21996-2022</t>
        </is>
      </c>
      <c r="B1201" s="1" t="n">
        <v>44711.56952546296</v>
      </c>
      <c r="C1201" s="1" t="n">
        <v>45991</v>
      </c>
      <c r="D1201" t="inlineStr">
        <is>
          <t>VÄSTERBOTTENS LÄN</t>
        </is>
      </c>
      <c r="E1201" t="inlineStr">
        <is>
          <t>SKELLEFTEÅ</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62325-2022</t>
        </is>
      </c>
      <c r="B1202" s="1" t="n">
        <v>44916</v>
      </c>
      <c r="C1202" s="1" t="n">
        <v>45991</v>
      </c>
      <c r="D1202" t="inlineStr">
        <is>
          <t>VÄSTERBOTTENS LÄN</t>
        </is>
      </c>
      <c r="E1202" t="inlineStr">
        <is>
          <t>SKELLEFTEÅ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52634-2025</t>
        </is>
      </c>
      <c r="B1203" s="1" t="n">
        <v>45953</v>
      </c>
      <c r="C1203" s="1" t="n">
        <v>45991</v>
      </c>
      <c r="D1203" t="inlineStr">
        <is>
          <t>VÄSTERBOTTENS LÄN</t>
        </is>
      </c>
      <c r="E1203" t="inlineStr">
        <is>
          <t>SKELLEFTEÅ</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35811-2025</t>
        </is>
      </c>
      <c r="B1204" s="1" t="n">
        <v>45861.43084490741</v>
      </c>
      <c r="C1204" s="1" t="n">
        <v>45991</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45039-2023</t>
        </is>
      </c>
      <c r="B1205" s="1" t="n">
        <v>45191.32686342593</v>
      </c>
      <c r="C1205" s="1" t="n">
        <v>45991</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7052-2022</t>
        </is>
      </c>
      <c r="B1206" s="1" t="n">
        <v>44603</v>
      </c>
      <c r="C1206" s="1" t="n">
        <v>45991</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41320-2024</t>
        </is>
      </c>
      <c r="B1207" s="1" t="n">
        <v>45559</v>
      </c>
      <c r="C1207" s="1" t="n">
        <v>45991</v>
      </c>
      <c r="D1207" t="inlineStr">
        <is>
          <t>VÄSTERBOTTENS LÄN</t>
        </is>
      </c>
      <c r="E1207" t="inlineStr">
        <is>
          <t>SKELLEFTEÅ</t>
        </is>
      </c>
      <c r="G1207" t="n">
        <v>24.7</v>
      </c>
      <c r="H1207" t="n">
        <v>0</v>
      </c>
      <c r="I1207" t="n">
        <v>0</v>
      </c>
      <c r="J1207" t="n">
        <v>0</v>
      </c>
      <c r="K1207" t="n">
        <v>0</v>
      </c>
      <c r="L1207" t="n">
        <v>0</v>
      </c>
      <c r="M1207" t="n">
        <v>0</v>
      </c>
      <c r="N1207" t="n">
        <v>0</v>
      </c>
      <c r="O1207" t="n">
        <v>0</v>
      </c>
      <c r="P1207" t="n">
        <v>0</v>
      </c>
      <c r="Q1207" t="n">
        <v>0</v>
      </c>
      <c r="R1207" s="2" t="inlineStr"/>
    </row>
    <row r="1208" ht="15" customHeight="1">
      <c r="A1208" t="inlineStr">
        <is>
          <t>A 11907-2025</t>
        </is>
      </c>
      <c r="B1208" s="1" t="n">
        <v>45728</v>
      </c>
      <c r="C1208" s="1" t="n">
        <v>45991</v>
      </c>
      <c r="D1208" t="inlineStr">
        <is>
          <t>VÄSTERBOTTENS LÄN</t>
        </is>
      </c>
      <c r="E1208" t="inlineStr">
        <is>
          <t>SKELLEFTEÅ</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45394-2025</t>
        </is>
      </c>
      <c r="B1209" s="1" t="n">
        <v>45922.40804398148</v>
      </c>
      <c r="C1209" s="1" t="n">
        <v>45991</v>
      </c>
      <c r="D1209" t="inlineStr">
        <is>
          <t>VÄSTERBOTTENS LÄN</t>
        </is>
      </c>
      <c r="E1209" t="inlineStr">
        <is>
          <t>SKELLEFTEÅ</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35988-2025</t>
        </is>
      </c>
      <c r="B1210" s="1" t="n">
        <v>45863.46273148148</v>
      </c>
      <c r="C1210" s="1" t="n">
        <v>45991</v>
      </c>
      <c r="D1210" t="inlineStr">
        <is>
          <t>VÄSTERBOTTENS LÄN</t>
        </is>
      </c>
      <c r="E1210" t="inlineStr">
        <is>
          <t>SKELLEFTEÅ</t>
        </is>
      </c>
      <c r="F1210" t="inlineStr">
        <is>
          <t>Holmen skog AB</t>
        </is>
      </c>
      <c r="G1210" t="n">
        <v>17.8</v>
      </c>
      <c r="H1210" t="n">
        <v>0</v>
      </c>
      <c r="I1210" t="n">
        <v>0</v>
      </c>
      <c r="J1210" t="n">
        <v>0</v>
      </c>
      <c r="K1210" t="n">
        <v>0</v>
      </c>
      <c r="L1210" t="n">
        <v>0</v>
      </c>
      <c r="M1210" t="n">
        <v>0</v>
      </c>
      <c r="N1210" t="n">
        <v>0</v>
      </c>
      <c r="O1210" t="n">
        <v>0</v>
      </c>
      <c r="P1210" t="n">
        <v>0</v>
      </c>
      <c r="Q1210" t="n">
        <v>0</v>
      </c>
      <c r="R1210" s="2" t="inlineStr"/>
    </row>
    <row r="1211" ht="15" customHeight="1">
      <c r="A1211" t="inlineStr">
        <is>
          <t>A 5744-2023</t>
        </is>
      </c>
      <c r="B1211" s="1" t="n">
        <v>44962.86746527778</v>
      </c>
      <c r="C1211" s="1" t="n">
        <v>45991</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35923-2025</t>
        </is>
      </c>
      <c r="B1212" s="1" t="n">
        <v>45862.57084490741</v>
      </c>
      <c r="C1212" s="1" t="n">
        <v>45991</v>
      </c>
      <c r="D1212" t="inlineStr">
        <is>
          <t>VÄSTERBOTTENS LÄN</t>
        </is>
      </c>
      <c r="E1212" t="inlineStr">
        <is>
          <t>SKELLEFTEÅ</t>
        </is>
      </c>
      <c r="F1212" t="inlineStr">
        <is>
          <t>Holmen skog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35951-2025</t>
        </is>
      </c>
      <c r="B1213" s="1" t="n">
        <v>45863.30952546297</v>
      </c>
      <c r="C1213" s="1" t="n">
        <v>45991</v>
      </c>
      <c r="D1213" t="inlineStr">
        <is>
          <t>VÄSTERBOTTENS LÄN</t>
        </is>
      </c>
      <c r="E1213" t="inlineStr">
        <is>
          <t>SKELLEFTEÅ</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51874-2022</t>
        </is>
      </c>
      <c r="B1214" s="1" t="n">
        <v>44872.59645833333</v>
      </c>
      <c r="C1214" s="1" t="n">
        <v>45991</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35887-2025</t>
        </is>
      </c>
      <c r="B1215" s="1" t="n">
        <v>45862.43923611111</v>
      </c>
      <c r="C1215" s="1" t="n">
        <v>45991</v>
      </c>
      <c r="D1215" t="inlineStr">
        <is>
          <t>VÄSTERBOTTENS LÄN</t>
        </is>
      </c>
      <c r="E1215" t="inlineStr">
        <is>
          <t>SKELLEFTEÅ</t>
        </is>
      </c>
      <c r="F1215" t="inlineStr">
        <is>
          <t>Holmen skog AB</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45366-2025</t>
        </is>
      </c>
      <c r="B1216" s="1" t="n">
        <v>45922.38587962963</v>
      </c>
      <c r="C1216" s="1" t="n">
        <v>45991</v>
      </c>
      <c r="D1216" t="inlineStr">
        <is>
          <t>VÄSTERBOTTENS LÄN</t>
        </is>
      </c>
      <c r="E1216" t="inlineStr">
        <is>
          <t>SKELLEFTEÅ</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35925-2025</t>
        </is>
      </c>
      <c r="B1217" s="1" t="n">
        <v>45862.5902662037</v>
      </c>
      <c r="C1217" s="1" t="n">
        <v>45991</v>
      </c>
      <c r="D1217" t="inlineStr">
        <is>
          <t>VÄSTERBOTTENS LÄN</t>
        </is>
      </c>
      <c r="E1217" t="inlineStr">
        <is>
          <t>SKELLEFTEÅ</t>
        </is>
      </c>
      <c r="F1217" t="inlineStr">
        <is>
          <t>Holmen skog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55269-2024</t>
        </is>
      </c>
      <c r="B1218" s="1" t="n">
        <v>45621.61444444444</v>
      </c>
      <c r="C1218" s="1" t="n">
        <v>45991</v>
      </c>
      <c r="D1218" t="inlineStr">
        <is>
          <t>VÄSTERBOTTENS LÄN</t>
        </is>
      </c>
      <c r="E1218" t="inlineStr">
        <is>
          <t>SKELLEFTEÅ</t>
        </is>
      </c>
      <c r="F1218" t="inlineStr">
        <is>
          <t>Sveaskog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45555-2025</t>
        </is>
      </c>
      <c r="B1219" s="1" t="n">
        <v>45922.64210648148</v>
      </c>
      <c r="C1219" s="1" t="n">
        <v>45991</v>
      </c>
      <c r="D1219" t="inlineStr">
        <is>
          <t>VÄSTERBOTTENS LÄN</t>
        </is>
      </c>
      <c r="E1219" t="inlineStr">
        <is>
          <t>SKELLEFTEÅ</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1076-2023</t>
        </is>
      </c>
      <c r="B1220" s="1" t="n">
        <v>44929</v>
      </c>
      <c r="C1220" s="1" t="n">
        <v>45991</v>
      </c>
      <c r="D1220" t="inlineStr">
        <is>
          <t>VÄSTERBOTTENS LÄN</t>
        </is>
      </c>
      <c r="E1220" t="inlineStr">
        <is>
          <t>SKELLEFTEÅ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35914-2025</t>
        </is>
      </c>
      <c r="B1221" s="1" t="n">
        <v>45862.5441087963</v>
      </c>
      <c r="C1221" s="1" t="n">
        <v>45991</v>
      </c>
      <c r="D1221" t="inlineStr">
        <is>
          <t>VÄSTERBOTTENS LÄN</t>
        </is>
      </c>
      <c r="E1221" t="inlineStr">
        <is>
          <t>SKELLEFTEÅ</t>
        </is>
      </c>
      <c r="F1221" t="inlineStr">
        <is>
          <t>Holmen skog AB</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35954-2025</t>
        </is>
      </c>
      <c r="B1222" s="1" t="n">
        <v>45863.31778935185</v>
      </c>
      <c r="C1222" s="1" t="n">
        <v>45991</v>
      </c>
      <c r="D1222" t="inlineStr">
        <is>
          <t>VÄSTERBOTTENS LÄN</t>
        </is>
      </c>
      <c r="E1222" t="inlineStr">
        <is>
          <t>SKELLEFTEÅ</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45364-2025</t>
        </is>
      </c>
      <c r="B1223" s="1" t="n">
        <v>45922.38574074074</v>
      </c>
      <c r="C1223" s="1" t="n">
        <v>45991</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54552-2025</t>
        </is>
      </c>
      <c r="B1224" s="1" t="n">
        <v>45965.658125</v>
      </c>
      <c r="C1224" s="1" t="n">
        <v>45991</v>
      </c>
      <c r="D1224" t="inlineStr">
        <is>
          <t>VÄSTERBOTTENS LÄN</t>
        </is>
      </c>
      <c r="E1224" t="inlineStr">
        <is>
          <t>SKELLEFTEÅ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57714-2021</t>
        </is>
      </c>
      <c r="B1225" s="1" t="n">
        <v>44484.48947916667</v>
      </c>
      <c r="C1225" s="1" t="n">
        <v>45991</v>
      </c>
      <c r="D1225" t="inlineStr">
        <is>
          <t>VÄSTERBOTTENS LÄN</t>
        </is>
      </c>
      <c r="E1225" t="inlineStr">
        <is>
          <t>SKELLEFTEÅ</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45409-2025</t>
        </is>
      </c>
      <c r="B1226" s="1" t="n">
        <v>45922.43385416667</v>
      </c>
      <c r="C1226" s="1" t="n">
        <v>45991</v>
      </c>
      <c r="D1226" t="inlineStr">
        <is>
          <t>VÄSTERBOTTENS LÄN</t>
        </is>
      </c>
      <c r="E1226" t="inlineStr">
        <is>
          <t>SKELLEFTEÅ</t>
        </is>
      </c>
      <c r="F1226" t="inlineStr">
        <is>
          <t>Holmen skog AB</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54459-2025</t>
        </is>
      </c>
      <c r="B1227" s="1" t="n">
        <v>45965.55995370371</v>
      </c>
      <c r="C1227" s="1" t="n">
        <v>45991</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54288-2025</t>
        </is>
      </c>
      <c r="B1228" s="1" t="n">
        <v>45964.80960648148</v>
      </c>
      <c r="C1228" s="1" t="n">
        <v>45991</v>
      </c>
      <c r="D1228" t="inlineStr">
        <is>
          <t>VÄSTERBOTTENS LÄN</t>
        </is>
      </c>
      <c r="E1228" t="inlineStr">
        <is>
          <t>SKELLEFTEÅ</t>
        </is>
      </c>
      <c r="F1228" t="inlineStr">
        <is>
          <t>Sveaskog</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45392-2025</t>
        </is>
      </c>
      <c r="B1229" s="1" t="n">
        <v>45922.40791666666</v>
      </c>
      <c r="C1229" s="1" t="n">
        <v>45991</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45398-2025</t>
        </is>
      </c>
      <c r="B1230" s="1" t="n">
        <v>45922.42065972222</v>
      </c>
      <c r="C1230" s="1" t="n">
        <v>45991</v>
      </c>
      <c r="D1230" t="inlineStr">
        <is>
          <t>VÄSTERBOTTENS LÄN</t>
        </is>
      </c>
      <c r="E1230" t="inlineStr">
        <is>
          <t>SKELLEFTEÅ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45760-2025</t>
        </is>
      </c>
      <c r="B1231" s="1" t="n">
        <v>45923.51121527778</v>
      </c>
      <c r="C1231" s="1" t="n">
        <v>45991</v>
      </c>
      <c r="D1231" t="inlineStr">
        <is>
          <t>VÄSTERBOTTENS LÄN</t>
        </is>
      </c>
      <c r="E1231" t="inlineStr">
        <is>
          <t>SKELLEFTEÅ</t>
        </is>
      </c>
      <c r="F1231" t="inlineStr">
        <is>
          <t>Holmen skog AB</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45413-2025</t>
        </is>
      </c>
      <c r="B1232" s="1" t="n">
        <v>45922</v>
      </c>
      <c r="C1232" s="1" t="n">
        <v>45991</v>
      </c>
      <c r="D1232" t="inlineStr">
        <is>
          <t>VÄSTERBOTTENS LÄN</t>
        </is>
      </c>
      <c r="E1232" t="inlineStr">
        <is>
          <t>SKELLEFTEÅ</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7981-2025</t>
        </is>
      </c>
      <c r="B1233" s="1" t="n">
        <v>45707.46899305555</v>
      </c>
      <c r="C1233" s="1" t="n">
        <v>45991</v>
      </c>
      <c r="D1233" t="inlineStr">
        <is>
          <t>VÄSTERBOTTENS LÄN</t>
        </is>
      </c>
      <c r="E1233" t="inlineStr">
        <is>
          <t>SKELLEFTEÅ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8010-2025</t>
        </is>
      </c>
      <c r="B1234" s="1" t="n">
        <v>45707.55104166667</v>
      </c>
      <c r="C1234" s="1" t="n">
        <v>45991</v>
      </c>
      <c r="D1234" t="inlineStr">
        <is>
          <t>VÄSTERBOTTENS LÄN</t>
        </is>
      </c>
      <c r="E1234" t="inlineStr">
        <is>
          <t>SKELLEFTEÅ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45827-2025</t>
        </is>
      </c>
      <c r="B1235" s="1" t="n">
        <v>45923.60094907408</v>
      </c>
      <c r="C1235" s="1" t="n">
        <v>45991</v>
      </c>
      <c r="D1235" t="inlineStr">
        <is>
          <t>VÄSTERBOTTENS LÄN</t>
        </is>
      </c>
      <c r="E1235" t="inlineStr">
        <is>
          <t>SKELLEFTEÅ</t>
        </is>
      </c>
      <c r="F1235" t="inlineStr">
        <is>
          <t>Holmen skog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54557-2025</t>
        </is>
      </c>
      <c r="B1236" s="1" t="n">
        <v>45965.66099537037</v>
      </c>
      <c r="C1236" s="1" t="n">
        <v>45991</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54464-2025</t>
        </is>
      </c>
      <c r="B1237" s="1" t="n">
        <v>45965.56611111111</v>
      </c>
      <c r="C1237" s="1" t="n">
        <v>45991</v>
      </c>
      <c r="D1237" t="inlineStr">
        <is>
          <t>VÄSTERBOTTENS LÄN</t>
        </is>
      </c>
      <c r="E1237" t="inlineStr">
        <is>
          <t>SKELLEFTEÅ</t>
        </is>
      </c>
      <c r="F1237" t="inlineStr">
        <is>
          <t>Sveaskog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45991</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56960-2022</t>
        </is>
      </c>
      <c r="B1239" s="1" t="n">
        <v>44894</v>
      </c>
      <c r="C1239" s="1" t="n">
        <v>45991</v>
      </c>
      <c r="D1239" t="inlineStr">
        <is>
          <t>VÄSTERBOTTENS LÄN</t>
        </is>
      </c>
      <c r="E1239" t="inlineStr">
        <is>
          <t>SKELLEFTEÅ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45654-2025</t>
        </is>
      </c>
      <c r="B1240" s="1" t="n">
        <v>45923.33994212963</v>
      </c>
      <c r="C1240" s="1" t="n">
        <v>45991</v>
      </c>
      <c r="D1240" t="inlineStr">
        <is>
          <t>VÄSTERBOTTENS LÄN</t>
        </is>
      </c>
      <c r="E1240" t="inlineStr">
        <is>
          <t>SKELLEFTEÅ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45666-2025</t>
        </is>
      </c>
      <c r="B1241" s="1" t="n">
        <v>45923.34827546297</v>
      </c>
      <c r="C1241" s="1" t="n">
        <v>45991</v>
      </c>
      <c r="D1241" t="inlineStr">
        <is>
          <t>VÄSTERBOTTENS LÄN</t>
        </is>
      </c>
      <c r="E1241" t="inlineStr">
        <is>
          <t>SKELLEFTEÅ</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59648-2023</t>
        </is>
      </c>
      <c r="B1242" s="1" t="n">
        <v>45253</v>
      </c>
      <c r="C1242" s="1" t="n">
        <v>45991</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45598-2025</t>
        </is>
      </c>
      <c r="B1243" s="1" t="n">
        <v>45922.68771990741</v>
      </c>
      <c r="C1243" s="1" t="n">
        <v>45991</v>
      </c>
      <c r="D1243" t="inlineStr">
        <is>
          <t>VÄSTERBOTTENS LÄN</t>
        </is>
      </c>
      <c r="E1243" t="inlineStr">
        <is>
          <t>SKELLEFTEÅ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45644-2025</t>
        </is>
      </c>
      <c r="B1244" s="1" t="n">
        <v>45923.29819444445</v>
      </c>
      <c r="C1244" s="1" t="n">
        <v>45991</v>
      </c>
      <c r="D1244" t="inlineStr">
        <is>
          <t>VÄSTERBOTTENS LÄN</t>
        </is>
      </c>
      <c r="E1244" t="inlineStr">
        <is>
          <t>SKELLEFTEÅ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45651-2025</t>
        </is>
      </c>
      <c r="B1245" s="1" t="n">
        <v>45923.32945601852</v>
      </c>
      <c r="C1245" s="1" t="n">
        <v>45991</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36215-2025</t>
        </is>
      </c>
      <c r="B1246" s="1" t="n">
        <v>45867.49079861111</v>
      </c>
      <c r="C1246" s="1" t="n">
        <v>45991</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54449-2023</t>
        </is>
      </c>
      <c r="B1247" s="1" t="n">
        <v>45226</v>
      </c>
      <c r="C1247" s="1" t="n">
        <v>45991</v>
      </c>
      <c r="D1247" t="inlineStr">
        <is>
          <t>VÄSTERBOTTENS LÄN</t>
        </is>
      </c>
      <c r="E1247" t="inlineStr">
        <is>
          <t>SKELLEFTEÅ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45859-2025</t>
        </is>
      </c>
      <c r="B1248" s="1" t="n">
        <v>45923.6415162037</v>
      </c>
      <c r="C1248" s="1" t="n">
        <v>45991</v>
      </c>
      <c r="D1248" t="inlineStr">
        <is>
          <t>VÄSTERBOTTENS LÄN</t>
        </is>
      </c>
      <c r="E1248" t="inlineStr">
        <is>
          <t>SKELLEFTEÅ</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50821-2023</t>
        </is>
      </c>
      <c r="B1249" s="1" t="n">
        <v>45217.92206018518</v>
      </c>
      <c r="C1249" s="1" t="n">
        <v>45991</v>
      </c>
      <c r="D1249" t="inlineStr">
        <is>
          <t>VÄSTERBOTTENS LÄN</t>
        </is>
      </c>
      <c r="E1249" t="inlineStr">
        <is>
          <t>SKELLEFTEÅ</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54102-2025</t>
        </is>
      </c>
      <c r="B1250" s="1" t="n">
        <v>45964.42568287037</v>
      </c>
      <c r="C1250" s="1" t="n">
        <v>45991</v>
      </c>
      <c r="D1250" t="inlineStr">
        <is>
          <t>VÄSTERBOTTENS LÄN</t>
        </is>
      </c>
      <c r="E1250" t="inlineStr">
        <is>
          <t>SKELLEFTEÅ</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54108-2025</t>
        </is>
      </c>
      <c r="B1251" s="1" t="n">
        <v>45964.43061342592</v>
      </c>
      <c r="C1251" s="1" t="n">
        <v>45991</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58298-2022</t>
        </is>
      </c>
      <c r="B1252" s="1" t="n">
        <v>44901</v>
      </c>
      <c r="C1252" s="1" t="n">
        <v>45991</v>
      </c>
      <c r="D1252" t="inlineStr">
        <is>
          <t>VÄSTERBOTTENS LÄN</t>
        </is>
      </c>
      <c r="E1252" t="inlineStr">
        <is>
          <t>SKELLEFTEÅ</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45429-2025</t>
        </is>
      </c>
      <c r="B1253" s="1" t="n">
        <v>45922.45540509259</v>
      </c>
      <c r="C1253" s="1" t="n">
        <v>45991</v>
      </c>
      <c r="D1253" t="inlineStr">
        <is>
          <t>VÄSTERBOTTENS LÄN</t>
        </is>
      </c>
      <c r="E1253" t="inlineStr">
        <is>
          <t>SKELLEFTEÅ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28525-2021</t>
        </is>
      </c>
      <c r="B1254" s="1" t="n">
        <v>44356</v>
      </c>
      <c r="C1254" s="1" t="n">
        <v>45991</v>
      </c>
      <c r="D1254" t="inlineStr">
        <is>
          <t>VÄSTERBOTTENS LÄN</t>
        </is>
      </c>
      <c r="E1254" t="inlineStr">
        <is>
          <t>SKELLEFTEÅ</t>
        </is>
      </c>
      <c r="F1254" t="inlineStr">
        <is>
          <t>Kyrkan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16156-2025</t>
        </is>
      </c>
      <c r="B1255" s="1" t="n">
        <v>45750.49013888889</v>
      </c>
      <c r="C1255" s="1" t="n">
        <v>45991</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9841-2025</t>
        </is>
      </c>
      <c r="B1256" s="1" t="n">
        <v>45716.60512731481</v>
      </c>
      <c r="C1256" s="1" t="n">
        <v>45991</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31672-2023</t>
        </is>
      </c>
      <c r="B1257" s="1" t="n">
        <v>45117.65966435185</v>
      </c>
      <c r="C1257" s="1" t="n">
        <v>45991</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45885-2025</t>
        </is>
      </c>
      <c r="B1258" s="1" t="n">
        <v>45923.66508101852</v>
      </c>
      <c r="C1258" s="1" t="n">
        <v>45991</v>
      </c>
      <c r="D1258" t="inlineStr">
        <is>
          <t>VÄSTERBOTTENS LÄN</t>
        </is>
      </c>
      <c r="E1258" t="inlineStr">
        <is>
          <t>SKELLEFTEÅ</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45365-2025</t>
        </is>
      </c>
      <c r="B1259" s="1" t="n">
        <v>45922.38581018519</v>
      </c>
      <c r="C1259" s="1" t="n">
        <v>45991</v>
      </c>
      <c r="D1259" t="inlineStr">
        <is>
          <t>VÄSTERBOTTENS LÄN</t>
        </is>
      </c>
      <c r="E1259" t="inlineStr">
        <is>
          <t>SKELLEFTEÅ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45393-2025</t>
        </is>
      </c>
      <c r="B1260" s="1" t="n">
        <v>45922.40796296296</v>
      </c>
      <c r="C1260" s="1" t="n">
        <v>45991</v>
      </c>
      <c r="D1260" t="inlineStr">
        <is>
          <t>VÄSTERBOTTENS LÄN</t>
        </is>
      </c>
      <c r="E1260" t="inlineStr">
        <is>
          <t>SKELLEFTEÅ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54109-2025</t>
        </is>
      </c>
      <c r="B1261" s="1" t="n">
        <v>45964.43076388889</v>
      </c>
      <c r="C1261" s="1" t="n">
        <v>45991</v>
      </c>
      <c r="D1261" t="inlineStr">
        <is>
          <t>VÄSTERBOTTENS LÄN</t>
        </is>
      </c>
      <c r="E1261" t="inlineStr">
        <is>
          <t>SKELLEFTEÅ</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10825-2024</t>
        </is>
      </c>
      <c r="B1262" s="1" t="n">
        <v>45369</v>
      </c>
      <c r="C1262" s="1" t="n">
        <v>45991</v>
      </c>
      <c r="D1262" t="inlineStr">
        <is>
          <t>VÄSTERBOTTENS LÄN</t>
        </is>
      </c>
      <c r="E1262" t="inlineStr">
        <is>
          <t>SKELLEFTEÅ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11314-2025</t>
        </is>
      </c>
      <c r="B1263" s="1" t="n">
        <v>45726.45561342593</v>
      </c>
      <c r="C1263" s="1" t="n">
        <v>45991</v>
      </c>
      <c r="D1263" t="inlineStr">
        <is>
          <t>VÄSTERBOTTENS LÄN</t>
        </is>
      </c>
      <c r="E1263" t="inlineStr">
        <is>
          <t>SKELLEFTEÅ</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45485-2025</t>
        </is>
      </c>
      <c r="B1264" s="1" t="n">
        <v>45922.54546296296</v>
      </c>
      <c r="C1264" s="1" t="n">
        <v>45991</v>
      </c>
      <c r="D1264" t="inlineStr">
        <is>
          <t>VÄSTERBOTTENS LÄN</t>
        </is>
      </c>
      <c r="E1264" t="inlineStr">
        <is>
          <t>SKELLEFTEÅ</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45559-2025</t>
        </is>
      </c>
      <c r="B1265" s="1" t="n">
        <v>45922.64508101852</v>
      </c>
      <c r="C1265" s="1" t="n">
        <v>45991</v>
      </c>
      <c r="D1265" t="inlineStr">
        <is>
          <t>VÄSTERBOTTENS LÄN</t>
        </is>
      </c>
      <c r="E1265" t="inlineStr">
        <is>
          <t>SKELLEFTEÅ</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5996-2023</t>
        </is>
      </c>
      <c r="B1266" s="1" t="n">
        <v>44959</v>
      </c>
      <c r="C1266" s="1" t="n">
        <v>45991</v>
      </c>
      <c r="D1266" t="inlineStr">
        <is>
          <t>VÄSTERBOTTENS LÄN</t>
        </is>
      </c>
      <c r="E1266" t="inlineStr">
        <is>
          <t>SKELLEFTEÅ</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45732-2025</t>
        </is>
      </c>
      <c r="B1267" s="1" t="n">
        <v>45923.46354166666</v>
      </c>
      <c r="C1267" s="1" t="n">
        <v>45991</v>
      </c>
      <c r="D1267" t="inlineStr">
        <is>
          <t>VÄSTERBOTTENS LÄN</t>
        </is>
      </c>
      <c r="E1267" t="inlineStr">
        <is>
          <t>SKELLEFTEÅ</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45655-2025</t>
        </is>
      </c>
      <c r="B1268" s="1" t="n">
        <v>45923.34252314815</v>
      </c>
      <c r="C1268" s="1" t="n">
        <v>45991</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45658-2025</t>
        </is>
      </c>
      <c r="B1269" s="1" t="n">
        <v>45923.34459490741</v>
      </c>
      <c r="C1269" s="1" t="n">
        <v>45991</v>
      </c>
      <c r="D1269" t="inlineStr">
        <is>
          <t>VÄSTERBOTTENS LÄN</t>
        </is>
      </c>
      <c r="E1269" t="inlineStr">
        <is>
          <t>SKELLEFTEÅ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54287-2025</t>
        </is>
      </c>
      <c r="B1270" s="1" t="n">
        <v>45964.80555555555</v>
      </c>
      <c r="C1270" s="1" t="n">
        <v>45991</v>
      </c>
      <c r="D1270" t="inlineStr">
        <is>
          <t>VÄSTERBOTTENS LÄN</t>
        </is>
      </c>
      <c r="E1270" t="inlineStr">
        <is>
          <t>SKELLEFTEÅ</t>
        </is>
      </c>
      <c r="F1270" t="inlineStr">
        <is>
          <t>Sveaskog</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45779-2025</t>
        </is>
      </c>
      <c r="B1271" s="1" t="n">
        <v>45923</v>
      </c>
      <c r="C1271" s="1" t="n">
        <v>45991</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45787-2025</t>
        </is>
      </c>
      <c r="B1272" s="1" t="n">
        <v>45923.5621875</v>
      </c>
      <c r="C1272" s="1" t="n">
        <v>45991</v>
      </c>
      <c r="D1272" t="inlineStr">
        <is>
          <t>VÄSTERBOTTENS LÄN</t>
        </is>
      </c>
      <c r="E1272" t="inlineStr">
        <is>
          <t>SKELLEFTEÅ</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54036-2025</t>
        </is>
      </c>
      <c r="B1273" s="1" t="n">
        <v>45963.46949074074</v>
      </c>
      <c r="C1273" s="1" t="n">
        <v>45991</v>
      </c>
      <c r="D1273" t="inlineStr">
        <is>
          <t>VÄSTERBOTTENS LÄN</t>
        </is>
      </c>
      <c r="E1273" t="inlineStr">
        <is>
          <t>SKELLEFTEÅ</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47984-2022</t>
        </is>
      </c>
      <c r="B1274" s="1" t="n">
        <v>44853</v>
      </c>
      <c r="C1274" s="1" t="n">
        <v>45991</v>
      </c>
      <c r="D1274" t="inlineStr">
        <is>
          <t>VÄSTERBOTTENS LÄN</t>
        </is>
      </c>
      <c r="E1274" t="inlineStr">
        <is>
          <t>SKELLEFTEÅ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47988-2022</t>
        </is>
      </c>
      <c r="B1275" s="1" t="n">
        <v>44853</v>
      </c>
      <c r="C1275" s="1" t="n">
        <v>45991</v>
      </c>
      <c r="D1275" t="inlineStr">
        <is>
          <t>VÄSTERBOTTENS LÄN</t>
        </is>
      </c>
      <c r="E1275" t="inlineStr">
        <is>
          <t>SKELLEFTEÅ</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42789-2023</t>
        </is>
      </c>
      <c r="B1276" s="1" t="n">
        <v>45181</v>
      </c>
      <c r="C1276" s="1" t="n">
        <v>45991</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60502-2022</t>
        </is>
      </c>
      <c r="B1277" s="1" t="n">
        <v>44911.44655092592</v>
      </c>
      <c r="C1277" s="1" t="n">
        <v>45991</v>
      </c>
      <c r="D1277" t="inlineStr">
        <is>
          <t>VÄSTERBOTTENS LÄN</t>
        </is>
      </c>
      <c r="E1277" t="inlineStr">
        <is>
          <t>SKELLEFTEÅ</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18081-2022</t>
        </is>
      </c>
      <c r="B1278" s="1" t="n">
        <v>44684</v>
      </c>
      <c r="C1278" s="1" t="n">
        <v>45991</v>
      </c>
      <c r="D1278" t="inlineStr">
        <is>
          <t>VÄSTERBOTTENS LÄN</t>
        </is>
      </c>
      <c r="E1278" t="inlineStr">
        <is>
          <t>SKELLEFTEÅ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36761-2025</t>
        </is>
      </c>
      <c r="B1279" s="1" t="n">
        <v>45873.57328703703</v>
      </c>
      <c r="C1279" s="1" t="n">
        <v>45991</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55020-2025</t>
        </is>
      </c>
      <c r="B1280" s="1" t="n">
        <v>45967.62662037037</v>
      </c>
      <c r="C1280" s="1" t="n">
        <v>45991</v>
      </c>
      <c r="D1280" t="inlineStr">
        <is>
          <t>VÄSTERBOTTENS LÄN</t>
        </is>
      </c>
      <c r="E1280" t="inlineStr">
        <is>
          <t>SKELLEFTEÅ</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45964-2025</t>
        </is>
      </c>
      <c r="B1281" s="1" t="n">
        <v>45924.3553587963</v>
      </c>
      <c r="C1281" s="1" t="n">
        <v>45991</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58752-2023</t>
        </is>
      </c>
      <c r="B1282" s="1" t="n">
        <v>45251.92969907408</v>
      </c>
      <c r="C1282" s="1" t="n">
        <v>45991</v>
      </c>
      <c r="D1282" t="inlineStr">
        <is>
          <t>VÄSTERBOTTENS LÄN</t>
        </is>
      </c>
      <c r="E1282" t="inlineStr">
        <is>
          <t>SKELLEFTEÅ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58755-2023</t>
        </is>
      </c>
      <c r="B1283" s="1" t="n">
        <v>45251</v>
      </c>
      <c r="C1283" s="1" t="n">
        <v>45991</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36640-2025</t>
        </is>
      </c>
      <c r="B1284" s="1" t="n">
        <v>45871.05299768518</v>
      </c>
      <c r="C1284" s="1" t="n">
        <v>45991</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46480-2025</t>
        </is>
      </c>
      <c r="B1285" s="1" t="n">
        <v>45925.6988425926</v>
      </c>
      <c r="C1285" s="1" t="n">
        <v>45991</v>
      </c>
      <c r="D1285" t="inlineStr">
        <is>
          <t>VÄSTERBOTTENS LÄN</t>
        </is>
      </c>
      <c r="E1285" t="inlineStr">
        <is>
          <t>SKELLEFTEÅ</t>
        </is>
      </c>
      <c r="F1285" t="inlineStr">
        <is>
          <t>Sveaskog</t>
        </is>
      </c>
      <c r="G1285" t="n">
        <v>13.8</v>
      </c>
      <c r="H1285" t="n">
        <v>0</v>
      </c>
      <c r="I1285" t="n">
        <v>0</v>
      </c>
      <c r="J1285" t="n">
        <v>0</v>
      </c>
      <c r="K1285" t="n">
        <v>0</v>
      </c>
      <c r="L1285" t="n">
        <v>0</v>
      </c>
      <c r="M1285" t="n">
        <v>0</v>
      </c>
      <c r="N1285" t="n">
        <v>0</v>
      </c>
      <c r="O1285" t="n">
        <v>0</v>
      </c>
      <c r="P1285" t="n">
        <v>0</v>
      </c>
      <c r="Q1285" t="n">
        <v>0</v>
      </c>
      <c r="R1285" s="2" t="inlineStr"/>
    </row>
    <row r="1286" ht="15" customHeight="1">
      <c r="A1286" t="inlineStr">
        <is>
          <t>A 3674-2025</t>
        </is>
      </c>
      <c r="B1286" s="1" t="n">
        <v>45681.43738425926</v>
      </c>
      <c r="C1286" s="1" t="n">
        <v>45991</v>
      </c>
      <c r="D1286" t="inlineStr">
        <is>
          <t>VÄSTERBOTTENS LÄN</t>
        </is>
      </c>
      <c r="E1286" t="inlineStr">
        <is>
          <t>SKELLEFTEÅ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54985-2025</t>
        </is>
      </c>
      <c r="B1287" s="1" t="n">
        <v>45967.55665509259</v>
      </c>
      <c r="C1287" s="1" t="n">
        <v>45991</v>
      </c>
      <c r="D1287" t="inlineStr">
        <is>
          <t>VÄSTERBOTTENS LÄN</t>
        </is>
      </c>
      <c r="E1287" t="inlineStr">
        <is>
          <t>SKELLEFTEÅ</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39918-2022</t>
        </is>
      </c>
      <c r="B1288" s="1" t="n">
        <v>44819.8053125</v>
      </c>
      <c r="C1288" s="1" t="n">
        <v>45991</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34670-2023</t>
        </is>
      </c>
      <c r="B1289" s="1" t="n">
        <v>45140.83440972222</v>
      </c>
      <c r="C1289" s="1" t="n">
        <v>45991</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34672-2023</t>
        </is>
      </c>
      <c r="B1290" s="1" t="n">
        <v>45140.84226851852</v>
      </c>
      <c r="C1290" s="1" t="n">
        <v>45991</v>
      </c>
      <c r="D1290" t="inlineStr">
        <is>
          <t>VÄSTERBOTTENS LÄN</t>
        </is>
      </c>
      <c r="E1290" t="inlineStr">
        <is>
          <t>SKELLEFTEÅ</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46291-2025</t>
        </is>
      </c>
      <c r="B1291" s="1" t="n">
        <v>45925</v>
      </c>
      <c r="C1291" s="1" t="n">
        <v>45991</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36763-2025</t>
        </is>
      </c>
      <c r="B1292" s="1" t="n">
        <v>45873.5733912037</v>
      </c>
      <c r="C1292" s="1" t="n">
        <v>45991</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43474-2023</t>
        </is>
      </c>
      <c r="B1293" s="1" t="n">
        <v>45184.42844907408</v>
      </c>
      <c r="C1293" s="1" t="n">
        <v>45991</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56983-2024</t>
        </is>
      </c>
      <c r="B1294" s="1" t="n">
        <v>45628.69109953703</v>
      </c>
      <c r="C1294" s="1" t="n">
        <v>45991</v>
      </c>
      <c r="D1294" t="inlineStr">
        <is>
          <t>VÄSTERBOTTENS LÄN</t>
        </is>
      </c>
      <c r="E1294" t="inlineStr">
        <is>
          <t>SKELLEFTEÅ</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57003-2024</t>
        </is>
      </c>
      <c r="B1295" s="1" t="n">
        <v>45628.73037037037</v>
      </c>
      <c r="C1295" s="1" t="n">
        <v>45991</v>
      </c>
      <c r="D1295" t="inlineStr">
        <is>
          <t>VÄSTERBOTTENS LÄN</t>
        </is>
      </c>
      <c r="E1295" t="inlineStr">
        <is>
          <t>SKELLEFTEÅ</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59932-2024</t>
        </is>
      </c>
      <c r="B1296" s="1" t="n">
        <v>45642.31251157408</v>
      </c>
      <c r="C1296" s="1" t="n">
        <v>45991</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36888-2025</t>
        </is>
      </c>
      <c r="B1297" s="1" t="n">
        <v>45874.44873842593</v>
      </c>
      <c r="C1297" s="1" t="n">
        <v>45991</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54921-2025</t>
        </is>
      </c>
      <c r="B1298" s="1" t="n">
        <v>45967.39020833333</v>
      </c>
      <c r="C1298" s="1" t="n">
        <v>45991</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52245-2024</t>
        </is>
      </c>
      <c r="B1299" s="1" t="n">
        <v>45608.62322916667</v>
      </c>
      <c r="C1299" s="1" t="n">
        <v>45991</v>
      </c>
      <c r="D1299" t="inlineStr">
        <is>
          <t>VÄSTERBOTTENS LÄN</t>
        </is>
      </c>
      <c r="E1299" t="inlineStr">
        <is>
          <t>SKELLEFTEÅ</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36954-2025</t>
        </is>
      </c>
      <c r="B1300" s="1" t="n">
        <v>45874.61121527778</v>
      </c>
      <c r="C1300" s="1" t="n">
        <v>45991</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58830-2024</t>
        </is>
      </c>
      <c r="B1301" s="1" t="n">
        <v>45636</v>
      </c>
      <c r="C1301" s="1" t="n">
        <v>45991</v>
      </c>
      <c r="D1301" t="inlineStr">
        <is>
          <t>VÄSTERBOTTENS LÄN</t>
        </is>
      </c>
      <c r="E1301" t="inlineStr">
        <is>
          <t>SKELLEFTEÅ</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54915-2025</t>
        </is>
      </c>
      <c r="B1302" s="1" t="n">
        <v>45967.38572916666</v>
      </c>
      <c r="C1302" s="1" t="n">
        <v>45991</v>
      </c>
      <c r="D1302" t="inlineStr">
        <is>
          <t>VÄSTERBOTTENS LÄN</t>
        </is>
      </c>
      <c r="E1302" t="inlineStr">
        <is>
          <t>SKELLEFTEÅ</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26999-2022</t>
        </is>
      </c>
      <c r="B1303" s="1" t="n">
        <v>44740</v>
      </c>
      <c r="C1303" s="1" t="n">
        <v>45991</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46350-2025</t>
        </is>
      </c>
      <c r="B1304" s="1" t="n">
        <v>45925.48527777778</v>
      </c>
      <c r="C1304" s="1" t="n">
        <v>45991</v>
      </c>
      <c r="D1304" t="inlineStr">
        <is>
          <t>VÄSTERBOTTENS LÄN</t>
        </is>
      </c>
      <c r="E1304" t="inlineStr">
        <is>
          <t>SKELLEFTEÅ</t>
        </is>
      </c>
      <c r="F1304" t="inlineStr">
        <is>
          <t>Sveaskog</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46273-2025</t>
        </is>
      </c>
      <c r="B1305" s="1" t="n">
        <v>45925.3700925926</v>
      </c>
      <c r="C1305" s="1" t="n">
        <v>45991</v>
      </c>
      <c r="D1305" t="inlineStr">
        <is>
          <t>VÄSTERBOTTENS LÄN</t>
        </is>
      </c>
      <c r="E1305" t="inlineStr">
        <is>
          <t>SKELLEFTEÅ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46276-2025</t>
        </is>
      </c>
      <c r="B1306" s="1" t="n">
        <v>45925.37224537037</v>
      </c>
      <c r="C1306" s="1" t="n">
        <v>45991</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21152-2024</t>
        </is>
      </c>
      <c r="B1307" s="1" t="n">
        <v>45440</v>
      </c>
      <c r="C1307" s="1" t="n">
        <v>45991</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36903-2025</t>
        </is>
      </c>
      <c r="B1308" s="1" t="n">
        <v>45874.48923611111</v>
      </c>
      <c r="C1308" s="1" t="n">
        <v>45991</v>
      </c>
      <c r="D1308" t="inlineStr">
        <is>
          <t>VÄSTERBOTTENS LÄN</t>
        </is>
      </c>
      <c r="E1308" t="inlineStr">
        <is>
          <t>SKELLEFTEÅ</t>
        </is>
      </c>
      <c r="F1308" t="inlineStr">
        <is>
          <t>Sveaskog</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46278-2025</t>
        </is>
      </c>
      <c r="B1309" s="1" t="n">
        <v>45925.37530092592</v>
      </c>
      <c r="C1309" s="1" t="n">
        <v>45991</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36848-2025</t>
        </is>
      </c>
      <c r="B1310" s="1" t="n">
        <v>45874.38707175926</v>
      </c>
      <c r="C1310" s="1" t="n">
        <v>45991</v>
      </c>
      <c r="D1310" t="inlineStr">
        <is>
          <t>VÄSTERBOTTENS LÄN</t>
        </is>
      </c>
      <c r="E1310" t="inlineStr">
        <is>
          <t>SKELLEFTEÅ</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37192-2025</t>
        </is>
      </c>
      <c r="B1311" s="1" t="n">
        <v>45875.65143518519</v>
      </c>
      <c r="C1311" s="1" t="n">
        <v>45991</v>
      </c>
      <c r="D1311" t="inlineStr">
        <is>
          <t>VÄSTERBOTTENS LÄN</t>
        </is>
      </c>
      <c r="E1311" t="inlineStr">
        <is>
          <t>SKELLEFTEÅ</t>
        </is>
      </c>
      <c r="F1311" t="inlineStr">
        <is>
          <t>Sveaskog</t>
        </is>
      </c>
      <c r="G1311" t="n">
        <v>24.8</v>
      </c>
      <c r="H1311" t="n">
        <v>0</v>
      </c>
      <c r="I1311" t="n">
        <v>0</v>
      </c>
      <c r="J1311" t="n">
        <v>0</v>
      </c>
      <c r="K1311" t="n">
        <v>0</v>
      </c>
      <c r="L1311" t="n">
        <v>0</v>
      </c>
      <c r="M1311" t="n">
        <v>0</v>
      </c>
      <c r="N1311" t="n">
        <v>0</v>
      </c>
      <c r="O1311" t="n">
        <v>0</v>
      </c>
      <c r="P1311" t="n">
        <v>0</v>
      </c>
      <c r="Q1311" t="n">
        <v>0</v>
      </c>
      <c r="R1311" s="2" t="inlineStr"/>
    </row>
    <row r="1312" ht="15" customHeight="1">
      <c r="A1312" t="inlineStr">
        <is>
          <t>A 36762-2025</t>
        </is>
      </c>
      <c r="B1312" s="1" t="n">
        <v>45873.57332175926</v>
      </c>
      <c r="C1312" s="1" t="n">
        <v>45991</v>
      </c>
      <c r="D1312" t="inlineStr">
        <is>
          <t>VÄSTERBOTTENS LÄN</t>
        </is>
      </c>
      <c r="E1312" t="inlineStr">
        <is>
          <t>SKELLEFTEÅ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1667-2025</t>
        </is>
      </c>
      <c r="B1313" s="1" t="n">
        <v>45670</v>
      </c>
      <c r="C1313" s="1" t="n">
        <v>45991</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54690-2025</t>
        </is>
      </c>
      <c r="B1314" s="1" t="n">
        <v>45966.45320601852</v>
      </c>
      <c r="C1314" s="1" t="n">
        <v>45991</v>
      </c>
      <c r="D1314" t="inlineStr">
        <is>
          <t>VÄSTERBOTTENS LÄN</t>
        </is>
      </c>
      <c r="E1314" t="inlineStr">
        <is>
          <t>SKELLEFTEÅ</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36925-2025</t>
        </is>
      </c>
      <c r="B1315" s="1" t="n">
        <v>45874.5504050926</v>
      </c>
      <c r="C1315" s="1" t="n">
        <v>45991</v>
      </c>
      <c r="D1315" t="inlineStr">
        <is>
          <t>VÄSTERBOTTENS LÄN</t>
        </is>
      </c>
      <c r="E1315" t="inlineStr">
        <is>
          <t>SKELLEFTEÅ</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11078-2024</t>
        </is>
      </c>
      <c r="B1316" s="1" t="n">
        <v>45370</v>
      </c>
      <c r="C1316" s="1" t="n">
        <v>45991</v>
      </c>
      <c r="D1316" t="inlineStr">
        <is>
          <t>VÄSTERBOTTENS LÄN</t>
        </is>
      </c>
      <c r="E1316" t="inlineStr">
        <is>
          <t>SKELLEFTEÅ</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36962-2025</t>
        </is>
      </c>
      <c r="B1317" s="1" t="n">
        <v>45874.63052083334</v>
      </c>
      <c r="C1317" s="1" t="n">
        <v>45991</v>
      </c>
      <c r="D1317" t="inlineStr">
        <is>
          <t>VÄSTERBOTTENS LÄN</t>
        </is>
      </c>
      <c r="E1317" t="inlineStr">
        <is>
          <t>SKELLEFTEÅ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65206-2023</t>
        </is>
      </c>
      <c r="B1318" s="1" t="n">
        <v>45289.45186342593</v>
      </c>
      <c r="C1318" s="1" t="n">
        <v>45991</v>
      </c>
      <c r="D1318" t="inlineStr">
        <is>
          <t>VÄSTERBOTTENS LÄN</t>
        </is>
      </c>
      <c r="E1318" t="inlineStr">
        <is>
          <t>SKELLEFTEÅ</t>
        </is>
      </c>
      <c r="G1318" t="n">
        <v>19.2</v>
      </c>
      <c r="H1318" t="n">
        <v>0</v>
      </c>
      <c r="I1318" t="n">
        <v>0</v>
      </c>
      <c r="J1318" t="n">
        <v>0</v>
      </c>
      <c r="K1318" t="n">
        <v>0</v>
      </c>
      <c r="L1318" t="n">
        <v>0</v>
      </c>
      <c r="M1318" t="n">
        <v>0</v>
      </c>
      <c r="N1318" t="n">
        <v>0</v>
      </c>
      <c r="O1318" t="n">
        <v>0</v>
      </c>
      <c r="P1318" t="n">
        <v>0</v>
      </c>
      <c r="Q1318" t="n">
        <v>0</v>
      </c>
      <c r="R1318" s="2" t="inlineStr"/>
    </row>
    <row r="1319" ht="15" customHeight="1">
      <c r="A1319" t="inlineStr">
        <is>
          <t>A 900-2023</t>
        </is>
      </c>
      <c r="B1319" s="1" t="n">
        <v>44931.9255324074</v>
      </c>
      <c r="C1319" s="1" t="n">
        <v>45991</v>
      </c>
      <c r="D1319" t="inlineStr">
        <is>
          <t>VÄSTERBOTTENS LÄN</t>
        </is>
      </c>
      <c r="E1319" t="inlineStr">
        <is>
          <t>SKELLEFTEÅ</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37313-2025</t>
        </is>
      </c>
      <c r="B1320" s="1" t="n">
        <v>45876.60814814815</v>
      </c>
      <c r="C1320" s="1" t="n">
        <v>45991</v>
      </c>
      <c r="D1320" t="inlineStr">
        <is>
          <t>VÄSTERBOTTENS LÄN</t>
        </is>
      </c>
      <c r="E1320" t="inlineStr">
        <is>
          <t>SKELLEFTEÅ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53311-2023</t>
        </is>
      </c>
      <c r="B1321" s="1" t="n">
        <v>45229.59980324074</v>
      </c>
      <c r="C1321" s="1" t="n">
        <v>45991</v>
      </c>
      <c r="D1321" t="inlineStr">
        <is>
          <t>VÄSTERBOTTENS LÄN</t>
        </is>
      </c>
      <c r="E1321" t="inlineStr">
        <is>
          <t>SKELLEFTEÅ</t>
        </is>
      </c>
      <c r="F1321" t="inlineStr">
        <is>
          <t>Holmen skog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54967-2025</t>
        </is>
      </c>
      <c r="B1322" s="1" t="n">
        <v>45967.49174768518</v>
      </c>
      <c r="C1322" s="1" t="n">
        <v>45991</v>
      </c>
      <c r="D1322" t="inlineStr">
        <is>
          <t>VÄSTERBOTTENS LÄN</t>
        </is>
      </c>
      <c r="E1322" t="inlineStr">
        <is>
          <t>SKELLEFTEÅ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54969-2025</t>
        </is>
      </c>
      <c r="B1323" s="1" t="n">
        <v>45967.49447916666</v>
      </c>
      <c r="C1323" s="1" t="n">
        <v>45991</v>
      </c>
      <c r="D1323" t="inlineStr">
        <is>
          <t>VÄSTERBOTTENS LÄN</t>
        </is>
      </c>
      <c r="E1323" t="inlineStr">
        <is>
          <t>SKELLEFTEÅ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46282-2024</t>
        </is>
      </c>
      <c r="B1324" s="1" t="n">
        <v>45581.6378587963</v>
      </c>
      <c r="C1324" s="1" t="n">
        <v>45991</v>
      </c>
      <c r="D1324" t="inlineStr">
        <is>
          <t>VÄSTERBOTTENS LÄN</t>
        </is>
      </c>
      <c r="E1324" t="inlineStr">
        <is>
          <t>SKELLEFTEÅ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55051-2025</t>
        </is>
      </c>
      <c r="B1325" s="1" t="n">
        <v>45967.67128472222</v>
      </c>
      <c r="C1325" s="1" t="n">
        <v>45991</v>
      </c>
      <c r="D1325" t="inlineStr">
        <is>
          <t>VÄSTERBOTTENS LÄN</t>
        </is>
      </c>
      <c r="E1325" t="inlineStr">
        <is>
          <t>SKELLEFTEÅ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34242-2024</t>
        </is>
      </c>
      <c r="B1326" s="1" t="n">
        <v>45524.58086805556</v>
      </c>
      <c r="C1326" s="1" t="n">
        <v>45991</v>
      </c>
      <c r="D1326" t="inlineStr">
        <is>
          <t>VÄSTERBOTTENS LÄN</t>
        </is>
      </c>
      <c r="E1326" t="inlineStr">
        <is>
          <t>SKELLEFTEÅ</t>
        </is>
      </c>
      <c r="F1326" t="inlineStr">
        <is>
          <t>Sveaskog</t>
        </is>
      </c>
      <c r="G1326" t="n">
        <v>19.8</v>
      </c>
      <c r="H1326" t="n">
        <v>0</v>
      </c>
      <c r="I1326" t="n">
        <v>0</v>
      </c>
      <c r="J1326" t="n">
        <v>0</v>
      </c>
      <c r="K1326" t="n">
        <v>0</v>
      </c>
      <c r="L1326" t="n">
        <v>0</v>
      </c>
      <c r="M1326" t="n">
        <v>0</v>
      </c>
      <c r="N1326" t="n">
        <v>0</v>
      </c>
      <c r="O1326" t="n">
        <v>0</v>
      </c>
      <c r="P1326" t="n">
        <v>0</v>
      </c>
      <c r="Q1326" t="n">
        <v>0</v>
      </c>
      <c r="R1326" s="2" t="inlineStr"/>
    </row>
    <row r="1327" ht="15" customHeight="1">
      <c r="A1327" t="inlineStr">
        <is>
          <t>A 54658-2025</t>
        </is>
      </c>
      <c r="B1327" s="1" t="n">
        <v>45966.40230324074</v>
      </c>
      <c r="C1327" s="1" t="n">
        <v>45991</v>
      </c>
      <c r="D1327" t="inlineStr">
        <is>
          <t>VÄSTERBOTTENS LÄN</t>
        </is>
      </c>
      <c r="E1327" t="inlineStr">
        <is>
          <t>SKELLEFTEÅ</t>
        </is>
      </c>
      <c r="F1327" t="inlineStr">
        <is>
          <t>Holmen skog AB</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55030-2025</t>
        </is>
      </c>
      <c r="B1328" s="1" t="n">
        <v>45967.64042824074</v>
      </c>
      <c r="C1328" s="1" t="n">
        <v>45991</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37318-2025</t>
        </is>
      </c>
      <c r="B1329" s="1" t="n">
        <v>45876.61952546296</v>
      </c>
      <c r="C1329" s="1" t="n">
        <v>45991</v>
      </c>
      <c r="D1329" t="inlineStr">
        <is>
          <t>VÄSTERBOTTENS LÄN</t>
        </is>
      </c>
      <c r="E1329" t="inlineStr">
        <is>
          <t>SKELLEFTEÅ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54795-2025</t>
        </is>
      </c>
      <c r="B1330" s="1" t="n">
        <v>45966.63616898148</v>
      </c>
      <c r="C1330" s="1" t="n">
        <v>45991</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37429-2025</t>
        </is>
      </c>
      <c r="B1331" s="1" t="n">
        <v>45877.50601851852</v>
      </c>
      <c r="C1331" s="1" t="n">
        <v>45991</v>
      </c>
      <c r="D1331" t="inlineStr">
        <is>
          <t>VÄSTERBOTTENS LÄN</t>
        </is>
      </c>
      <c r="E1331" t="inlineStr">
        <is>
          <t>SKELLEFTEÅ</t>
        </is>
      </c>
      <c r="F1331" t="inlineStr">
        <is>
          <t>Holmen skog AB</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11454-2021</t>
        </is>
      </c>
      <c r="B1332" s="1" t="n">
        <v>44264</v>
      </c>
      <c r="C1332" s="1" t="n">
        <v>45991</v>
      </c>
      <c r="D1332" t="inlineStr">
        <is>
          <t>VÄSTERBOTTENS LÄN</t>
        </is>
      </c>
      <c r="E1332" t="inlineStr">
        <is>
          <t>SKELLEFTEÅ</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11499-2021</t>
        </is>
      </c>
      <c r="B1333" s="1" t="n">
        <v>44264.37333333334</v>
      </c>
      <c r="C1333" s="1" t="n">
        <v>45991</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55205-2025</t>
        </is>
      </c>
      <c r="B1334" s="1" t="n">
        <v>45968.57340277778</v>
      </c>
      <c r="C1334" s="1" t="n">
        <v>45991</v>
      </c>
      <c r="D1334" t="inlineStr">
        <is>
          <t>VÄSTERBOTTENS LÄN</t>
        </is>
      </c>
      <c r="E1334" t="inlineStr">
        <is>
          <t>SKELLEFTEÅ</t>
        </is>
      </c>
      <c r="F1334" t="inlineStr">
        <is>
          <t>Sveaskog</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55552-2025</t>
        </is>
      </c>
      <c r="B1335" s="1" t="n">
        <v>45971.64434027778</v>
      </c>
      <c r="C1335" s="1" t="n">
        <v>45991</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37322-2025</t>
        </is>
      </c>
      <c r="B1336" s="1" t="n">
        <v>45876.62466435185</v>
      </c>
      <c r="C1336" s="1" t="n">
        <v>45991</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55558-2025</t>
        </is>
      </c>
      <c r="B1337" s="1" t="n">
        <v>45971.64960648148</v>
      </c>
      <c r="C1337" s="1" t="n">
        <v>45991</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46822-2025</t>
        </is>
      </c>
      <c r="B1338" s="1" t="n">
        <v>45926.76329861111</v>
      </c>
      <c r="C1338" s="1" t="n">
        <v>45991</v>
      </c>
      <c r="D1338" t="inlineStr">
        <is>
          <t>VÄSTERBOTTENS LÄN</t>
        </is>
      </c>
      <c r="E1338" t="inlineStr">
        <is>
          <t>SKELLEFTEÅ</t>
        </is>
      </c>
      <c r="F1338" t="inlineStr">
        <is>
          <t>Sveaskog</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26920-2024</t>
        </is>
      </c>
      <c r="B1339" s="1" t="n">
        <v>45470.9305787037</v>
      </c>
      <c r="C1339" s="1" t="n">
        <v>45991</v>
      </c>
      <c r="D1339" t="inlineStr">
        <is>
          <t>VÄSTERBOTTENS LÄN</t>
        </is>
      </c>
      <c r="E1339" t="inlineStr">
        <is>
          <t>SKELLEFTEÅ</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21343-2025</t>
        </is>
      </c>
      <c r="B1340" s="1" t="n">
        <v>45782.39872685185</v>
      </c>
      <c r="C1340" s="1" t="n">
        <v>45991</v>
      </c>
      <c r="D1340" t="inlineStr">
        <is>
          <t>VÄSTERBOTTENS LÄN</t>
        </is>
      </c>
      <c r="E1340" t="inlineStr">
        <is>
          <t>SKELLEFTEÅ</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11624-2023</t>
        </is>
      </c>
      <c r="B1341" s="1" t="n">
        <v>44994.42565972222</v>
      </c>
      <c r="C1341" s="1" t="n">
        <v>45991</v>
      </c>
      <c r="D1341" t="inlineStr">
        <is>
          <t>VÄSTERBOTTENS LÄN</t>
        </is>
      </c>
      <c r="E1341" t="inlineStr">
        <is>
          <t>SKELLEFTEÅ</t>
        </is>
      </c>
      <c r="G1341" t="n">
        <v>47.6</v>
      </c>
      <c r="H1341" t="n">
        <v>0</v>
      </c>
      <c r="I1341" t="n">
        <v>0</v>
      </c>
      <c r="J1341" t="n">
        <v>0</v>
      </c>
      <c r="K1341" t="n">
        <v>0</v>
      </c>
      <c r="L1341" t="n">
        <v>0</v>
      </c>
      <c r="M1341" t="n">
        <v>0</v>
      </c>
      <c r="N1341" t="n">
        <v>0</v>
      </c>
      <c r="O1341" t="n">
        <v>0</v>
      </c>
      <c r="P1341" t="n">
        <v>0</v>
      </c>
      <c r="Q1341" t="n">
        <v>0</v>
      </c>
      <c r="R1341" s="2" t="inlineStr"/>
    </row>
    <row r="1342" ht="15" customHeight="1">
      <c r="A1342" t="inlineStr">
        <is>
          <t>A 17751-2024</t>
        </is>
      </c>
      <c r="B1342" s="1" t="n">
        <v>45418.59936342593</v>
      </c>
      <c r="C1342" s="1" t="n">
        <v>45991</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10287-2025</t>
        </is>
      </c>
      <c r="B1343" s="1" t="n">
        <v>45720</v>
      </c>
      <c r="C1343" s="1" t="n">
        <v>45991</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46904-2025</t>
        </is>
      </c>
      <c r="B1344" s="1" t="n">
        <v>45929</v>
      </c>
      <c r="C1344" s="1" t="n">
        <v>45991</v>
      </c>
      <c r="D1344" t="inlineStr">
        <is>
          <t>VÄSTERBOTTENS LÄN</t>
        </is>
      </c>
      <c r="E1344" t="inlineStr">
        <is>
          <t>SKELLEFTEÅ</t>
        </is>
      </c>
      <c r="F1344" t="inlineStr">
        <is>
          <t>Kyrkan</t>
        </is>
      </c>
      <c r="G1344" t="n">
        <v>21.8</v>
      </c>
      <c r="H1344" t="n">
        <v>0</v>
      </c>
      <c r="I1344" t="n">
        <v>0</v>
      </c>
      <c r="J1344" t="n">
        <v>0</v>
      </c>
      <c r="K1344" t="n">
        <v>0</v>
      </c>
      <c r="L1344" t="n">
        <v>0</v>
      </c>
      <c r="M1344" t="n">
        <v>0</v>
      </c>
      <c r="N1344" t="n">
        <v>0</v>
      </c>
      <c r="O1344" t="n">
        <v>0</v>
      </c>
      <c r="P1344" t="n">
        <v>0</v>
      </c>
      <c r="Q1344" t="n">
        <v>0</v>
      </c>
      <c r="R1344" s="2" t="inlineStr"/>
    </row>
    <row r="1345" ht="15" customHeight="1">
      <c r="A1345" t="inlineStr">
        <is>
          <t>A 16519-2024</t>
        </is>
      </c>
      <c r="B1345" s="1" t="n">
        <v>45408</v>
      </c>
      <c r="C1345" s="1" t="n">
        <v>45991</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23925-2024</t>
        </is>
      </c>
      <c r="B1346" s="1" t="n">
        <v>45455.93157407407</v>
      </c>
      <c r="C1346" s="1" t="n">
        <v>45991</v>
      </c>
      <c r="D1346" t="inlineStr">
        <is>
          <t>VÄSTERBOTTENS LÄN</t>
        </is>
      </c>
      <c r="E1346" t="inlineStr">
        <is>
          <t>SKELLEFTEÅ</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49573-2023</t>
        </is>
      </c>
      <c r="B1347" s="1" t="n">
        <v>45205</v>
      </c>
      <c r="C1347" s="1" t="n">
        <v>45991</v>
      </c>
      <c r="D1347" t="inlineStr">
        <is>
          <t>VÄSTERBOTTENS LÄN</t>
        </is>
      </c>
      <c r="E1347" t="inlineStr">
        <is>
          <t>SKELLEFTEÅ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37962-2025</t>
        </is>
      </c>
      <c r="B1348" s="1" t="n">
        <v>45881</v>
      </c>
      <c r="C1348" s="1" t="n">
        <v>45991</v>
      </c>
      <c r="D1348" t="inlineStr">
        <is>
          <t>VÄSTERBOTTENS LÄN</t>
        </is>
      </c>
      <c r="E1348" t="inlineStr">
        <is>
          <t>SKELLEFTEÅ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50081-2023</t>
        </is>
      </c>
      <c r="B1349" s="1" t="n">
        <v>45215.58771990741</v>
      </c>
      <c r="C1349" s="1" t="n">
        <v>45991</v>
      </c>
      <c r="D1349" t="inlineStr">
        <is>
          <t>VÄSTERBOTTENS LÄN</t>
        </is>
      </c>
      <c r="E1349" t="inlineStr">
        <is>
          <t>SKELLEFTEÅ</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37702-2025</t>
        </is>
      </c>
      <c r="B1350" s="1" t="n">
        <v>45880.58201388889</v>
      </c>
      <c r="C1350" s="1" t="n">
        <v>45991</v>
      </c>
      <c r="D1350" t="inlineStr">
        <is>
          <t>VÄSTERBOTTENS LÄN</t>
        </is>
      </c>
      <c r="E1350" t="inlineStr">
        <is>
          <t>SKELLEFTEÅ</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37711-2025</t>
        </is>
      </c>
      <c r="B1351" s="1" t="n">
        <v>45880.59618055556</v>
      </c>
      <c r="C1351" s="1" t="n">
        <v>45991</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30432-2025</t>
        </is>
      </c>
      <c r="B1352" s="1" t="n">
        <v>45827.6325462963</v>
      </c>
      <c r="C1352" s="1" t="n">
        <v>45991</v>
      </c>
      <c r="D1352" t="inlineStr">
        <is>
          <t>VÄSTERBOTTENS LÄN</t>
        </is>
      </c>
      <c r="E1352" t="inlineStr">
        <is>
          <t>SKELLEFTEÅ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62052-2024</t>
        </is>
      </c>
      <c r="B1353" s="1" t="n">
        <v>45656.3674537037</v>
      </c>
      <c r="C1353" s="1" t="n">
        <v>45991</v>
      </c>
      <c r="D1353" t="inlineStr">
        <is>
          <t>VÄSTERBOTTENS LÄN</t>
        </is>
      </c>
      <c r="E1353" t="inlineStr">
        <is>
          <t>SKELLEFTEÅ</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55392-2025</t>
        </is>
      </c>
      <c r="B1354" s="1" t="n">
        <v>45971.44846064815</v>
      </c>
      <c r="C1354" s="1" t="n">
        <v>45991</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1249-2025</t>
        </is>
      </c>
      <c r="B1355" s="1" t="n">
        <v>45667.4634375</v>
      </c>
      <c r="C1355" s="1" t="n">
        <v>45991</v>
      </c>
      <c r="D1355" t="inlineStr">
        <is>
          <t>VÄSTERBOTTENS LÄN</t>
        </is>
      </c>
      <c r="E1355" t="inlineStr">
        <is>
          <t>SKELLEFTEÅ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3193-2025</t>
        </is>
      </c>
      <c r="B1356" s="1" t="n">
        <v>45679.42042824074</v>
      </c>
      <c r="C1356" s="1" t="n">
        <v>45991</v>
      </c>
      <c r="D1356" t="inlineStr">
        <is>
          <t>VÄSTERBOTTENS LÄN</t>
        </is>
      </c>
      <c r="E1356" t="inlineStr">
        <is>
          <t>SKELLEFTEÅ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17874-2025</t>
        </is>
      </c>
      <c r="B1357" s="1" t="n">
        <v>45758.64266203704</v>
      </c>
      <c r="C1357" s="1" t="n">
        <v>45991</v>
      </c>
      <c r="D1357" t="inlineStr">
        <is>
          <t>VÄSTERBOTTENS LÄN</t>
        </is>
      </c>
      <c r="E1357" t="inlineStr">
        <is>
          <t>SKELLEFTEÅ</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37900-2025</t>
        </is>
      </c>
      <c r="B1358" s="1" t="n">
        <v>45881.56103009259</v>
      </c>
      <c r="C1358" s="1" t="n">
        <v>45991</v>
      </c>
      <c r="D1358" t="inlineStr">
        <is>
          <t>VÄSTERBOTTENS LÄN</t>
        </is>
      </c>
      <c r="E1358" t="inlineStr">
        <is>
          <t>SKELLEFTEÅ</t>
        </is>
      </c>
      <c r="F1358" t="inlineStr">
        <is>
          <t>Holmen skog AB</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47312-2023</t>
        </is>
      </c>
      <c r="B1359" s="1" t="n">
        <v>45202</v>
      </c>
      <c r="C1359" s="1" t="n">
        <v>45991</v>
      </c>
      <c r="D1359" t="inlineStr">
        <is>
          <t>VÄSTERBOTTENS LÄN</t>
        </is>
      </c>
      <c r="E1359" t="inlineStr">
        <is>
          <t>SKELLEFTEÅ</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19752-2025</t>
        </is>
      </c>
      <c r="B1360" s="1" t="n">
        <v>45771.38605324074</v>
      </c>
      <c r="C1360" s="1" t="n">
        <v>45991</v>
      </c>
      <c r="D1360" t="inlineStr">
        <is>
          <t>VÄSTERBOTTENS LÄN</t>
        </is>
      </c>
      <c r="E1360" t="inlineStr">
        <is>
          <t>SKELLEFTEÅ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39690-2024</t>
        </is>
      </c>
      <c r="B1361" s="1" t="n">
        <v>45552</v>
      </c>
      <c r="C1361" s="1" t="n">
        <v>45991</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39691-2024</t>
        </is>
      </c>
      <c r="B1362" s="1" t="n">
        <v>45552</v>
      </c>
      <c r="C1362" s="1" t="n">
        <v>45991</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37689-2025</t>
        </is>
      </c>
      <c r="B1363" s="1" t="n">
        <v>45880.56694444444</v>
      </c>
      <c r="C1363" s="1" t="n">
        <v>45991</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37692-2025</t>
        </is>
      </c>
      <c r="B1364" s="1" t="n">
        <v>45880.57291666666</v>
      </c>
      <c r="C1364" s="1" t="n">
        <v>45991</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24079-2025</t>
        </is>
      </c>
      <c r="B1365" s="1" t="n">
        <v>45796.5531712963</v>
      </c>
      <c r="C1365" s="1" t="n">
        <v>45991</v>
      </c>
      <c r="D1365" t="inlineStr">
        <is>
          <t>VÄSTERBOTTENS LÄN</t>
        </is>
      </c>
      <c r="E1365" t="inlineStr">
        <is>
          <t>SKELLEFTEÅ</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58993-2024</t>
        </is>
      </c>
      <c r="B1366" s="1" t="n">
        <v>45636.63711805556</v>
      </c>
      <c r="C1366" s="1" t="n">
        <v>45991</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37815-2025</t>
        </is>
      </c>
      <c r="B1367" s="1" t="n">
        <v>45881.38259259259</v>
      </c>
      <c r="C1367" s="1" t="n">
        <v>45991</v>
      </c>
      <c r="D1367" t="inlineStr">
        <is>
          <t>VÄSTERBOTTENS LÄN</t>
        </is>
      </c>
      <c r="E1367" t="inlineStr">
        <is>
          <t>SKELLEFTEÅ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13207-2025</t>
        </is>
      </c>
      <c r="B1368" s="1" t="n">
        <v>45735.43693287037</v>
      </c>
      <c r="C1368" s="1" t="n">
        <v>45991</v>
      </c>
      <c r="D1368" t="inlineStr">
        <is>
          <t>VÄSTERBOTTENS LÄN</t>
        </is>
      </c>
      <c r="E1368" t="inlineStr">
        <is>
          <t>SKELLEFTEÅ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4791-2022</t>
        </is>
      </c>
      <c r="B1369" s="1" t="n">
        <v>44592</v>
      </c>
      <c r="C1369" s="1" t="n">
        <v>45991</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33680-2021</t>
        </is>
      </c>
      <c r="B1370" s="1" t="n">
        <v>44378.41619212963</v>
      </c>
      <c r="C1370" s="1" t="n">
        <v>45991</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57186-2024</t>
        </is>
      </c>
      <c r="B1371" s="1" t="n">
        <v>45629.45423611111</v>
      </c>
      <c r="C1371" s="1" t="n">
        <v>45991</v>
      </c>
      <c r="D1371" t="inlineStr">
        <is>
          <t>VÄSTERBOTTENS LÄN</t>
        </is>
      </c>
      <c r="E1371" t="inlineStr">
        <is>
          <t>SKELLEFTEÅ</t>
        </is>
      </c>
      <c r="F1371" t="inlineStr">
        <is>
          <t>Holmen skog AB</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37964-2025</t>
        </is>
      </c>
      <c r="B1372" s="1" t="n">
        <v>45881</v>
      </c>
      <c r="C1372" s="1" t="n">
        <v>45991</v>
      </c>
      <c r="D1372" t="inlineStr">
        <is>
          <t>VÄSTERBOTTENS LÄN</t>
        </is>
      </c>
      <c r="E1372" t="inlineStr">
        <is>
          <t>SKELLEFTEÅ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57199-2024</t>
        </is>
      </c>
      <c r="B1373" s="1" t="n">
        <v>45628</v>
      </c>
      <c r="C1373" s="1" t="n">
        <v>45991</v>
      </c>
      <c r="D1373" t="inlineStr">
        <is>
          <t>VÄSTERBOTTENS LÄN</t>
        </is>
      </c>
      <c r="E1373" t="inlineStr">
        <is>
          <t>SKELLEFTEÅ</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38004-2025</t>
        </is>
      </c>
      <c r="B1374" s="1" t="n">
        <v>45881.92792824074</v>
      </c>
      <c r="C1374" s="1" t="n">
        <v>45991</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24430-2023</t>
        </is>
      </c>
      <c r="B1375" s="1" t="n">
        <v>45076</v>
      </c>
      <c r="C1375" s="1" t="n">
        <v>45991</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7884-2024</t>
        </is>
      </c>
      <c r="B1376" s="1" t="n">
        <v>45349</v>
      </c>
      <c r="C1376" s="1" t="n">
        <v>45991</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38216-2025</t>
        </is>
      </c>
      <c r="B1377" s="1" t="n">
        <v>45883.29847222222</v>
      </c>
      <c r="C1377" s="1" t="n">
        <v>45991</v>
      </c>
      <c r="D1377" t="inlineStr">
        <is>
          <t>VÄSTERBOTTENS LÄN</t>
        </is>
      </c>
      <c r="E1377" t="inlineStr">
        <is>
          <t>SKELLEFTEÅ</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42791-2024</t>
        </is>
      </c>
      <c r="B1378" s="1" t="n">
        <v>45566</v>
      </c>
      <c r="C1378" s="1" t="n">
        <v>45991</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55247-2025</t>
        </is>
      </c>
      <c r="B1379" s="1" t="n">
        <v>45968.62555555555</v>
      </c>
      <c r="C1379" s="1" t="n">
        <v>45991</v>
      </c>
      <c r="D1379" t="inlineStr">
        <is>
          <t>VÄSTERBOTTENS LÄN</t>
        </is>
      </c>
      <c r="E1379" t="inlineStr">
        <is>
          <t>SKELLEFTEÅ</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62056-2024</t>
        </is>
      </c>
      <c r="B1380" s="1" t="n">
        <v>45656.37664351852</v>
      </c>
      <c r="C1380" s="1" t="n">
        <v>45991</v>
      </c>
      <c r="D1380" t="inlineStr">
        <is>
          <t>VÄSTERBOTTENS LÄN</t>
        </is>
      </c>
      <c r="E1380" t="inlineStr">
        <is>
          <t>SKELLEFTEÅ</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38070-2025</t>
        </is>
      </c>
      <c r="B1381" s="1" t="n">
        <v>45882.43864583333</v>
      </c>
      <c r="C1381" s="1" t="n">
        <v>45991</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1419-2023</t>
        </is>
      </c>
      <c r="B1382" s="1" t="n">
        <v>44936</v>
      </c>
      <c r="C1382" s="1" t="n">
        <v>45991</v>
      </c>
      <c r="D1382" t="inlineStr">
        <is>
          <t>VÄSTERBOTTENS LÄN</t>
        </is>
      </c>
      <c r="E1382" t="inlineStr">
        <is>
          <t>SKELLEFTEÅ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55463-2025</t>
        </is>
      </c>
      <c r="B1383" s="1" t="n">
        <v>45971</v>
      </c>
      <c r="C1383" s="1" t="n">
        <v>45991</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55469-2025</t>
        </is>
      </c>
      <c r="B1384" s="1" t="n">
        <v>45971.53099537037</v>
      </c>
      <c r="C1384" s="1" t="n">
        <v>45991</v>
      </c>
      <c r="D1384" t="inlineStr">
        <is>
          <t>VÄSTERBOTTENS LÄN</t>
        </is>
      </c>
      <c r="E1384" t="inlineStr">
        <is>
          <t>SKELLEFTEÅ</t>
        </is>
      </c>
      <c r="F1384" t="inlineStr">
        <is>
          <t>Holmen skog AB</t>
        </is>
      </c>
      <c r="G1384" t="n">
        <v>17.5</v>
      </c>
      <c r="H1384" t="n">
        <v>0</v>
      </c>
      <c r="I1384" t="n">
        <v>0</v>
      </c>
      <c r="J1384" t="n">
        <v>0</v>
      </c>
      <c r="K1384" t="n">
        <v>0</v>
      </c>
      <c r="L1384" t="n">
        <v>0</v>
      </c>
      <c r="M1384" t="n">
        <v>0</v>
      </c>
      <c r="N1384" t="n">
        <v>0</v>
      </c>
      <c r="O1384" t="n">
        <v>0</v>
      </c>
      <c r="P1384" t="n">
        <v>0</v>
      </c>
      <c r="Q1384" t="n">
        <v>0</v>
      </c>
      <c r="R1384" s="2" t="inlineStr"/>
    </row>
    <row r="1385" ht="15" customHeight="1">
      <c r="A1385" t="inlineStr">
        <is>
          <t>A 55550-2025</t>
        </is>
      </c>
      <c r="B1385" s="1" t="n">
        <v>45971.63837962963</v>
      </c>
      <c r="C1385" s="1" t="n">
        <v>45991</v>
      </c>
      <c r="D1385" t="inlineStr">
        <is>
          <t>VÄSTERBOTTENS LÄN</t>
        </is>
      </c>
      <c r="E1385" t="inlineStr">
        <is>
          <t>SKELLEFTEÅ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55462-2025</t>
        </is>
      </c>
      <c r="B1386" s="1" t="n">
        <v>45971</v>
      </c>
      <c r="C1386" s="1" t="n">
        <v>45991</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55464-2025</t>
        </is>
      </c>
      <c r="B1387" s="1" t="n">
        <v>45971</v>
      </c>
      <c r="C1387" s="1" t="n">
        <v>45991</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37816-2025</t>
        </is>
      </c>
      <c r="B1388" s="1" t="n">
        <v>45881.38435185186</v>
      </c>
      <c r="C1388" s="1" t="n">
        <v>45991</v>
      </c>
      <c r="D1388" t="inlineStr">
        <is>
          <t>VÄSTERBOTTENS LÄN</t>
        </is>
      </c>
      <c r="E1388" t="inlineStr">
        <is>
          <t>SKELLEFTEÅ</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3947-2024</t>
        </is>
      </c>
      <c r="B1389" s="1" t="n">
        <v>45322</v>
      </c>
      <c r="C1389" s="1" t="n">
        <v>45991</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3370-2025</t>
        </is>
      </c>
      <c r="B1390" s="1" t="n">
        <v>45679</v>
      </c>
      <c r="C1390" s="1" t="n">
        <v>45991</v>
      </c>
      <c r="D1390" t="inlineStr">
        <is>
          <t>VÄSTERBOTTENS LÄN</t>
        </is>
      </c>
      <c r="E1390" t="inlineStr">
        <is>
          <t>SKELLEFTEÅ</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38214-2025</t>
        </is>
      </c>
      <c r="B1391" s="1" t="n">
        <v>45883.27512731482</v>
      </c>
      <c r="C1391" s="1" t="n">
        <v>45991</v>
      </c>
      <c r="D1391" t="inlineStr">
        <is>
          <t>VÄSTERBOTTENS LÄN</t>
        </is>
      </c>
      <c r="E1391" t="inlineStr">
        <is>
          <t>SKELLEFTEÅ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38458-2025</t>
        </is>
      </c>
      <c r="B1392" s="1" t="n">
        <v>45883.71289351852</v>
      </c>
      <c r="C1392" s="1" t="n">
        <v>45991</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46613-2025</t>
        </is>
      </c>
      <c r="B1393" s="1" t="n">
        <v>45926.42726851852</v>
      </c>
      <c r="C1393" s="1" t="n">
        <v>45991</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17010-2025</t>
        </is>
      </c>
      <c r="B1394" s="1" t="n">
        <v>45754</v>
      </c>
      <c r="C1394" s="1" t="n">
        <v>45991</v>
      </c>
      <c r="D1394" t="inlineStr">
        <is>
          <t>VÄSTERBOTTENS LÄN</t>
        </is>
      </c>
      <c r="E1394" t="inlineStr">
        <is>
          <t>SKELLEFTEÅ</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55088-2025</t>
        </is>
      </c>
      <c r="B1395" s="1" t="n">
        <v>45968.33479166667</v>
      </c>
      <c r="C1395" s="1" t="n">
        <v>45991</v>
      </c>
      <c r="D1395" t="inlineStr">
        <is>
          <t>VÄSTERBOTTENS LÄN</t>
        </is>
      </c>
      <c r="E1395" t="inlineStr">
        <is>
          <t>SKELLEFTEÅ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55393-2025</t>
        </is>
      </c>
      <c r="B1396" s="1" t="n">
        <v>45971.44847222222</v>
      </c>
      <c r="C1396" s="1" t="n">
        <v>45991</v>
      </c>
      <c r="D1396" t="inlineStr">
        <is>
          <t>VÄSTERBOTTENS LÄN</t>
        </is>
      </c>
      <c r="E1396" t="inlineStr">
        <is>
          <t>SKELLEFTEÅ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55394-2025</t>
        </is>
      </c>
      <c r="B1397" s="1" t="n">
        <v>45971.4484837963</v>
      </c>
      <c r="C1397" s="1" t="n">
        <v>45991</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51526-2023</t>
        </is>
      </c>
      <c r="B1398" s="1" t="n">
        <v>45222</v>
      </c>
      <c r="C1398" s="1" t="n">
        <v>45991</v>
      </c>
      <c r="D1398" t="inlineStr">
        <is>
          <t>VÄSTERBOTTENS LÄN</t>
        </is>
      </c>
      <c r="E1398" t="inlineStr">
        <is>
          <t>SKELLEFTEÅ</t>
        </is>
      </c>
      <c r="F1398" t="inlineStr">
        <is>
          <t>Holmen skog AB</t>
        </is>
      </c>
      <c r="G1398" t="n">
        <v>14.1</v>
      </c>
      <c r="H1398" t="n">
        <v>0</v>
      </c>
      <c r="I1398" t="n">
        <v>0</v>
      </c>
      <c r="J1398" t="n">
        <v>0</v>
      </c>
      <c r="K1398" t="n">
        <v>0</v>
      </c>
      <c r="L1398" t="n">
        <v>0</v>
      </c>
      <c r="M1398" t="n">
        <v>0</v>
      </c>
      <c r="N1398" t="n">
        <v>0</v>
      </c>
      <c r="O1398" t="n">
        <v>0</v>
      </c>
      <c r="P1398" t="n">
        <v>0</v>
      </c>
      <c r="Q1398" t="n">
        <v>0</v>
      </c>
      <c r="R1398" s="2" t="inlineStr"/>
    </row>
    <row r="1399" ht="15" customHeight="1">
      <c r="A1399" t="inlineStr">
        <is>
          <t>A 47138-2025</t>
        </is>
      </c>
      <c r="B1399" s="1" t="n">
        <v>45929.69899305556</v>
      </c>
      <c r="C1399" s="1" t="n">
        <v>45991</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52500-2022</t>
        </is>
      </c>
      <c r="B1400" s="1" t="n">
        <v>44869</v>
      </c>
      <c r="C1400" s="1" t="n">
        <v>45991</v>
      </c>
      <c r="D1400" t="inlineStr">
        <is>
          <t>VÄSTERBOTTENS LÄN</t>
        </is>
      </c>
      <c r="E1400" t="inlineStr">
        <is>
          <t>SKELLEFTEÅ</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46496-2025</t>
        </is>
      </c>
      <c r="B1401" s="1" t="n">
        <v>45925.83113425926</v>
      </c>
      <c r="C1401" s="1" t="n">
        <v>45991</v>
      </c>
      <c r="D1401" t="inlineStr">
        <is>
          <t>VÄSTERBOTTENS LÄN</t>
        </is>
      </c>
      <c r="E1401" t="inlineStr">
        <is>
          <t>SKELLEFTEÅ</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55231-2025</t>
        </is>
      </c>
      <c r="B1402" s="1" t="n">
        <v>45968.60631944444</v>
      </c>
      <c r="C1402" s="1" t="n">
        <v>45991</v>
      </c>
      <c r="D1402" t="inlineStr">
        <is>
          <t>VÄSTERBOTTENS LÄN</t>
        </is>
      </c>
      <c r="E1402" t="inlineStr">
        <is>
          <t>SKELLEFTEÅ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49811-2024</t>
        </is>
      </c>
      <c r="B1403" s="1" t="n">
        <v>45597.39033564815</v>
      </c>
      <c r="C1403" s="1" t="n">
        <v>45991</v>
      </c>
      <c r="D1403" t="inlineStr">
        <is>
          <t>VÄSTERBOTTENS LÄN</t>
        </is>
      </c>
      <c r="E1403" t="inlineStr">
        <is>
          <t>SKELLEFTEÅ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10892-2024</t>
        </is>
      </c>
      <c r="B1404" s="1" t="n">
        <v>45370.34435185185</v>
      </c>
      <c r="C1404" s="1" t="n">
        <v>45991</v>
      </c>
      <c r="D1404" t="inlineStr">
        <is>
          <t>VÄSTERBOTTENS LÄN</t>
        </is>
      </c>
      <c r="E1404" t="inlineStr">
        <is>
          <t>SKELLEFTEÅ</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62300-2023</t>
        </is>
      </c>
      <c r="B1405" s="1" t="n">
        <v>45266</v>
      </c>
      <c r="C1405" s="1" t="n">
        <v>45991</v>
      </c>
      <c r="D1405" t="inlineStr">
        <is>
          <t>VÄSTERBOTTENS LÄN</t>
        </is>
      </c>
      <c r="E1405" t="inlineStr">
        <is>
          <t>SKELLEFTEÅ</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55252-2025</t>
        </is>
      </c>
      <c r="B1406" s="1" t="n">
        <v>45968.63385416667</v>
      </c>
      <c r="C1406" s="1" t="n">
        <v>45991</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46627-2025</t>
        </is>
      </c>
      <c r="B1407" s="1" t="n">
        <v>45926.44899305556</v>
      </c>
      <c r="C1407" s="1" t="n">
        <v>45991</v>
      </c>
      <c r="D1407" t="inlineStr">
        <is>
          <t>VÄSTERBOTTENS LÄN</t>
        </is>
      </c>
      <c r="E1407" t="inlineStr">
        <is>
          <t>SKELLEFTEÅ</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25626-2023</t>
        </is>
      </c>
      <c r="B1408" s="1" t="n">
        <v>45084</v>
      </c>
      <c r="C1408" s="1" t="n">
        <v>45991</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11527-2024</t>
        </is>
      </c>
      <c r="B1409" s="1" t="n">
        <v>45372</v>
      </c>
      <c r="C1409" s="1" t="n">
        <v>45991</v>
      </c>
      <c r="D1409" t="inlineStr">
        <is>
          <t>VÄSTERBOTTENS LÄN</t>
        </is>
      </c>
      <c r="E1409" t="inlineStr">
        <is>
          <t>SKELLEFTEÅ</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55346-2025</t>
        </is>
      </c>
      <c r="B1410" s="1" t="n">
        <v>45971.35061342592</v>
      </c>
      <c r="C1410" s="1" t="n">
        <v>45991</v>
      </c>
      <c r="D1410" t="inlineStr">
        <is>
          <t>VÄSTERBOTTENS LÄN</t>
        </is>
      </c>
      <c r="E1410" t="inlineStr">
        <is>
          <t>SKELLEFTEÅ</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55349-2025</t>
        </is>
      </c>
      <c r="B1411" s="1" t="n">
        <v>45971.35710648148</v>
      </c>
      <c r="C1411" s="1" t="n">
        <v>45991</v>
      </c>
      <c r="D1411" t="inlineStr">
        <is>
          <t>VÄSTERBOTTENS LÄN</t>
        </is>
      </c>
      <c r="E1411" t="inlineStr">
        <is>
          <t>SKELLEFTEÅ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47674-2025</t>
        </is>
      </c>
      <c r="B1412" s="1" t="n">
        <v>45931</v>
      </c>
      <c r="C1412" s="1" t="n">
        <v>45991</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66061-2020</t>
        </is>
      </c>
      <c r="B1413" s="1" t="n">
        <v>44173</v>
      </c>
      <c r="C1413" s="1" t="n">
        <v>45991</v>
      </c>
      <c r="D1413" t="inlineStr">
        <is>
          <t>VÄSTERBOTTENS LÄN</t>
        </is>
      </c>
      <c r="E1413" t="inlineStr">
        <is>
          <t>SKELLEFTEÅ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38590-2025</t>
        </is>
      </c>
      <c r="B1414" s="1" t="n">
        <v>45884.47512731481</v>
      </c>
      <c r="C1414" s="1" t="n">
        <v>45991</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13641-2023</t>
        </is>
      </c>
      <c r="B1415" s="1" t="n">
        <v>45006</v>
      </c>
      <c r="C1415" s="1" t="n">
        <v>45991</v>
      </c>
      <c r="D1415" t="inlineStr">
        <is>
          <t>VÄSTERBOTTENS LÄN</t>
        </is>
      </c>
      <c r="E1415" t="inlineStr">
        <is>
          <t>SKELLEFTEÅ</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47243-2025</t>
        </is>
      </c>
      <c r="B1416" s="1" t="n">
        <v>45930</v>
      </c>
      <c r="C1416" s="1" t="n">
        <v>45991</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56079-2025</t>
        </is>
      </c>
      <c r="B1417" s="1" t="n">
        <v>45973.65923611111</v>
      </c>
      <c r="C1417" s="1" t="n">
        <v>45991</v>
      </c>
      <c r="D1417" t="inlineStr">
        <is>
          <t>VÄSTERBOTTENS LÄN</t>
        </is>
      </c>
      <c r="E1417" t="inlineStr">
        <is>
          <t>SKELLEFTEÅ</t>
        </is>
      </c>
      <c r="F1417" t="inlineStr">
        <is>
          <t>Holmen skog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25632-2023</t>
        </is>
      </c>
      <c r="B1418" s="1" t="n">
        <v>45084</v>
      </c>
      <c r="C1418" s="1" t="n">
        <v>45991</v>
      </c>
      <c r="D1418" t="inlineStr">
        <is>
          <t>VÄSTERBOTTENS LÄN</t>
        </is>
      </c>
      <c r="E1418" t="inlineStr">
        <is>
          <t>SKELLEFTEÅ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47309-2025</t>
        </is>
      </c>
      <c r="B1419" s="1" t="n">
        <v>45930.53519675926</v>
      </c>
      <c r="C1419" s="1" t="n">
        <v>45991</v>
      </c>
      <c r="D1419" t="inlineStr">
        <is>
          <t>VÄSTERBOTTENS LÄN</t>
        </is>
      </c>
      <c r="E1419" t="inlineStr">
        <is>
          <t>SKELLEFTEÅ</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55899-2025</t>
        </is>
      </c>
      <c r="B1420" s="1" t="n">
        <v>45973.3863425926</v>
      </c>
      <c r="C1420" s="1" t="n">
        <v>45991</v>
      </c>
      <c r="D1420" t="inlineStr">
        <is>
          <t>VÄSTERBOTTENS LÄN</t>
        </is>
      </c>
      <c r="E1420" t="inlineStr">
        <is>
          <t>SKELLEFTEÅ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58821-2023</t>
        </is>
      </c>
      <c r="B1421" s="1" t="n">
        <v>45247</v>
      </c>
      <c r="C1421" s="1" t="n">
        <v>45991</v>
      </c>
      <c r="D1421" t="inlineStr">
        <is>
          <t>VÄSTERBOTTENS LÄN</t>
        </is>
      </c>
      <c r="E1421" t="inlineStr">
        <is>
          <t>SKELLEFTEÅ</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55241-2024</t>
        </is>
      </c>
      <c r="B1422" s="1" t="n">
        <v>45621.5884375</v>
      </c>
      <c r="C1422" s="1" t="n">
        <v>45991</v>
      </c>
      <c r="D1422" t="inlineStr">
        <is>
          <t>VÄSTERBOTTENS LÄN</t>
        </is>
      </c>
      <c r="E1422" t="inlineStr">
        <is>
          <t>SKELLEFTEÅ</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55727-2025</t>
        </is>
      </c>
      <c r="B1423" s="1" t="n">
        <v>45972.53814814815</v>
      </c>
      <c r="C1423" s="1" t="n">
        <v>45991</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47246-2025</t>
        </is>
      </c>
      <c r="B1424" s="1" t="n">
        <v>45930.42961805555</v>
      </c>
      <c r="C1424" s="1" t="n">
        <v>45991</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9840-2025</t>
        </is>
      </c>
      <c r="B1425" s="1" t="n">
        <v>45716</v>
      </c>
      <c r="C1425" s="1" t="n">
        <v>45991</v>
      </c>
      <c r="D1425" t="inlineStr">
        <is>
          <t>VÄSTERBOTTENS LÄN</t>
        </is>
      </c>
      <c r="E1425" t="inlineStr">
        <is>
          <t>SKELLEFTEÅ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47667-2025</t>
        </is>
      </c>
      <c r="B1426" s="1" t="n">
        <v>45931</v>
      </c>
      <c r="C1426" s="1" t="n">
        <v>45991</v>
      </c>
      <c r="D1426" t="inlineStr">
        <is>
          <t>VÄSTERBOTTENS LÄN</t>
        </is>
      </c>
      <c r="E1426" t="inlineStr">
        <is>
          <t>SKELLEFTEÅ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31384-2024</t>
        </is>
      </c>
      <c r="B1427" s="1" t="n">
        <v>45505</v>
      </c>
      <c r="C1427" s="1" t="n">
        <v>45991</v>
      </c>
      <c r="D1427" t="inlineStr">
        <is>
          <t>VÄSTERBOTTENS LÄN</t>
        </is>
      </c>
      <c r="E1427" t="inlineStr">
        <is>
          <t>SKELLEFTEÅ</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58775-2024</t>
        </is>
      </c>
      <c r="B1428" s="1" t="n">
        <v>45635.80533564815</v>
      </c>
      <c r="C1428" s="1" t="n">
        <v>45991</v>
      </c>
      <c r="D1428" t="inlineStr">
        <is>
          <t>VÄSTERBOTTENS LÄN</t>
        </is>
      </c>
      <c r="E1428" t="inlineStr">
        <is>
          <t>SKELLEFTEÅ</t>
        </is>
      </c>
      <c r="F1428" t="inlineStr">
        <is>
          <t>Sveaskog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12939-2025</t>
        </is>
      </c>
      <c r="B1429" s="1" t="n">
        <v>45734.36378472222</v>
      </c>
      <c r="C1429" s="1" t="n">
        <v>45991</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40036-2025</t>
        </is>
      </c>
      <c r="B1430" s="1" t="n">
        <v>45894</v>
      </c>
      <c r="C1430" s="1" t="n">
        <v>45991</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1498-2024</t>
        </is>
      </c>
      <c r="B1431" s="1" t="n">
        <v>45306</v>
      </c>
      <c r="C1431" s="1" t="n">
        <v>45991</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55979-2025</t>
        </is>
      </c>
      <c r="B1432" s="1" t="n">
        <v>45973</v>
      </c>
      <c r="C1432" s="1" t="n">
        <v>45991</v>
      </c>
      <c r="D1432" t="inlineStr">
        <is>
          <t>VÄSTERBOTTENS LÄN</t>
        </is>
      </c>
      <c r="E1432" t="inlineStr">
        <is>
          <t>SKELLEFTEÅ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55946-2025</t>
        </is>
      </c>
      <c r="B1433" s="1" t="n">
        <v>45973.46240740741</v>
      </c>
      <c r="C1433" s="1" t="n">
        <v>45991</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36800-2024</t>
        </is>
      </c>
      <c r="B1434" s="1" t="n">
        <v>45538.45694444444</v>
      </c>
      <c r="C1434" s="1" t="n">
        <v>45991</v>
      </c>
      <c r="D1434" t="inlineStr">
        <is>
          <t>VÄSTERBOTTENS LÄN</t>
        </is>
      </c>
      <c r="E1434" t="inlineStr">
        <is>
          <t>SKELLEFTEÅ</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55864-2025</t>
        </is>
      </c>
      <c r="B1435" s="1" t="n">
        <v>45973.3483449074</v>
      </c>
      <c r="C1435" s="1" t="n">
        <v>45991</v>
      </c>
      <c r="D1435" t="inlineStr">
        <is>
          <t>VÄSTERBOTTENS LÄN</t>
        </is>
      </c>
      <c r="E1435" t="inlineStr">
        <is>
          <t>SKELLEFTEÅ</t>
        </is>
      </c>
      <c r="F1435" t="inlineStr">
        <is>
          <t>Kommuner</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55915-2025</t>
        </is>
      </c>
      <c r="B1436" s="1" t="n">
        <v>45973.40667824074</v>
      </c>
      <c r="C1436" s="1" t="n">
        <v>45991</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55916-2025</t>
        </is>
      </c>
      <c r="B1437" s="1" t="n">
        <v>45973.40679398148</v>
      </c>
      <c r="C1437" s="1" t="n">
        <v>45991</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38954-2025</t>
        </is>
      </c>
      <c r="B1438" s="1" t="n">
        <v>45887.66715277778</v>
      </c>
      <c r="C1438" s="1" t="n">
        <v>45991</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39089-2025</t>
        </is>
      </c>
      <c r="B1439" s="1" t="n">
        <v>45887</v>
      </c>
      <c r="C1439" s="1" t="n">
        <v>45991</v>
      </c>
      <c r="D1439" t="inlineStr">
        <is>
          <t>VÄSTERBOTTENS LÄN</t>
        </is>
      </c>
      <c r="E1439" t="inlineStr">
        <is>
          <t>SKELLEFTEÅ</t>
        </is>
      </c>
      <c r="G1439" t="n">
        <v>31.5</v>
      </c>
      <c r="H1439" t="n">
        <v>0</v>
      </c>
      <c r="I1439" t="n">
        <v>0</v>
      </c>
      <c r="J1439" t="n">
        <v>0</v>
      </c>
      <c r="K1439" t="n">
        <v>0</v>
      </c>
      <c r="L1439" t="n">
        <v>0</v>
      </c>
      <c r="M1439" t="n">
        <v>0</v>
      </c>
      <c r="N1439" t="n">
        <v>0</v>
      </c>
      <c r="O1439" t="n">
        <v>0</v>
      </c>
      <c r="P1439" t="n">
        <v>0</v>
      </c>
      <c r="Q1439" t="n">
        <v>0</v>
      </c>
      <c r="R1439" s="2" t="inlineStr"/>
    </row>
    <row r="1440" ht="15" customHeight="1">
      <c r="A1440" t="inlineStr">
        <is>
          <t>A 55717-2025</t>
        </is>
      </c>
      <c r="B1440" s="1" t="n">
        <v>45972.49903935185</v>
      </c>
      <c r="C1440" s="1" t="n">
        <v>45991</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54469-2023</t>
        </is>
      </c>
      <c r="B1441" s="1" t="n">
        <v>45226</v>
      </c>
      <c r="C1441" s="1" t="n">
        <v>45991</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38778-2025</t>
        </is>
      </c>
      <c r="B1442" s="1" t="n">
        <v>45887.43694444445</v>
      </c>
      <c r="C1442" s="1" t="n">
        <v>45991</v>
      </c>
      <c r="D1442" t="inlineStr">
        <is>
          <t>VÄSTERBOTTENS LÄN</t>
        </is>
      </c>
      <c r="E1442" t="inlineStr">
        <is>
          <t>SKELLEFTEÅ</t>
        </is>
      </c>
      <c r="G1442" t="n">
        <v>19.7</v>
      </c>
      <c r="H1442" t="n">
        <v>0</v>
      </c>
      <c r="I1442" t="n">
        <v>0</v>
      </c>
      <c r="J1442" t="n">
        <v>0</v>
      </c>
      <c r="K1442" t="n">
        <v>0</v>
      </c>
      <c r="L1442" t="n">
        <v>0</v>
      </c>
      <c r="M1442" t="n">
        <v>0</v>
      </c>
      <c r="N1442" t="n">
        <v>0</v>
      </c>
      <c r="O1442" t="n">
        <v>0</v>
      </c>
      <c r="P1442" t="n">
        <v>0</v>
      </c>
      <c r="Q1442" t="n">
        <v>0</v>
      </c>
      <c r="R1442" s="2" t="inlineStr"/>
    </row>
    <row r="1443" ht="15" customHeight="1">
      <c r="A1443" t="inlineStr">
        <is>
          <t>A 47447-2025</t>
        </is>
      </c>
      <c r="B1443" s="1" t="n">
        <v>45930.64424768519</v>
      </c>
      <c r="C1443" s="1" t="n">
        <v>45991</v>
      </c>
      <c r="D1443" t="inlineStr">
        <is>
          <t>VÄSTERBOTTENS LÄN</t>
        </is>
      </c>
      <c r="E1443" t="inlineStr">
        <is>
          <t>SKELLEFTEÅ</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55651-2025</t>
        </is>
      </c>
      <c r="B1444" s="1" t="n">
        <v>45972.37232638889</v>
      </c>
      <c r="C1444" s="1" t="n">
        <v>45991</v>
      </c>
      <c r="D1444" t="inlineStr">
        <is>
          <t>VÄSTERBOTTENS LÄN</t>
        </is>
      </c>
      <c r="E1444" t="inlineStr">
        <is>
          <t>SKELLEFTEÅ</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47238-2025</t>
        </is>
      </c>
      <c r="B1445" s="1" t="n">
        <v>45930.41980324074</v>
      </c>
      <c r="C1445" s="1" t="n">
        <v>45991</v>
      </c>
      <c r="D1445" t="inlineStr">
        <is>
          <t>VÄSTERBOTTENS LÄN</t>
        </is>
      </c>
      <c r="E1445" t="inlineStr">
        <is>
          <t>SKELLEFTEÅ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54889-2025</t>
        </is>
      </c>
      <c r="B1446" s="1" t="n">
        <v>45967</v>
      </c>
      <c r="C1446" s="1" t="n">
        <v>45991</v>
      </c>
      <c r="D1446" t="inlineStr">
        <is>
          <t>VÄSTERBOTTENS LÄN</t>
        </is>
      </c>
      <c r="E1446" t="inlineStr">
        <is>
          <t>SKELLEFTEÅ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41190-2024</t>
        </is>
      </c>
      <c r="B1447" s="1" t="n">
        <v>45559.50627314814</v>
      </c>
      <c r="C1447" s="1" t="n">
        <v>45991</v>
      </c>
      <c r="D1447" t="inlineStr">
        <is>
          <t>VÄSTERBOTTENS LÄN</t>
        </is>
      </c>
      <c r="E1447" t="inlineStr">
        <is>
          <t>SKELLEFTEÅ</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55841-2025</t>
        </is>
      </c>
      <c r="B1448" s="1" t="n">
        <v>45973.28767361111</v>
      </c>
      <c r="C1448" s="1" t="n">
        <v>45991</v>
      </c>
      <c r="D1448" t="inlineStr">
        <is>
          <t>VÄSTERBOTTENS LÄN</t>
        </is>
      </c>
      <c r="E1448" t="inlineStr">
        <is>
          <t>SKELLEFTEÅ</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55791-2025</t>
        </is>
      </c>
      <c r="B1449" s="1" t="n">
        <v>45972.64734953704</v>
      </c>
      <c r="C1449" s="1" t="n">
        <v>45991</v>
      </c>
      <c r="D1449" t="inlineStr">
        <is>
          <t>VÄSTERBOTTENS LÄN</t>
        </is>
      </c>
      <c r="E1449" t="inlineStr">
        <is>
          <t>SKELLEFTEÅ</t>
        </is>
      </c>
      <c r="F1449" t="inlineStr">
        <is>
          <t>Kommuner</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55839-2025</t>
        </is>
      </c>
      <c r="B1450" s="1" t="n">
        <v>45972.90993055556</v>
      </c>
      <c r="C1450" s="1" t="n">
        <v>45991</v>
      </c>
      <c r="D1450" t="inlineStr">
        <is>
          <t>VÄSTERBOTTENS LÄN</t>
        </is>
      </c>
      <c r="E1450" t="inlineStr">
        <is>
          <t>SKELLEFTEÅ</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38500-2025</t>
        </is>
      </c>
      <c r="B1451" s="1" t="n">
        <v>45884.37513888889</v>
      </c>
      <c r="C1451" s="1" t="n">
        <v>45991</v>
      </c>
      <c r="D1451" t="inlineStr">
        <is>
          <t>VÄSTERBOTTENS LÄN</t>
        </is>
      </c>
      <c r="E1451" t="inlineStr">
        <is>
          <t>SKELLEFTEÅ</t>
        </is>
      </c>
      <c r="F1451" t="inlineStr">
        <is>
          <t>Holmen skog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56104-2025</t>
        </is>
      </c>
      <c r="B1452" s="1" t="n">
        <v>45973.72788194445</v>
      </c>
      <c r="C1452" s="1" t="n">
        <v>45991</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54572-2025</t>
        </is>
      </c>
      <c r="B1453" s="1" t="n">
        <v>45965</v>
      </c>
      <c r="C1453" s="1" t="n">
        <v>45991</v>
      </c>
      <c r="D1453" t="inlineStr">
        <is>
          <t>VÄSTERBOTTENS LÄN</t>
        </is>
      </c>
      <c r="E1453" t="inlineStr">
        <is>
          <t>SKELLEFTEÅ</t>
        </is>
      </c>
      <c r="F1453" t="inlineStr">
        <is>
          <t>Kyrkan</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42946-2022</t>
        </is>
      </c>
      <c r="B1454" s="1" t="n">
        <v>44833.38583333333</v>
      </c>
      <c r="C1454" s="1" t="n">
        <v>45991</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55731-2025</t>
        </is>
      </c>
      <c r="B1455" s="1" t="n">
        <v>45972.54170138889</v>
      </c>
      <c r="C1455" s="1" t="n">
        <v>45991</v>
      </c>
      <c r="D1455" t="inlineStr">
        <is>
          <t>VÄSTERBOTTENS LÄN</t>
        </is>
      </c>
      <c r="E1455" t="inlineStr">
        <is>
          <t>SKELLEFTEÅ</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42621-2025</t>
        </is>
      </c>
      <c r="B1456" s="1" t="n">
        <v>45905</v>
      </c>
      <c r="C1456" s="1" t="n">
        <v>45991</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11528-2024</t>
        </is>
      </c>
      <c r="B1457" s="1" t="n">
        <v>45372</v>
      </c>
      <c r="C1457" s="1" t="n">
        <v>45991</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5639-2024</t>
        </is>
      </c>
      <c r="B1458" s="1" t="n">
        <v>45334.61408564815</v>
      </c>
      <c r="C1458" s="1" t="n">
        <v>45991</v>
      </c>
      <c r="D1458" t="inlineStr">
        <is>
          <t>VÄSTERBOTTENS LÄN</t>
        </is>
      </c>
      <c r="E1458" t="inlineStr">
        <is>
          <t>SKELLEFTEÅ</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38690-2025</t>
        </is>
      </c>
      <c r="B1459" s="1" t="n">
        <v>45884.67143518518</v>
      </c>
      <c r="C1459" s="1" t="n">
        <v>45991</v>
      </c>
      <c r="D1459" t="inlineStr">
        <is>
          <t>VÄSTERBOTTENS LÄN</t>
        </is>
      </c>
      <c r="E1459" t="inlineStr">
        <is>
          <t>SKELLEFTEÅ</t>
        </is>
      </c>
      <c r="F1459" t="inlineStr">
        <is>
          <t>Holmen skog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62227-2021</t>
        </is>
      </c>
      <c r="B1460" s="1" t="n">
        <v>44501</v>
      </c>
      <c r="C1460" s="1" t="n">
        <v>45991</v>
      </c>
      <c r="D1460" t="inlineStr">
        <is>
          <t>VÄSTERBOTTENS LÄN</t>
        </is>
      </c>
      <c r="E1460" t="inlineStr">
        <is>
          <t>SKELLEFTEÅ</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31392-2024</t>
        </is>
      </c>
      <c r="B1461" s="1" t="n">
        <v>45505.4709375</v>
      </c>
      <c r="C1461" s="1" t="n">
        <v>45991</v>
      </c>
      <c r="D1461" t="inlineStr">
        <is>
          <t>VÄSTERBOTTENS LÄN</t>
        </is>
      </c>
      <c r="E1461" t="inlineStr">
        <is>
          <t>SKELLEFTEÅ</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47739-2025</t>
        </is>
      </c>
      <c r="B1462" s="1" t="n">
        <v>45931.6430787037</v>
      </c>
      <c r="C1462" s="1" t="n">
        <v>45991</v>
      </c>
      <c r="D1462" t="inlineStr">
        <is>
          <t>VÄSTERBOTTENS LÄN</t>
        </is>
      </c>
      <c r="E1462" t="inlineStr">
        <is>
          <t>SKELLEFTEÅ</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54971-2024</t>
        </is>
      </c>
      <c r="B1463" s="1" t="n">
        <v>45620</v>
      </c>
      <c r="C1463" s="1" t="n">
        <v>45991</v>
      </c>
      <c r="D1463" t="inlineStr">
        <is>
          <t>VÄSTERBOTTENS LÄN</t>
        </is>
      </c>
      <c r="E1463" t="inlineStr">
        <is>
          <t>SKELLEFTEÅ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3844-2025</t>
        </is>
      </c>
      <c r="B1464" s="1" t="n">
        <v>45683.67905092592</v>
      </c>
      <c r="C1464" s="1" t="n">
        <v>45991</v>
      </c>
      <c r="D1464" t="inlineStr">
        <is>
          <t>VÄSTERBOTTENS LÄN</t>
        </is>
      </c>
      <c r="E1464" t="inlineStr">
        <is>
          <t>SKELLEFTEÅ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47827-2025</t>
        </is>
      </c>
      <c r="B1465" s="1" t="n">
        <v>45932.34491898148</v>
      </c>
      <c r="C1465" s="1" t="n">
        <v>45991</v>
      </c>
      <c r="D1465" t="inlineStr">
        <is>
          <t>VÄSTERBOTTENS LÄN</t>
        </is>
      </c>
      <c r="E1465" t="inlineStr">
        <is>
          <t>SKELLEFTEÅ</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3892-2025</t>
        </is>
      </c>
      <c r="B1466" s="1" t="n">
        <v>45684.37506944445</v>
      </c>
      <c r="C1466" s="1" t="n">
        <v>45991</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38586-2025</t>
        </is>
      </c>
      <c r="B1467" s="1" t="n">
        <v>45884.47202546296</v>
      </c>
      <c r="C1467" s="1" t="n">
        <v>45991</v>
      </c>
      <c r="D1467" t="inlineStr">
        <is>
          <t>VÄSTERBOTTENS LÄN</t>
        </is>
      </c>
      <c r="E1467" t="inlineStr">
        <is>
          <t>SKELLEFTEÅ</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42367-2021</t>
        </is>
      </c>
      <c r="B1468" s="1" t="n">
        <v>44427</v>
      </c>
      <c r="C1468" s="1" t="n">
        <v>45991</v>
      </c>
      <c r="D1468" t="inlineStr">
        <is>
          <t>VÄSTERBOTTENS LÄN</t>
        </is>
      </c>
      <c r="E1468" t="inlineStr">
        <is>
          <t>SKELLEFTEÅ</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48207-2025</t>
        </is>
      </c>
      <c r="B1469" s="1" t="n">
        <v>45933.48862268519</v>
      </c>
      <c r="C1469" s="1" t="n">
        <v>45991</v>
      </c>
      <c r="D1469" t="inlineStr">
        <is>
          <t>VÄSTERBOTTENS LÄN</t>
        </is>
      </c>
      <c r="E1469" t="inlineStr">
        <is>
          <t>SKELLEFTEÅ</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56284-2025</t>
        </is>
      </c>
      <c r="B1470" s="1" t="n">
        <v>45974.59427083333</v>
      </c>
      <c r="C1470" s="1" t="n">
        <v>45991</v>
      </c>
      <c r="D1470" t="inlineStr">
        <is>
          <t>VÄSTERBOTTENS LÄN</t>
        </is>
      </c>
      <c r="E1470" t="inlineStr">
        <is>
          <t>SKELLEFTEÅ</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44398-2022</t>
        </is>
      </c>
      <c r="B1471" s="1" t="n">
        <v>44839</v>
      </c>
      <c r="C1471" s="1" t="n">
        <v>45991</v>
      </c>
      <c r="D1471" t="inlineStr">
        <is>
          <t>VÄSTERBOTTENS LÄN</t>
        </is>
      </c>
      <c r="E1471" t="inlineStr">
        <is>
          <t>SKELLEFTEÅ</t>
        </is>
      </c>
      <c r="F1471" t="inlineStr">
        <is>
          <t>Sveaskog</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48021-2025</t>
        </is>
      </c>
      <c r="B1472" s="1" t="n">
        <v>45932.64856481482</v>
      </c>
      <c r="C1472" s="1" t="n">
        <v>45991</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48003-2025</t>
        </is>
      </c>
      <c r="B1473" s="1" t="n">
        <v>45932.63306712963</v>
      </c>
      <c r="C1473" s="1" t="n">
        <v>45991</v>
      </c>
      <c r="D1473" t="inlineStr">
        <is>
          <t>VÄSTERBOTTENS LÄN</t>
        </is>
      </c>
      <c r="E1473" t="inlineStr">
        <is>
          <t>SKELLEFTEÅ</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38539-2025</t>
        </is>
      </c>
      <c r="B1474" s="1" t="n">
        <v>45884.42550925926</v>
      </c>
      <c r="C1474" s="1" t="n">
        <v>45991</v>
      </c>
      <c r="D1474" t="inlineStr">
        <is>
          <t>VÄSTERBOTTENS LÄN</t>
        </is>
      </c>
      <c r="E1474" t="inlineStr">
        <is>
          <t>SKELLEFTEÅ</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56446-2025</t>
        </is>
      </c>
      <c r="B1475" s="1" t="n">
        <v>45975.34840277778</v>
      </c>
      <c r="C1475" s="1" t="n">
        <v>45991</v>
      </c>
      <c r="D1475" t="inlineStr">
        <is>
          <t>VÄSTERBOTTENS LÄN</t>
        </is>
      </c>
      <c r="E1475" t="inlineStr">
        <is>
          <t>SKELLEFTEÅ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56447-2025</t>
        </is>
      </c>
      <c r="B1476" s="1" t="n">
        <v>45975.34850694444</v>
      </c>
      <c r="C1476" s="1" t="n">
        <v>45991</v>
      </c>
      <c r="D1476" t="inlineStr">
        <is>
          <t>VÄSTERBOTTENS LÄN</t>
        </is>
      </c>
      <c r="E1476" t="inlineStr">
        <is>
          <t>SKELLEFTEÅ</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61559-2024</t>
        </is>
      </c>
      <c r="B1477" s="1" t="n">
        <v>45646.61180555556</v>
      </c>
      <c r="C1477" s="1" t="n">
        <v>45991</v>
      </c>
      <c r="D1477" t="inlineStr">
        <is>
          <t>VÄSTERBOTTENS LÄN</t>
        </is>
      </c>
      <c r="E1477" t="inlineStr">
        <is>
          <t>SKELLEFTEÅ</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7028-2025</t>
        </is>
      </c>
      <c r="B1478" s="1" t="n">
        <v>45701.63065972222</v>
      </c>
      <c r="C1478" s="1" t="n">
        <v>45991</v>
      </c>
      <c r="D1478" t="inlineStr">
        <is>
          <t>VÄSTERBOTTENS LÄN</t>
        </is>
      </c>
      <c r="E1478" t="inlineStr">
        <is>
          <t>SKELLEFTEÅ</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9425-2024</t>
        </is>
      </c>
      <c r="B1479" s="1" t="n">
        <v>45359</v>
      </c>
      <c r="C1479" s="1" t="n">
        <v>45991</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19658-2025</t>
        </is>
      </c>
      <c r="B1480" s="1" t="n">
        <v>45770</v>
      </c>
      <c r="C1480" s="1" t="n">
        <v>45991</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54825-2022</t>
        </is>
      </c>
      <c r="B1481" s="1" t="n">
        <v>44883</v>
      </c>
      <c r="C1481" s="1" t="n">
        <v>45991</v>
      </c>
      <c r="D1481" t="inlineStr">
        <is>
          <t>VÄSTERBOTTENS LÄN</t>
        </is>
      </c>
      <c r="E1481" t="inlineStr">
        <is>
          <t>SKELLEFTEÅ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61631-2022</t>
        </is>
      </c>
      <c r="B1482" s="1" t="n">
        <v>44916.69783564815</v>
      </c>
      <c r="C1482" s="1" t="n">
        <v>45991</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61635-2022</t>
        </is>
      </c>
      <c r="B1483" s="1" t="n">
        <v>44916.71002314815</v>
      </c>
      <c r="C1483" s="1" t="n">
        <v>45991</v>
      </c>
      <c r="D1483" t="inlineStr">
        <is>
          <t>VÄSTERBOTTENS LÄN</t>
        </is>
      </c>
      <c r="E1483" t="inlineStr">
        <is>
          <t>SKELLEFTEÅ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11685-2022</t>
        </is>
      </c>
      <c r="B1484" s="1" t="n">
        <v>44634.31503472223</v>
      </c>
      <c r="C1484" s="1" t="n">
        <v>45991</v>
      </c>
      <c r="D1484" t="inlineStr">
        <is>
          <t>VÄSTERBOTTENS LÄN</t>
        </is>
      </c>
      <c r="E1484" t="inlineStr">
        <is>
          <t>SKELLEFTEÅ</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34455-2023</t>
        </is>
      </c>
      <c r="B1485" s="1" t="n">
        <v>45139.68733796296</v>
      </c>
      <c r="C1485" s="1" t="n">
        <v>45991</v>
      </c>
      <c r="D1485" t="inlineStr">
        <is>
          <t>VÄSTERBOTTENS LÄN</t>
        </is>
      </c>
      <c r="E1485" t="inlineStr">
        <is>
          <t>SKELLEFTEÅ</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66500-2021</t>
        </is>
      </c>
      <c r="B1486" s="1" t="n">
        <v>44519.3160300926</v>
      </c>
      <c r="C1486" s="1" t="n">
        <v>45991</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11790-2022</t>
        </is>
      </c>
      <c r="B1487" s="1" t="n">
        <v>44634</v>
      </c>
      <c r="C1487" s="1" t="n">
        <v>45991</v>
      </c>
      <c r="D1487" t="inlineStr">
        <is>
          <t>VÄSTERBOTTENS LÄN</t>
        </is>
      </c>
      <c r="E1487" t="inlineStr">
        <is>
          <t>SKELLEFTEÅ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45991</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47864-2025</t>
        </is>
      </c>
      <c r="B1489" s="1" t="n">
        <v>45932</v>
      </c>
      <c r="C1489" s="1" t="n">
        <v>45991</v>
      </c>
      <c r="D1489" t="inlineStr">
        <is>
          <t>VÄSTERBOTTENS LÄN</t>
        </is>
      </c>
      <c r="E1489" t="inlineStr">
        <is>
          <t>SKELLEFTEÅ</t>
        </is>
      </c>
      <c r="F1489" t="inlineStr">
        <is>
          <t>Kyrkan</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48033-2025</t>
        </is>
      </c>
      <c r="B1490" s="1" t="n">
        <v>45932.65663194445</v>
      </c>
      <c r="C1490" s="1" t="n">
        <v>45991</v>
      </c>
      <c r="D1490" t="inlineStr">
        <is>
          <t>VÄSTERBOTTENS LÄN</t>
        </is>
      </c>
      <c r="E1490" t="inlineStr">
        <is>
          <t>SKELLEFTEÅ</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37474-2023</t>
        </is>
      </c>
      <c r="B1491" s="1" t="n">
        <v>45156.92446759259</v>
      </c>
      <c r="C1491" s="1" t="n">
        <v>45991</v>
      </c>
      <c r="D1491" t="inlineStr">
        <is>
          <t>VÄSTERBOTTENS LÄN</t>
        </is>
      </c>
      <c r="E1491" t="inlineStr">
        <is>
          <t>SKELLEFTEÅ</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45111-2024</t>
        </is>
      </c>
      <c r="B1492" s="1" t="n">
        <v>45575</v>
      </c>
      <c r="C1492" s="1" t="n">
        <v>45991</v>
      </c>
      <c r="D1492" t="inlineStr">
        <is>
          <t>VÄSTERBOTTENS LÄN</t>
        </is>
      </c>
      <c r="E1492" t="inlineStr">
        <is>
          <t>SKELLEFTEÅ</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15479-2023</t>
        </is>
      </c>
      <c r="B1493" s="1" t="n">
        <v>45020.45726851852</v>
      </c>
      <c r="C1493" s="1" t="n">
        <v>45991</v>
      </c>
      <c r="D1493" t="inlineStr">
        <is>
          <t>VÄSTERBOTTENS LÄN</t>
        </is>
      </c>
      <c r="E1493" t="inlineStr">
        <is>
          <t>SKELLEFTEÅ</t>
        </is>
      </c>
      <c r="F1493" t="inlineStr">
        <is>
          <t>Sveaskog</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1233-2025</t>
        </is>
      </c>
      <c r="B1494" s="1" t="n">
        <v>45667.44528935185</v>
      </c>
      <c r="C1494" s="1" t="n">
        <v>45991</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14096-2022</t>
        </is>
      </c>
      <c r="B1495" s="1" t="n">
        <v>44651</v>
      </c>
      <c r="C1495" s="1" t="n">
        <v>45991</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23709-2023</t>
        </is>
      </c>
      <c r="B1496" s="1" t="n">
        <v>45075</v>
      </c>
      <c r="C1496" s="1" t="n">
        <v>45991</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23760-2023</t>
        </is>
      </c>
      <c r="B1497" s="1" t="n">
        <v>45077</v>
      </c>
      <c r="C1497" s="1" t="n">
        <v>45991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23761-2023</t>
        </is>
      </c>
      <c r="B1498" s="1" t="n">
        <v>45077</v>
      </c>
      <c r="C1498" s="1" t="n">
        <v>45991</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57131-2024</t>
        </is>
      </c>
      <c r="B1499" s="1" t="n">
        <v>45629.38340277778</v>
      </c>
      <c r="C1499" s="1" t="n">
        <v>45991</v>
      </c>
      <c r="D1499" t="inlineStr">
        <is>
          <t>VÄSTERBOTTENS LÄN</t>
        </is>
      </c>
      <c r="E1499" t="inlineStr">
        <is>
          <t>SKELLEFTEÅ</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60982-2024</t>
        </is>
      </c>
      <c r="B1500" s="1" t="n">
        <v>45645</v>
      </c>
      <c r="C1500" s="1" t="n">
        <v>45991</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47950-2025</t>
        </is>
      </c>
      <c r="B1501" s="1" t="n">
        <v>45932.57682870371</v>
      </c>
      <c r="C1501" s="1" t="n">
        <v>45991</v>
      </c>
      <c r="D1501" t="inlineStr">
        <is>
          <t>VÄSTERBOTTENS LÄN</t>
        </is>
      </c>
      <c r="E1501" t="inlineStr">
        <is>
          <t>SKELLEFTEÅ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56390-2025</t>
        </is>
      </c>
      <c r="B1502" s="1" t="n">
        <v>45974.72736111111</v>
      </c>
      <c r="C1502" s="1" t="n">
        <v>45991</v>
      </c>
      <c r="D1502" t="inlineStr">
        <is>
          <t>VÄSTERBOTTENS LÄN</t>
        </is>
      </c>
      <c r="E1502" t="inlineStr">
        <is>
          <t>SKELLEFTEÅ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56661-2025</t>
        </is>
      </c>
      <c r="B1503" s="1" t="n">
        <v>45975.65702546296</v>
      </c>
      <c r="C1503" s="1" t="n">
        <v>45991</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48098-2025</t>
        </is>
      </c>
      <c r="B1504" s="1" t="n">
        <v>45933.32584490741</v>
      </c>
      <c r="C1504" s="1" t="n">
        <v>45991</v>
      </c>
      <c r="D1504" t="inlineStr">
        <is>
          <t>VÄSTERBOTTENS LÄN</t>
        </is>
      </c>
      <c r="E1504" t="inlineStr">
        <is>
          <t>SKELLEFTEÅ</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48216-2025</t>
        </is>
      </c>
      <c r="B1505" s="1" t="n">
        <v>45933.49614583333</v>
      </c>
      <c r="C1505" s="1" t="n">
        <v>45991</v>
      </c>
      <c r="D1505" t="inlineStr">
        <is>
          <t>VÄSTERBOTTENS LÄN</t>
        </is>
      </c>
      <c r="E1505" t="inlineStr">
        <is>
          <t>SKELLEFTEÅ</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56202-2025</t>
        </is>
      </c>
      <c r="B1506" s="1" t="n">
        <v>45974.46417824074</v>
      </c>
      <c r="C1506" s="1" t="n">
        <v>45991</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32593-2024</t>
        </is>
      </c>
      <c r="B1507" s="1" t="n">
        <v>45513.60165509259</v>
      </c>
      <c r="C1507" s="1" t="n">
        <v>45991</v>
      </c>
      <c r="D1507" t="inlineStr">
        <is>
          <t>VÄSTERBOTTENS LÄN</t>
        </is>
      </c>
      <c r="E1507" t="inlineStr">
        <is>
          <t>SKELLEFTEÅ</t>
        </is>
      </c>
      <c r="F1507" t="inlineStr">
        <is>
          <t>Holmen skog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39156-2023</t>
        </is>
      </c>
      <c r="B1508" s="1" t="n">
        <v>45166</v>
      </c>
      <c r="C1508" s="1" t="n">
        <v>45991</v>
      </c>
      <c r="D1508" t="inlineStr">
        <is>
          <t>VÄSTERBOTTENS LÄN</t>
        </is>
      </c>
      <c r="E1508" t="inlineStr">
        <is>
          <t>SKELLEFTEÅ</t>
        </is>
      </c>
      <c r="F1508" t="inlineStr">
        <is>
          <t>Sveaskog</t>
        </is>
      </c>
      <c r="G1508" t="n">
        <v>43.7</v>
      </c>
      <c r="H1508" t="n">
        <v>0</v>
      </c>
      <c r="I1508" t="n">
        <v>0</v>
      </c>
      <c r="J1508" t="n">
        <v>0</v>
      </c>
      <c r="K1508" t="n">
        <v>0</v>
      </c>
      <c r="L1508" t="n">
        <v>0</v>
      </c>
      <c r="M1508" t="n">
        <v>0</v>
      </c>
      <c r="N1508" t="n">
        <v>0</v>
      </c>
      <c r="O1508" t="n">
        <v>0</v>
      </c>
      <c r="P1508" t="n">
        <v>0</v>
      </c>
      <c r="Q1508" t="n">
        <v>0</v>
      </c>
      <c r="R1508" s="2" t="inlineStr"/>
    </row>
    <row r="1509" ht="15" customHeight="1">
      <c r="A1509" t="inlineStr">
        <is>
          <t>A 42764-2024</t>
        </is>
      </c>
      <c r="B1509" s="1" t="n">
        <v>45566.50524305556</v>
      </c>
      <c r="C1509" s="1" t="n">
        <v>45991</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48131-2025</t>
        </is>
      </c>
      <c r="B1510" s="1" t="n">
        <v>45933.36880787037</v>
      </c>
      <c r="C1510" s="1" t="n">
        <v>45991</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56571-2025</t>
        </is>
      </c>
      <c r="B1511" s="1" t="n">
        <v>45975.52336805555</v>
      </c>
      <c r="C1511" s="1" t="n">
        <v>45991</v>
      </c>
      <c r="D1511" t="inlineStr">
        <is>
          <t>VÄSTERBOTTENS LÄN</t>
        </is>
      </c>
      <c r="E1511" t="inlineStr">
        <is>
          <t>SKELLEFTEÅ</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47991-2025</t>
        </is>
      </c>
      <c r="B1512" s="1" t="n">
        <v>45932.62354166667</v>
      </c>
      <c r="C1512" s="1" t="n">
        <v>45991</v>
      </c>
      <c r="D1512" t="inlineStr">
        <is>
          <t>VÄSTERBOTTENS LÄN</t>
        </is>
      </c>
      <c r="E1512" t="inlineStr">
        <is>
          <t>SKELLEFTEÅ</t>
        </is>
      </c>
      <c r="F1512" t="inlineStr">
        <is>
          <t>Holmen skog AB</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12137-2023</t>
        </is>
      </c>
      <c r="B1513" s="1" t="n">
        <v>44995</v>
      </c>
      <c r="C1513" s="1" t="n">
        <v>45991</v>
      </c>
      <c r="D1513" t="inlineStr">
        <is>
          <t>VÄSTERBOTTENS LÄN</t>
        </is>
      </c>
      <c r="E1513" t="inlineStr">
        <is>
          <t>SKELLEFTEÅ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42248-2024</t>
        </is>
      </c>
      <c r="B1514" s="1" t="n">
        <v>45562.57457175926</v>
      </c>
      <c r="C1514" s="1" t="n">
        <v>45991</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48226-2025</t>
        </is>
      </c>
      <c r="B1515" s="1" t="n">
        <v>45933.51006944444</v>
      </c>
      <c r="C1515" s="1" t="n">
        <v>45991</v>
      </c>
      <c r="D1515" t="inlineStr">
        <is>
          <t>VÄSTERBOTTENS LÄN</t>
        </is>
      </c>
      <c r="E1515" t="inlineStr">
        <is>
          <t>SKELLEFTEÅ</t>
        </is>
      </c>
      <c r="F1515" t="inlineStr">
        <is>
          <t>Holmen skog AB</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59404-2023</t>
        </is>
      </c>
      <c r="B1516" s="1" t="n">
        <v>45253.9267824074</v>
      </c>
      <c r="C1516" s="1" t="n">
        <v>45991</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59405-2023</t>
        </is>
      </c>
      <c r="B1517" s="1" t="n">
        <v>45253.9268287037</v>
      </c>
      <c r="C1517" s="1" t="n">
        <v>45991</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52203-2023</t>
        </is>
      </c>
      <c r="B1518" s="1" t="n">
        <v>45224.42537037037</v>
      </c>
      <c r="C1518" s="1" t="n">
        <v>45991</v>
      </c>
      <c r="D1518" t="inlineStr">
        <is>
          <t>VÄSTERBOTTENS LÄN</t>
        </is>
      </c>
      <c r="E1518" t="inlineStr">
        <is>
          <t>SKELLEFTEÅ</t>
        </is>
      </c>
      <c r="F1518" t="inlineStr">
        <is>
          <t>Sveaskog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56558-2025</t>
        </is>
      </c>
      <c r="B1519" s="1" t="n">
        <v>45975.49052083334</v>
      </c>
      <c r="C1519" s="1" t="n">
        <v>45991</v>
      </c>
      <c r="D1519" t="inlineStr">
        <is>
          <t>VÄSTERBOTTENS LÄN</t>
        </is>
      </c>
      <c r="E1519" t="inlineStr">
        <is>
          <t>SKELLEFTEÅ</t>
        </is>
      </c>
      <c r="F1519" t="inlineStr">
        <is>
          <t>Holmen skog AB</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56567-2025</t>
        </is>
      </c>
      <c r="B1520" s="1" t="n">
        <v>45975.51262731481</v>
      </c>
      <c r="C1520" s="1" t="n">
        <v>45991</v>
      </c>
      <c r="D1520" t="inlineStr">
        <is>
          <t>VÄSTERBOTTENS LÄN</t>
        </is>
      </c>
      <c r="E1520" t="inlineStr">
        <is>
          <t>SKELLEFTEÅ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47891-2025</t>
        </is>
      </c>
      <c r="B1521" s="1" t="n">
        <v>45932.47138888889</v>
      </c>
      <c r="C1521" s="1" t="n">
        <v>45991</v>
      </c>
      <c r="D1521" t="inlineStr">
        <is>
          <t>VÄSTERBOTTENS LÄN</t>
        </is>
      </c>
      <c r="E1521" t="inlineStr">
        <is>
          <t>SKELLEFTEÅ</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54662-2024</t>
        </is>
      </c>
      <c r="B1522" s="1" t="n">
        <v>45618.31710648148</v>
      </c>
      <c r="C1522" s="1" t="n">
        <v>45991</v>
      </c>
      <c r="D1522" t="inlineStr">
        <is>
          <t>VÄSTERBOTTENS LÄN</t>
        </is>
      </c>
      <c r="E1522" t="inlineStr">
        <is>
          <t>SKELLEFTEÅ</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47813-2025</t>
        </is>
      </c>
      <c r="B1523" s="1" t="n">
        <v>45932</v>
      </c>
      <c r="C1523" s="1" t="n">
        <v>45991</v>
      </c>
      <c r="D1523" t="inlineStr">
        <is>
          <t>VÄSTERBOTTENS LÄN</t>
        </is>
      </c>
      <c r="E1523" t="inlineStr">
        <is>
          <t>SKELLEFTEÅ</t>
        </is>
      </c>
      <c r="F1523" t="inlineStr">
        <is>
          <t>Kyrkan</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48031-2025</t>
        </is>
      </c>
      <c r="B1524" s="1" t="n">
        <v>45932.65422453704</v>
      </c>
      <c r="C1524" s="1" t="n">
        <v>45991</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56662-2025</t>
        </is>
      </c>
      <c r="B1525" s="1" t="n">
        <v>45975.65717592592</v>
      </c>
      <c r="C1525" s="1" t="n">
        <v>45991</v>
      </c>
      <c r="D1525" t="inlineStr">
        <is>
          <t>VÄSTERBOTTENS LÄN</t>
        </is>
      </c>
      <c r="E1525" t="inlineStr">
        <is>
          <t>SKELLEFTEÅ</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60209-2024</t>
        </is>
      </c>
      <c r="B1526" s="1" t="n">
        <v>45642</v>
      </c>
      <c r="C1526" s="1" t="n">
        <v>45991</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18700-2025</t>
        </is>
      </c>
      <c r="B1527" s="1" t="n">
        <v>45763.62945601852</v>
      </c>
      <c r="C1527" s="1" t="n">
        <v>45991</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56722-2025</t>
        </is>
      </c>
      <c r="B1528" s="1" t="n">
        <v>45975</v>
      </c>
      <c r="C1528" s="1" t="n">
        <v>45991</v>
      </c>
      <c r="D1528" t="inlineStr">
        <is>
          <t>VÄSTERBOTTENS LÄN</t>
        </is>
      </c>
      <c r="E1528" t="inlineStr">
        <is>
          <t>SKELLEFTEÅ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6012-2023</t>
        </is>
      </c>
      <c r="B1529" s="1" t="n">
        <v>44959</v>
      </c>
      <c r="C1529" s="1" t="n">
        <v>45991</v>
      </c>
      <c r="D1529" t="inlineStr">
        <is>
          <t>VÄSTERBOTTENS LÄN</t>
        </is>
      </c>
      <c r="E1529" t="inlineStr">
        <is>
          <t>SKELLEFTEÅ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22020-2023</t>
        </is>
      </c>
      <c r="B1530" s="1" t="n">
        <v>45069</v>
      </c>
      <c r="C1530" s="1" t="n">
        <v>45991</v>
      </c>
      <c r="D1530" t="inlineStr">
        <is>
          <t>VÄSTERBOTTENS LÄN</t>
        </is>
      </c>
      <c r="E1530" t="inlineStr">
        <is>
          <t>SKELLEFTEÅ</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5830-2025</t>
        </is>
      </c>
      <c r="B1531" s="1" t="n">
        <v>45694</v>
      </c>
      <c r="C1531" s="1" t="n">
        <v>45991</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5831-2025</t>
        </is>
      </c>
      <c r="B1532" s="1" t="n">
        <v>45694</v>
      </c>
      <c r="C1532" s="1" t="n">
        <v>45991</v>
      </c>
      <c r="D1532" t="inlineStr">
        <is>
          <t>VÄSTERBOTTENS LÄN</t>
        </is>
      </c>
      <c r="E1532" t="inlineStr">
        <is>
          <t>SKELLEFTEÅ</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56993-2025</t>
        </is>
      </c>
      <c r="B1533" s="1" t="n">
        <v>45977</v>
      </c>
      <c r="C1533" s="1" t="n">
        <v>45991</v>
      </c>
      <c r="D1533" t="inlineStr">
        <is>
          <t>VÄSTERBOTTENS LÄN</t>
        </is>
      </c>
      <c r="E1533" t="inlineStr">
        <is>
          <t>SKELLEFTEÅ</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57021-2025</t>
        </is>
      </c>
      <c r="B1534" s="1" t="n">
        <v>45978.88092592593</v>
      </c>
      <c r="C1534" s="1" t="n">
        <v>45991</v>
      </c>
      <c r="D1534" t="inlineStr">
        <is>
          <t>VÄSTERBOTTENS LÄN</t>
        </is>
      </c>
      <c r="E1534" t="inlineStr">
        <is>
          <t>SKELLEFTEÅ</t>
        </is>
      </c>
      <c r="F1534" t="inlineStr">
        <is>
          <t>Sveaskog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57234-2025</t>
        </is>
      </c>
      <c r="B1535" s="1" t="n">
        <v>45979.6216087963</v>
      </c>
      <c r="C1535" s="1" t="n">
        <v>45991</v>
      </c>
      <c r="D1535" t="inlineStr">
        <is>
          <t>VÄSTERBOTTENS LÄN</t>
        </is>
      </c>
      <c r="E1535" t="inlineStr">
        <is>
          <t>SKELLEFTEÅ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53255-2023</t>
        </is>
      </c>
      <c r="B1536" s="1" t="n">
        <v>45229.5280787037</v>
      </c>
      <c r="C1536" s="1" t="n">
        <v>45991</v>
      </c>
      <c r="D1536" t="inlineStr">
        <is>
          <t>VÄSTERBOTTENS LÄN</t>
        </is>
      </c>
      <c r="E1536" t="inlineStr">
        <is>
          <t>SKELLEFTEÅ</t>
        </is>
      </c>
      <c r="F1536" t="inlineStr">
        <is>
          <t>Sveaskog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64323-2023</t>
        </is>
      </c>
      <c r="B1537" s="1" t="n">
        <v>45280.40798611111</v>
      </c>
      <c r="C1537" s="1" t="n">
        <v>45991</v>
      </c>
      <c r="D1537" t="inlineStr">
        <is>
          <t>VÄSTERBOTTENS LÄN</t>
        </is>
      </c>
      <c r="E1537" t="inlineStr">
        <is>
          <t>SKELLEFTEÅ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277-2025</t>
        </is>
      </c>
      <c r="B1538" s="1" t="n">
        <v>45660.49072916667</v>
      </c>
      <c r="C1538" s="1" t="n">
        <v>45991</v>
      </c>
      <c r="D1538" t="inlineStr">
        <is>
          <t>VÄSTERBOTTENS LÄN</t>
        </is>
      </c>
      <c r="E1538" t="inlineStr">
        <is>
          <t>SKELLEFTEÅ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56719-2025</t>
        </is>
      </c>
      <c r="B1539" s="1" t="n">
        <v>45975</v>
      </c>
      <c r="C1539" s="1" t="n">
        <v>45991</v>
      </c>
      <c r="D1539" t="inlineStr">
        <is>
          <t>VÄSTERBOTTENS LÄN</t>
        </is>
      </c>
      <c r="E1539" t="inlineStr">
        <is>
          <t>SKELLEFTEÅ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52748-2025</t>
        </is>
      </c>
      <c r="B1540" s="1" t="n">
        <v>45957</v>
      </c>
      <c r="C1540" s="1" t="n">
        <v>45991</v>
      </c>
      <c r="D1540" t="inlineStr">
        <is>
          <t>VÄSTERBOTTENS LÄN</t>
        </is>
      </c>
      <c r="E1540" t="inlineStr">
        <is>
          <t>SKELLEFTEÅ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15846-2024</t>
        </is>
      </c>
      <c r="B1541" s="1" t="n">
        <v>45404.84630787037</v>
      </c>
      <c r="C1541" s="1" t="n">
        <v>45991</v>
      </c>
      <c r="D1541" t="inlineStr">
        <is>
          <t>VÄSTERBOTTENS LÄN</t>
        </is>
      </c>
      <c r="E1541" t="inlineStr">
        <is>
          <t>SKELLEFTEÅ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15848-2024</t>
        </is>
      </c>
      <c r="B1542" s="1" t="n">
        <v>45404</v>
      </c>
      <c r="C1542" s="1" t="n">
        <v>45991</v>
      </c>
      <c r="D1542" t="inlineStr">
        <is>
          <t>VÄSTERBOTTENS LÄN</t>
        </is>
      </c>
      <c r="E1542" t="inlineStr">
        <is>
          <t>SKELLEFTEÅ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57217-2025</t>
        </is>
      </c>
      <c r="B1543" s="1" t="n">
        <v>45979.61125</v>
      </c>
      <c r="C1543" s="1" t="n">
        <v>45991</v>
      </c>
      <c r="D1543" t="inlineStr">
        <is>
          <t>VÄSTERBOTTENS LÄN</t>
        </is>
      </c>
      <c r="E1543" t="inlineStr">
        <is>
          <t>SKELLEFTEÅ</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56988-2025</t>
        </is>
      </c>
      <c r="B1544" s="1" t="n">
        <v>45977</v>
      </c>
      <c r="C1544" s="1" t="n">
        <v>45991</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48608-2025</t>
        </is>
      </c>
      <c r="B1545" s="1" t="n">
        <v>45936.4734837963</v>
      </c>
      <c r="C1545" s="1" t="n">
        <v>45991</v>
      </c>
      <c r="D1545" t="inlineStr">
        <is>
          <t>VÄSTERBOTTENS LÄN</t>
        </is>
      </c>
      <c r="E1545" t="inlineStr">
        <is>
          <t>SKELLEFTEÅ</t>
        </is>
      </c>
      <c r="F1545" t="inlineStr">
        <is>
          <t>Holmen skog AB</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3268-2022</t>
        </is>
      </c>
      <c r="B1546" s="1" t="n">
        <v>44583.89641203704</v>
      </c>
      <c r="C1546" s="1" t="n">
        <v>45991</v>
      </c>
      <c r="D1546" t="inlineStr">
        <is>
          <t>VÄSTERBOTTENS LÄN</t>
        </is>
      </c>
      <c r="E1546" t="inlineStr">
        <is>
          <t>SKELLEFTEÅ</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56935-2025</t>
        </is>
      </c>
      <c r="B1547" s="1" t="n">
        <v>45978.61539351852</v>
      </c>
      <c r="C1547" s="1" t="n">
        <v>45991</v>
      </c>
      <c r="D1547" t="inlineStr">
        <is>
          <t>VÄSTERBOTTENS LÄN</t>
        </is>
      </c>
      <c r="E1547" t="inlineStr">
        <is>
          <t>SKELLEFTEÅ</t>
        </is>
      </c>
      <c r="G1547" t="n">
        <v>26.8</v>
      </c>
      <c r="H1547" t="n">
        <v>0</v>
      </c>
      <c r="I1547" t="n">
        <v>0</v>
      </c>
      <c r="J1547" t="n">
        <v>0</v>
      </c>
      <c r="K1547" t="n">
        <v>0</v>
      </c>
      <c r="L1547" t="n">
        <v>0</v>
      </c>
      <c r="M1547" t="n">
        <v>0</v>
      </c>
      <c r="N1547" t="n">
        <v>0</v>
      </c>
      <c r="O1547" t="n">
        <v>0</v>
      </c>
      <c r="P1547" t="n">
        <v>0</v>
      </c>
      <c r="Q1547" t="n">
        <v>0</v>
      </c>
      <c r="R1547" s="2" t="inlineStr"/>
    </row>
    <row r="1548" ht="15" customHeight="1">
      <c r="A1548" t="inlineStr">
        <is>
          <t>A 56883-2025</t>
        </is>
      </c>
      <c r="B1548" s="1" t="n">
        <v>45978.55603009259</v>
      </c>
      <c r="C1548" s="1" t="n">
        <v>45991</v>
      </c>
      <c r="D1548" t="inlineStr">
        <is>
          <t>VÄSTERBOTTENS LÄN</t>
        </is>
      </c>
      <c r="E1548" t="inlineStr">
        <is>
          <t>SKELLEFTEÅ</t>
        </is>
      </c>
      <c r="F1548" t="inlineStr">
        <is>
          <t>Holmen skog AB</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64761-2021</t>
        </is>
      </c>
      <c r="B1549" s="1" t="n">
        <v>44511</v>
      </c>
      <c r="C1549" s="1" t="n">
        <v>45991</v>
      </c>
      <c r="D1549" t="inlineStr">
        <is>
          <t>VÄSTERBOTTENS LÄN</t>
        </is>
      </c>
      <c r="E1549" t="inlineStr">
        <is>
          <t>SKELLEFTEÅ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25404-2022</t>
        </is>
      </c>
      <c r="B1550" s="1" t="n">
        <v>44732</v>
      </c>
      <c r="C1550" s="1" t="n">
        <v>45991</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56709-2025</t>
        </is>
      </c>
      <c r="B1551" s="1" t="n">
        <v>45977.77412037037</v>
      </c>
      <c r="C1551" s="1" t="n">
        <v>45991</v>
      </c>
      <c r="D1551" t="inlineStr">
        <is>
          <t>VÄSTERBOTTENS LÄN</t>
        </is>
      </c>
      <c r="E1551" t="inlineStr">
        <is>
          <t>SKELLEFTEÅ</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57222-2025</t>
        </is>
      </c>
      <c r="B1552" s="1" t="n">
        <v>45979.61474537037</v>
      </c>
      <c r="C1552" s="1" t="n">
        <v>45991</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57228-2025</t>
        </is>
      </c>
      <c r="B1553" s="1" t="n">
        <v>45979.6162962963</v>
      </c>
      <c r="C1553" s="1" t="n">
        <v>45991</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49012-2025</t>
        </is>
      </c>
      <c r="B1554" s="1" t="n">
        <v>45936</v>
      </c>
      <c r="C1554" s="1" t="n">
        <v>45991</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55403-2025</t>
        </is>
      </c>
      <c r="B1555" s="1" t="n">
        <v>45971</v>
      </c>
      <c r="C1555" s="1" t="n">
        <v>45991</v>
      </c>
      <c r="D1555" t="inlineStr">
        <is>
          <t>VÄSTERBOTTENS LÄN</t>
        </is>
      </c>
      <c r="E1555" t="inlineStr">
        <is>
          <t>SKELLEFTEÅ</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3209-2025</t>
        </is>
      </c>
      <c r="B1556" s="1" t="n">
        <v>45679.45376157408</v>
      </c>
      <c r="C1556" s="1" t="n">
        <v>45991</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54456-2022</t>
        </is>
      </c>
      <c r="B1557" s="1" t="n">
        <v>44880</v>
      </c>
      <c r="C1557" s="1" t="n">
        <v>45991</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14013-2025</t>
        </is>
      </c>
      <c r="B1558" s="1" t="n">
        <v>45740.31539351852</v>
      </c>
      <c r="C1558" s="1" t="n">
        <v>45991</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10986-2025</t>
        </is>
      </c>
      <c r="B1559" s="1" t="n">
        <v>45723.41918981481</v>
      </c>
      <c r="C1559" s="1" t="n">
        <v>45991</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4617-2024</t>
        </is>
      </c>
      <c r="B1560" s="1" t="n">
        <v>45327</v>
      </c>
      <c r="C1560" s="1" t="n">
        <v>45991</v>
      </c>
      <c r="D1560" t="inlineStr">
        <is>
          <t>VÄSTERBOTTENS LÄN</t>
        </is>
      </c>
      <c r="E1560" t="inlineStr">
        <is>
          <t>SKELLEFTEÅ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57232-2025</t>
        </is>
      </c>
      <c r="B1561" s="1" t="n">
        <v>45979.62033564815</v>
      </c>
      <c r="C1561" s="1" t="n">
        <v>45991</v>
      </c>
      <c r="D1561" t="inlineStr">
        <is>
          <t>VÄSTERBOTTENS LÄN</t>
        </is>
      </c>
      <c r="E1561" t="inlineStr">
        <is>
          <t>SKELLEFTEÅ</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4656-2024</t>
        </is>
      </c>
      <c r="B1562" s="1" t="n">
        <v>45327</v>
      </c>
      <c r="C1562" s="1" t="n">
        <v>45991</v>
      </c>
      <c r="D1562" t="inlineStr">
        <is>
          <t>VÄSTERBOTTENS LÄN</t>
        </is>
      </c>
      <c r="E1562" t="inlineStr">
        <is>
          <t>SKELLEFTEÅ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28113-2023</t>
        </is>
      </c>
      <c r="B1563" s="1" t="n">
        <v>45096</v>
      </c>
      <c r="C1563" s="1" t="n">
        <v>45991</v>
      </c>
      <c r="D1563" t="inlineStr">
        <is>
          <t>VÄSTERBOTTENS LÄN</t>
        </is>
      </c>
      <c r="E1563" t="inlineStr">
        <is>
          <t>SKELLEFTEÅ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49031-2025</t>
        </is>
      </c>
      <c r="B1564" s="1" t="n">
        <v>45936</v>
      </c>
      <c r="C1564" s="1" t="n">
        <v>45991</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57126-2025</t>
        </is>
      </c>
      <c r="B1565" s="1" t="n">
        <v>45979.47136574074</v>
      </c>
      <c r="C1565" s="1" t="n">
        <v>45991</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57141-2025</t>
        </is>
      </c>
      <c r="B1566" s="1" t="n">
        <v>45979.48398148148</v>
      </c>
      <c r="C1566" s="1" t="n">
        <v>45991</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56843-2025</t>
        </is>
      </c>
      <c r="B1567" s="1" t="n">
        <v>45978.48373842592</v>
      </c>
      <c r="C1567" s="1" t="n">
        <v>45991</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57180-2025</t>
        </is>
      </c>
      <c r="B1568" s="1" t="n">
        <v>45979.56042824074</v>
      </c>
      <c r="C1568" s="1" t="n">
        <v>45991</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56712-2025</t>
        </is>
      </c>
      <c r="B1569" s="1" t="n">
        <v>45977.83019675926</v>
      </c>
      <c r="C1569" s="1" t="n">
        <v>45991</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56713-2025</t>
        </is>
      </c>
      <c r="B1570" s="1" t="n">
        <v>45977.84247685185</v>
      </c>
      <c r="C1570" s="1" t="n">
        <v>45991</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55145-2025</t>
        </is>
      </c>
      <c r="B1571" s="1" t="n">
        <v>45968</v>
      </c>
      <c r="C1571" s="1" t="n">
        <v>45991</v>
      </c>
      <c r="D1571" t="inlineStr">
        <is>
          <t>VÄSTERBOTTENS LÄN</t>
        </is>
      </c>
      <c r="E1571" t="inlineStr">
        <is>
          <t>SKELLEFTEÅ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18979-2024</t>
        </is>
      </c>
      <c r="B1572" s="1" t="n">
        <v>45427</v>
      </c>
      <c r="C1572" s="1" t="n">
        <v>45991</v>
      </c>
      <c r="D1572" t="inlineStr">
        <is>
          <t>VÄSTERBOTTENS LÄN</t>
        </is>
      </c>
      <c r="E1572" t="inlineStr">
        <is>
          <t>SKELLEFTEÅ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57848-2022</t>
        </is>
      </c>
      <c r="B1573" s="1" t="n">
        <v>44898.00032407408</v>
      </c>
      <c r="C1573" s="1" t="n">
        <v>45991</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57345-2025</t>
        </is>
      </c>
      <c r="B1574" s="1" t="n">
        <v>45980.35304398148</v>
      </c>
      <c r="C1574" s="1" t="n">
        <v>45991</v>
      </c>
      <c r="D1574" t="inlineStr">
        <is>
          <t>VÄSTERBOTTENS LÄN</t>
        </is>
      </c>
      <c r="E1574" t="inlineStr">
        <is>
          <t>SKELLEFTEÅ</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49023-2025</t>
        </is>
      </c>
      <c r="B1575" s="1" t="n">
        <v>45937.61712962963</v>
      </c>
      <c r="C1575" s="1" t="n">
        <v>45991</v>
      </c>
      <c r="D1575" t="inlineStr">
        <is>
          <t>VÄSTERBOTTENS LÄN</t>
        </is>
      </c>
      <c r="E1575" t="inlineStr">
        <is>
          <t>SKELLEFTEÅ</t>
        </is>
      </c>
      <c r="F1575" t="inlineStr">
        <is>
          <t>Holmen skog AB</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57456-2025</t>
        </is>
      </c>
      <c r="B1576" s="1" t="n">
        <v>45980.52962962963</v>
      </c>
      <c r="C1576" s="1" t="n">
        <v>45991</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57888-2025</t>
        </is>
      </c>
      <c r="B1577" s="1" t="n">
        <v>45981.67790509259</v>
      </c>
      <c r="C1577" s="1" t="n">
        <v>45991</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1859-2023</t>
        </is>
      </c>
      <c r="B1578" s="1" t="n">
        <v>44938.92320601852</v>
      </c>
      <c r="C1578" s="1" t="n">
        <v>45991</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26154-2023</t>
        </is>
      </c>
      <c r="B1579" s="1" t="n">
        <v>45091.50071759259</v>
      </c>
      <c r="C1579" s="1" t="n">
        <v>45991</v>
      </c>
      <c r="D1579" t="inlineStr">
        <is>
          <t>VÄSTERBOTTENS LÄN</t>
        </is>
      </c>
      <c r="E1579" t="inlineStr">
        <is>
          <t>SKELLEFTEÅ</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5876-2025</t>
        </is>
      </c>
      <c r="B1580" s="1" t="n">
        <v>45694</v>
      </c>
      <c r="C1580" s="1" t="n">
        <v>45991</v>
      </c>
      <c r="D1580" t="inlineStr">
        <is>
          <t>VÄSTERBOTTENS LÄN</t>
        </is>
      </c>
      <c r="E1580" t="inlineStr">
        <is>
          <t>SKELLEFTEÅ</t>
        </is>
      </c>
      <c r="G1580" t="n">
        <v>60.7</v>
      </c>
      <c r="H1580" t="n">
        <v>0</v>
      </c>
      <c r="I1580" t="n">
        <v>0</v>
      </c>
      <c r="J1580" t="n">
        <v>0</v>
      </c>
      <c r="K1580" t="n">
        <v>0</v>
      </c>
      <c r="L1580" t="n">
        <v>0</v>
      </c>
      <c r="M1580" t="n">
        <v>0</v>
      </c>
      <c r="N1580" t="n">
        <v>0</v>
      </c>
      <c r="O1580" t="n">
        <v>0</v>
      </c>
      <c r="P1580" t="n">
        <v>0</v>
      </c>
      <c r="Q1580" t="n">
        <v>0</v>
      </c>
      <c r="R1580" s="2" t="inlineStr"/>
    </row>
    <row r="1581" ht="15" customHeight="1">
      <c r="A1581" t="inlineStr">
        <is>
          <t>A 57516-2025</t>
        </is>
      </c>
      <c r="B1581" s="1" t="n">
        <v>45980.61847222222</v>
      </c>
      <c r="C1581" s="1" t="n">
        <v>45991</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57624-2025</t>
        </is>
      </c>
      <c r="B1582" s="1" t="n">
        <v>45981.34559027778</v>
      </c>
      <c r="C1582" s="1" t="n">
        <v>45991</v>
      </c>
      <c r="D1582" t="inlineStr">
        <is>
          <t>VÄSTERBOTTENS LÄN</t>
        </is>
      </c>
      <c r="E1582" t="inlineStr">
        <is>
          <t>SKELLEFTEÅ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28160-2023</t>
        </is>
      </c>
      <c r="B1583" s="1" t="n">
        <v>45099.49787037037</v>
      </c>
      <c r="C1583" s="1" t="n">
        <v>45991</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28192-2023</t>
        </is>
      </c>
      <c r="B1584" s="1" t="n">
        <v>45096</v>
      </c>
      <c r="C1584" s="1" t="n">
        <v>45991</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49949-2023</t>
        </is>
      </c>
      <c r="B1585" s="1" t="n">
        <v>45215.36532407408</v>
      </c>
      <c r="C1585" s="1" t="n">
        <v>45991</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48960-2025</t>
        </is>
      </c>
      <c r="B1586" s="1" t="n">
        <v>45937.550625</v>
      </c>
      <c r="C1586" s="1" t="n">
        <v>45991</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2963-2025</t>
        </is>
      </c>
      <c r="B1587" s="1" t="n">
        <v>45678.45770833334</v>
      </c>
      <c r="C1587" s="1" t="n">
        <v>45991</v>
      </c>
      <c r="D1587" t="inlineStr">
        <is>
          <t>VÄSTERBOTTENS LÄN</t>
        </is>
      </c>
      <c r="E1587" t="inlineStr">
        <is>
          <t>SKELLEFTEÅ</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57340-2025</t>
        </is>
      </c>
      <c r="B1588" s="1" t="n">
        <v>45980.34586805556</v>
      </c>
      <c r="C1588" s="1" t="n">
        <v>45991</v>
      </c>
      <c r="D1588" t="inlineStr">
        <is>
          <t>VÄSTERBOTTENS LÄN</t>
        </is>
      </c>
      <c r="E1588" t="inlineStr">
        <is>
          <t>SKELLEFTEÅ</t>
        </is>
      </c>
      <c r="F1588" t="inlineStr">
        <is>
          <t>Sveaskog</t>
        </is>
      </c>
      <c r="G1588" t="n">
        <v>24.1</v>
      </c>
      <c r="H1588" t="n">
        <v>0</v>
      </c>
      <c r="I1588" t="n">
        <v>0</v>
      </c>
      <c r="J1588" t="n">
        <v>0</v>
      </c>
      <c r="K1588" t="n">
        <v>0</v>
      </c>
      <c r="L1588" t="n">
        <v>0</v>
      </c>
      <c r="M1588" t="n">
        <v>0</v>
      </c>
      <c r="N1588" t="n">
        <v>0</v>
      </c>
      <c r="O1588" t="n">
        <v>0</v>
      </c>
      <c r="P1588" t="n">
        <v>0</v>
      </c>
      <c r="Q1588" t="n">
        <v>0</v>
      </c>
      <c r="R1588" s="2" t="inlineStr"/>
      <c r="U1588">
        <f>HYPERLINK("https://klasma.github.io/Logging_2482/knärot/A 57340-2025 karta knärot.png", "A 57340-2025")</f>
        <v/>
      </c>
      <c r="V1588">
        <f>HYPERLINK("https://klasma.github.io/Logging_2482/klagomål/A 57340-2025 FSC-klagomål.docx", "A 57340-2025")</f>
        <v/>
      </c>
      <c r="W1588">
        <f>HYPERLINK("https://klasma.github.io/Logging_2482/klagomålsmail/A 57340-2025 FSC-klagomål mail.docx", "A 57340-2025")</f>
        <v/>
      </c>
      <c r="X1588">
        <f>HYPERLINK("https://klasma.github.io/Logging_2482/tillsyn/A 57340-2025 tillsynsbegäran.docx", "A 57340-2025")</f>
        <v/>
      </c>
      <c r="Y1588">
        <f>HYPERLINK("https://klasma.github.io/Logging_2482/tillsynsmail/A 57340-2025 tillsynsbegäran mail.docx", "A 57340-2025")</f>
        <v/>
      </c>
    </row>
    <row r="1589" ht="15" customHeight="1">
      <c r="A1589" t="inlineStr">
        <is>
          <t>A 57376-2025</t>
        </is>
      </c>
      <c r="B1589" s="1" t="n">
        <v>45980.39418981481</v>
      </c>
      <c r="C1589" s="1" t="n">
        <v>45991</v>
      </c>
      <c r="D1589" t="inlineStr">
        <is>
          <t>VÄSTERBOTTENS LÄN</t>
        </is>
      </c>
      <c r="E1589" t="inlineStr">
        <is>
          <t>SKELLEFTEÅ</t>
        </is>
      </c>
      <c r="F1589" t="inlineStr">
        <is>
          <t>Sveaskog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49126-2025</t>
        </is>
      </c>
      <c r="B1590" s="1" t="n">
        <v>45937.8712962963</v>
      </c>
      <c r="C1590" s="1" t="n">
        <v>45991</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4638-2025</t>
        </is>
      </c>
      <c r="B1591" s="1" t="n">
        <v>45687.64986111111</v>
      </c>
      <c r="C1591" s="1" t="n">
        <v>45991</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57136-2025</t>
        </is>
      </c>
      <c r="B1592" s="1" t="n">
        <v>45979</v>
      </c>
      <c r="C1592" s="1" t="n">
        <v>45991</v>
      </c>
      <c r="D1592" t="inlineStr">
        <is>
          <t>VÄSTERBOTTENS LÄN</t>
        </is>
      </c>
      <c r="E1592" t="inlineStr">
        <is>
          <t>SKELLEFTEÅ</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57626-2025</t>
        </is>
      </c>
      <c r="B1593" s="1" t="n">
        <v>45981.34576388889</v>
      </c>
      <c r="C1593" s="1" t="n">
        <v>45991</v>
      </c>
      <c r="D1593" t="inlineStr">
        <is>
          <t>VÄSTERBOTTENS LÄN</t>
        </is>
      </c>
      <c r="E1593" t="inlineStr">
        <is>
          <t>SKELLEFTEÅ</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57519-2025</t>
        </is>
      </c>
      <c r="B1594" s="1" t="n">
        <v>45980.62025462963</v>
      </c>
      <c r="C1594" s="1" t="n">
        <v>45991</v>
      </c>
      <c r="D1594" t="inlineStr">
        <is>
          <t>VÄSTERBOTTENS LÄN</t>
        </is>
      </c>
      <c r="E1594" t="inlineStr">
        <is>
          <t>SKELLEFTEÅ</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49478-2025</t>
        </is>
      </c>
      <c r="B1595" s="1" t="n">
        <v>45939.34556712963</v>
      </c>
      <c r="C1595" s="1" t="n">
        <v>45991</v>
      </c>
      <c r="D1595" t="inlineStr">
        <is>
          <t>VÄSTERBOTTENS LÄN</t>
        </is>
      </c>
      <c r="E1595" t="inlineStr">
        <is>
          <t>SKELLEFTEÅ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20723-2024</t>
        </is>
      </c>
      <c r="B1596" s="1" t="n">
        <v>45436.65041666666</v>
      </c>
      <c r="C1596" s="1" t="n">
        <v>45991</v>
      </c>
      <c r="D1596" t="inlineStr">
        <is>
          <t>VÄSTERBOTTENS LÄN</t>
        </is>
      </c>
      <c r="E1596" t="inlineStr">
        <is>
          <t>SKELLEFTEÅ</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57702-2025</t>
        </is>
      </c>
      <c r="B1597" s="1" t="n">
        <v>45981.46765046296</v>
      </c>
      <c r="C1597" s="1" t="n">
        <v>45991</v>
      </c>
      <c r="D1597" t="inlineStr">
        <is>
          <t>VÄSTERBOTTENS LÄN</t>
        </is>
      </c>
      <c r="E1597" t="inlineStr">
        <is>
          <t>SKELLEFTEÅ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10604-2024</t>
        </is>
      </c>
      <c r="B1598" s="1" t="n">
        <v>45366.93827546296</v>
      </c>
      <c r="C1598" s="1" t="n">
        <v>45991</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57350-2025</t>
        </is>
      </c>
      <c r="B1599" s="1" t="n">
        <v>45980.36420138889</v>
      </c>
      <c r="C1599" s="1" t="n">
        <v>45991</v>
      </c>
      <c r="D1599" t="inlineStr">
        <is>
          <t>VÄSTERBOTTENS LÄN</t>
        </is>
      </c>
      <c r="E1599" t="inlineStr">
        <is>
          <t>SKELLEFTEÅ</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57436-2025</t>
        </is>
      </c>
      <c r="B1600" s="1" t="n">
        <v>45979</v>
      </c>
      <c r="C1600" s="1" t="n">
        <v>45991</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57441-2025</t>
        </is>
      </c>
      <c r="B1601" s="1" t="n">
        <v>45979</v>
      </c>
      <c r="C1601" s="1" t="n">
        <v>45991</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44959-2023</t>
        </is>
      </c>
      <c r="B1602" s="1" t="n">
        <v>45190</v>
      </c>
      <c r="C1602" s="1" t="n">
        <v>45991</v>
      </c>
      <c r="D1602" t="inlineStr">
        <is>
          <t>VÄSTERBOTTENS LÄN</t>
        </is>
      </c>
      <c r="E1602" t="inlineStr">
        <is>
          <t>SKELLEFTEÅ</t>
        </is>
      </c>
      <c r="F1602" t="inlineStr">
        <is>
          <t>Sveaskog</t>
        </is>
      </c>
      <c r="G1602" t="n">
        <v>15.3</v>
      </c>
      <c r="H1602" t="n">
        <v>0</v>
      </c>
      <c r="I1602" t="n">
        <v>0</v>
      </c>
      <c r="J1602" t="n">
        <v>0</v>
      </c>
      <c r="K1602" t="n">
        <v>0</v>
      </c>
      <c r="L1602" t="n">
        <v>0</v>
      </c>
      <c r="M1602" t="n">
        <v>0</v>
      </c>
      <c r="N1602" t="n">
        <v>0</v>
      </c>
      <c r="O1602" t="n">
        <v>0</v>
      </c>
      <c r="P1602" t="n">
        <v>0</v>
      </c>
      <c r="Q1602" t="n">
        <v>0</v>
      </c>
      <c r="R1602" s="2" t="inlineStr"/>
    </row>
    <row r="1603" ht="15" customHeight="1">
      <c r="A1603" t="inlineStr">
        <is>
          <t>A 17506-2024</t>
        </is>
      </c>
      <c r="B1603" s="1" t="n">
        <v>45415</v>
      </c>
      <c r="C1603" s="1" t="n">
        <v>45991</v>
      </c>
      <c r="D1603" t="inlineStr">
        <is>
          <t>VÄSTERBOTTENS LÄN</t>
        </is>
      </c>
      <c r="E1603" t="inlineStr">
        <is>
          <t>SKELLEFTEÅ</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49239-2025</t>
        </is>
      </c>
      <c r="B1604" s="1" t="n">
        <v>45937</v>
      </c>
      <c r="C1604" s="1" t="n">
        <v>45991</v>
      </c>
      <c r="D1604" t="inlineStr">
        <is>
          <t>VÄSTERBOTTENS LÄN</t>
        </is>
      </c>
      <c r="E1604" t="inlineStr">
        <is>
          <t>SKELLEFTEÅ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49242-2025</t>
        </is>
      </c>
      <c r="B1605" s="1" t="n">
        <v>45937</v>
      </c>
      <c r="C1605" s="1" t="n">
        <v>45991</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45991</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57328-2025</t>
        </is>
      </c>
      <c r="B1607" s="1" t="n">
        <v>45980.34083333334</v>
      </c>
      <c r="C1607" s="1" t="n">
        <v>45991</v>
      </c>
      <c r="D1607" t="inlineStr">
        <is>
          <t>VÄSTERBOTTENS LÄN</t>
        </is>
      </c>
      <c r="E1607" t="inlineStr">
        <is>
          <t>SKELLEFTEÅ</t>
        </is>
      </c>
      <c r="F1607" t="inlineStr">
        <is>
          <t>Sveaskog</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49683-2025</t>
        </is>
      </c>
      <c r="B1608" s="1" t="n">
        <v>45939.65457175926</v>
      </c>
      <c r="C1608" s="1" t="n">
        <v>45991</v>
      </c>
      <c r="D1608" t="inlineStr">
        <is>
          <t>VÄSTERBOTTENS LÄN</t>
        </is>
      </c>
      <c r="E1608" t="inlineStr">
        <is>
          <t>SKELLEFTEÅ</t>
        </is>
      </c>
      <c r="F1608" t="inlineStr">
        <is>
          <t>Holmen skog AB</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57685-2025</t>
        </is>
      </c>
      <c r="B1609" s="1" t="n">
        <v>45980.31484953704</v>
      </c>
      <c r="C1609" s="1" t="n">
        <v>45991</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57378-2025</t>
        </is>
      </c>
      <c r="B1610" s="1" t="n">
        <v>45980.40011574074</v>
      </c>
      <c r="C1610" s="1" t="n">
        <v>45991</v>
      </c>
      <c r="D1610" t="inlineStr">
        <is>
          <t>VÄSTERBOTTENS LÄN</t>
        </is>
      </c>
      <c r="E1610" t="inlineStr">
        <is>
          <t>SKELLEFTEÅ</t>
        </is>
      </c>
      <c r="F1610" t="inlineStr">
        <is>
          <t>Sveaskog</t>
        </is>
      </c>
      <c r="G1610" t="n">
        <v>19.1</v>
      </c>
      <c r="H1610" t="n">
        <v>0</v>
      </c>
      <c r="I1610" t="n">
        <v>0</v>
      </c>
      <c r="J1610" t="n">
        <v>0</v>
      </c>
      <c r="K1610" t="n">
        <v>0</v>
      </c>
      <c r="L1610" t="n">
        <v>0</v>
      </c>
      <c r="M1610" t="n">
        <v>0</v>
      </c>
      <c r="N1610" t="n">
        <v>0</v>
      </c>
      <c r="O1610" t="n">
        <v>0</v>
      </c>
      <c r="P1610" t="n">
        <v>0</v>
      </c>
      <c r="Q1610" t="n">
        <v>0</v>
      </c>
      <c r="R1610" s="2" t="inlineStr"/>
    </row>
    <row r="1611" ht="15" customHeight="1">
      <c r="A1611" t="inlineStr">
        <is>
          <t>A 32279-2022</t>
        </is>
      </c>
      <c r="B1611" s="1" t="n">
        <v>44781</v>
      </c>
      <c r="C1611" s="1" t="n">
        <v>45991</v>
      </c>
      <c r="D1611" t="inlineStr">
        <is>
          <t>VÄSTERBOTTENS LÄN</t>
        </is>
      </c>
      <c r="E1611" t="inlineStr">
        <is>
          <t>SKELLEFTEÅ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49299-2025</t>
        </is>
      </c>
      <c r="B1612" s="1" t="n">
        <v>45938.54065972222</v>
      </c>
      <c r="C1612" s="1" t="n">
        <v>45991</v>
      </c>
      <c r="D1612" t="inlineStr">
        <is>
          <t>VÄSTERBOTTENS LÄN</t>
        </is>
      </c>
      <c r="E1612" t="inlineStr">
        <is>
          <t>SKELLEFTEÅ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1321-2025</t>
        </is>
      </c>
      <c r="B1613" s="1" t="n">
        <v>45667</v>
      </c>
      <c r="C1613" s="1" t="n">
        <v>45991</v>
      </c>
      <c r="D1613" t="inlineStr">
        <is>
          <t>VÄSTERBOTTENS LÄN</t>
        </is>
      </c>
      <c r="E1613" t="inlineStr">
        <is>
          <t>SKELLEFTEÅ</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1362-2025</t>
        </is>
      </c>
      <c r="B1614" s="1" t="n">
        <v>45667.63641203703</v>
      </c>
      <c r="C1614" s="1" t="n">
        <v>45991</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1367-2025</t>
        </is>
      </c>
      <c r="B1615" s="1" t="n">
        <v>45667.64177083333</v>
      </c>
      <c r="C1615" s="1" t="n">
        <v>45991</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2087-2025</t>
        </is>
      </c>
      <c r="B1616" s="1" t="n">
        <v>45672.59090277777</v>
      </c>
      <c r="C1616" s="1" t="n">
        <v>45991</v>
      </c>
      <c r="D1616" t="inlineStr">
        <is>
          <t>VÄSTERBOTTENS LÄN</t>
        </is>
      </c>
      <c r="E1616" t="inlineStr">
        <is>
          <t>SKELLEFTEÅ</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49184-2025</t>
        </is>
      </c>
      <c r="B1617" s="1" t="n">
        <v>45938.39759259259</v>
      </c>
      <c r="C1617" s="1" t="n">
        <v>45991</v>
      </c>
      <c r="D1617" t="inlineStr">
        <is>
          <t>VÄSTERBOTTENS LÄN</t>
        </is>
      </c>
      <c r="E1617" t="inlineStr">
        <is>
          <t>SKELLEFTEÅ</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49461-2025</t>
        </is>
      </c>
      <c r="B1618" s="1" t="n">
        <v>45939.32128472222</v>
      </c>
      <c r="C1618" s="1" t="n">
        <v>45991</v>
      </c>
      <c r="D1618" t="inlineStr">
        <is>
          <t>VÄSTERBOTTENS LÄN</t>
        </is>
      </c>
      <c r="E1618" t="inlineStr">
        <is>
          <t>SKELLEFTEÅ</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12772-2024</t>
        </is>
      </c>
      <c r="B1619" s="1" t="n">
        <v>45384</v>
      </c>
      <c r="C1619" s="1" t="n">
        <v>45991</v>
      </c>
      <c r="D1619" t="inlineStr">
        <is>
          <t>VÄSTERBOTTENS LÄN</t>
        </is>
      </c>
      <c r="E1619" t="inlineStr">
        <is>
          <t>SKELLEFTEÅ</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65382-2020</t>
        </is>
      </c>
      <c r="B1620" s="1" t="n">
        <v>44173</v>
      </c>
      <c r="C1620" s="1" t="n">
        <v>45991</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57382-2025</t>
        </is>
      </c>
      <c r="B1621" s="1" t="n">
        <v>45980.40696759259</v>
      </c>
      <c r="C1621" s="1" t="n">
        <v>45991</v>
      </c>
      <c r="D1621" t="inlineStr">
        <is>
          <t>VÄSTERBOTTENS LÄN</t>
        </is>
      </c>
      <c r="E1621" t="inlineStr">
        <is>
          <t>SKELLEFTEÅ</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57449-2025</t>
        </is>
      </c>
      <c r="B1622" s="1" t="n">
        <v>45979</v>
      </c>
      <c r="C1622" s="1" t="n">
        <v>45991</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18291-2025</t>
        </is>
      </c>
      <c r="B1623" s="1" t="n">
        <v>45762.41027777778</v>
      </c>
      <c r="C1623" s="1" t="n">
        <v>45991</v>
      </c>
      <c r="D1623" t="inlineStr">
        <is>
          <t>VÄSTERBOTTENS LÄN</t>
        </is>
      </c>
      <c r="E1623" t="inlineStr">
        <is>
          <t>SKELLEFTEÅ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2439-2023</t>
        </is>
      </c>
      <c r="B1624" s="1" t="n">
        <v>44942</v>
      </c>
      <c r="C1624" s="1" t="n">
        <v>45991</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57521-2025</t>
        </is>
      </c>
      <c r="B1625" s="1" t="n">
        <v>45980.62366898148</v>
      </c>
      <c r="C1625" s="1" t="n">
        <v>45991</v>
      </c>
      <c r="D1625" t="inlineStr">
        <is>
          <t>VÄSTERBOTTENS LÄN</t>
        </is>
      </c>
      <c r="E1625" t="inlineStr">
        <is>
          <t>SKELLEFTEÅ</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1612-2023</t>
        </is>
      </c>
      <c r="B1626" s="1" t="n">
        <v>44935</v>
      </c>
      <c r="C1626" s="1" t="n">
        <v>45991</v>
      </c>
      <c r="D1626" t="inlineStr">
        <is>
          <t>VÄSTERBOTTENS LÄN</t>
        </is>
      </c>
      <c r="E1626" t="inlineStr">
        <is>
          <t>SKELLEFTEÅ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67678-2020</t>
        </is>
      </c>
      <c r="B1627" s="1" t="n">
        <v>44182</v>
      </c>
      <c r="C1627" s="1" t="n">
        <v>45991</v>
      </c>
      <c r="D1627" t="inlineStr">
        <is>
          <t>VÄSTERBOTTENS LÄN</t>
        </is>
      </c>
      <c r="E1627" t="inlineStr">
        <is>
          <t>SKELLEFTEÅ</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57797-2025</t>
        </is>
      </c>
      <c r="B1628" s="1" t="n">
        <v>45981.5828587963</v>
      </c>
      <c r="C1628" s="1" t="n">
        <v>45991</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4005-2022</t>
        </is>
      </c>
      <c r="B1629" s="1" t="n">
        <v>44587.92012731481</v>
      </c>
      <c r="C1629" s="1" t="n">
        <v>45991</v>
      </c>
      <c r="D1629" t="inlineStr">
        <is>
          <t>VÄSTERBOTTENS LÄN</t>
        </is>
      </c>
      <c r="E1629" t="inlineStr">
        <is>
          <t>SKELLEFTEÅ</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63010-2023</t>
        </is>
      </c>
      <c r="B1630" s="1" t="n">
        <v>45272</v>
      </c>
      <c r="C1630" s="1" t="n">
        <v>45991</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57249-2025</t>
        </is>
      </c>
      <c r="B1631" s="1" t="n">
        <v>45979.63585648148</v>
      </c>
      <c r="C1631" s="1" t="n">
        <v>45991</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57406-2025</t>
        </is>
      </c>
      <c r="B1632" s="1" t="n">
        <v>45980.44347222222</v>
      </c>
      <c r="C1632" s="1" t="n">
        <v>45991</v>
      </c>
      <c r="D1632" t="inlineStr">
        <is>
          <t>VÄSTERBOTTENS LÄN</t>
        </is>
      </c>
      <c r="E1632" t="inlineStr">
        <is>
          <t>SKELLEFTEÅ</t>
        </is>
      </c>
      <c r="G1632" t="n">
        <v>18.7</v>
      </c>
      <c r="H1632" t="n">
        <v>0</v>
      </c>
      <c r="I1632" t="n">
        <v>0</v>
      </c>
      <c r="J1632" t="n">
        <v>0</v>
      </c>
      <c r="K1632" t="n">
        <v>0</v>
      </c>
      <c r="L1632" t="n">
        <v>0</v>
      </c>
      <c r="M1632" t="n">
        <v>0</v>
      </c>
      <c r="N1632" t="n">
        <v>0</v>
      </c>
      <c r="O1632" t="n">
        <v>0</v>
      </c>
      <c r="P1632" t="n">
        <v>0</v>
      </c>
      <c r="Q1632" t="n">
        <v>0</v>
      </c>
      <c r="R1632" s="2" t="inlineStr"/>
    </row>
    <row r="1633" ht="15" customHeight="1">
      <c r="A1633" t="inlineStr">
        <is>
          <t>A 57683-2025</t>
        </is>
      </c>
      <c r="B1633" s="1" t="n">
        <v>45981.43561342593</v>
      </c>
      <c r="C1633" s="1" t="n">
        <v>45991</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9079-2023</t>
        </is>
      </c>
      <c r="B1634" s="1" t="n">
        <v>44979.92408564815</v>
      </c>
      <c r="C1634" s="1" t="n">
        <v>45991</v>
      </c>
      <c r="D1634" t="inlineStr">
        <is>
          <t>VÄSTERBOTTENS LÄN</t>
        </is>
      </c>
      <c r="E1634" t="inlineStr">
        <is>
          <t>SKELLEFTEÅ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57691-2025</t>
        </is>
      </c>
      <c r="B1635" s="1" t="n">
        <v>45981.44681712963</v>
      </c>
      <c r="C1635" s="1" t="n">
        <v>45991</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57630-2025</t>
        </is>
      </c>
      <c r="B1636" s="1" t="n">
        <v>45981.34608796296</v>
      </c>
      <c r="C1636" s="1" t="n">
        <v>45991</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31760-2023</t>
        </is>
      </c>
      <c r="B1637" s="1" t="n">
        <v>45106</v>
      </c>
      <c r="C1637" s="1" t="n">
        <v>45991</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58060-2025</t>
        </is>
      </c>
      <c r="B1638" s="1" t="n">
        <v>45982.53171296296</v>
      </c>
      <c r="C1638" s="1" t="n">
        <v>45991</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58061-2025</t>
        </is>
      </c>
      <c r="B1639" s="1" t="n">
        <v>45982.53173611111</v>
      </c>
      <c r="C1639" s="1" t="n">
        <v>45991</v>
      </c>
      <c r="D1639" t="inlineStr">
        <is>
          <t>VÄSTERBOTTENS LÄN</t>
        </is>
      </c>
      <c r="E1639" t="inlineStr">
        <is>
          <t>SKELLEFTEÅ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20193-2025</t>
        </is>
      </c>
      <c r="B1640" s="1" t="n">
        <v>45772</v>
      </c>
      <c r="C1640" s="1" t="n">
        <v>45991</v>
      </c>
      <c r="D1640" t="inlineStr">
        <is>
          <t>VÄSTERBOTTENS LÄN</t>
        </is>
      </c>
      <c r="E1640" t="inlineStr">
        <is>
          <t>SKELLEFTEÅ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58068-2025</t>
        </is>
      </c>
      <c r="B1641" s="1" t="n">
        <v>45982.54613425926</v>
      </c>
      <c r="C1641" s="1" t="n">
        <v>45991</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40787-2024</t>
        </is>
      </c>
      <c r="B1642" s="1" t="n">
        <v>45558</v>
      </c>
      <c r="C1642" s="1" t="n">
        <v>45991</v>
      </c>
      <c r="D1642" t="inlineStr">
        <is>
          <t>VÄSTERBOTTENS LÄN</t>
        </is>
      </c>
      <c r="E1642" t="inlineStr">
        <is>
          <t>SKELLEFTEÅ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20218-2025</t>
        </is>
      </c>
      <c r="B1643" s="1" t="n">
        <v>45772</v>
      </c>
      <c r="C1643" s="1" t="n">
        <v>45991</v>
      </c>
      <c r="D1643" t="inlineStr">
        <is>
          <t>VÄSTERBOTTENS LÄN</t>
        </is>
      </c>
      <c r="E1643" t="inlineStr">
        <is>
          <t>SKELLEFTEÅ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50158-2025</t>
        </is>
      </c>
      <c r="B1644" s="1" t="n">
        <v>45943.58369212963</v>
      </c>
      <c r="C1644" s="1" t="n">
        <v>45991</v>
      </c>
      <c r="D1644" t="inlineStr">
        <is>
          <t>VÄSTERBOTTENS LÄN</t>
        </is>
      </c>
      <c r="E1644" t="inlineStr">
        <is>
          <t>SKELLEFTEÅ</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42787-2023</t>
        </is>
      </c>
      <c r="B1645" s="1" t="n">
        <v>45181</v>
      </c>
      <c r="C1645" s="1" t="n">
        <v>45991</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49970-2025</t>
        </is>
      </c>
      <c r="B1646" s="1" t="n">
        <v>45941.82208333333</v>
      </c>
      <c r="C1646" s="1" t="n">
        <v>45991</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49840-2025</t>
        </is>
      </c>
      <c r="B1647" s="1" t="n">
        <v>45940.46934027778</v>
      </c>
      <c r="C1647" s="1" t="n">
        <v>45991</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22548-2023</t>
        </is>
      </c>
      <c r="B1648" s="1" t="n">
        <v>45069</v>
      </c>
      <c r="C1648" s="1" t="n">
        <v>45991</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14756-2022</t>
        </is>
      </c>
      <c r="B1649" s="1" t="n">
        <v>44656</v>
      </c>
      <c r="C1649" s="1" t="n">
        <v>45991</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58070-2025</t>
        </is>
      </c>
      <c r="B1650" s="1" t="n">
        <v>45982.55038194444</v>
      </c>
      <c r="C1650" s="1" t="n">
        <v>45991</v>
      </c>
      <c r="D1650" t="inlineStr">
        <is>
          <t>VÄSTERBOTTENS LÄN</t>
        </is>
      </c>
      <c r="E1650" t="inlineStr">
        <is>
          <t>SKELLEFTEÅ</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53639-2022</t>
        </is>
      </c>
      <c r="B1651" s="1" t="n">
        <v>44879.92975694445</v>
      </c>
      <c r="C1651" s="1" t="n">
        <v>45991</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26473-2021</t>
        </is>
      </c>
      <c r="B1652" s="1" t="n">
        <v>44348</v>
      </c>
      <c r="C1652" s="1" t="n">
        <v>45991</v>
      </c>
      <c r="D1652" t="inlineStr">
        <is>
          <t>VÄSTERBOTTENS LÄN</t>
        </is>
      </c>
      <c r="E1652" t="inlineStr">
        <is>
          <t>SKELLEFTEÅ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18498-2025</t>
        </is>
      </c>
      <c r="B1653" s="1" t="n">
        <v>45763.35789351852</v>
      </c>
      <c r="C1653" s="1" t="n">
        <v>45991</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57989-2025</t>
        </is>
      </c>
      <c r="B1654" s="1" t="n">
        <v>45982.42314814815</v>
      </c>
      <c r="C1654" s="1" t="n">
        <v>45991</v>
      </c>
      <c r="D1654" t="inlineStr">
        <is>
          <t>VÄSTERBOTTENS LÄN</t>
        </is>
      </c>
      <c r="E1654" t="inlineStr">
        <is>
          <t>SKELLEFTEÅ</t>
        </is>
      </c>
      <c r="F1654" t="inlineStr">
        <is>
          <t>Sveaskog</t>
        </is>
      </c>
      <c r="G1654" t="n">
        <v>20.8</v>
      </c>
      <c r="H1654" t="n">
        <v>0</v>
      </c>
      <c r="I1654" t="n">
        <v>0</v>
      </c>
      <c r="J1654" t="n">
        <v>0</v>
      </c>
      <c r="K1654" t="n">
        <v>0</v>
      </c>
      <c r="L1654" t="n">
        <v>0</v>
      </c>
      <c r="M1654" t="n">
        <v>0</v>
      </c>
      <c r="N1654" t="n">
        <v>0</v>
      </c>
      <c r="O1654" t="n">
        <v>0</v>
      </c>
      <c r="P1654" t="n">
        <v>0</v>
      </c>
      <c r="Q1654" t="n">
        <v>0</v>
      </c>
      <c r="R1654" s="2" t="inlineStr"/>
    </row>
    <row r="1655" ht="15" customHeight="1">
      <c r="A1655" t="inlineStr">
        <is>
          <t>A 58409-2025</t>
        </is>
      </c>
      <c r="B1655" s="1" t="n">
        <v>45985.57230324074</v>
      </c>
      <c r="C1655" s="1" t="n">
        <v>45991</v>
      </c>
      <c r="D1655" t="inlineStr">
        <is>
          <t>VÄSTERBOTTENS LÄN</t>
        </is>
      </c>
      <c r="E1655" t="inlineStr">
        <is>
          <t>SKELLEFTEÅ</t>
        </is>
      </c>
      <c r="F1655" t="inlineStr">
        <is>
          <t>Sveaskog</t>
        </is>
      </c>
      <c r="G1655" t="n">
        <v>20.8</v>
      </c>
      <c r="H1655" t="n">
        <v>0</v>
      </c>
      <c r="I1655" t="n">
        <v>0</v>
      </c>
      <c r="J1655" t="n">
        <v>0</v>
      </c>
      <c r="K1655" t="n">
        <v>0</v>
      </c>
      <c r="L1655" t="n">
        <v>0</v>
      </c>
      <c r="M1655" t="n">
        <v>0</v>
      </c>
      <c r="N1655" t="n">
        <v>0</v>
      </c>
      <c r="O1655" t="n">
        <v>0</v>
      </c>
      <c r="P1655" t="n">
        <v>0</v>
      </c>
      <c r="Q1655" t="n">
        <v>0</v>
      </c>
      <c r="R1655" s="2" t="inlineStr"/>
    </row>
    <row r="1656" ht="15" customHeight="1">
      <c r="A1656" t="inlineStr">
        <is>
          <t>A 50039-2025</t>
        </is>
      </c>
      <c r="B1656" s="1" t="n">
        <v>45943.40211805556</v>
      </c>
      <c r="C1656" s="1" t="n">
        <v>45991</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21836-2024</t>
        </is>
      </c>
      <c r="B1657" s="1" t="n">
        <v>45442.93028935185</v>
      </c>
      <c r="C1657" s="1" t="n">
        <v>45991</v>
      </c>
      <c r="D1657" t="inlineStr">
        <is>
          <t>VÄSTERBOTTENS LÄN</t>
        </is>
      </c>
      <c r="E1657" t="inlineStr">
        <is>
          <t>SKELLEFTEÅ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25634-2023</t>
        </is>
      </c>
      <c r="B1658" s="1" t="n">
        <v>45084</v>
      </c>
      <c r="C1658" s="1" t="n">
        <v>45991</v>
      </c>
      <c r="D1658" t="inlineStr">
        <is>
          <t>VÄSTERBOTTENS LÄN</t>
        </is>
      </c>
      <c r="E1658" t="inlineStr">
        <is>
          <t>SKELLEFTEÅ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50036-2025</t>
        </is>
      </c>
      <c r="B1659" s="1" t="n">
        <v>45943.39673611111</v>
      </c>
      <c r="C1659" s="1" t="n">
        <v>45991</v>
      </c>
      <c r="D1659" t="inlineStr">
        <is>
          <t>VÄSTERBOTTENS LÄN</t>
        </is>
      </c>
      <c r="E1659" t="inlineStr">
        <is>
          <t>SKELLEFTEÅ</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8821-2025</t>
        </is>
      </c>
      <c r="B1660" s="1" t="n">
        <v>45712.77956018518</v>
      </c>
      <c r="C1660" s="1" t="n">
        <v>45991</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49356-2024</t>
        </is>
      </c>
      <c r="B1661" s="1" t="n">
        <v>45595</v>
      </c>
      <c r="C1661" s="1" t="n">
        <v>45991</v>
      </c>
      <c r="D1661" t="inlineStr">
        <is>
          <t>VÄSTERBOTTENS LÄN</t>
        </is>
      </c>
      <c r="E1661" t="inlineStr">
        <is>
          <t>SKELLEFTEÅ</t>
        </is>
      </c>
      <c r="F1661" t="inlineStr">
        <is>
          <t>Sveaskog</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58052-2025</t>
        </is>
      </c>
      <c r="B1662" s="1" t="n">
        <v>45982.51892361111</v>
      </c>
      <c r="C1662" s="1" t="n">
        <v>45991</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47874-2025</t>
        </is>
      </c>
      <c r="B1663" s="1" t="n">
        <v>45932</v>
      </c>
      <c r="C1663" s="1" t="n">
        <v>45991</v>
      </c>
      <c r="D1663" t="inlineStr">
        <is>
          <t>VÄSTERBOTTENS LÄN</t>
        </is>
      </c>
      <c r="E1663" t="inlineStr">
        <is>
          <t>SKELLEFTEÅ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5239-2024</t>
        </is>
      </c>
      <c r="B1664" s="1" t="n">
        <v>45330.85105324074</v>
      </c>
      <c r="C1664" s="1" t="n">
        <v>45991</v>
      </c>
      <c r="D1664" t="inlineStr">
        <is>
          <t>VÄSTERBOTTENS LÄN</t>
        </is>
      </c>
      <c r="E1664" t="inlineStr">
        <is>
          <t>SKELLEFTEÅ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50166-2025</t>
        </is>
      </c>
      <c r="B1665" s="1" t="n">
        <v>45943</v>
      </c>
      <c r="C1665" s="1" t="n">
        <v>45991</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39590-2021</t>
        </is>
      </c>
      <c r="B1666" s="1" t="n">
        <v>44413</v>
      </c>
      <c r="C1666" s="1" t="n">
        <v>45991</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49839-2025</t>
        </is>
      </c>
      <c r="B1667" s="1" t="n">
        <v>45940.4693287037</v>
      </c>
      <c r="C1667" s="1" t="n">
        <v>45991</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58213-2025</t>
        </is>
      </c>
      <c r="B1668" s="1" t="n">
        <v>45985.3491087963</v>
      </c>
      <c r="C1668" s="1" t="n">
        <v>45991</v>
      </c>
      <c r="D1668" t="inlineStr">
        <is>
          <t>VÄSTERBOTTENS LÄN</t>
        </is>
      </c>
      <c r="E1668" t="inlineStr">
        <is>
          <t>SKELLEFTEÅ</t>
        </is>
      </c>
      <c r="F1668" t="inlineStr">
        <is>
          <t>Sveaskog</t>
        </is>
      </c>
      <c r="G1668" t="n">
        <v>22.1</v>
      </c>
      <c r="H1668" t="n">
        <v>0</v>
      </c>
      <c r="I1668" t="n">
        <v>0</v>
      </c>
      <c r="J1668" t="n">
        <v>0</v>
      </c>
      <c r="K1668" t="n">
        <v>0</v>
      </c>
      <c r="L1668" t="n">
        <v>0</v>
      </c>
      <c r="M1668" t="n">
        <v>0</v>
      </c>
      <c r="N1668" t="n">
        <v>0</v>
      </c>
      <c r="O1668" t="n">
        <v>0</v>
      </c>
      <c r="P1668" t="n">
        <v>0</v>
      </c>
      <c r="Q1668" t="n">
        <v>0</v>
      </c>
      <c r="R1668" s="2" t="inlineStr"/>
    </row>
    <row r="1669" ht="15" customHeight="1">
      <c r="A1669" t="inlineStr">
        <is>
          <t>A 58084-2025</t>
        </is>
      </c>
      <c r="B1669" s="1" t="n">
        <v>45982.56637731481</v>
      </c>
      <c r="C1669" s="1" t="n">
        <v>45991</v>
      </c>
      <c r="D1669" t="inlineStr">
        <is>
          <t>VÄSTERBOTTENS LÄN</t>
        </is>
      </c>
      <c r="E1669" t="inlineStr">
        <is>
          <t>SKELLEFTEÅ</t>
        </is>
      </c>
      <c r="G1669" t="n">
        <v>19.7</v>
      </c>
      <c r="H1669" t="n">
        <v>0</v>
      </c>
      <c r="I1669" t="n">
        <v>0</v>
      </c>
      <c r="J1669" t="n">
        <v>0</v>
      </c>
      <c r="K1669" t="n">
        <v>0</v>
      </c>
      <c r="L1669" t="n">
        <v>0</v>
      </c>
      <c r="M1669" t="n">
        <v>0</v>
      </c>
      <c r="N1669" t="n">
        <v>0</v>
      </c>
      <c r="O1669" t="n">
        <v>0</v>
      </c>
      <c r="P1669" t="n">
        <v>0</v>
      </c>
      <c r="Q1669" t="n">
        <v>0</v>
      </c>
      <c r="R1669" s="2" t="inlineStr"/>
    </row>
    <row r="1670" ht="15" customHeight="1">
      <c r="A1670" t="inlineStr">
        <is>
          <t>A 16410-2025</t>
        </is>
      </c>
      <c r="B1670" s="1" t="n">
        <v>45751</v>
      </c>
      <c r="C1670" s="1" t="n">
        <v>45991</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c r="U1670">
        <f>HYPERLINK("https://klasma.github.io/Logging_2482/knärot/A 16410-2025 karta knärot.png", "A 16410-2025")</f>
        <v/>
      </c>
      <c r="V1670">
        <f>HYPERLINK("https://klasma.github.io/Logging_2482/klagomål/A 16410-2025 FSC-klagomål.docx", "A 16410-2025")</f>
        <v/>
      </c>
      <c r="W1670">
        <f>HYPERLINK("https://klasma.github.io/Logging_2482/klagomålsmail/A 16410-2025 FSC-klagomål mail.docx", "A 16410-2025")</f>
        <v/>
      </c>
      <c r="X1670">
        <f>HYPERLINK("https://klasma.github.io/Logging_2482/tillsyn/A 16410-2025 tillsynsbegäran.docx", "A 16410-2025")</f>
        <v/>
      </c>
      <c r="Y1670">
        <f>HYPERLINK("https://klasma.github.io/Logging_2482/tillsynsmail/A 16410-2025 tillsynsbegäran mail.docx", "A 16410-2025")</f>
        <v/>
      </c>
    </row>
    <row r="1671" ht="15" customHeight="1">
      <c r="A1671" t="inlineStr">
        <is>
          <t>A 22758-2022</t>
        </is>
      </c>
      <c r="B1671" s="1" t="n">
        <v>44714</v>
      </c>
      <c r="C1671" s="1" t="n">
        <v>45991</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35731-2023</t>
        </is>
      </c>
      <c r="B1672" s="1" t="n">
        <v>45147</v>
      </c>
      <c r="C1672" s="1" t="n">
        <v>45991</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36493-2023</t>
        </is>
      </c>
      <c r="B1673" s="1" t="n">
        <v>45152.92484953703</v>
      </c>
      <c r="C1673" s="1" t="n">
        <v>45991</v>
      </c>
      <c r="D1673" t="inlineStr">
        <is>
          <t>VÄSTERBOTTENS LÄN</t>
        </is>
      </c>
      <c r="E1673" t="inlineStr">
        <is>
          <t>SKELLEFTEÅ</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36495-2023</t>
        </is>
      </c>
      <c r="B1674" s="1" t="n">
        <v>45152.92496527778</v>
      </c>
      <c r="C1674" s="1" t="n">
        <v>45991</v>
      </c>
      <c r="D1674" t="inlineStr">
        <is>
          <t>VÄSTERBOTTENS LÄN</t>
        </is>
      </c>
      <c r="E1674" t="inlineStr">
        <is>
          <t>SKELLEFTEÅ</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45407-2024</t>
        </is>
      </c>
      <c r="B1675" s="1" t="n">
        <v>45576.58652777778</v>
      </c>
      <c r="C1675" s="1" t="n">
        <v>45991</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39589-2023</t>
        </is>
      </c>
      <c r="B1676" s="1" t="n">
        <v>45167.44805555556</v>
      </c>
      <c r="C1676" s="1" t="n">
        <v>45991</v>
      </c>
      <c r="D1676" t="inlineStr">
        <is>
          <t>VÄSTERBOTTENS LÄN</t>
        </is>
      </c>
      <c r="E1676" t="inlineStr">
        <is>
          <t>SKELLEFTEÅ</t>
        </is>
      </c>
      <c r="F1676" t="inlineStr">
        <is>
          <t>Holmen skog AB</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9080-2023</t>
        </is>
      </c>
      <c r="B1677" s="1" t="n">
        <v>44979</v>
      </c>
      <c r="C1677" s="1" t="n">
        <v>45991</v>
      </c>
      <c r="D1677" t="inlineStr">
        <is>
          <t>VÄSTERBOTTENS LÄN</t>
        </is>
      </c>
      <c r="E1677" t="inlineStr">
        <is>
          <t>SKELLEFTEÅ</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38450-2023</t>
        </is>
      </c>
      <c r="B1678" s="1" t="n">
        <v>45162</v>
      </c>
      <c r="C1678" s="1" t="n">
        <v>45991</v>
      </c>
      <c r="D1678" t="inlineStr">
        <is>
          <t>VÄSTERBOTTENS LÄN</t>
        </is>
      </c>
      <c r="E1678" t="inlineStr">
        <is>
          <t>SKELLEFTEÅ</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21265-2021</t>
        </is>
      </c>
      <c r="B1679" s="1" t="n">
        <v>44320.5741087963</v>
      </c>
      <c r="C1679" s="1" t="n">
        <v>45991</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58054-2025</t>
        </is>
      </c>
      <c r="B1680" s="1" t="n">
        <v>45982.52274305555</v>
      </c>
      <c r="C1680" s="1" t="n">
        <v>45991</v>
      </c>
      <c r="D1680" t="inlineStr">
        <is>
          <t>VÄSTERBOTTENS LÄN</t>
        </is>
      </c>
      <c r="E1680" t="inlineStr">
        <is>
          <t>SKELLEFTEÅ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58105-2025</t>
        </is>
      </c>
      <c r="B1681" s="1" t="n">
        <v>45982.59347222222</v>
      </c>
      <c r="C1681" s="1" t="n">
        <v>45991</v>
      </c>
      <c r="D1681" t="inlineStr">
        <is>
          <t>VÄSTERBOTTENS LÄN</t>
        </is>
      </c>
      <c r="E1681" t="inlineStr">
        <is>
          <t>SKELLEFTEÅ</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14341-2023</t>
        </is>
      </c>
      <c r="B1682" s="1" t="n">
        <v>45009</v>
      </c>
      <c r="C1682" s="1" t="n">
        <v>45991</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5143-2021</t>
        </is>
      </c>
      <c r="B1683" s="1" t="n">
        <v>44228</v>
      </c>
      <c r="C1683" s="1" t="n">
        <v>45991</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2279-2025</t>
        </is>
      </c>
      <c r="B1684" s="1" t="n">
        <v>45673.56776620371</v>
      </c>
      <c r="C1684" s="1" t="n">
        <v>45991</v>
      </c>
      <c r="D1684" t="inlineStr">
        <is>
          <t>VÄSTERBOTTENS LÄN</t>
        </is>
      </c>
      <c r="E1684" t="inlineStr">
        <is>
          <t>SKELLEFTEÅ</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50037-2025</t>
        </is>
      </c>
      <c r="B1685" s="1" t="n">
        <v>45943</v>
      </c>
      <c r="C1685" s="1" t="n">
        <v>45991</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50061-2025</t>
        </is>
      </c>
      <c r="B1686" s="1" t="n">
        <v>45943.44413194444</v>
      </c>
      <c r="C1686" s="1" t="n">
        <v>45991</v>
      </c>
      <c r="D1686" t="inlineStr">
        <is>
          <t>VÄSTERBOTTENS LÄN</t>
        </is>
      </c>
      <c r="E1686" t="inlineStr">
        <is>
          <t>SKELLEFTEÅ</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904-2023</t>
        </is>
      </c>
      <c r="B1687" s="1" t="n">
        <v>44931</v>
      </c>
      <c r="C1687" s="1" t="n">
        <v>45991</v>
      </c>
      <c r="D1687" t="inlineStr">
        <is>
          <t>VÄSTERBOTTENS LÄN</t>
        </is>
      </c>
      <c r="E1687" t="inlineStr">
        <is>
          <t>SKELLEFTEÅ</t>
        </is>
      </c>
      <c r="G1687" t="n">
        <v>22.2</v>
      </c>
      <c r="H1687" t="n">
        <v>0</v>
      </c>
      <c r="I1687" t="n">
        <v>0</v>
      </c>
      <c r="J1687" t="n">
        <v>0</v>
      </c>
      <c r="K1687" t="n">
        <v>0</v>
      </c>
      <c r="L1687" t="n">
        <v>0</v>
      </c>
      <c r="M1687" t="n">
        <v>0</v>
      </c>
      <c r="N1687" t="n">
        <v>0</v>
      </c>
      <c r="O1687" t="n">
        <v>0</v>
      </c>
      <c r="P1687" t="n">
        <v>0</v>
      </c>
      <c r="Q1687" t="n">
        <v>0</v>
      </c>
      <c r="R1687" s="2" t="inlineStr"/>
    </row>
    <row r="1688" ht="15" customHeight="1">
      <c r="A1688" t="inlineStr">
        <is>
          <t>A 57967-2025</t>
        </is>
      </c>
      <c r="B1688" s="1" t="n">
        <v>45982.38572916666</v>
      </c>
      <c r="C1688" s="1" t="n">
        <v>45991</v>
      </c>
      <c r="D1688" t="inlineStr">
        <is>
          <t>VÄSTERBOTTENS LÄN</t>
        </is>
      </c>
      <c r="E1688" t="inlineStr">
        <is>
          <t>SKELLEFTEÅ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50060-2025</t>
        </is>
      </c>
      <c r="B1689" s="1" t="n">
        <v>45943.4414699074</v>
      </c>
      <c r="C1689" s="1" t="n">
        <v>45991</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21854-2024</t>
        </is>
      </c>
      <c r="B1690" s="1" t="n">
        <v>45442</v>
      </c>
      <c r="C1690" s="1" t="n">
        <v>45991</v>
      </c>
      <c r="D1690" t="inlineStr">
        <is>
          <t>VÄSTERBOTTENS LÄN</t>
        </is>
      </c>
      <c r="E1690" t="inlineStr">
        <is>
          <t>SKELLEFTEÅ</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42861-2024</t>
        </is>
      </c>
      <c r="B1691" s="1" t="n">
        <v>45566.65780092592</v>
      </c>
      <c r="C1691" s="1" t="n">
        <v>45991</v>
      </c>
      <c r="D1691" t="inlineStr">
        <is>
          <t>VÄSTERBOTTENS LÄN</t>
        </is>
      </c>
      <c r="E1691" t="inlineStr">
        <is>
          <t>SKELLEFTEÅ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10696-2023</t>
        </is>
      </c>
      <c r="B1692" s="1" t="n">
        <v>44984</v>
      </c>
      <c r="C1692" s="1" t="n">
        <v>45991</v>
      </c>
      <c r="D1692" t="inlineStr">
        <is>
          <t>VÄSTERBOTTENS LÄN</t>
        </is>
      </c>
      <c r="E1692" t="inlineStr">
        <is>
          <t>SKELLEFTEÅ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49971-2025</t>
        </is>
      </c>
      <c r="B1693" s="1" t="n">
        <v>45941.83613425926</v>
      </c>
      <c r="C1693" s="1" t="n">
        <v>45991</v>
      </c>
      <c r="D1693" t="inlineStr">
        <is>
          <t>VÄSTERBOTTENS LÄN</t>
        </is>
      </c>
      <c r="E1693" t="inlineStr">
        <is>
          <t>SKELLEFTEÅ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49841-2025</t>
        </is>
      </c>
      <c r="B1694" s="1" t="n">
        <v>45940.46938657408</v>
      </c>
      <c r="C1694" s="1" t="n">
        <v>45991</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58872-2021</t>
        </is>
      </c>
      <c r="B1695" s="1" t="n">
        <v>44489</v>
      </c>
      <c r="C1695" s="1" t="n">
        <v>45991</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58358-2025</t>
        </is>
      </c>
      <c r="B1696" s="1" t="n">
        <v>45985.51590277778</v>
      </c>
      <c r="C1696" s="1" t="n">
        <v>45991</v>
      </c>
      <c r="D1696" t="inlineStr">
        <is>
          <t>VÄSTERBOTTENS LÄN</t>
        </is>
      </c>
      <c r="E1696" t="inlineStr">
        <is>
          <t>SKELLEFTEÅ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33268-2022</t>
        </is>
      </c>
      <c r="B1697" s="1" t="n">
        <v>44788.32501157407</v>
      </c>
      <c r="C1697" s="1" t="n">
        <v>45991</v>
      </c>
      <c r="D1697" t="inlineStr">
        <is>
          <t>VÄSTERBOTTENS LÄN</t>
        </is>
      </c>
      <c r="E1697" t="inlineStr">
        <is>
          <t>SKELLEFTEÅ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50235-2025</t>
        </is>
      </c>
      <c r="B1698" s="1" t="n">
        <v>45943.73505787037</v>
      </c>
      <c r="C1698" s="1" t="n">
        <v>45991</v>
      </c>
      <c r="D1698" t="inlineStr">
        <is>
          <t>VÄSTERBOTTENS LÄN</t>
        </is>
      </c>
      <c r="E1698" t="inlineStr">
        <is>
          <t>SKELLEFTEÅ</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29579-2024</t>
        </is>
      </c>
      <c r="B1699" s="1" t="n">
        <v>45484.57260416666</v>
      </c>
      <c r="C1699" s="1" t="n">
        <v>45991</v>
      </c>
      <c r="D1699" t="inlineStr">
        <is>
          <t>VÄSTERBOTTENS LÄN</t>
        </is>
      </c>
      <c r="E1699" t="inlineStr">
        <is>
          <t>SKELLEFTEÅ</t>
        </is>
      </c>
      <c r="F1699" t="inlineStr">
        <is>
          <t>Holmen skog AB</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49731-2024</t>
        </is>
      </c>
      <c r="B1700" s="1" t="n">
        <v>45596</v>
      </c>
      <c r="C1700" s="1" t="n">
        <v>45991</v>
      </c>
      <c r="D1700" t="inlineStr">
        <is>
          <t>VÄSTERBOTTENS LÄN</t>
        </is>
      </c>
      <c r="E1700" t="inlineStr">
        <is>
          <t>SKELLEFTEÅ</t>
        </is>
      </c>
      <c r="F1700" t="inlineStr">
        <is>
          <t>Sveaskog</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55233-2025</t>
        </is>
      </c>
      <c r="B1701" s="1" t="n">
        <v>45968</v>
      </c>
      <c r="C1701" s="1" t="n">
        <v>45991</v>
      </c>
      <c r="D1701" t="inlineStr">
        <is>
          <t>VÄSTERBOTTENS LÄN</t>
        </is>
      </c>
      <c r="E1701" t="inlineStr">
        <is>
          <t>SKELLEFTEÅ</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46565-2024</t>
        </is>
      </c>
      <c r="B1702" s="1" t="n">
        <v>45582</v>
      </c>
      <c r="C1702" s="1" t="n">
        <v>45991</v>
      </c>
      <c r="D1702" t="inlineStr">
        <is>
          <t>VÄSTERBOTTENS LÄN</t>
        </is>
      </c>
      <c r="E1702" t="inlineStr">
        <is>
          <t>SKELLEFTEÅ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1959-2025</t>
        </is>
      </c>
      <c r="B1703" s="1" t="n">
        <v>45671</v>
      </c>
      <c r="C1703" s="1" t="n">
        <v>45991</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5475-2025</t>
        </is>
      </c>
      <c r="B1704" s="1" t="n">
        <v>45693.33069444444</v>
      </c>
      <c r="C1704" s="1" t="n">
        <v>45991</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58829-2024</t>
        </is>
      </c>
      <c r="B1705" s="1" t="n">
        <v>45636</v>
      </c>
      <c r="C1705" s="1" t="n">
        <v>45991</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15116-2025</t>
        </is>
      </c>
      <c r="B1706" s="1" t="n">
        <v>45744.36479166667</v>
      </c>
      <c r="C1706" s="1" t="n">
        <v>45991</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10719-2024</t>
        </is>
      </c>
      <c r="B1707" s="1" t="n">
        <v>45369</v>
      </c>
      <c r="C1707" s="1" t="n">
        <v>45991</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29323-2024</t>
        </is>
      </c>
      <c r="B1708" s="1" t="n">
        <v>45483.43054398148</v>
      </c>
      <c r="C1708" s="1" t="n">
        <v>45991</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16959-2024</t>
        </is>
      </c>
      <c r="B1709" s="1" t="n">
        <v>45411</v>
      </c>
      <c r="C1709" s="1" t="n">
        <v>45991</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20592-2024</t>
        </is>
      </c>
      <c r="B1710" s="1" t="n">
        <v>45436</v>
      </c>
      <c r="C1710" s="1" t="n">
        <v>45991</v>
      </c>
      <c r="D1710" t="inlineStr">
        <is>
          <t>VÄSTERBOTTENS LÄN</t>
        </is>
      </c>
      <c r="E1710" t="inlineStr">
        <is>
          <t>SKELLEFTEÅ</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50336-2025</t>
        </is>
      </c>
      <c r="B1711" s="1" t="n">
        <v>45944</v>
      </c>
      <c r="C1711" s="1" t="n">
        <v>45991</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16604-2025</t>
        </is>
      </c>
      <c r="B1712" s="1" t="n">
        <v>45753</v>
      </c>
      <c r="C1712" s="1" t="n">
        <v>45991</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58976-2025</t>
        </is>
      </c>
      <c r="B1713" s="1" t="n">
        <v>45987.61980324074</v>
      </c>
      <c r="C1713" s="1" t="n">
        <v>45991</v>
      </c>
      <c r="D1713" t="inlineStr">
        <is>
          <t>VÄSTERBOTTENS LÄN</t>
        </is>
      </c>
      <c r="E1713" t="inlineStr">
        <is>
          <t>SKELLEFTEÅ</t>
        </is>
      </c>
      <c r="F1713" t="inlineStr">
        <is>
          <t>Holmen skog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50638-2025</t>
        </is>
      </c>
      <c r="B1714" s="1" t="n">
        <v>45945.65354166667</v>
      </c>
      <c r="C1714" s="1" t="n">
        <v>45991</v>
      </c>
      <c r="D1714" t="inlineStr">
        <is>
          <t>VÄSTERBOTTENS LÄN</t>
        </is>
      </c>
      <c r="E1714" t="inlineStr">
        <is>
          <t>SKELLEFTEÅ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2393-2025</t>
        </is>
      </c>
      <c r="B1715" s="1" t="n">
        <v>45674.33457175926</v>
      </c>
      <c r="C1715" s="1" t="n">
        <v>45991</v>
      </c>
      <c r="D1715" t="inlineStr">
        <is>
          <t>VÄSTERBOTTENS LÄN</t>
        </is>
      </c>
      <c r="E1715" t="inlineStr">
        <is>
          <t>SKELLEFTEÅ</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47062-2024</t>
        </is>
      </c>
      <c r="B1716" s="1" t="n">
        <v>45585</v>
      </c>
      <c r="C1716" s="1" t="n">
        <v>45991</v>
      </c>
      <c r="D1716" t="inlineStr">
        <is>
          <t>VÄSTERBOTTENS LÄN</t>
        </is>
      </c>
      <c r="E1716" t="inlineStr">
        <is>
          <t>SKELLEFTEÅ</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58566-2025</t>
        </is>
      </c>
      <c r="B1717" s="1" t="n">
        <v>45986.36526620371</v>
      </c>
      <c r="C1717" s="1" t="n">
        <v>45991</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50326-2025</t>
        </is>
      </c>
      <c r="B1718" s="1" t="n">
        <v>45944.46233796296</v>
      </c>
      <c r="C1718" s="1" t="n">
        <v>45991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54653-2024</t>
        </is>
      </c>
      <c r="B1719" s="1" t="n">
        <v>45618.30525462963</v>
      </c>
      <c r="C1719" s="1" t="n">
        <v>45991</v>
      </c>
      <c r="D1719" t="inlineStr">
        <is>
          <t>VÄSTERBOTTENS LÄN</t>
        </is>
      </c>
      <c r="E1719" t="inlineStr">
        <is>
          <t>SKELLEFTEÅ</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54660-2024</t>
        </is>
      </c>
      <c r="B1720" s="1" t="n">
        <v>45618.3122337963</v>
      </c>
      <c r="C1720" s="1" t="n">
        <v>45991</v>
      </c>
      <c r="D1720" t="inlineStr">
        <is>
          <t>VÄSTERBOTTENS LÄN</t>
        </is>
      </c>
      <c r="E1720" t="inlineStr">
        <is>
          <t>SKELLEFTEÅ</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50369-2025</t>
        </is>
      </c>
      <c r="B1721" s="1" t="n">
        <v>45944.58130787037</v>
      </c>
      <c r="C1721" s="1" t="n">
        <v>45991</v>
      </c>
      <c r="D1721" t="inlineStr">
        <is>
          <t>VÄSTERBOTTENS LÄN</t>
        </is>
      </c>
      <c r="E1721" t="inlineStr">
        <is>
          <t>SKELLEFTEÅ</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50381-2025</t>
        </is>
      </c>
      <c r="B1722" s="1" t="n">
        <v>45944.59734953703</v>
      </c>
      <c r="C1722" s="1" t="n">
        <v>45991</v>
      </c>
      <c r="D1722" t="inlineStr">
        <is>
          <t>VÄSTERBOTTENS LÄN</t>
        </is>
      </c>
      <c r="E1722" t="inlineStr">
        <is>
          <t>SKELLEFTEÅ</t>
        </is>
      </c>
      <c r="F1722" t="inlineStr">
        <is>
          <t>Holmen skog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38706-2024</t>
        </is>
      </c>
      <c r="B1723" s="1" t="n">
        <v>45547.37357638889</v>
      </c>
      <c r="C1723" s="1" t="n">
        <v>45991</v>
      </c>
      <c r="D1723" t="inlineStr">
        <is>
          <t>VÄSTERBOTTENS LÄN</t>
        </is>
      </c>
      <c r="E1723" t="inlineStr">
        <is>
          <t>SKELLEFTEÅ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60853-2022</t>
        </is>
      </c>
      <c r="B1724" s="1" t="n">
        <v>44914.51908564815</v>
      </c>
      <c r="C1724" s="1" t="n">
        <v>45991</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18578-2024</t>
        </is>
      </c>
      <c r="B1725" s="1" t="n">
        <v>45425</v>
      </c>
      <c r="C1725" s="1" t="n">
        <v>45991</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68251-2021</t>
        </is>
      </c>
      <c r="B1726" s="1" t="n">
        <v>44525</v>
      </c>
      <c r="C1726" s="1" t="n">
        <v>45991</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50299-2025</t>
        </is>
      </c>
      <c r="B1727" s="1" t="n">
        <v>45944.41221064814</v>
      </c>
      <c r="C1727" s="1" t="n">
        <v>45991</v>
      </c>
      <c r="D1727" t="inlineStr">
        <is>
          <t>VÄSTERBOTTENS LÄN</t>
        </is>
      </c>
      <c r="E1727" t="inlineStr">
        <is>
          <t>SKELLEFTEÅ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26293-2025</t>
        </is>
      </c>
      <c r="B1728" s="1" t="n">
        <v>45805</v>
      </c>
      <c r="C1728" s="1" t="n">
        <v>45991</v>
      </c>
      <c r="D1728" t="inlineStr">
        <is>
          <t>VÄSTERBOTTENS LÄN</t>
        </is>
      </c>
      <c r="E1728" t="inlineStr">
        <is>
          <t>SKELLEFTEÅ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36771-2024</t>
        </is>
      </c>
      <c r="B1729" s="1" t="n">
        <v>45538.38226851852</v>
      </c>
      <c r="C1729" s="1" t="n">
        <v>45991</v>
      </c>
      <c r="D1729" t="inlineStr">
        <is>
          <t>VÄSTERBOTTENS LÄN</t>
        </is>
      </c>
      <c r="E1729" t="inlineStr">
        <is>
          <t>SKELLEFTEÅ</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45991</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62028-2022</t>
        </is>
      </c>
      <c r="B1731" s="1" t="n">
        <v>44914</v>
      </c>
      <c r="C1731" s="1" t="n">
        <v>45991</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50506-2025</t>
        </is>
      </c>
      <c r="B1732" s="1" t="n">
        <v>45945.42958333333</v>
      </c>
      <c r="C1732" s="1" t="n">
        <v>45991</v>
      </c>
      <c r="D1732" t="inlineStr">
        <is>
          <t>VÄSTERBOTTENS LÄN</t>
        </is>
      </c>
      <c r="E1732" t="inlineStr">
        <is>
          <t>SKELLEFTEÅ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16198-2022</t>
        </is>
      </c>
      <c r="B1733" s="1" t="n">
        <v>44665</v>
      </c>
      <c r="C1733" s="1" t="n">
        <v>45991</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50507-2025</t>
        </is>
      </c>
      <c r="B1734" s="1" t="n">
        <v>45945.43255787037</v>
      </c>
      <c r="C1734" s="1" t="n">
        <v>45991</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15903-2023</t>
        </is>
      </c>
      <c r="B1735" s="1" t="n">
        <v>45021</v>
      </c>
      <c r="C1735" s="1" t="n">
        <v>45991</v>
      </c>
      <c r="D1735" t="inlineStr">
        <is>
          <t>VÄSTERBOTTENS LÄN</t>
        </is>
      </c>
      <c r="E1735" t="inlineStr">
        <is>
          <t>SKELLEFTEÅ</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58803-2025</t>
        </is>
      </c>
      <c r="B1736" s="1" t="n">
        <v>45986.88215277778</v>
      </c>
      <c r="C1736" s="1" t="n">
        <v>45991</v>
      </c>
      <c r="D1736" t="inlineStr">
        <is>
          <t>VÄSTERBOTTENS LÄN</t>
        </is>
      </c>
      <c r="E1736" t="inlineStr">
        <is>
          <t>SKELLEFTEÅ</t>
        </is>
      </c>
      <c r="F1736" t="inlineStr">
        <is>
          <t>Sveaskog</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16708-2025</t>
        </is>
      </c>
      <c r="B1737" s="1" t="n">
        <v>45751</v>
      </c>
      <c r="C1737" s="1" t="n">
        <v>45991</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58880-2025</t>
        </is>
      </c>
      <c r="B1738" s="1" t="n">
        <v>45987.47384259259</v>
      </c>
      <c r="C1738" s="1" t="n">
        <v>45991</v>
      </c>
      <c r="D1738" t="inlineStr">
        <is>
          <t>VÄSTERBOTTENS LÄN</t>
        </is>
      </c>
      <c r="E1738" t="inlineStr">
        <is>
          <t>SKELLEFTEÅ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3843-2025</t>
        </is>
      </c>
      <c r="B1739" s="1" t="n">
        <v>45683.66033564815</v>
      </c>
      <c r="C1739" s="1" t="n">
        <v>45991</v>
      </c>
      <c r="D1739" t="inlineStr">
        <is>
          <t>VÄSTERBOTTENS LÄN</t>
        </is>
      </c>
      <c r="E1739" t="inlineStr">
        <is>
          <t>SKELLEFTEÅ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36379-2024</t>
        </is>
      </c>
      <c r="B1740" s="1" t="n">
        <v>45534.6965162037</v>
      </c>
      <c r="C1740" s="1" t="n">
        <v>45991</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22618-2022</t>
        </is>
      </c>
      <c r="B1741" s="1" t="n">
        <v>44714</v>
      </c>
      <c r="C1741" s="1" t="n">
        <v>45991</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45418-2024</t>
        </is>
      </c>
      <c r="B1742" s="1" t="n">
        <v>45576.59891203704</v>
      </c>
      <c r="C1742" s="1" t="n">
        <v>45991</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21495-2024</t>
        </is>
      </c>
      <c r="B1743" s="1" t="n">
        <v>45441</v>
      </c>
      <c r="C1743" s="1" t="n">
        <v>45991</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57926-2023</t>
        </is>
      </c>
      <c r="B1744" s="1" t="n">
        <v>45247.54817129629</v>
      </c>
      <c r="C1744" s="1" t="n">
        <v>45991</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55251-2025</t>
        </is>
      </c>
      <c r="B1745" s="1" t="n">
        <v>45968</v>
      </c>
      <c r="C1745" s="1" t="n">
        <v>45991</v>
      </c>
      <c r="D1745" t="inlineStr">
        <is>
          <t>VÄSTERBOTTENS LÄN</t>
        </is>
      </c>
      <c r="E1745" t="inlineStr">
        <is>
          <t>SKELLEFTEÅ</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58572-2025</t>
        </is>
      </c>
      <c r="B1746" s="1" t="n">
        <v>45986.37571759259</v>
      </c>
      <c r="C1746" s="1" t="n">
        <v>45991</v>
      </c>
      <c r="D1746" t="inlineStr">
        <is>
          <t>VÄSTERBOTTENS LÄN</t>
        </is>
      </c>
      <c r="E1746" t="inlineStr">
        <is>
          <t>SKELLEFTEÅ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58862-2025</t>
        </is>
      </c>
      <c r="B1747" s="1" t="n">
        <v>45987.43667824074</v>
      </c>
      <c r="C1747" s="1" t="n">
        <v>45991</v>
      </c>
      <c r="D1747" t="inlineStr">
        <is>
          <t>VÄSTERBOTTENS LÄN</t>
        </is>
      </c>
      <c r="E1747" t="inlineStr">
        <is>
          <t>SKELLEFTEÅ</t>
        </is>
      </c>
      <c r="F1747" t="inlineStr">
        <is>
          <t>Holmen skog AB</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10082-2025</t>
        </is>
      </c>
      <c r="B1748" s="1" t="n">
        <v>45719</v>
      </c>
      <c r="C1748" s="1" t="n">
        <v>45991</v>
      </c>
      <c r="D1748" t="inlineStr">
        <is>
          <t>VÄSTERBOTTENS LÄN</t>
        </is>
      </c>
      <c r="E1748" t="inlineStr">
        <is>
          <t>SKELLEFTEÅ</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50548-2025</t>
        </is>
      </c>
      <c r="B1749" s="1" t="n">
        <v>45945.51137731481</v>
      </c>
      <c r="C1749" s="1" t="n">
        <v>45991</v>
      </c>
      <c r="D1749" t="inlineStr">
        <is>
          <t>VÄSTERBOTTENS LÄN</t>
        </is>
      </c>
      <c r="E1749" t="inlineStr">
        <is>
          <t>SKELLEFTEÅ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12712-2025</t>
        </is>
      </c>
      <c r="B1750" s="1" t="n">
        <v>45733.47311342593</v>
      </c>
      <c r="C1750" s="1" t="n">
        <v>45991</v>
      </c>
      <c r="D1750" t="inlineStr">
        <is>
          <t>VÄSTERBOTTENS LÄN</t>
        </is>
      </c>
      <c r="E1750" t="inlineStr">
        <is>
          <t>SKELLEFTEÅ</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57530-2021</t>
        </is>
      </c>
      <c r="B1751" s="1" t="n">
        <v>44483</v>
      </c>
      <c r="C1751" s="1" t="n">
        <v>45991</v>
      </c>
      <c r="D1751" t="inlineStr">
        <is>
          <t>VÄSTERBOTTENS LÄN</t>
        </is>
      </c>
      <c r="E1751" t="inlineStr">
        <is>
          <t>SKELLEFTEÅ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59033-2025</t>
        </is>
      </c>
      <c r="B1752" s="1" t="n">
        <v>45988.36071759259</v>
      </c>
      <c r="C1752" s="1" t="n">
        <v>45991</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59280-2025</t>
        </is>
      </c>
      <c r="B1753" s="1" t="n">
        <v>45988.72273148148</v>
      </c>
      <c r="C1753" s="1" t="n">
        <v>45991</v>
      </c>
      <c r="D1753" t="inlineStr">
        <is>
          <t>VÄSTERBOTTENS LÄN</t>
        </is>
      </c>
      <c r="E1753" t="inlineStr">
        <is>
          <t>SKELLEFTEÅ</t>
        </is>
      </c>
      <c r="F1753" t="inlineStr">
        <is>
          <t>Sveaskog</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671-2024</t>
        </is>
      </c>
      <c r="B1754" s="1" t="n">
        <v>45299</v>
      </c>
      <c r="C1754" s="1" t="n">
        <v>45991</v>
      </c>
      <c r="D1754" t="inlineStr">
        <is>
          <t>VÄSTERBOTTENS LÄN</t>
        </is>
      </c>
      <c r="E1754" t="inlineStr">
        <is>
          <t>SKELLEFTEÅ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50693-2025</t>
        </is>
      </c>
      <c r="B1755" s="1" t="n">
        <v>45945.85396990741</v>
      </c>
      <c r="C1755" s="1" t="n">
        <v>45991</v>
      </c>
      <c r="D1755" t="inlineStr">
        <is>
          <t>VÄSTERBOTTENS LÄN</t>
        </is>
      </c>
      <c r="E1755" t="inlineStr">
        <is>
          <t>SKELLEFTEÅ</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59224-2025</t>
        </is>
      </c>
      <c r="B1756" s="1" t="n">
        <v>45988.61928240741</v>
      </c>
      <c r="C1756" s="1" t="n">
        <v>45991</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43544-2022</t>
        </is>
      </c>
      <c r="B1757" s="1" t="n">
        <v>44837.42186342592</v>
      </c>
      <c r="C1757" s="1" t="n">
        <v>45991</v>
      </c>
      <c r="D1757" t="inlineStr">
        <is>
          <t>VÄSTERBOTTENS LÄN</t>
        </is>
      </c>
      <c r="E1757" t="inlineStr">
        <is>
          <t>SKELLEFTEÅ</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29164-2022</t>
        </is>
      </c>
      <c r="B1758" s="1" t="n">
        <v>44750.49505787037</v>
      </c>
      <c r="C1758" s="1" t="n">
        <v>45991</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8658-2025</t>
        </is>
      </c>
      <c r="B1759" s="1" t="n">
        <v>45712.38586805556</v>
      </c>
      <c r="C1759" s="1" t="n">
        <v>45991</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59254-2025</t>
        </is>
      </c>
      <c r="B1760" s="1" t="n">
        <v>45988.6530324074</v>
      </c>
      <c r="C1760" s="1" t="n">
        <v>45991</v>
      </c>
      <c r="D1760" t="inlineStr">
        <is>
          <t>VÄSTERBOTTENS LÄN</t>
        </is>
      </c>
      <c r="E1760" t="inlineStr">
        <is>
          <t>SKELLEFTEÅ</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40927-2024</t>
        </is>
      </c>
      <c r="B1761" s="1" t="n">
        <v>45558.64018518518</v>
      </c>
      <c r="C1761" s="1" t="n">
        <v>45991</v>
      </c>
      <c r="D1761" t="inlineStr">
        <is>
          <t>VÄSTERBOTTENS LÄN</t>
        </is>
      </c>
      <c r="E1761" t="inlineStr">
        <is>
          <t>SKELLEFTEÅ</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48264-2023</t>
        </is>
      </c>
      <c r="B1762" s="1" t="n">
        <v>45205.53902777778</v>
      </c>
      <c r="C1762" s="1" t="n">
        <v>45991</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16186-2023</t>
        </is>
      </c>
      <c r="B1763" s="1" t="n">
        <v>45027.925625</v>
      </c>
      <c r="C1763" s="1" t="n">
        <v>45991</v>
      </c>
      <c r="D1763" t="inlineStr">
        <is>
          <t>VÄSTERBOTTENS LÄN</t>
        </is>
      </c>
      <c r="E1763" t="inlineStr">
        <is>
          <t>SKELLEFTEÅ</t>
        </is>
      </c>
      <c r="G1763" t="n">
        <v>12.4</v>
      </c>
      <c r="H1763" t="n">
        <v>0</v>
      </c>
      <c r="I1763" t="n">
        <v>0</v>
      </c>
      <c r="J1763" t="n">
        <v>0</v>
      </c>
      <c r="K1763" t="n">
        <v>0</v>
      </c>
      <c r="L1763" t="n">
        <v>0</v>
      </c>
      <c r="M1763" t="n">
        <v>0</v>
      </c>
      <c r="N1763" t="n">
        <v>0</v>
      </c>
      <c r="O1763" t="n">
        <v>0</v>
      </c>
      <c r="P1763" t="n">
        <v>0</v>
      </c>
      <c r="Q1763" t="n">
        <v>0</v>
      </c>
      <c r="R1763" s="2" t="inlineStr"/>
    </row>
    <row r="1764" ht="15" customHeight="1">
      <c r="A1764" t="inlineStr">
        <is>
          <t>A 11843-2025</t>
        </is>
      </c>
      <c r="B1764" s="1" t="n">
        <v>45728</v>
      </c>
      <c r="C1764" s="1" t="n">
        <v>45991</v>
      </c>
      <c r="D1764" t="inlineStr">
        <is>
          <t>VÄSTERBOTTENS LÄN</t>
        </is>
      </c>
      <c r="E1764" t="inlineStr">
        <is>
          <t>SKELLEFTEÅ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39146-2024</t>
        </is>
      </c>
      <c r="B1765" s="1" t="n">
        <v>45548.61752314815</v>
      </c>
      <c r="C1765" s="1" t="n">
        <v>45991</v>
      </c>
      <c r="D1765" t="inlineStr">
        <is>
          <t>VÄSTERBOTTENS LÄN</t>
        </is>
      </c>
      <c r="E1765" t="inlineStr">
        <is>
          <t>SKELLEFTEÅ</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64942-2023</t>
        </is>
      </c>
      <c r="B1766" s="1" t="n">
        <v>45282</v>
      </c>
      <c r="C1766" s="1" t="n">
        <v>45991</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59382-2025</t>
        </is>
      </c>
      <c r="B1767" s="1" t="n">
        <v>45989.45534722223</v>
      </c>
      <c r="C1767" s="1" t="n">
        <v>45991</v>
      </c>
      <c r="D1767" t="inlineStr">
        <is>
          <t>VÄSTERBOTTENS LÄN</t>
        </is>
      </c>
      <c r="E1767" t="inlineStr">
        <is>
          <t>SKELLEFTEÅ</t>
        </is>
      </c>
      <c r="F1767" t="inlineStr">
        <is>
          <t>Holmen skog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2811-2025</t>
        </is>
      </c>
      <c r="B1768" s="1" t="n">
        <v>45677.59689814815</v>
      </c>
      <c r="C1768" s="1" t="n">
        <v>45991</v>
      </c>
      <c r="D1768" t="inlineStr">
        <is>
          <t>VÄSTERBOTTENS LÄN</t>
        </is>
      </c>
      <c r="E1768" t="inlineStr">
        <is>
          <t>SKELLEFTEÅ</t>
        </is>
      </c>
      <c r="F1768" t="inlineStr">
        <is>
          <t>Holmen skog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59416-2025</t>
        </is>
      </c>
      <c r="B1769" s="1" t="n">
        <v>45989.50570601852</v>
      </c>
      <c r="C1769" s="1" t="n">
        <v>45991</v>
      </c>
      <c r="D1769" t="inlineStr">
        <is>
          <t>VÄSTERBOTTENS LÄN</t>
        </is>
      </c>
      <c r="E1769" t="inlineStr">
        <is>
          <t>SKELLEFTEÅ</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51194-2025</t>
        </is>
      </c>
      <c r="B1770" s="1" t="n">
        <v>45947.62954861111</v>
      </c>
      <c r="C1770" s="1" t="n">
        <v>45991</v>
      </c>
      <c r="D1770" t="inlineStr">
        <is>
          <t>VÄSTERBOTTENS LÄN</t>
        </is>
      </c>
      <c r="E1770" t="inlineStr">
        <is>
          <t>SKELLEFTEÅ</t>
        </is>
      </c>
      <c r="F1770" t="inlineStr">
        <is>
          <t>Sveaskog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59059-2025</t>
        </is>
      </c>
      <c r="B1771" s="1" t="n">
        <v>45988.40299768518</v>
      </c>
      <c r="C1771" s="1" t="n">
        <v>45991</v>
      </c>
      <c r="D1771" t="inlineStr">
        <is>
          <t>VÄSTERBOTTENS LÄN</t>
        </is>
      </c>
      <c r="E1771" t="inlineStr">
        <is>
          <t>SKELLEFTEÅ</t>
        </is>
      </c>
      <c r="F1771" t="inlineStr">
        <is>
          <t>Sveaskog</t>
        </is>
      </c>
      <c r="G1771" t="n">
        <v>33.4</v>
      </c>
      <c r="H1771" t="n">
        <v>0</v>
      </c>
      <c r="I1771" t="n">
        <v>0</v>
      </c>
      <c r="J1771" t="n">
        <v>0</v>
      </c>
      <c r="K1771" t="n">
        <v>0</v>
      </c>
      <c r="L1771" t="n">
        <v>0</v>
      </c>
      <c r="M1771" t="n">
        <v>0</v>
      </c>
      <c r="N1771" t="n">
        <v>0</v>
      </c>
      <c r="O1771" t="n">
        <v>0</v>
      </c>
      <c r="P1771" t="n">
        <v>0</v>
      </c>
      <c r="Q1771" t="n">
        <v>0</v>
      </c>
      <c r="R1771" s="2" t="inlineStr"/>
    </row>
    <row r="1772" ht="15" customHeight="1">
      <c r="A1772" t="inlineStr">
        <is>
          <t>A 59356-2025</t>
        </is>
      </c>
      <c r="B1772" s="1" t="n">
        <v>45989.42163194445</v>
      </c>
      <c r="C1772" s="1" t="n">
        <v>45991</v>
      </c>
      <c r="D1772" t="inlineStr">
        <is>
          <t>VÄSTERBOTTENS LÄN</t>
        </is>
      </c>
      <c r="E1772" t="inlineStr">
        <is>
          <t>SKELLEFTEÅ</t>
        </is>
      </c>
      <c r="F1772" t="inlineStr">
        <is>
          <t>Holmen skog AB</t>
        </is>
      </c>
      <c r="G1772" t="n">
        <v>24.4</v>
      </c>
      <c r="H1772" t="n">
        <v>0</v>
      </c>
      <c r="I1772" t="n">
        <v>0</v>
      </c>
      <c r="J1772" t="n">
        <v>0</v>
      </c>
      <c r="K1772" t="n">
        <v>0</v>
      </c>
      <c r="L1772" t="n">
        <v>0</v>
      </c>
      <c r="M1772" t="n">
        <v>0</v>
      </c>
      <c r="N1772" t="n">
        <v>0</v>
      </c>
      <c r="O1772" t="n">
        <v>0</v>
      </c>
      <c r="P1772" t="n">
        <v>0</v>
      </c>
      <c r="Q1772" t="n">
        <v>0</v>
      </c>
      <c r="R1772" s="2" t="inlineStr"/>
    </row>
    <row r="1773" ht="15" customHeight="1">
      <c r="A1773" t="inlineStr">
        <is>
          <t>A 59208-2025</t>
        </is>
      </c>
      <c r="B1773" s="1" t="n">
        <v>45988.61494212963</v>
      </c>
      <c r="C1773" s="1" t="n">
        <v>45991</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15542-2025</t>
        </is>
      </c>
      <c r="B1774" s="1" t="n">
        <v>45747.65768518519</v>
      </c>
      <c r="C1774" s="1" t="n">
        <v>45991</v>
      </c>
      <c r="D1774" t="inlineStr">
        <is>
          <t>VÄSTERBOTTENS LÄN</t>
        </is>
      </c>
      <c r="E1774" t="inlineStr">
        <is>
          <t>SKELLEFTEÅ</t>
        </is>
      </c>
      <c r="F1774" t="inlineStr">
        <is>
          <t>Övriga Aktiebolag</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59077-2025</t>
        </is>
      </c>
      <c r="B1775" s="1" t="n">
        <v>45988.42965277778</v>
      </c>
      <c r="C1775" s="1" t="n">
        <v>45991</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51216-2025</t>
        </is>
      </c>
      <c r="B1776" s="1" t="n">
        <v>45947.6441550926</v>
      </c>
      <c r="C1776" s="1" t="n">
        <v>45991</v>
      </c>
      <c r="D1776" t="inlineStr">
        <is>
          <t>VÄSTERBOTTENS LÄN</t>
        </is>
      </c>
      <c r="E1776" t="inlineStr">
        <is>
          <t>SKELLEFTEÅ</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7668-2024</t>
        </is>
      </c>
      <c r="B1777" s="1" t="n">
        <v>45348</v>
      </c>
      <c r="C1777" s="1" t="n">
        <v>45991</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51021-2025</t>
        </is>
      </c>
      <c r="B1778" s="1" t="n">
        <v>45947.38876157408</v>
      </c>
      <c r="C1778" s="1" t="n">
        <v>45991</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49992-2022</t>
        </is>
      </c>
      <c r="B1779" s="1" t="n">
        <v>44860</v>
      </c>
      <c r="C1779" s="1" t="n">
        <v>45991</v>
      </c>
      <c r="D1779" t="inlineStr">
        <is>
          <t>VÄSTERBOTTENS LÄN</t>
        </is>
      </c>
      <c r="E1779" t="inlineStr">
        <is>
          <t>SKELLEFTEÅ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50848-2025</t>
        </is>
      </c>
      <c r="B1780" s="1" t="n">
        <v>45946.57664351852</v>
      </c>
      <c r="C1780" s="1" t="n">
        <v>45991</v>
      </c>
      <c r="D1780" t="inlineStr">
        <is>
          <t>VÄSTERBOTTENS LÄN</t>
        </is>
      </c>
      <c r="E1780" t="inlineStr">
        <is>
          <t>SKELLEFTEÅ</t>
        </is>
      </c>
      <c r="F1780" t="inlineStr">
        <is>
          <t>Holmen skog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39054-2024</t>
        </is>
      </c>
      <c r="B1781" s="1" t="n">
        <v>45548.49337962963</v>
      </c>
      <c r="C1781" s="1" t="n">
        <v>45991</v>
      </c>
      <c r="D1781" t="inlineStr">
        <is>
          <t>VÄSTERBOTTENS LÄN</t>
        </is>
      </c>
      <c r="E1781" t="inlineStr">
        <is>
          <t>SKELLEFTEÅ</t>
        </is>
      </c>
      <c r="F1781" t="inlineStr">
        <is>
          <t>Sveaskog</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50882-2025</t>
        </is>
      </c>
      <c r="B1782" s="1" t="n">
        <v>45946.63017361111</v>
      </c>
      <c r="C1782" s="1" t="n">
        <v>45991</v>
      </c>
      <c r="D1782" t="inlineStr">
        <is>
          <t>VÄSTERBOTTENS LÄN</t>
        </is>
      </c>
      <c r="E1782" t="inlineStr">
        <is>
          <t>SKELLEFTEÅ</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59347-2025</t>
        </is>
      </c>
      <c r="B1783" s="1" t="n">
        <v>45989.39966435185</v>
      </c>
      <c r="C1783" s="1" t="n">
        <v>45991</v>
      </c>
      <c r="D1783" t="inlineStr">
        <is>
          <t>VÄSTERBOTTENS LÄN</t>
        </is>
      </c>
      <c r="E1783" t="inlineStr">
        <is>
          <t>SKELLEFTEÅ</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17168-2025</t>
        </is>
      </c>
      <c r="B1784" s="1" t="n">
        <v>45755</v>
      </c>
      <c r="C1784" s="1" t="n">
        <v>45991</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52441-2023</t>
        </is>
      </c>
      <c r="B1785" s="1" t="n">
        <v>45225.36881944445</v>
      </c>
      <c r="C1785" s="1" t="n">
        <v>45991</v>
      </c>
      <c r="D1785" t="inlineStr">
        <is>
          <t>VÄSTERBOTTENS LÄN</t>
        </is>
      </c>
      <c r="E1785" t="inlineStr">
        <is>
          <t>SKELLEFTEÅ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59044-2025</t>
        </is>
      </c>
      <c r="B1786" s="1" t="n">
        <v>45988.37289351852</v>
      </c>
      <c r="C1786" s="1" t="n">
        <v>45991</v>
      </c>
      <c r="D1786" t="inlineStr">
        <is>
          <t>VÄSTERBOTTENS LÄN</t>
        </is>
      </c>
      <c r="E1786" t="inlineStr">
        <is>
          <t>SKELLEFTEÅ</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59201-2025</t>
        </is>
      </c>
      <c r="B1787" s="1" t="n">
        <v>45988.60271990741</v>
      </c>
      <c r="C1787" s="1" t="n">
        <v>45991</v>
      </c>
      <c r="D1787" t="inlineStr">
        <is>
          <t>VÄSTERBOTTENS LÄN</t>
        </is>
      </c>
      <c r="E1787" t="inlineStr">
        <is>
          <t>SKELLEFTEÅ</t>
        </is>
      </c>
      <c r="F1787" t="inlineStr">
        <is>
          <t>Holmen skog AB</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59226-2025</t>
        </is>
      </c>
      <c r="B1788" s="1" t="n">
        <v>45988.62199074074</v>
      </c>
      <c r="C1788" s="1" t="n">
        <v>45991</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59343-2025</t>
        </is>
      </c>
      <c r="B1789" s="1" t="n">
        <v>45989.38943287037</v>
      </c>
      <c r="C1789" s="1" t="n">
        <v>45991</v>
      </c>
      <c r="D1789" t="inlineStr">
        <is>
          <t>VÄSTERBOTTENS LÄN</t>
        </is>
      </c>
      <c r="E1789" t="inlineStr">
        <is>
          <t>SKELLEFTEÅ</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59346-2025</t>
        </is>
      </c>
      <c r="B1790" s="1" t="n">
        <v>45989.39722222222</v>
      </c>
      <c r="C1790" s="1" t="n">
        <v>45991</v>
      </c>
      <c r="D1790" t="inlineStr">
        <is>
          <t>VÄSTERBOTTENS LÄN</t>
        </is>
      </c>
      <c r="E1790" t="inlineStr">
        <is>
          <t>SKELLEFTEÅ</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59349-2025</t>
        </is>
      </c>
      <c r="B1791" s="1" t="n">
        <v>45989.40206018519</v>
      </c>
      <c r="C1791" s="1" t="n">
        <v>45991</v>
      </c>
      <c r="D1791" t="inlineStr">
        <is>
          <t>VÄSTERBOTTENS LÄN</t>
        </is>
      </c>
      <c r="E1791" t="inlineStr">
        <is>
          <t>SKELLEFTEÅ</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59354-2025</t>
        </is>
      </c>
      <c r="B1792" s="1" t="n">
        <v>45989.41605324074</v>
      </c>
      <c r="C1792" s="1" t="n">
        <v>45991</v>
      </c>
      <c r="D1792" t="inlineStr">
        <is>
          <t>VÄSTERBOTTENS LÄN</t>
        </is>
      </c>
      <c r="E1792" t="inlineStr">
        <is>
          <t>SKELLEFTEÅ</t>
        </is>
      </c>
      <c r="F1792" t="inlineStr">
        <is>
          <t>Holmen skog AB</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25099-2024</t>
        </is>
      </c>
      <c r="B1793" s="1" t="n">
        <v>45462.41755787037</v>
      </c>
      <c r="C1793" s="1" t="n">
        <v>45991</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17162-2025</t>
        </is>
      </c>
      <c r="B1794" s="1" t="n">
        <v>45756.3552199074</v>
      </c>
      <c r="C1794" s="1" t="n">
        <v>45991</v>
      </c>
      <c r="D1794" t="inlineStr">
        <is>
          <t>VÄSTERBOTTENS LÄN</t>
        </is>
      </c>
      <c r="E1794" t="inlineStr">
        <is>
          <t>SKELLEFTEÅ</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14774-2025</t>
        </is>
      </c>
      <c r="B1795" s="1" t="n">
        <v>45742.69414351852</v>
      </c>
      <c r="C1795" s="1" t="n">
        <v>45991</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19119-2025</t>
        </is>
      </c>
      <c r="B1796" s="1" t="n">
        <v>45768.82230324074</v>
      </c>
      <c r="C1796" s="1" t="n">
        <v>45991</v>
      </c>
      <c r="D1796" t="inlineStr">
        <is>
          <t>VÄSTERBOTTENS LÄN</t>
        </is>
      </c>
      <c r="E1796" t="inlineStr">
        <is>
          <t>SKELLEFTEÅ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59419-2025</t>
        </is>
      </c>
      <c r="B1797" s="1" t="n">
        <v>45989.51962962963</v>
      </c>
      <c r="C1797" s="1" t="n">
        <v>45991</v>
      </c>
      <c r="D1797" t="inlineStr">
        <is>
          <t>VÄSTERBOTTENS LÄN</t>
        </is>
      </c>
      <c r="E1797" t="inlineStr">
        <is>
          <t>SKELLEFTEÅ</t>
        </is>
      </c>
      <c r="F1797" t="inlineStr">
        <is>
          <t>Holmen skog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45552-2023</t>
        </is>
      </c>
      <c r="B1798" s="1" t="n">
        <v>45194.57376157407</v>
      </c>
      <c r="C1798" s="1" t="n">
        <v>45991</v>
      </c>
      <c r="D1798" t="inlineStr">
        <is>
          <t>VÄSTERBOTTENS LÄN</t>
        </is>
      </c>
      <c r="E1798" t="inlineStr">
        <is>
          <t>SKELLEFTEÅ</t>
        </is>
      </c>
      <c r="G1798" t="n">
        <v>18.3</v>
      </c>
      <c r="H1798" t="n">
        <v>0</v>
      </c>
      <c r="I1798" t="n">
        <v>0</v>
      </c>
      <c r="J1798" t="n">
        <v>0</v>
      </c>
      <c r="K1798" t="n">
        <v>0</v>
      </c>
      <c r="L1798" t="n">
        <v>0</v>
      </c>
      <c r="M1798" t="n">
        <v>0</v>
      </c>
      <c r="N1798" t="n">
        <v>0</v>
      </c>
      <c r="O1798" t="n">
        <v>0</v>
      </c>
      <c r="P1798" t="n">
        <v>0</v>
      </c>
      <c r="Q1798" t="n">
        <v>0</v>
      </c>
      <c r="R1798" s="2" t="inlineStr"/>
    </row>
    <row r="1799" ht="15" customHeight="1">
      <c r="A1799" t="inlineStr">
        <is>
          <t>A 59025-2025</t>
        </is>
      </c>
      <c r="B1799" s="1" t="n">
        <v>45988.34513888889</v>
      </c>
      <c r="C1799" s="1" t="n">
        <v>45991</v>
      </c>
      <c r="D1799" t="inlineStr">
        <is>
          <t>VÄSTERBOTTENS LÄN</t>
        </is>
      </c>
      <c r="E1799" t="inlineStr">
        <is>
          <t>SKELLEFTEÅ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54874-2024</t>
        </is>
      </c>
      <c r="B1800" s="1" t="n">
        <v>45618.60230324074</v>
      </c>
      <c r="C1800" s="1" t="n">
        <v>45991</v>
      </c>
      <c r="D1800" t="inlineStr">
        <is>
          <t>VÄSTERBOTTENS LÄN</t>
        </is>
      </c>
      <c r="E1800" t="inlineStr">
        <is>
          <t>SKELLEFTEÅ</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59173-2025</t>
        </is>
      </c>
      <c r="B1801" s="1" t="n">
        <v>45988.56671296297</v>
      </c>
      <c r="C1801" s="1" t="n">
        <v>45991</v>
      </c>
      <c r="D1801" t="inlineStr">
        <is>
          <t>VÄSTERBOTTENS LÄN</t>
        </is>
      </c>
      <c r="E1801" t="inlineStr">
        <is>
          <t>SKELLEFTEÅ</t>
        </is>
      </c>
      <c r="F1801" t="inlineStr">
        <is>
          <t>Holmen skog AB</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37950-2022</t>
        </is>
      </c>
      <c r="B1802" s="1" t="n">
        <v>44811.48826388889</v>
      </c>
      <c r="C1802" s="1" t="n">
        <v>45991</v>
      </c>
      <c r="D1802" t="inlineStr">
        <is>
          <t>VÄSTERBOTTENS LÄN</t>
        </is>
      </c>
      <c r="E1802" t="inlineStr">
        <is>
          <t>SKELLEFTEÅ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12004-2024</t>
        </is>
      </c>
      <c r="B1803" s="1" t="n">
        <v>45377.31299768519</v>
      </c>
      <c r="C1803" s="1" t="n">
        <v>45991</v>
      </c>
      <c r="D1803" t="inlineStr">
        <is>
          <t>VÄSTERBOTTENS LÄN</t>
        </is>
      </c>
      <c r="E1803" t="inlineStr">
        <is>
          <t>SKELLEFTEÅ</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59345-2025</t>
        </is>
      </c>
      <c r="B1804" s="1" t="n">
        <v>45989.39247685186</v>
      </c>
      <c r="C1804" s="1" t="n">
        <v>45991</v>
      </c>
      <c r="D1804" t="inlineStr">
        <is>
          <t>VÄSTERBOTTENS LÄN</t>
        </is>
      </c>
      <c r="E1804" t="inlineStr">
        <is>
          <t>SKELLEFTEÅ</t>
        </is>
      </c>
      <c r="F1804" t="inlineStr">
        <is>
          <t>Holmen skog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51991-2024</t>
        </is>
      </c>
      <c r="B1805" s="1" t="n">
        <v>45607</v>
      </c>
      <c r="C1805" s="1" t="n">
        <v>45991</v>
      </c>
      <c r="D1805" t="inlineStr">
        <is>
          <t>VÄSTERBOTTENS LÄN</t>
        </is>
      </c>
      <c r="E1805" t="inlineStr">
        <is>
          <t>SKELLEFTEÅ</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46841-2024</t>
        </is>
      </c>
      <c r="B1806" s="1" t="n">
        <v>45583</v>
      </c>
      <c r="C1806" s="1" t="n">
        <v>45991</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30901-2024</t>
        </is>
      </c>
      <c r="B1807" s="1" t="n">
        <v>45498</v>
      </c>
      <c r="C1807" s="1" t="n">
        <v>45991</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55420-2023</t>
        </is>
      </c>
      <c r="B1808" s="1" t="n">
        <v>45231</v>
      </c>
      <c r="C1808" s="1" t="n">
        <v>45991</v>
      </c>
      <c r="D1808" t="inlineStr">
        <is>
          <t>VÄSTERBOTTENS LÄN</t>
        </is>
      </c>
      <c r="E1808" t="inlineStr">
        <is>
          <t>SKELLEFTEÅ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45981-2024</t>
        </is>
      </c>
      <c r="B1809" s="1" t="n">
        <v>45580.60790509259</v>
      </c>
      <c r="C1809" s="1" t="n">
        <v>45991</v>
      </c>
      <c r="D1809" t="inlineStr">
        <is>
          <t>VÄSTERBOTTENS LÄN</t>
        </is>
      </c>
      <c r="E1809" t="inlineStr">
        <is>
          <t>SKELLEFTEÅ</t>
        </is>
      </c>
      <c r="F1809" t="inlineStr">
        <is>
          <t>Holmen skog AB</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46049-2024</t>
        </is>
      </c>
      <c r="B1810" s="1" t="n">
        <v>45580.85546296297</v>
      </c>
      <c r="C1810" s="1" t="n">
        <v>45991</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12045-2024</t>
        </is>
      </c>
      <c r="B1811" s="1" t="n">
        <v>45377</v>
      </c>
      <c r="C1811" s="1" t="n">
        <v>45991</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44078-2023</t>
        </is>
      </c>
      <c r="B1812" s="1" t="n">
        <v>45188.41950231481</v>
      </c>
      <c r="C1812" s="1" t="n">
        <v>45991</v>
      </c>
      <c r="D1812" t="inlineStr">
        <is>
          <t>VÄSTERBOTTENS LÄN</t>
        </is>
      </c>
      <c r="E1812" t="inlineStr">
        <is>
          <t>SKELLEFTEÅ</t>
        </is>
      </c>
      <c r="F1812" t="inlineStr">
        <is>
          <t>Holmen skog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73684-2021</t>
        </is>
      </c>
      <c r="B1813" s="1" t="n">
        <v>44551</v>
      </c>
      <c r="C1813" s="1" t="n">
        <v>45991</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50462-2023</t>
        </is>
      </c>
      <c r="B1814" s="1" t="n">
        <v>45216.84662037037</v>
      </c>
      <c r="C1814" s="1" t="n">
        <v>45991</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10063-2025</t>
        </is>
      </c>
      <c r="B1815" s="1" t="n">
        <v>45719</v>
      </c>
      <c r="C1815" s="1" t="n">
        <v>45991</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16706-2025</t>
        </is>
      </c>
      <c r="B1816" s="1" t="n">
        <v>45751</v>
      </c>
      <c r="C1816" s="1" t="n">
        <v>45991</v>
      </c>
      <c r="D1816" t="inlineStr">
        <is>
          <t>VÄSTERBOTTENS LÄN</t>
        </is>
      </c>
      <c r="E1816" t="inlineStr">
        <is>
          <t>SKELLEFTEÅ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16707-2025</t>
        </is>
      </c>
      <c r="B1817" s="1" t="n">
        <v>45751</v>
      </c>
      <c r="C1817" s="1" t="n">
        <v>45991</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19293-2025</t>
        </is>
      </c>
      <c r="B1818" s="1" t="n">
        <v>45769.56047453704</v>
      </c>
      <c r="C1818" s="1" t="n">
        <v>45991</v>
      </c>
      <c r="D1818" t="inlineStr">
        <is>
          <t>VÄSTERBOTTENS LÄN</t>
        </is>
      </c>
      <c r="E1818" t="inlineStr">
        <is>
          <t>SKELLEFTEÅ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24696-2024</t>
        </is>
      </c>
      <c r="B1819" s="1" t="n">
        <v>45460</v>
      </c>
      <c r="C1819" s="1" t="n">
        <v>45991</v>
      </c>
      <c r="D1819" t="inlineStr">
        <is>
          <t>VÄSTERBOTTENS LÄN</t>
        </is>
      </c>
      <c r="E1819" t="inlineStr">
        <is>
          <t>SKELLEFTEÅ</t>
        </is>
      </c>
      <c r="F1819" t="inlineStr">
        <is>
          <t>Holmen skog AB</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5490-2023</t>
        </is>
      </c>
      <c r="B1820" s="1" t="n">
        <v>44957</v>
      </c>
      <c r="C1820" s="1" t="n">
        <v>45991</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1244-2025</t>
        </is>
      </c>
      <c r="B1821" s="1" t="n">
        <v>45667.45741898148</v>
      </c>
      <c r="C1821" s="1" t="n">
        <v>45991</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39544-2023</t>
        </is>
      </c>
      <c r="B1822" s="1" t="n">
        <v>45167.35682870371</v>
      </c>
      <c r="C1822" s="1" t="n">
        <v>45991</v>
      </c>
      <c r="D1822" t="inlineStr">
        <is>
          <t>VÄSTERBOTTENS LÄN</t>
        </is>
      </c>
      <c r="E1822" t="inlineStr">
        <is>
          <t>SKELLEFTEÅ</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39553-2023</t>
        </is>
      </c>
      <c r="B1823" s="1" t="n">
        <v>45167</v>
      </c>
      <c r="C1823" s="1" t="n">
        <v>45991</v>
      </c>
      <c r="D1823" t="inlineStr">
        <is>
          <t>VÄSTERBOTTENS LÄN</t>
        </is>
      </c>
      <c r="E1823" t="inlineStr">
        <is>
          <t>SKELLEFTEÅ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13131-2022</t>
        </is>
      </c>
      <c r="B1824" s="1" t="n">
        <v>44644.38203703704</v>
      </c>
      <c r="C1824" s="1" t="n">
        <v>45991</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4626-2025</t>
        </is>
      </c>
      <c r="B1825" s="1" t="n">
        <v>45687.62158564815</v>
      </c>
      <c r="C1825" s="1" t="n">
        <v>45991</v>
      </c>
      <c r="D1825" t="inlineStr">
        <is>
          <t>VÄSTERBOTTENS LÄN</t>
        </is>
      </c>
      <c r="E1825" t="inlineStr">
        <is>
          <t>SKELLEFTEÅ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22663-2021</t>
        </is>
      </c>
      <c r="B1826" s="1" t="n">
        <v>44327</v>
      </c>
      <c r="C1826" s="1" t="n">
        <v>45991</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26190-2024</t>
        </is>
      </c>
      <c r="B1827" s="1" t="n">
        <v>45468.5712037037</v>
      </c>
      <c r="C1827" s="1" t="n">
        <v>45991</v>
      </c>
      <c r="D1827" t="inlineStr">
        <is>
          <t>VÄSTERBOTTENS LÄN</t>
        </is>
      </c>
      <c r="E1827" t="inlineStr">
        <is>
          <t>SKELLEFTEÅ</t>
        </is>
      </c>
      <c r="F1827" t="inlineStr">
        <is>
          <t>Holmen skog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36823-2024</t>
        </is>
      </c>
      <c r="B1828" s="1" t="n">
        <v>45538.50298611111</v>
      </c>
      <c r="C1828" s="1" t="n">
        <v>45991</v>
      </c>
      <c r="D1828" t="inlineStr">
        <is>
          <t>VÄSTERBOTTENS LÄN</t>
        </is>
      </c>
      <c r="E1828" t="inlineStr">
        <is>
          <t>SKELLEFTEÅ</t>
        </is>
      </c>
      <c r="F1828" t="inlineStr">
        <is>
          <t>Holmen skog AB</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55652-2024</t>
        </is>
      </c>
      <c r="B1829" s="1" t="n">
        <v>45621</v>
      </c>
      <c r="C1829" s="1" t="n">
        <v>45991</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3951-2021</t>
        </is>
      </c>
      <c r="B1830" s="1" t="n">
        <v>44217</v>
      </c>
      <c r="C1830" s="1" t="n">
        <v>45991</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59793-2023</t>
        </is>
      </c>
      <c r="B1831" s="1" t="n">
        <v>45257.4577199074</v>
      </c>
      <c r="C1831" s="1" t="n">
        <v>45991</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23710-2023</t>
        </is>
      </c>
      <c r="B1832" s="1" t="n">
        <v>45075</v>
      </c>
      <c r="C1832" s="1" t="n">
        <v>45991</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17173-2025</t>
        </is>
      </c>
      <c r="B1833" s="1" t="n">
        <v>45756.37224537037</v>
      </c>
      <c r="C1833" s="1" t="n">
        <v>45991</v>
      </c>
      <c r="D1833" t="inlineStr">
        <is>
          <t>VÄSTERBOTTENS LÄN</t>
        </is>
      </c>
      <c r="E1833" t="inlineStr">
        <is>
          <t>SKELLEFTEÅ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52693-2024</t>
        </is>
      </c>
      <c r="B1834" s="1" t="n">
        <v>45610.39756944445</v>
      </c>
      <c r="C1834" s="1" t="n">
        <v>45991</v>
      </c>
      <c r="D1834" t="inlineStr">
        <is>
          <t>VÄSTERBOTTENS LÄN</t>
        </is>
      </c>
      <c r="E1834" t="inlineStr">
        <is>
          <t>SKELLEFTEÅ</t>
        </is>
      </c>
      <c r="F1834" t="inlineStr">
        <is>
          <t>Holmen skog AB</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45991</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25009-2022</t>
        </is>
      </c>
      <c r="B1836" s="1" t="n">
        <v>44728.92866898148</v>
      </c>
      <c r="C1836" s="1" t="n">
        <v>45991</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38935-2024</t>
        </is>
      </c>
      <c r="B1837" s="1" t="n">
        <v>45548.3350462963</v>
      </c>
      <c r="C1837" s="1" t="n">
        <v>45991</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33529-2022</t>
        </is>
      </c>
      <c r="B1838" s="1" t="n">
        <v>44789.33445601852</v>
      </c>
      <c r="C1838" s="1" t="n">
        <v>45991</v>
      </c>
      <c r="D1838" t="inlineStr">
        <is>
          <t>VÄSTERBOTTENS LÄN</t>
        </is>
      </c>
      <c r="E1838" t="inlineStr">
        <is>
          <t>SKELLEFTEÅ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30485-2023</t>
        </is>
      </c>
      <c r="B1839" s="1" t="n">
        <v>45111.60275462963</v>
      </c>
      <c r="C1839" s="1" t="n">
        <v>45991</v>
      </c>
      <c r="D1839" t="inlineStr">
        <is>
          <t>VÄSTERBOTTENS LÄN</t>
        </is>
      </c>
      <c r="E1839" t="inlineStr">
        <is>
          <t>SKELLEFTEÅ</t>
        </is>
      </c>
      <c r="F1839" t="inlineStr">
        <is>
          <t>Sveaskog</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21035-2022</t>
        </is>
      </c>
      <c r="B1840" s="1" t="n">
        <v>44704</v>
      </c>
      <c r="C1840" s="1" t="n">
        <v>45991</v>
      </c>
      <c r="D1840" t="inlineStr">
        <is>
          <t>VÄSTERBOTTENS LÄN</t>
        </is>
      </c>
      <c r="E1840" t="inlineStr">
        <is>
          <t>SKELLEFTEÅ</t>
        </is>
      </c>
      <c r="G1840" t="n">
        <v>26.9</v>
      </c>
      <c r="H1840" t="n">
        <v>0</v>
      </c>
      <c r="I1840" t="n">
        <v>0</v>
      </c>
      <c r="J1840" t="n">
        <v>0</v>
      </c>
      <c r="K1840" t="n">
        <v>0</v>
      </c>
      <c r="L1840" t="n">
        <v>0</v>
      </c>
      <c r="M1840" t="n">
        <v>0</v>
      </c>
      <c r="N1840" t="n">
        <v>0</v>
      </c>
      <c r="O1840" t="n">
        <v>0</v>
      </c>
      <c r="P1840" t="n">
        <v>0</v>
      </c>
      <c r="Q1840" t="n">
        <v>0</v>
      </c>
      <c r="R1840" s="2" t="inlineStr"/>
    </row>
    <row r="1841" ht="15" customHeight="1">
      <c r="A1841" t="inlineStr">
        <is>
          <t>A 10079-2025</t>
        </is>
      </c>
      <c r="B1841" s="1" t="n">
        <v>45719</v>
      </c>
      <c r="C1841" s="1" t="n">
        <v>45991</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48722-2022</t>
        </is>
      </c>
      <c r="B1842" s="1" t="n">
        <v>44855</v>
      </c>
      <c r="C1842" s="1" t="n">
        <v>45991</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53646-2022</t>
        </is>
      </c>
      <c r="B1843" s="1" t="n">
        <v>44879</v>
      </c>
      <c r="C1843" s="1" t="n">
        <v>45991</v>
      </c>
      <c r="D1843" t="inlineStr">
        <is>
          <t>VÄSTERBOTTENS LÄN</t>
        </is>
      </c>
      <c r="E1843" t="inlineStr">
        <is>
          <t>SKELLEFTEÅ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4008-2024</t>
        </is>
      </c>
      <c r="B1844" s="1" t="n">
        <v>45323</v>
      </c>
      <c r="C1844" s="1" t="n">
        <v>45991</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60612-2023</t>
        </is>
      </c>
      <c r="B1845" s="1" t="n">
        <v>45260</v>
      </c>
      <c r="C1845" s="1" t="n">
        <v>45991</v>
      </c>
      <c r="D1845" t="inlineStr">
        <is>
          <t>VÄSTERBOTTENS LÄN</t>
        </is>
      </c>
      <c r="E1845" t="inlineStr">
        <is>
          <t>SKELLEFTEÅ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16461-2025</t>
        </is>
      </c>
      <c r="B1846" s="1" t="n">
        <v>45750</v>
      </c>
      <c r="C1846" s="1" t="n">
        <v>45991</v>
      </c>
      <c r="D1846" t="inlineStr">
        <is>
          <t>VÄSTERBOTTENS LÄN</t>
        </is>
      </c>
      <c r="E1846" t="inlineStr">
        <is>
          <t>SKELLEFTEÅ</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41198-2024</t>
        </is>
      </c>
      <c r="B1847" s="1" t="n">
        <v>45559.51533564815</v>
      </c>
      <c r="C1847" s="1" t="n">
        <v>45991</v>
      </c>
      <c r="D1847" t="inlineStr">
        <is>
          <t>VÄSTERBOTTENS LÄN</t>
        </is>
      </c>
      <c r="E1847" t="inlineStr">
        <is>
          <t>SKELLEFTEÅ</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35491-2022</t>
        </is>
      </c>
      <c r="B1848" s="1" t="n">
        <v>44798</v>
      </c>
      <c r="C1848" s="1" t="n">
        <v>45991</v>
      </c>
      <c r="D1848" t="inlineStr">
        <is>
          <t>VÄSTERBOTTENS LÄN</t>
        </is>
      </c>
      <c r="E1848" t="inlineStr">
        <is>
          <t>SKELLEFTEÅ</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33289-2023</t>
        </is>
      </c>
      <c r="B1849" s="1" t="n">
        <v>45116</v>
      </c>
      <c r="C1849" s="1" t="n">
        <v>45991</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4900-2024</t>
        </is>
      </c>
      <c r="B1850" s="1" t="n">
        <v>45329</v>
      </c>
      <c r="C1850" s="1" t="n">
        <v>45991</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26645-2023</t>
        </is>
      </c>
      <c r="B1851" s="1" t="n">
        <v>45092.92415509259</v>
      </c>
      <c r="C1851" s="1" t="n">
        <v>45991</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12256-2025</t>
        </is>
      </c>
      <c r="B1852" s="1" t="n">
        <v>45729.61527777778</v>
      </c>
      <c r="C1852" s="1" t="n">
        <v>45991</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60237-2022</t>
        </is>
      </c>
      <c r="B1853" s="1" t="n">
        <v>44903</v>
      </c>
      <c r="C1853" s="1" t="n">
        <v>45991</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54316-2022</t>
        </is>
      </c>
      <c r="B1854" s="1" t="n">
        <v>44879</v>
      </c>
      <c r="C1854" s="1" t="n">
        <v>45991</v>
      </c>
      <c r="D1854" t="inlineStr">
        <is>
          <t>VÄSTERBOTTENS LÄN</t>
        </is>
      </c>
      <c r="E1854" t="inlineStr">
        <is>
          <t>SKELLEFTEÅ</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38026-2021</t>
        </is>
      </c>
      <c r="B1855" s="1" t="n">
        <v>44404</v>
      </c>
      <c r="C1855" s="1" t="n">
        <v>45991</v>
      </c>
      <c r="D1855" t="inlineStr">
        <is>
          <t>VÄSTERBOTTENS LÄN</t>
        </is>
      </c>
      <c r="E1855" t="inlineStr">
        <is>
          <t>SKELLEFTEÅ</t>
        </is>
      </c>
      <c r="F1855" t="inlineStr">
        <is>
          <t>Holmen skog AB</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18357-2023</t>
        </is>
      </c>
      <c r="B1856" s="1" t="n">
        <v>45041</v>
      </c>
      <c r="C1856" s="1" t="n">
        <v>45991</v>
      </c>
      <c r="D1856" t="inlineStr">
        <is>
          <t>VÄSTERBOTTENS LÄN</t>
        </is>
      </c>
      <c r="E1856" t="inlineStr">
        <is>
          <t>SKELLEFTEÅ</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38395-2023</t>
        </is>
      </c>
      <c r="B1857" s="1" t="n">
        <v>45162.31554398148</v>
      </c>
      <c r="C1857" s="1" t="n">
        <v>45991</v>
      </c>
      <c r="D1857" t="inlineStr">
        <is>
          <t>VÄSTERBOTTENS LÄN</t>
        </is>
      </c>
      <c r="E1857" t="inlineStr">
        <is>
          <t>SKELLEFTEÅ</t>
        </is>
      </c>
      <c r="F1857" t="inlineStr">
        <is>
          <t>Sveaskog</t>
        </is>
      </c>
      <c r="G1857" t="n">
        <v>18.9</v>
      </c>
      <c r="H1857" t="n">
        <v>0</v>
      </c>
      <c r="I1857" t="n">
        <v>0</v>
      </c>
      <c r="J1857" t="n">
        <v>0</v>
      </c>
      <c r="K1857" t="n">
        <v>0</v>
      </c>
      <c r="L1857" t="n">
        <v>0</v>
      </c>
      <c r="M1857" t="n">
        <v>0</v>
      </c>
      <c r="N1857" t="n">
        <v>0</v>
      </c>
      <c r="O1857" t="n">
        <v>0</v>
      </c>
      <c r="P1857" t="n">
        <v>0</v>
      </c>
      <c r="Q1857" t="n">
        <v>0</v>
      </c>
      <c r="R1857" s="2" t="inlineStr"/>
    </row>
    <row r="1858" ht="15" customHeight="1">
      <c r="A1858" t="inlineStr">
        <is>
          <t>A 31167-2024</t>
        </is>
      </c>
      <c r="B1858" s="1" t="n">
        <v>45503.39758101852</v>
      </c>
      <c r="C1858" s="1" t="n">
        <v>45991</v>
      </c>
      <c r="D1858" t="inlineStr">
        <is>
          <t>VÄSTERBOTTENS LÄN</t>
        </is>
      </c>
      <c r="E1858" t="inlineStr">
        <is>
          <t>SKELLEFTEÅ</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23823-2024</t>
        </is>
      </c>
      <c r="B1859" s="1" t="n">
        <v>45455</v>
      </c>
      <c r="C1859" s="1" t="n">
        <v>45991</v>
      </c>
      <c r="D1859" t="inlineStr">
        <is>
          <t>VÄSTERBOTTENS LÄN</t>
        </is>
      </c>
      <c r="E1859" t="inlineStr">
        <is>
          <t>SKELLEFTEÅ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48394-2023</t>
        </is>
      </c>
      <c r="B1860" s="1" t="n">
        <v>45201</v>
      </c>
      <c r="C1860" s="1" t="n">
        <v>45991</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61730-2023</t>
        </is>
      </c>
      <c r="B1861" s="1" t="n">
        <v>45264</v>
      </c>
      <c r="C1861" s="1" t="n">
        <v>45991</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35035-2024</t>
        </is>
      </c>
      <c r="B1862" s="1" t="n">
        <v>45527.61482638889</v>
      </c>
      <c r="C1862" s="1" t="n">
        <v>45991</v>
      </c>
      <c r="D1862" t="inlineStr">
        <is>
          <t>VÄSTERBOTTENS LÄN</t>
        </is>
      </c>
      <c r="E1862" t="inlineStr">
        <is>
          <t>SKELLEFTEÅ</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55940-2024</t>
        </is>
      </c>
      <c r="B1863" s="1" t="n">
        <v>45623.61108796296</v>
      </c>
      <c r="C1863" s="1" t="n">
        <v>45991</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68334-2021</t>
        </is>
      </c>
      <c r="B1864" s="1" t="n">
        <v>44527</v>
      </c>
      <c r="C1864" s="1" t="n">
        <v>45991</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18478-2023</t>
        </is>
      </c>
      <c r="B1865" s="1" t="n">
        <v>45042.58392361111</v>
      </c>
      <c r="C1865" s="1" t="n">
        <v>45991</v>
      </c>
      <c r="D1865" t="inlineStr">
        <is>
          <t>VÄSTERBOTTENS LÄN</t>
        </is>
      </c>
      <c r="E1865" t="inlineStr">
        <is>
          <t>SKELLEFTEÅ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37792-2021</t>
        </is>
      </c>
      <c r="B1866" s="1" t="n">
        <v>44401</v>
      </c>
      <c r="C1866" s="1" t="n">
        <v>45991</v>
      </c>
      <c r="D1866" t="inlineStr">
        <is>
          <t>VÄSTERBOTTENS LÄN</t>
        </is>
      </c>
      <c r="E1866" t="inlineStr">
        <is>
          <t>SKELLEFTEÅ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22735-2023</t>
        </is>
      </c>
      <c r="B1867" s="1" t="n">
        <v>45071</v>
      </c>
      <c r="C1867" s="1" t="n">
        <v>45991</v>
      </c>
      <c r="D1867" t="inlineStr">
        <is>
          <t>VÄSTERBOTTENS LÄN</t>
        </is>
      </c>
      <c r="E1867" t="inlineStr">
        <is>
          <t>SKELLEFTEÅ</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44240-2024</t>
        </is>
      </c>
      <c r="B1868" s="1" t="n">
        <v>45573.42513888889</v>
      </c>
      <c r="C1868" s="1" t="n">
        <v>45991</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3465-2024</t>
        </is>
      </c>
      <c r="B1869" s="1" t="n">
        <v>45320.40229166667</v>
      </c>
      <c r="C1869" s="1" t="n">
        <v>45991</v>
      </c>
      <c r="D1869" t="inlineStr">
        <is>
          <t>VÄSTERBOTTENS LÄN</t>
        </is>
      </c>
      <c r="E1869" t="inlineStr">
        <is>
          <t>SKELLEFTEÅ</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54251-2024</t>
        </is>
      </c>
      <c r="B1870" s="1" t="n">
        <v>45616.69726851852</v>
      </c>
      <c r="C1870" s="1" t="n">
        <v>45991</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60785-2022</t>
        </is>
      </c>
      <c r="B1871" s="1" t="n">
        <v>44907</v>
      </c>
      <c r="C1871" s="1" t="n">
        <v>45991</v>
      </c>
      <c r="D1871" t="inlineStr">
        <is>
          <t>VÄSTERBOTTENS LÄN</t>
        </is>
      </c>
      <c r="E1871" t="inlineStr">
        <is>
          <t>SKELLEFTEÅ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62249-2022</t>
        </is>
      </c>
      <c r="B1872" s="1" t="n">
        <v>44922.92351851852</v>
      </c>
      <c r="C1872" s="1" t="n">
        <v>45991</v>
      </c>
      <c r="D1872" t="inlineStr">
        <is>
          <t>VÄSTERBOTTENS LÄN</t>
        </is>
      </c>
      <c r="E1872" t="inlineStr">
        <is>
          <t>SKELLEFTEÅ</t>
        </is>
      </c>
      <c r="G1872" t="n">
        <v>18.2</v>
      </c>
      <c r="H1872" t="n">
        <v>0</v>
      </c>
      <c r="I1872" t="n">
        <v>0</v>
      </c>
      <c r="J1872" t="n">
        <v>0</v>
      </c>
      <c r="K1872" t="n">
        <v>0</v>
      </c>
      <c r="L1872" t="n">
        <v>0</v>
      </c>
      <c r="M1872" t="n">
        <v>0</v>
      </c>
      <c r="N1872" t="n">
        <v>0</v>
      </c>
      <c r="O1872" t="n">
        <v>0</v>
      </c>
      <c r="P1872" t="n">
        <v>0</v>
      </c>
      <c r="Q1872" t="n">
        <v>0</v>
      </c>
      <c r="R1872" s="2" t="inlineStr"/>
    </row>
    <row r="1873" ht="15" customHeight="1">
      <c r="A1873" t="inlineStr">
        <is>
          <t>A 56154-2024</t>
        </is>
      </c>
      <c r="B1873" s="1" t="n">
        <v>45623</v>
      </c>
      <c r="C1873" s="1" t="n">
        <v>45991</v>
      </c>
      <c r="D1873" t="inlineStr">
        <is>
          <t>VÄSTERBOTTENS LÄN</t>
        </is>
      </c>
      <c r="E1873" t="inlineStr">
        <is>
          <t>SKELLEFTEÅ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53419-2024</t>
        </is>
      </c>
      <c r="B1874" s="1" t="n">
        <v>45614.51157407407</v>
      </c>
      <c r="C1874" s="1" t="n">
        <v>45991</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16971-2025</t>
        </is>
      </c>
      <c r="B1875" s="1" t="n">
        <v>45755.46940972222</v>
      </c>
      <c r="C1875" s="1" t="n">
        <v>45991</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17008-2025</t>
        </is>
      </c>
      <c r="B1876" s="1" t="n">
        <v>45755.54644675926</v>
      </c>
      <c r="C1876" s="1" t="n">
        <v>45991</v>
      </c>
      <c r="D1876" t="inlineStr">
        <is>
          <t>VÄSTERBOTTENS LÄN</t>
        </is>
      </c>
      <c r="E1876" t="inlineStr">
        <is>
          <t>SKELLEFTEÅ</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55645-2024</t>
        </is>
      </c>
      <c r="B1877" s="1" t="n">
        <v>45621</v>
      </c>
      <c r="C1877" s="1" t="n">
        <v>45991</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15461-2025</t>
        </is>
      </c>
      <c r="B1878" s="1" t="n">
        <v>45747.51061342593</v>
      </c>
      <c r="C1878" s="1" t="n">
        <v>45991</v>
      </c>
      <c r="D1878" t="inlineStr">
        <is>
          <t>VÄSTERBOTTENS LÄN</t>
        </is>
      </c>
      <c r="E1878" t="inlineStr">
        <is>
          <t>SKELLEFTEÅ</t>
        </is>
      </c>
      <c r="F1878" t="inlineStr">
        <is>
          <t>Holmen skog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16202-2025</t>
        </is>
      </c>
      <c r="B1879" s="1" t="n">
        <v>45750.61587962963</v>
      </c>
      <c r="C1879" s="1" t="n">
        <v>45991</v>
      </c>
      <c r="D1879" t="inlineStr">
        <is>
          <t>VÄSTERBOTTENS LÄN</t>
        </is>
      </c>
      <c r="E1879" t="inlineStr">
        <is>
          <t>SKELLEFTEÅ</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60896-2023</t>
        </is>
      </c>
      <c r="B1880" s="1" t="n">
        <v>45261</v>
      </c>
      <c r="C1880" s="1" t="n">
        <v>45991</v>
      </c>
      <c r="D1880" t="inlineStr">
        <is>
          <t>VÄSTERBOTTENS LÄN</t>
        </is>
      </c>
      <c r="E1880" t="inlineStr">
        <is>
          <t>SKELLEFTEÅ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60898-2023</t>
        </is>
      </c>
      <c r="B1881" s="1" t="n">
        <v>45261.35170138889</v>
      </c>
      <c r="C1881" s="1" t="n">
        <v>45991</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28273-2024</t>
        </is>
      </c>
      <c r="B1882" s="1" t="n">
        <v>45477.4503587963</v>
      </c>
      <c r="C1882" s="1" t="n">
        <v>45991</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17444-2023</t>
        </is>
      </c>
      <c r="B1883" s="1" t="n">
        <v>45035.94489583333</v>
      </c>
      <c r="C1883" s="1" t="n">
        <v>45991</v>
      </c>
      <c r="D1883" t="inlineStr">
        <is>
          <t>VÄSTERBOTTENS LÄN</t>
        </is>
      </c>
      <c r="E1883" t="inlineStr">
        <is>
          <t>SKELLEFTEÅ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29085-2022</t>
        </is>
      </c>
      <c r="B1884" s="1" t="n">
        <v>44749</v>
      </c>
      <c r="C1884" s="1" t="n">
        <v>45991</v>
      </c>
      <c r="D1884" t="inlineStr">
        <is>
          <t>VÄSTERBOTTENS LÄN</t>
        </is>
      </c>
      <c r="E1884" t="inlineStr">
        <is>
          <t>SKELLEFTEÅ</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19782-2024</t>
        </is>
      </c>
      <c r="B1885" s="1" t="n">
        <v>45432</v>
      </c>
      <c r="C1885" s="1" t="n">
        <v>45991</v>
      </c>
      <c r="D1885" t="inlineStr">
        <is>
          <t>VÄSTERBOTTENS LÄN</t>
        </is>
      </c>
      <c r="E1885" t="inlineStr">
        <is>
          <t>SKELLEFTEÅ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24832-2022</t>
        </is>
      </c>
      <c r="B1886" s="1" t="n">
        <v>44728</v>
      </c>
      <c r="C1886" s="1" t="n">
        <v>45991</v>
      </c>
      <c r="D1886" t="inlineStr">
        <is>
          <t>VÄSTERBOTTENS LÄN</t>
        </is>
      </c>
      <c r="E1886" t="inlineStr">
        <is>
          <t>SKELLEFTEÅ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2177-2023</t>
        </is>
      </c>
      <c r="B1887" s="1" t="n">
        <v>44942.29836805556</v>
      </c>
      <c r="C1887" s="1" t="n">
        <v>45991</v>
      </c>
      <c r="D1887" t="inlineStr">
        <is>
          <t>VÄSTERBOTTENS LÄN</t>
        </is>
      </c>
      <c r="E1887" t="inlineStr">
        <is>
          <t>SKELLEFTEÅ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62483-2022</t>
        </is>
      </c>
      <c r="B1888" s="1" t="n">
        <v>44924.56034722222</v>
      </c>
      <c r="C1888" s="1" t="n">
        <v>45991</v>
      </c>
      <c r="D1888" t="inlineStr">
        <is>
          <t>VÄSTERBOTTENS LÄN</t>
        </is>
      </c>
      <c r="E1888" t="inlineStr">
        <is>
          <t>SKELLEFTEÅ</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45727-2023</t>
        </is>
      </c>
      <c r="B1889" s="1" t="n">
        <v>45189</v>
      </c>
      <c r="C1889" s="1" t="n">
        <v>45991</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11971-2025</t>
        </is>
      </c>
      <c r="B1890" s="1" t="n">
        <v>45728</v>
      </c>
      <c r="C1890" s="1" t="n">
        <v>45991</v>
      </c>
      <c r="D1890" t="inlineStr">
        <is>
          <t>VÄSTERBOTTENS LÄN</t>
        </is>
      </c>
      <c r="E1890" t="inlineStr">
        <is>
          <t>SKELLEFTEÅ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3373-2025</t>
        </is>
      </c>
      <c r="B1891" s="1" t="n">
        <v>45680.30523148148</v>
      </c>
      <c r="C1891" s="1" t="n">
        <v>45991</v>
      </c>
      <c r="D1891" t="inlineStr">
        <is>
          <t>VÄSTERBOTTENS LÄN</t>
        </is>
      </c>
      <c r="E1891" t="inlineStr">
        <is>
          <t>SKELLEFTEÅ</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59442-2024</t>
        </is>
      </c>
      <c r="B1892" s="1" t="n">
        <v>45638.44524305555</v>
      </c>
      <c r="C1892" s="1" t="n">
        <v>45991</v>
      </c>
      <c r="D1892" t="inlineStr">
        <is>
          <t>VÄSTERBOTTENS LÄN</t>
        </is>
      </c>
      <c r="E1892" t="inlineStr">
        <is>
          <t>SKELLEFTEÅ</t>
        </is>
      </c>
      <c r="F1892" t="inlineStr">
        <is>
          <t>Holmen skog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59443-2024</t>
        </is>
      </c>
      <c r="B1893" s="1" t="n">
        <v>45638.44944444444</v>
      </c>
      <c r="C1893" s="1" t="n">
        <v>45991</v>
      </c>
      <c r="D1893" t="inlineStr">
        <is>
          <t>VÄSTERBOTTENS LÄN</t>
        </is>
      </c>
      <c r="E1893" t="inlineStr">
        <is>
          <t>SKELLEFTEÅ</t>
        </is>
      </c>
      <c r="F1893" t="inlineStr">
        <is>
          <t>Sveaskog</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32200-2022</t>
        </is>
      </c>
      <c r="B1894" s="1" t="n">
        <v>44781</v>
      </c>
      <c r="C1894" s="1" t="n">
        <v>45991</v>
      </c>
      <c r="D1894" t="inlineStr">
        <is>
          <t>VÄSTERBOTTENS LÄN</t>
        </is>
      </c>
      <c r="E1894" t="inlineStr">
        <is>
          <t>SKELLEFTEÅ</t>
        </is>
      </c>
      <c r="F1894" t="inlineStr">
        <is>
          <t>Kommuner</t>
        </is>
      </c>
      <c r="G1894" t="n">
        <v>20.6</v>
      </c>
      <c r="H1894" t="n">
        <v>0</v>
      </c>
      <c r="I1894" t="n">
        <v>0</v>
      </c>
      <c r="J1894" t="n">
        <v>0</v>
      </c>
      <c r="K1894" t="n">
        <v>0</v>
      </c>
      <c r="L1894" t="n">
        <v>0</v>
      </c>
      <c r="M1894" t="n">
        <v>0</v>
      </c>
      <c r="N1894" t="n">
        <v>0</v>
      </c>
      <c r="O1894" t="n">
        <v>0</v>
      </c>
      <c r="P1894" t="n">
        <v>0</v>
      </c>
      <c r="Q1894" t="n">
        <v>0</v>
      </c>
      <c r="R1894" s="2" t="inlineStr"/>
    </row>
    <row r="1895" ht="15" customHeight="1">
      <c r="A1895" t="inlineStr">
        <is>
          <t>A 46440-2023</t>
        </is>
      </c>
      <c r="B1895" s="1" t="n">
        <v>45197.5899537037</v>
      </c>
      <c r="C1895" s="1" t="n">
        <v>45991</v>
      </c>
      <c r="D1895" t="inlineStr">
        <is>
          <t>VÄSTERBOTTENS LÄN</t>
        </is>
      </c>
      <c r="E1895" t="inlineStr">
        <is>
          <t>SKELLEFTEÅ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58517-2023</t>
        </is>
      </c>
      <c r="B1896" s="1" t="n">
        <v>45251</v>
      </c>
      <c r="C1896" s="1" t="n">
        <v>45991</v>
      </c>
      <c r="D1896" t="inlineStr">
        <is>
          <t>VÄSTERBOTTENS LÄN</t>
        </is>
      </c>
      <c r="E1896" t="inlineStr">
        <is>
          <t>SKELLEFTEÅ</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2955-2024</t>
        </is>
      </c>
      <c r="B1897" s="1" t="n">
        <v>45315.64509259259</v>
      </c>
      <c r="C1897" s="1" t="n">
        <v>45991</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54037-2024</t>
        </is>
      </c>
      <c r="B1898" s="1" t="n">
        <v>45616.42424768519</v>
      </c>
      <c r="C1898" s="1" t="n">
        <v>45991</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48116-2024</t>
        </is>
      </c>
      <c r="B1899" s="1" t="n">
        <v>45589.634375</v>
      </c>
      <c r="C1899" s="1" t="n">
        <v>45991</v>
      </c>
      <c r="D1899" t="inlineStr">
        <is>
          <t>VÄSTERBOTTENS LÄN</t>
        </is>
      </c>
      <c r="E1899" t="inlineStr">
        <is>
          <t>SKELLEFTEÅ</t>
        </is>
      </c>
      <c r="F1899" t="inlineStr">
        <is>
          <t>Kommuner</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19748-2021</t>
        </is>
      </c>
      <c r="B1900" s="1" t="n">
        <v>44312</v>
      </c>
      <c r="C1900" s="1" t="n">
        <v>45991</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58114-2022</t>
        </is>
      </c>
      <c r="B1901" s="1" t="n">
        <v>44893</v>
      </c>
      <c r="C1901" s="1" t="n">
        <v>45991</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6656-2023</t>
        </is>
      </c>
      <c r="B1902" s="1" t="n">
        <v>44963</v>
      </c>
      <c r="C1902" s="1" t="n">
        <v>45991</v>
      </c>
      <c r="D1902" t="inlineStr">
        <is>
          <t>VÄSTERBOTTENS LÄN</t>
        </is>
      </c>
      <c r="E1902" t="inlineStr">
        <is>
          <t>SKELLEFTEÅ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40828-2021</t>
        </is>
      </c>
      <c r="B1903" s="1" t="n">
        <v>44421.39377314815</v>
      </c>
      <c r="C1903" s="1" t="n">
        <v>45991</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70851-2021</t>
        </is>
      </c>
      <c r="B1904" s="1" t="n">
        <v>44536</v>
      </c>
      <c r="C1904" s="1" t="n">
        <v>45991</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41072-2024</t>
        </is>
      </c>
      <c r="B1905" s="1" t="n">
        <v>45559.39484953704</v>
      </c>
      <c r="C1905" s="1" t="n">
        <v>45991</v>
      </c>
      <c r="D1905" t="inlineStr">
        <is>
          <t>VÄSTERBOTTENS LÄN</t>
        </is>
      </c>
      <c r="E1905" t="inlineStr">
        <is>
          <t>SKELLEFTEÅ</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32420-2022</t>
        </is>
      </c>
      <c r="B1906" s="1" t="n">
        <v>44782</v>
      </c>
      <c r="C1906" s="1" t="n">
        <v>45991</v>
      </c>
      <c r="D1906" t="inlineStr">
        <is>
          <t>VÄSTERBOTTENS LÄN</t>
        </is>
      </c>
      <c r="E1906" t="inlineStr">
        <is>
          <t>SKELLEFTEÅ</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32427-2022</t>
        </is>
      </c>
      <c r="B1907" s="1" t="n">
        <v>44782</v>
      </c>
      <c r="C1907" s="1" t="n">
        <v>45991</v>
      </c>
      <c r="D1907" t="inlineStr">
        <is>
          <t>VÄSTERBOTTENS LÄN</t>
        </is>
      </c>
      <c r="E1907" t="inlineStr">
        <is>
          <t>SKELLEFTEÅ</t>
        </is>
      </c>
      <c r="F1907" t="inlineStr">
        <is>
          <t>Kommuner</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706-2023</t>
        </is>
      </c>
      <c r="B1908" s="1" t="n">
        <v>44930</v>
      </c>
      <c r="C1908" s="1" t="n">
        <v>45991</v>
      </c>
      <c r="D1908" t="inlineStr">
        <is>
          <t>VÄSTERBOTTENS LÄN</t>
        </is>
      </c>
      <c r="E1908" t="inlineStr">
        <is>
          <t>SKELLEFTEÅ</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36208-2022</t>
        </is>
      </c>
      <c r="B1909" s="1" t="n">
        <v>44803</v>
      </c>
      <c r="C1909" s="1" t="n">
        <v>45991</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12798-2024</t>
        </is>
      </c>
      <c r="B1910" s="1" t="n">
        <v>45384</v>
      </c>
      <c r="C1910" s="1" t="n">
        <v>45991</v>
      </c>
      <c r="D1910" t="inlineStr">
        <is>
          <t>VÄSTERBOTTENS LÄN</t>
        </is>
      </c>
      <c r="E1910" t="inlineStr">
        <is>
          <t>SKELLEFTEÅ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29321-2024</t>
        </is>
      </c>
      <c r="B1911" s="1" t="n">
        <v>45483.4243287037</v>
      </c>
      <c r="C1911" s="1" t="n">
        <v>45991</v>
      </c>
      <c r="D1911" t="inlineStr">
        <is>
          <t>VÄSTERBOTTENS LÄN</t>
        </is>
      </c>
      <c r="E1911" t="inlineStr">
        <is>
          <t>SKELLEFTEÅ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40898-2021</t>
        </is>
      </c>
      <c r="B1912" s="1" t="n">
        <v>44421.48540509259</v>
      </c>
      <c r="C1912" s="1" t="n">
        <v>45991</v>
      </c>
      <c r="D1912" t="inlineStr">
        <is>
          <t>VÄSTERBOTTENS LÄN</t>
        </is>
      </c>
      <c r="E1912" t="inlineStr">
        <is>
          <t>SKELLEFTEÅ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33771-2023</t>
        </is>
      </c>
      <c r="B1913" s="1" t="n">
        <v>45133.49151620371</v>
      </c>
      <c r="C1913" s="1" t="n">
        <v>45991</v>
      </c>
      <c r="D1913" t="inlineStr">
        <is>
          <t>VÄSTERBOTTENS LÄN</t>
        </is>
      </c>
      <c r="E1913" t="inlineStr">
        <is>
          <t>SKELLEFTEÅ</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24577-2022</t>
        </is>
      </c>
      <c r="B1914" s="1" t="n">
        <v>44727</v>
      </c>
      <c r="C1914" s="1" t="n">
        <v>45991</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24583-2022</t>
        </is>
      </c>
      <c r="B1915" s="1" t="n">
        <v>44727</v>
      </c>
      <c r="C1915" s="1" t="n">
        <v>45991</v>
      </c>
      <c r="D1915" t="inlineStr">
        <is>
          <t>VÄSTERBOTTENS LÄN</t>
        </is>
      </c>
      <c r="E1915" t="inlineStr">
        <is>
          <t>SKELLEFTEÅ</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56806-2024</t>
        </is>
      </c>
      <c r="B1916" s="1" t="n">
        <v>45628.47483796296</v>
      </c>
      <c r="C1916" s="1" t="n">
        <v>45991</v>
      </c>
      <c r="D1916" t="inlineStr">
        <is>
          <t>VÄSTERBOTTENS LÄN</t>
        </is>
      </c>
      <c r="E1916" t="inlineStr">
        <is>
          <t>SKELLEFTEÅ</t>
        </is>
      </c>
      <c r="F1916" t="inlineStr">
        <is>
          <t>Holmen skog AB</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56965-2024</t>
        </is>
      </c>
      <c r="B1917" s="1" t="n">
        <v>45628.65949074074</v>
      </c>
      <c r="C1917" s="1" t="n">
        <v>45991</v>
      </c>
      <c r="D1917" t="inlineStr">
        <is>
          <t>VÄSTERBOTTENS LÄN</t>
        </is>
      </c>
      <c r="E1917" t="inlineStr">
        <is>
          <t>SKELLEFTEÅ</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46968-2024</t>
        </is>
      </c>
      <c r="B1918" s="1" t="n">
        <v>45586</v>
      </c>
      <c r="C1918" s="1" t="n">
        <v>45991</v>
      </c>
      <c r="D1918" t="inlineStr">
        <is>
          <t>VÄSTERBOTTENS LÄN</t>
        </is>
      </c>
      <c r="E1918" t="inlineStr">
        <is>
          <t>SKELLEFTEÅ</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25512-2021</t>
        </is>
      </c>
      <c r="B1919" s="1" t="n">
        <v>44342</v>
      </c>
      <c r="C1919" s="1" t="n">
        <v>45991</v>
      </c>
      <c r="D1919" t="inlineStr">
        <is>
          <t>VÄSTERBOTTENS LÄN</t>
        </is>
      </c>
      <c r="E1919" t="inlineStr">
        <is>
          <t>SKELLEFTEÅ</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19765-2025</t>
        </is>
      </c>
      <c r="B1920" s="1" t="n">
        <v>45771.4071875</v>
      </c>
      <c r="C1920" s="1" t="n">
        <v>45991</v>
      </c>
      <c r="D1920" t="inlineStr">
        <is>
          <t>VÄSTERBOTTENS LÄN</t>
        </is>
      </c>
      <c r="E1920" t="inlineStr">
        <is>
          <t>SKELLEFTEÅ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19779-2025</t>
        </is>
      </c>
      <c r="B1921" s="1" t="n">
        <v>45771.42736111111</v>
      </c>
      <c r="C1921" s="1" t="n">
        <v>45991</v>
      </c>
      <c r="D1921" t="inlineStr">
        <is>
          <t>VÄSTERBOTTENS LÄN</t>
        </is>
      </c>
      <c r="E1921" t="inlineStr">
        <is>
          <t>SKELLEFTEÅ</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30900-2024</t>
        </is>
      </c>
      <c r="B1922" s="1" t="n">
        <v>45498</v>
      </c>
      <c r="C1922" s="1" t="n">
        <v>45991</v>
      </c>
      <c r="D1922" t="inlineStr">
        <is>
          <t>VÄSTERBOTTENS LÄN</t>
        </is>
      </c>
      <c r="E1922" t="inlineStr">
        <is>
          <t>SKELLEFTEÅ</t>
        </is>
      </c>
      <c r="G1922" t="n">
        <v>17.5</v>
      </c>
      <c r="H1922" t="n">
        <v>0</v>
      </c>
      <c r="I1922" t="n">
        <v>0</v>
      </c>
      <c r="J1922" t="n">
        <v>0</v>
      </c>
      <c r="K1922" t="n">
        <v>0</v>
      </c>
      <c r="L1922" t="n">
        <v>0</v>
      </c>
      <c r="M1922" t="n">
        <v>0</v>
      </c>
      <c r="N1922" t="n">
        <v>0</v>
      </c>
      <c r="O1922" t="n">
        <v>0</v>
      </c>
      <c r="P1922" t="n">
        <v>0</v>
      </c>
      <c r="Q1922" t="n">
        <v>0</v>
      </c>
      <c r="R1922" s="2" t="inlineStr"/>
    </row>
    <row r="1923" ht="15" customHeight="1">
      <c r="A1923" t="inlineStr">
        <is>
          <t>A 14384-2025</t>
        </is>
      </c>
      <c r="B1923" s="1" t="n">
        <v>45741.41962962963</v>
      </c>
      <c r="C1923" s="1" t="n">
        <v>45991</v>
      </c>
      <c r="D1923" t="inlineStr">
        <is>
          <t>VÄSTERBOTTENS LÄN</t>
        </is>
      </c>
      <c r="E1923" t="inlineStr">
        <is>
          <t>SKELLEFTEÅ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44872-2023</t>
        </is>
      </c>
      <c r="B1924" s="1" t="n">
        <v>45190.60226851852</v>
      </c>
      <c r="C1924" s="1" t="n">
        <v>45991</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19905-2024</t>
        </is>
      </c>
      <c r="B1925" s="1" t="n">
        <v>45433.56965277778</v>
      </c>
      <c r="C1925" s="1" t="n">
        <v>45991</v>
      </c>
      <c r="D1925" t="inlineStr">
        <is>
          <t>VÄSTERBOTTENS LÄN</t>
        </is>
      </c>
      <c r="E1925" t="inlineStr">
        <is>
          <t>SKELLEFTEÅ</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40966-2024</t>
        </is>
      </c>
      <c r="B1926" s="1" t="n">
        <v>45558.67207175926</v>
      </c>
      <c r="C1926" s="1" t="n">
        <v>45991</v>
      </c>
      <c r="D1926" t="inlineStr">
        <is>
          <t>VÄSTERBOTTENS LÄN</t>
        </is>
      </c>
      <c r="E1926" t="inlineStr">
        <is>
          <t>SKELLEFTEÅ</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53083-2022</t>
        </is>
      </c>
      <c r="B1927" s="1" t="n">
        <v>44876</v>
      </c>
      <c r="C1927" s="1" t="n">
        <v>45991</v>
      </c>
      <c r="D1927" t="inlineStr">
        <is>
          <t>VÄSTERBOTTENS LÄN</t>
        </is>
      </c>
      <c r="E1927" t="inlineStr">
        <is>
          <t>SKELLEFTEÅ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62642-2022</t>
        </is>
      </c>
      <c r="B1928" s="1" t="n">
        <v>44925</v>
      </c>
      <c r="C1928" s="1" t="n">
        <v>45991</v>
      </c>
      <c r="D1928" t="inlineStr">
        <is>
          <t>VÄSTERBOTTENS LÄN</t>
        </is>
      </c>
      <c r="E1928" t="inlineStr">
        <is>
          <t>SKELLEFTEÅ</t>
        </is>
      </c>
      <c r="F1928" t="inlineStr">
        <is>
          <t>Holmen skog AB</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54113-2023</t>
        </is>
      </c>
      <c r="B1929" s="1" t="n">
        <v>45232.39173611111</v>
      </c>
      <c r="C1929" s="1" t="n">
        <v>45991</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45991</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56923-2024</t>
        </is>
      </c>
      <c r="B1931" s="1" t="n">
        <v>45628.60170138889</v>
      </c>
      <c r="C1931" s="1" t="n">
        <v>45991</v>
      </c>
      <c r="D1931" t="inlineStr">
        <is>
          <t>VÄSTERBOTTENS LÄN</t>
        </is>
      </c>
      <c r="E1931" t="inlineStr">
        <is>
          <t>SKELLEFTEÅ</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22072-2024</t>
        </is>
      </c>
      <c r="B1932" s="1" t="n">
        <v>45443.63575231482</v>
      </c>
      <c r="C1932" s="1" t="n">
        <v>45991</v>
      </c>
      <c r="D1932" t="inlineStr">
        <is>
          <t>VÄSTERBOTTENS LÄN</t>
        </is>
      </c>
      <c r="E1932" t="inlineStr">
        <is>
          <t>SKELLEFTEÅ</t>
        </is>
      </c>
      <c r="F1932" t="inlineStr">
        <is>
          <t>Holmen skog AB</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7027-2025</t>
        </is>
      </c>
      <c r="B1933" s="1" t="n">
        <v>45701.63026620371</v>
      </c>
      <c r="C1933" s="1" t="n">
        <v>45991</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62504-2023</t>
        </is>
      </c>
      <c r="B1934" s="1" t="n">
        <v>45268</v>
      </c>
      <c r="C1934" s="1" t="n">
        <v>45991</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34622-2024</t>
        </is>
      </c>
      <c r="B1935" s="1" t="n">
        <v>45526.44155092593</v>
      </c>
      <c r="C1935" s="1" t="n">
        <v>45991</v>
      </c>
      <c r="D1935" t="inlineStr">
        <is>
          <t>VÄSTERBOTTENS LÄN</t>
        </is>
      </c>
      <c r="E1935" t="inlineStr">
        <is>
          <t>SKELLEFTEÅ</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21077-2024</t>
        </is>
      </c>
      <c r="B1936" s="1" t="n">
        <v>45439.92695601852</v>
      </c>
      <c r="C1936" s="1" t="n">
        <v>45991</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27627-2024</t>
        </is>
      </c>
      <c r="B1937" s="1" t="n">
        <v>45474.9281712963</v>
      </c>
      <c r="C1937" s="1" t="n">
        <v>45991</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44616-2022</t>
        </is>
      </c>
      <c r="B1938" s="1" t="n">
        <v>44839</v>
      </c>
      <c r="C1938" s="1" t="n">
        <v>45991</v>
      </c>
      <c r="D1938" t="inlineStr">
        <is>
          <t>VÄSTERBOTTENS LÄN</t>
        </is>
      </c>
      <c r="E1938" t="inlineStr">
        <is>
          <t>SKELLEFTEÅ</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45389-2021</t>
        </is>
      </c>
      <c r="B1939" s="1" t="n">
        <v>44440</v>
      </c>
      <c r="C1939" s="1" t="n">
        <v>45991</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36895-2024</t>
        </is>
      </c>
      <c r="B1940" s="1" t="n">
        <v>45538.61855324074</v>
      </c>
      <c r="C1940" s="1" t="n">
        <v>45991</v>
      </c>
      <c r="D1940" t="inlineStr">
        <is>
          <t>VÄSTERBOTTENS LÄN</t>
        </is>
      </c>
      <c r="E1940" t="inlineStr">
        <is>
          <t>SKELLEFTEÅ</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41642-2024</t>
        </is>
      </c>
      <c r="B1941" s="1" t="n">
        <v>45560.63359953704</v>
      </c>
      <c r="C1941" s="1" t="n">
        <v>45991</v>
      </c>
      <c r="D1941" t="inlineStr">
        <is>
          <t>VÄSTERBOTTENS LÄN</t>
        </is>
      </c>
      <c r="E1941" t="inlineStr">
        <is>
          <t>SKELLEFTEÅ</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1933-2023</t>
        </is>
      </c>
      <c r="B1942" s="1" t="n">
        <v>44938</v>
      </c>
      <c r="C1942" s="1" t="n">
        <v>45991</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47014-2024</t>
        </is>
      </c>
      <c r="B1943" s="1" t="n">
        <v>45586.38862268518</v>
      </c>
      <c r="C1943" s="1" t="n">
        <v>45991</v>
      </c>
      <c r="D1943" t="inlineStr">
        <is>
          <t>VÄSTERBOTTENS LÄN</t>
        </is>
      </c>
      <c r="E1943" t="inlineStr">
        <is>
          <t>SKELLEFTEÅ</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34063-2023</t>
        </is>
      </c>
      <c r="B1944" s="1" t="n">
        <v>45135.4729050926</v>
      </c>
      <c r="C1944" s="1" t="n">
        <v>45991</v>
      </c>
      <c r="D1944" t="inlineStr">
        <is>
          <t>VÄSTERBOTTENS LÄN</t>
        </is>
      </c>
      <c r="E1944" t="inlineStr">
        <is>
          <t>SKELLEFTEÅ</t>
        </is>
      </c>
      <c r="F1944" t="inlineStr">
        <is>
          <t>Holmen skog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58926-2022</t>
        </is>
      </c>
      <c r="B1945" s="1" t="n">
        <v>44896</v>
      </c>
      <c r="C1945" s="1" t="n">
        <v>45991</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19839-2024</t>
        </is>
      </c>
      <c r="B1946" s="1" t="n">
        <v>45433</v>
      </c>
      <c r="C1946" s="1" t="n">
        <v>45991</v>
      </c>
      <c r="D1946" t="inlineStr">
        <is>
          <t>VÄSTERBOTTENS LÄN</t>
        </is>
      </c>
      <c r="E1946" t="inlineStr">
        <is>
          <t>SKELLEFTEÅ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21395-2022</t>
        </is>
      </c>
      <c r="B1947" s="1" t="n">
        <v>44705.92563657407</v>
      </c>
      <c r="C1947" s="1" t="n">
        <v>45991</v>
      </c>
      <c r="D1947" t="inlineStr">
        <is>
          <t>VÄSTERBOTTENS LÄN</t>
        </is>
      </c>
      <c r="E1947" t="inlineStr">
        <is>
          <t>SKELLEFTEÅ</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11260-2022</t>
        </is>
      </c>
      <c r="B1948" s="1" t="n">
        <v>44629</v>
      </c>
      <c r="C1948" s="1" t="n">
        <v>45991</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5959-2023</t>
        </is>
      </c>
      <c r="B1949" s="1" t="n">
        <v>44963.95042824074</v>
      </c>
      <c r="C1949" s="1" t="n">
        <v>45991</v>
      </c>
      <c r="D1949" t="inlineStr">
        <is>
          <t>VÄSTERBOTTENS LÄN</t>
        </is>
      </c>
      <c r="E1949" t="inlineStr">
        <is>
          <t>SKELLEFTEÅ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34713-2024</t>
        </is>
      </c>
      <c r="B1950" s="1" t="n">
        <v>45526.56255787037</v>
      </c>
      <c r="C1950" s="1" t="n">
        <v>45991</v>
      </c>
      <c r="D1950" t="inlineStr">
        <is>
          <t>VÄSTERBOTTENS LÄN</t>
        </is>
      </c>
      <c r="E1950" t="inlineStr">
        <is>
          <t>SKELLEFTEÅ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8689-2025</t>
        </is>
      </c>
      <c r="B1951" s="1" t="n">
        <v>45712</v>
      </c>
      <c r="C1951" s="1" t="n">
        <v>45991</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27631-2022</t>
        </is>
      </c>
      <c r="B1952" s="1" t="n">
        <v>44743</v>
      </c>
      <c r="C1952" s="1" t="n">
        <v>45991</v>
      </c>
      <c r="D1952" t="inlineStr">
        <is>
          <t>VÄSTERBOTTENS LÄN</t>
        </is>
      </c>
      <c r="E1952" t="inlineStr">
        <is>
          <t>SKELLEFTEÅ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56203-2023</t>
        </is>
      </c>
      <c r="B1953" s="1" t="n">
        <v>45240</v>
      </c>
      <c r="C1953" s="1" t="n">
        <v>45991</v>
      </c>
      <c r="D1953" t="inlineStr">
        <is>
          <t>VÄSTERBOTTENS LÄN</t>
        </is>
      </c>
      <c r="E1953" t="inlineStr">
        <is>
          <t>SKELLEFTEÅ</t>
        </is>
      </c>
      <c r="F1953" t="inlineStr">
        <is>
          <t>Holmen skog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46181-2022</t>
        </is>
      </c>
      <c r="B1954" s="1" t="n">
        <v>44845</v>
      </c>
      <c r="C1954" s="1" t="n">
        <v>45991</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53903-2022</t>
        </is>
      </c>
      <c r="B1955" s="1" t="n">
        <v>44880</v>
      </c>
      <c r="C1955" s="1" t="n">
        <v>45991</v>
      </c>
      <c r="D1955" t="inlineStr">
        <is>
          <t>VÄSTERBOTTENS LÄN</t>
        </is>
      </c>
      <c r="E1955" t="inlineStr">
        <is>
          <t>SKELLEFTEÅ</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36779-2024</t>
        </is>
      </c>
      <c r="B1956" s="1" t="n">
        <v>45538.41059027778</v>
      </c>
      <c r="C1956" s="1" t="n">
        <v>45991</v>
      </c>
      <c r="D1956" t="inlineStr">
        <is>
          <t>VÄSTERBOTTENS LÄN</t>
        </is>
      </c>
      <c r="E1956" t="inlineStr">
        <is>
          <t>SKELLEFTEÅ</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45011-2022</t>
        </is>
      </c>
      <c r="B1957" s="1" t="n">
        <v>44840</v>
      </c>
      <c r="C1957" s="1" t="n">
        <v>45991</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41231-2024</t>
        </is>
      </c>
      <c r="B1958" s="1" t="n">
        <v>45559.56412037037</v>
      </c>
      <c r="C1958" s="1" t="n">
        <v>45991</v>
      </c>
      <c r="D1958" t="inlineStr">
        <is>
          <t>VÄSTERBOTTENS LÄN</t>
        </is>
      </c>
      <c r="E1958" t="inlineStr">
        <is>
          <t>SKELLEFTEÅ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52999-2024</t>
        </is>
      </c>
      <c r="B1959" s="1" t="n">
        <v>45611.38667824074</v>
      </c>
      <c r="C1959" s="1" t="n">
        <v>45991</v>
      </c>
      <c r="D1959" t="inlineStr">
        <is>
          <t>VÄSTERBOTTENS LÄN</t>
        </is>
      </c>
      <c r="E1959" t="inlineStr">
        <is>
          <t>SKELLEFTEÅ</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40442-2023</t>
        </is>
      </c>
      <c r="B1960" s="1" t="n">
        <v>45170.27015046297</v>
      </c>
      <c r="C1960" s="1" t="n">
        <v>45991</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65379-2020</t>
        </is>
      </c>
      <c r="B1961" s="1" t="n">
        <v>44173</v>
      </c>
      <c r="C1961" s="1" t="n">
        <v>45991</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60614-2023</t>
        </is>
      </c>
      <c r="B1962" s="1" t="n">
        <v>45260</v>
      </c>
      <c r="C1962" s="1" t="n">
        <v>45991</v>
      </c>
      <c r="D1962" t="inlineStr">
        <is>
          <t>VÄSTERBOTTENS LÄN</t>
        </is>
      </c>
      <c r="E1962" t="inlineStr">
        <is>
          <t>SKELLEFTEÅ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15825-2023</t>
        </is>
      </c>
      <c r="B1963" s="1" t="n">
        <v>45021.94521990741</v>
      </c>
      <c r="C1963" s="1" t="n">
        <v>45991</v>
      </c>
      <c r="D1963" t="inlineStr">
        <is>
          <t>VÄSTERBOTTENS LÄN</t>
        </is>
      </c>
      <c r="E1963" t="inlineStr">
        <is>
          <t>SKELLEFTEÅ</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48202-2024</t>
        </is>
      </c>
      <c r="B1964" s="1" t="n">
        <v>45589</v>
      </c>
      <c r="C1964" s="1" t="n">
        <v>45991</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36201-2024</t>
        </is>
      </c>
      <c r="B1965" s="1" t="n">
        <v>45534.43785879629</v>
      </c>
      <c r="C1965" s="1" t="n">
        <v>45991</v>
      </c>
      <c r="D1965" t="inlineStr">
        <is>
          <t>VÄSTERBOTTENS LÄN</t>
        </is>
      </c>
      <c r="E1965" t="inlineStr">
        <is>
          <t>SKELLEFTEÅ</t>
        </is>
      </c>
      <c r="F1965" t="inlineStr">
        <is>
          <t>Holmen skog AB</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12763-2024</t>
        </is>
      </c>
      <c r="B1966" s="1" t="n">
        <v>45384</v>
      </c>
      <c r="C1966" s="1" t="n">
        <v>45991</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38577-2023</t>
        </is>
      </c>
      <c r="B1967" s="1" t="n">
        <v>45161</v>
      </c>
      <c r="C1967" s="1" t="n">
        <v>45991</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47534-2023</t>
        </is>
      </c>
      <c r="B1968" s="1" t="n">
        <v>45203.36484953704</v>
      </c>
      <c r="C1968" s="1" t="n">
        <v>45991</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61584-2024</t>
        </is>
      </c>
      <c r="B1969" s="1" t="n">
        <v>45646.62739583333</v>
      </c>
      <c r="C1969" s="1" t="n">
        <v>45991</v>
      </c>
      <c r="D1969" t="inlineStr">
        <is>
          <t>VÄSTERBOTTENS LÄN</t>
        </is>
      </c>
      <c r="E1969" t="inlineStr">
        <is>
          <t>SKELLEFTEÅ</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2486-2022</t>
        </is>
      </c>
      <c r="B1970" s="1" t="n">
        <v>44579</v>
      </c>
      <c r="C1970" s="1" t="n">
        <v>45991</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46731-2024</t>
        </is>
      </c>
      <c r="B1971" s="1" t="n">
        <v>45583</v>
      </c>
      <c r="C1971" s="1" t="n">
        <v>45991</v>
      </c>
      <c r="D1971" t="inlineStr">
        <is>
          <t>VÄSTERBOTTENS LÄN</t>
        </is>
      </c>
      <c r="E1971" t="inlineStr">
        <is>
          <t>SKELLEFTEÅ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15740-2022</t>
        </is>
      </c>
      <c r="B1972" s="1" t="n">
        <v>44663.51881944444</v>
      </c>
      <c r="C1972" s="1" t="n">
        <v>45991</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16653-2022</t>
        </is>
      </c>
      <c r="B1973" s="1" t="n">
        <v>44672</v>
      </c>
      <c r="C1973" s="1" t="n">
        <v>45991</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65011-2023</t>
        </is>
      </c>
      <c r="B1974" s="1" t="n">
        <v>45287.38302083333</v>
      </c>
      <c r="C1974" s="1" t="n">
        <v>45991</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39553-2021</t>
        </is>
      </c>
      <c r="B1975" s="1" t="n">
        <v>44416</v>
      </c>
      <c r="C1975" s="1" t="n">
        <v>45991</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14983-2023</t>
        </is>
      </c>
      <c r="B1976" s="1" t="n">
        <v>45014</v>
      </c>
      <c r="C1976" s="1" t="n">
        <v>45991</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56435-2022</t>
        </is>
      </c>
      <c r="B1977" s="1" t="n">
        <v>44892.39662037037</v>
      </c>
      <c r="C1977" s="1" t="n">
        <v>45991</v>
      </c>
      <c r="D1977" t="inlineStr">
        <is>
          <t>VÄSTERBOTTENS LÄN</t>
        </is>
      </c>
      <c r="E1977" t="inlineStr">
        <is>
          <t>SKELLEFTEÅ</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3045-2024</t>
        </is>
      </c>
      <c r="B1978" s="1" t="n">
        <v>45316</v>
      </c>
      <c r="C1978" s="1" t="n">
        <v>45991</v>
      </c>
      <c r="D1978" t="inlineStr">
        <is>
          <t>VÄSTERBOTTENS LÄN</t>
        </is>
      </c>
      <c r="E1978" t="inlineStr">
        <is>
          <t>SKELLEFTEÅ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14238-2025</t>
        </is>
      </c>
      <c r="B1979" s="1" t="n">
        <v>45740.6105787037</v>
      </c>
      <c r="C1979" s="1" t="n">
        <v>45991</v>
      </c>
      <c r="D1979" t="inlineStr">
        <is>
          <t>VÄSTERBOTTENS LÄN</t>
        </is>
      </c>
      <c r="E1979" t="inlineStr">
        <is>
          <t>SKELLEFTEÅ</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42109-2022</t>
        </is>
      </c>
      <c r="B1980" s="1" t="n">
        <v>44827</v>
      </c>
      <c r="C1980" s="1" t="n">
        <v>45991</v>
      </c>
      <c r="D1980" t="inlineStr">
        <is>
          <t>VÄSTERBOTTENS LÄN</t>
        </is>
      </c>
      <c r="E1980" t="inlineStr">
        <is>
          <t>SKELLEFTEÅ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36792-2024</t>
        </is>
      </c>
      <c r="B1981" s="1" t="n">
        <v>45538.44001157407</v>
      </c>
      <c r="C1981" s="1" t="n">
        <v>45991</v>
      </c>
      <c r="D1981" t="inlineStr">
        <is>
          <t>VÄSTERBOTTENS LÄN</t>
        </is>
      </c>
      <c r="E1981" t="inlineStr">
        <is>
          <t>SKELLEFTEÅ</t>
        </is>
      </c>
      <c r="F1981" t="inlineStr">
        <is>
          <t>Sveaskog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36794-2024</t>
        </is>
      </c>
      <c r="B1982" s="1" t="n">
        <v>45538.44354166667</v>
      </c>
      <c r="C1982" s="1" t="n">
        <v>45991</v>
      </c>
      <c r="D1982" t="inlineStr">
        <is>
          <t>VÄSTERBOTTENS LÄN</t>
        </is>
      </c>
      <c r="E1982" t="inlineStr">
        <is>
          <t>SKELLEFTEÅ</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12515-2024</t>
        </is>
      </c>
      <c r="B1983" s="1" t="n">
        <v>45379</v>
      </c>
      <c r="C1983" s="1" t="n">
        <v>45991</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3852-2023</t>
        </is>
      </c>
      <c r="B1984" s="1" t="n">
        <v>44950</v>
      </c>
      <c r="C1984" s="1" t="n">
        <v>45991</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58960-2024</t>
        </is>
      </c>
      <c r="B1985" s="1" t="n">
        <v>45635</v>
      </c>
      <c r="C1985" s="1" t="n">
        <v>45991</v>
      </c>
      <c r="D1985" t="inlineStr">
        <is>
          <t>VÄSTERBOTTENS LÄN</t>
        </is>
      </c>
      <c r="E1985" t="inlineStr">
        <is>
          <t>SKELLEFTEÅ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22121-2023</t>
        </is>
      </c>
      <c r="B1986" s="1" t="n">
        <v>45069.57740740741</v>
      </c>
      <c r="C1986" s="1" t="n">
        <v>45991</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702-2023</t>
        </is>
      </c>
      <c r="B1987" s="1" t="n">
        <v>44930.92688657407</v>
      </c>
      <c r="C1987" s="1" t="n">
        <v>45991</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17086-2023</t>
        </is>
      </c>
      <c r="B1988" s="1" t="n">
        <v>45030</v>
      </c>
      <c r="C1988" s="1" t="n">
        <v>45991</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60585-2022</t>
        </is>
      </c>
      <c r="B1989" s="1" t="n">
        <v>44911.58148148148</v>
      </c>
      <c r="C1989" s="1" t="n">
        <v>45991</v>
      </c>
      <c r="D1989" t="inlineStr">
        <is>
          <t>VÄSTERBOTTENS LÄN</t>
        </is>
      </c>
      <c r="E1989" t="inlineStr">
        <is>
          <t>SKELLEFTEÅ</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56500-2024</t>
        </is>
      </c>
      <c r="B1990" s="1" t="n">
        <v>45625.49765046296</v>
      </c>
      <c r="C1990" s="1" t="n">
        <v>45991</v>
      </c>
      <c r="D1990" t="inlineStr">
        <is>
          <t>VÄSTERBOTTENS LÄN</t>
        </is>
      </c>
      <c r="E1990" t="inlineStr">
        <is>
          <t>SKELLEFTEÅ</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56501-2024</t>
        </is>
      </c>
      <c r="B1991" s="1" t="n">
        <v>45625.49784722222</v>
      </c>
      <c r="C1991" s="1" t="n">
        <v>45991</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21812-2024</t>
        </is>
      </c>
      <c r="B1992" s="1" t="n">
        <v>45442.67990740741</v>
      </c>
      <c r="C1992" s="1" t="n">
        <v>45991</v>
      </c>
      <c r="D1992" t="inlineStr">
        <is>
          <t>VÄSTERBOTTENS LÄN</t>
        </is>
      </c>
      <c r="E1992" t="inlineStr">
        <is>
          <t>SKELLEFTEÅ</t>
        </is>
      </c>
      <c r="F1992" t="inlineStr">
        <is>
          <t>Holmen skog AB</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45850-2024</t>
        </is>
      </c>
      <c r="B1993" s="1" t="n">
        <v>45580</v>
      </c>
      <c r="C1993" s="1" t="n">
        <v>45991</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46482-2024</t>
        </is>
      </c>
      <c r="B1994" s="1" t="n">
        <v>45582.57383101852</v>
      </c>
      <c r="C1994" s="1" t="n">
        <v>45991</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73985-2021</t>
        </is>
      </c>
      <c r="B1995" s="1" t="n">
        <v>44555</v>
      </c>
      <c r="C1995" s="1" t="n">
        <v>45991</v>
      </c>
      <c r="D1995" t="inlineStr">
        <is>
          <t>VÄSTERBOTTENS LÄN</t>
        </is>
      </c>
      <c r="E1995" t="inlineStr">
        <is>
          <t>SKELLEFTEÅ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5470-2023</t>
        </is>
      </c>
      <c r="B1996" s="1" t="n">
        <v>44960</v>
      </c>
      <c r="C1996" s="1" t="n">
        <v>45991</v>
      </c>
      <c r="D1996" t="inlineStr">
        <is>
          <t>VÄSTERBOTTENS LÄN</t>
        </is>
      </c>
      <c r="E1996" t="inlineStr">
        <is>
          <t>SKELLEFTEÅ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31558-2023</t>
        </is>
      </c>
      <c r="B1997" s="1" t="n">
        <v>45104</v>
      </c>
      <c r="C1997" s="1" t="n">
        <v>45991</v>
      </c>
      <c r="D1997" t="inlineStr">
        <is>
          <t>VÄSTERBOTTENS LÄN</t>
        </is>
      </c>
      <c r="E1997" t="inlineStr">
        <is>
          <t>SKELLEFTEÅ</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33289-2023</t>
        </is>
      </c>
      <c r="B1998" s="1" t="n">
        <v>45116</v>
      </c>
      <c r="C1998" s="1" t="n">
        <v>45991</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50488-2023</t>
        </is>
      </c>
      <c r="B1999" s="1" t="n">
        <v>45216</v>
      </c>
      <c r="C1999" s="1" t="n">
        <v>45991</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31871-2024</t>
        </is>
      </c>
      <c r="B2000" s="1" t="n">
        <v>45509.92899305555</v>
      </c>
      <c r="C2000" s="1" t="n">
        <v>45991</v>
      </c>
      <c r="D2000" t="inlineStr">
        <is>
          <t>VÄSTERBOTTENS LÄN</t>
        </is>
      </c>
      <c r="E2000" t="inlineStr">
        <is>
          <t>SKELLEFTEÅ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60000-2022</t>
        </is>
      </c>
      <c r="B2001" s="1" t="n">
        <v>44909.4678125</v>
      </c>
      <c r="C2001" s="1" t="n">
        <v>45991</v>
      </c>
      <c r="D2001" t="inlineStr">
        <is>
          <t>VÄSTERBOTTENS LÄN</t>
        </is>
      </c>
      <c r="E2001" t="inlineStr">
        <is>
          <t>SKELLEFTEÅ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58572-2022</t>
        </is>
      </c>
      <c r="B2002" s="1" t="n">
        <v>44902</v>
      </c>
      <c r="C2002" s="1" t="n">
        <v>45991</v>
      </c>
      <c r="D2002" t="inlineStr">
        <is>
          <t>VÄSTERBOTTENS LÄN</t>
        </is>
      </c>
      <c r="E2002" t="inlineStr">
        <is>
          <t>SKELLEFTEÅ</t>
        </is>
      </c>
      <c r="F2002" t="inlineStr">
        <is>
          <t>Sveaskog</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5133-2025</t>
        </is>
      </c>
      <c r="B2003" s="1" t="n">
        <v>45691.57523148148</v>
      </c>
      <c r="C2003" s="1" t="n">
        <v>45991</v>
      </c>
      <c r="D2003" t="inlineStr">
        <is>
          <t>VÄSTERBOTTENS LÄN</t>
        </is>
      </c>
      <c r="E2003" t="inlineStr">
        <is>
          <t>SKELLEFTEÅ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5147-2025</t>
        </is>
      </c>
      <c r="B2004" s="1" t="n">
        <v>45691.58826388889</v>
      </c>
      <c r="C2004" s="1" t="n">
        <v>45991</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38398-2024</t>
        </is>
      </c>
      <c r="B2005" s="1" t="n">
        <v>45546.33550925926</v>
      </c>
      <c r="C2005" s="1" t="n">
        <v>45991</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15332-2023</t>
        </is>
      </c>
      <c r="B2006" s="1" t="n">
        <v>45016</v>
      </c>
      <c r="C2006" s="1" t="n">
        <v>45991</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19424-2023</t>
        </is>
      </c>
      <c r="B2007" s="1" t="n">
        <v>45049.92751157407</v>
      </c>
      <c r="C2007" s="1" t="n">
        <v>45991</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19428-2023</t>
        </is>
      </c>
      <c r="B2008" s="1" t="n">
        <v>45049.92771990741</v>
      </c>
      <c r="C2008" s="1" t="n">
        <v>45991</v>
      </c>
      <c r="D2008" t="inlineStr">
        <is>
          <t>VÄSTERBOTTENS LÄN</t>
        </is>
      </c>
      <c r="E2008" t="inlineStr">
        <is>
          <t>SKELLEFTEÅ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29152-2023</t>
        </is>
      </c>
      <c r="B2009" s="1" t="n">
        <v>45105</v>
      </c>
      <c r="C2009" s="1" t="n">
        <v>45991</v>
      </c>
      <c r="D2009" t="inlineStr">
        <is>
          <t>VÄSTERBOTTENS LÄN</t>
        </is>
      </c>
      <c r="E2009" t="inlineStr">
        <is>
          <t>SKELLEFTEÅ</t>
        </is>
      </c>
      <c r="F2009" t="inlineStr">
        <is>
          <t>Holmen skog AB</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35102-2023</t>
        </is>
      </c>
      <c r="B2010" s="1" t="n">
        <v>45145.46237268519</v>
      </c>
      <c r="C2010" s="1" t="n">
        <v>45991</v>
      </c>
      <c r="D2010" t="inlineStr">
        <is>
          <t>VÄSTERBOTTENS LÄN</t>
        </is>
      </c>
      <c r="E2010" t="inlineStr">
        <is>
          <t>SKELLEFTEÅ</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21066-2021</t>
        </is>
      </c>
      <c r="B2011" s="1" t="n">
        <v>44319</v>
      </c>
      <c r="C2011" s="1" t="n">
        <v>45991</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61348-2022</t>
        </is>
      </c>
      <c r="B2012" s="1" t="n">
        <v>44915.69402777778</v>
      </c>
      <c r="C2012" s="1" t="n">
        <v>45991</v>
      </c>
      <c r="D2012" t="inlineStr">
        <is>
          <t>VÄSTERBOTTENS LÄN</t>
        </is>
      </c>
      <c r="E2012" t="inlineStr">
        <is>
          <t>SKELLEFTEÅ</t>
        </is>
      </c>
      <c r="F2012" t="inlineStr">
        <is>
          <t>Sveaskog</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25473-2021</t>
        </is>
      </c>
      <c r="B2013" s="1" t="n">
        <v>44342.76399305555</v>
      </c>
      <c r="C2013" s="1" t="n">
        <v>45991</v>
      </c>
      <c r="D2013" t="inlineStr">
        <is>
          <t>VÄSTERBOTTENS LÄN</t>
        </is>
      </c>
      <c r="E2013" t="inlineStr">
        <is>
          <t>SKELLEFTEÅ</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5602-2023</t>
        </is>
      </c>
      <c r="B2014" s="1" t="n">
        <v>44960.55158564815</v>
      </c>
      <c r="C2014" s="1" t="n">
        <v>45991</v>
      </c>
      <c r="D2014" t="inlineStr">
        <is>
          <t>VÄSTERBOTTENS LÄN</t>
        </is>
      </c>
      <c r="E2014" t="inlineStr">
        <is>
          <t>SKELLEFTEÅ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7579-2022</t>
        </is>
      </c>
      <c r="B2015" s="1" t="n">
        <v>44607</v>
      </c>
      <c r="C2015" s="1" t="n">
        <v>45991</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62319-2022</t>
        </is>
      </c>
      <c r="B2016" s="1" t="n">
        <v>44923</v>
      </c>
      <c r="C2016" s="1" t="n">
        <v>45991</v>
      </c>
      <c r="D2016" t="inlineStr">
        <is>
          <t>VÄSTERBOTTENS LÄN</t>
        </is>
      </c>
      <c r="E2016" t="inlineStr">
        <is>
          <t>SKELLEFTEÅ</t>
        </is>
      </c>
      <c r="F2016" t="inlineStr">
        <is>
          <t>Sveaskog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52218-2024</t>
        </is>
      </c>
      <c r="B2017" s="1" t="n">
        <v>45608.60149305555</v>
      </c>
      <c r="C2017" s="1" t="n">
        <v>45991</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57085-2023</t>
        </is>
      </c>
      <c r="B2018" s="1" t="n">
        <v>45245.25636574074</v>
      </c>
      <c r="C2018" s="1" t="n">
        <v>45991</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59165-2023</t>
        </is>
      </c>
      <c r="B2019" s="1" t="n">
        <v>45251</v>
      </c>
      <c r="C2019" s="1" t="n">
        <v>45991</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40347-2024</t>
        </is>
      </c>
      <c r="B2020" s="1" t="n">
        <v>45555.35193287037</v>
      </c>
      <c r="C2020" s="1" t="n">
        <v>45991</v>
      </c>
      <c r="D2020" t="inlineStr">
        <is>
          <t>VÄSTERBOTTENS LÄN</t>
        </is>
      </c>
      <c r="E2020" t="inlineStr">
        <is>
          <t>SKELLEFTEÅ</t>
        </is>
      </c>
      <c r="F2020" t="inlineStr">
        <is>
          <t>Kommuner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11076-2024</t>
        </is>
      </c>
      <c r="B2021" s="1" t="n">
        <v>45370</v>
      </c>
      <c r="C2021" s="1" t="n">
        <v>45991</v>
      </c>
      <c r="D2021" t="inlineStr">
        <is>
          <t>VÄSTERBOTTENS LÄN</t>
        </is>
      </c>
      <c r="E2021" t="inlineStr">
        <is>
          <t>SKELLEFTEÅ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25596-2022</t>
        </is>
      </c>
      <c r="B2022" s="1" t="n">
        <v>44732</v>
      </c>
      <c r="C2022" s="1" t="n">
        <v>45991</v>
      </c>
      <c r="D2022" t="inlineStr">
        <is>
          <t>VÄSTERBOTTENS LÄN</t>
        </is>
      </c>
      <c r="E2022" t="inlineStr">
        <is>
          <t>SKELLEFTEÅ</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52462-2021</t>
        </is>
      </c>
      <c r="B2023" s="1" t="n">
        <v>44463</v>
      </c>
      <c r="C2023" s="1" t="n">
        <v>45991</v>
      </c>
      <c r="D2023" t="inlineStr">
        <is>
          <t>VÄSTERBOTTENS LÄN</t>
        </is>
      </c>
      <c r="E2023" t="inlineStr">
        <is>
          <t>SKELLEFTEÅ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56952-2024</t>
        </is>
      </c>
      <c r="B2024" s="1" t="n">
        <v>45628</v>
      </c>
      <c r="C2024" s="1" t="n">
        <v>45991</v>
      </c>
      <c r="D2024" t="inlineStr">
        <is>
          <t>VÄSTERBOTTENS LÄN</t>
        </is>
      </c>
      <c r="E2024" t="inlineStr">
        <is>
          <t>SKELLEFTEÅ</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55528-2023</t>
        </is>
      </c>
      <c r="B2025" s="1" t="n">
        <v>45238.59362268518</v>
      </c>
      <c r="C2025" s="1" t="n">
        <v>45991</v>
      </c>
      <c r="D2025" t="inlineStr">
        <is>
          <t>VÄSTERBOTTENS LÄN</t>
        </is>
      </c>
      <c r="E2025" t="inlineStr">
        <is>
          <t>SKELLEFTEÅ</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20163-2025</t>
        </is>
      </c>
      <c r="B2026" s="1" t="n">
        <v>45772.57280092593</v>
      </c>
      <c r="C2026" s="1" t="n">
        <v>45991</v>
      </c>
      <c r="D2026" t="inlineStr">
        <is>
          <t>VÄSTERBOTTENS LÄN</t>
        </is>
      </c>
      <c r="E2026" t="inlineStr">
        <is>
          <t>SKELLEFTEÅ</t>
        </is>
      </c>
      <c r="F2026" t="inlineStr">
        <is>
          <t>Holmen skog AB</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20216-2025</t>
        </is>
      </c>
      <c r="B2027" s="1" t="n">
        <v>45772</v>
      </c>
      <c r="C2027" s="1" t="n">
        <v>45991</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20220-2025</t>
        </is>
      </c>
      <c r="B2028" s="1" t="n">
        <v>45772</v>
      </c>
      <c r="C2028" s="1" t="n">
        <v>45991</v>
      </c>
      <c r="D2028" t="inlineStr">
        <is>
          <t>VÄSTERBOTTENS LÄN</t>
        </is>
      </c>
      <c r="E2028" t="inlineStr">
        <is>
          <t>SKELLEFTEÅ</t>
        </is>
      </c>
      <c r="G2028" t="n">
        <v>18.6</v>
      </c>
      <c r="H2028" t="n">
        <v>0</v>
      </c>
      <c r="I2028" t="n">
        <v>0</v>
      </c>
      <c r="J2028" t="n">
        <v>0</v>
      </c>
      <c r="K2028" t="n">
        <v>0</v>
      </c>
      <c r="L2028" t="n">
        <v>0</v>
      </c>
      <c r="M2028" t="n">
        <v>0</v>
      </c>
      <c r="N2028" t="n">
        <v>0</v>
      </c>
      <c r="O2028" t="n">
        <v>0</v>
      </c>
      <c r="P2028" t="n">
        <v>0</v>
      </c>
      <c r="Q2028" t="n">
        <v>0</v>
      </c>
      <c r="R2028" s="2" t="inlineStr"/>
    </row>
    <row r="2029" ht="15" customHeight="1">
      <c r="A2029" t="inlineStr">
        <is>
          <t>A 57197-2021</t>
        </is>
      </c>
      <c r="B2029" s="1" t="n">
        <v>44482.92284722222</v>
      </c>
      <c r="C2029" s="1" t="n">
        <v>45991</v>
      </c>
      <c r="D2029" t="inlineStr">
        <is>
          <t>VÄSTERBOTTENS LÄN</t>
        </is>
      </c>
      <c r="E2029" t="inlineStr">
        <is>
          <t>SKELLEFTEÅ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47039-2021</t>
        </is>
      </c>
      <c r="B2030" s="1" t="n">
        <v>44446</v>
      </c>
      <c r="C2030" s="1" t="n">
        <v>45991</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57899-2022</t>
        </is>
      </c>
      <c r="B2031" s="1" t="n">
        <v>44900</v>
      </c>
      <c r="C2031" s="1" t="n">
        <v>45991</v>
      </c>
      <c r="D2031" t="inlineStr">
        <is>
          <t>VÄSTERBOTTENS LÄN</t>
        </is>
      </c>
      <c r="E2031" t="inlineStr">
        <is>
          <t>SKELLEFTEÅ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38493-2024</t>
        </is>
      </c>
      <c r="B2032" s="1" t="n">
        <v>45546</v>
      </c>
      <c r="C2032" s="1" t="n">
        <v>45991</v>
      </c>
      <c r="D2032" t="inlineStr">
        <is>
          <t>VÄSTERBOTTENS LÄN</t>
        </is>
      </c>
      <c r="E2032" t="inlineStr">
        <is>
          <t>SKELLEFTEÅ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41006-2023</t>
        </is>
      </c>
      <c r="B2033" s="1" t="n">
        <v>45173</v>
      </c>
      <c r="C2033" s="1" t="n">
        <v>45991</v>
      </c>
      <c r="D2033" t="inlineStr">
        <is>
          <t>VÄSTERBOTTENS LÄN</t>
        </is>
      </c>
      <c r="E2033" t="inlineStr">
        <is>
          <t>SKELLEFTEÅ</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17568-2024</t>
        </is>
      </c>
      <c r="B2034" s="1" t="n">
        <v>45415</v>
      </c>
      <c r="C2034" s="1" t="n">
        <v>45991</v>
      </c>
      <c r="D2034" t="inlineStr">
        <is>
          <t>VÄSTERBOTTENS LÄN</t>
        </is>
      </c>
      <c r="E2034" t="inlineStr">
        <is>
          <t>SKELLEFTEÅ</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30212-2023</t>
        </is>
      </c>
      <c r="B2035" s="1" t="n">
        <v>45110</v>
      </c>
      <c r="C2035" s="1" t="n">
        <v>45991</v>
      </c>
      <c r="D2035" t="inlineStr">
        <is>
          <t>VÄSTERBOTTENS LÄN</t>
        </is>
      </c>
      <c r="E2035" t="inlineStr">
        <is>
          <t>SKELLEFTEÅ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6635-2021</t>
        </is>
      </c>
      <c r="B2036" s="1" t="n">
        <v>44236</v>
      </c>
      <c r="C2036" s="1" t="n">
        <v>45991</v>
      </c>
      <c r="D2036" t="inlineStr">
        <is>
          <t>VÄSTERBOTTENS LÄN</t>
        </is>
      </c>
      <c r="E2036" t="inlineStr">
        <is>
          <t>SKELLEFTEÅ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23759-2023</t>
        </is>
      </c>
      <c r="B2037" s="1" t="n">
        <v>45077</v>
      </c>
      <c r="C2037" s="1" t="n">
        <v>45991</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19066-2023</t>
        </is>
      </c>
      <c r="B2038" s="1" t="n">
        <v>45043</v>
      </c>
      <c r="C2038" s="1" t="n">
        <v>45991</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56444-2024</t>
        </is>
      </c>
      <c r="B2039" s="1" t="n">
        <v>45625.42461805556</v>
      </c>
      <c r="C2039" s="1" t="n">
        <v>45991</v>
      </c>
      <c r="D2039" t="inlineStr">
        <is>
          <t>VÄSTERBOTTENS LÄN</t>
        </is>
      </c>
      <c r="E2039" t="inlineStr">
        <is>
          <t>SKELLEFTEÅ</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45690-2024</t>
        </is>
      </c>
      <c r="B2040" s="1" t="n">
        <v>45579</v>
      </c>
      <c r="C2040" s="1" t="n">
        <v>45991</v>
      </c>
      <c r="D2040" t="inlineStr">
        <is>
          <t>VÄSTERBOTTENS LÄN</t>
        </is>
      </c>
      <c r="E2040" t="inlineStr">
        <is>
          <t>SKELLEFTEÅ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24505-2022</t>
        </is>
      </c>
      <c r="B2041" s="1" t="n">
        <v>44726.92622685185</v>
      </c>
      <c r="C2041" s="1" t="n">
        <v>45991</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27028-2022</t>
        </is>
      </c>
      <c r="B2042" s="1" t="n">
        <v>44740</v>
      </c>
      <c r="C2042" s="1" t="n">
        <v>45991</v>
      </c>
      <c r="D2042" t="inlineStr">
        <is>
          <t>VÄSTERBOTTENS LÄN</t>
        </is>
      </c>
      <c r="E2042" t="inlineStr">
        <is>
          <t>SKELLEFTEÅ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62064-2024</t>
        </is>
      </c>
      <c r="B2043" s="1" t="n">
        <v>45656</v>
      </c>
      <c r="C2043" s="1" t="n">
        <v>45991</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47007-2024</t>
        </is>
      </c>
      <c r="B2044" s="1" t="n">
        <v>45586.38399305556</v>
      </c>
      <c r="C2044" s="1" t="n">
        <v>45991</v>
      </c>
      <c r="D2044" t="inlineStr">
        <is>
          <t>VÄSTERBOTTENS LÄN</t>
        </is>
      </c>
      <c r="E2044" t="inlineStr">
        <is>
          <t>SKELLEFTEÅ</t>
        </is>
      </c>
      <c r="G2044" t="n">
        <v>22.2</v>
      </c>
      <c r="H2044" t="n">
        <v>0</v>
      </c>
      <c r="I2044" t="n">
        <v>0</v>
      </c>
      <c r="J2044" t="n">
        <v>0</v>
      </c>
      <c r="K2044" t="n">
        <v>0</v>
      </c>
      <c r="L2044" t="n">
        <v>0</v>
      </c>
      <c r="M2044" t="n">
        <v>0</v>
      </c>
      <c r="N2044" t="n">
        <v>0</v>
      </c>
      <c r="O2044" t="n">
        <v>0</v>
      </c>
      <c r="P2044" t="n">
        <v>0</v>
      </c>
      <c r="Q2044" t="n">
        <v>0</v>
      </c>
      <c r="R2044" s="2" t="inlineStr"/>
    </row>
    <row r="2045" ht="15" customHeight="1">
      <c r="A2045" t="inlineStr">
        <is>
          <t>A 52475-2022</t>
        </is>
      </c>
      <c r="B2045" s="1" t="n">
        <v>44869</v>
      </c>
      <c r="C2045" s="1" t="n">
        <v>45991</v>
      </c>
      <c r="D2045" t="inlineStr">
        <is>
          <t>VÄSTERBOTTENS LÄN</t>
        </is>
      </c>
      <c r="E2045" t="inlineStr">
        <is>
          <t>SKELLEFTEÅ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3164-2025</t>
        </is>
      </c>
      <c r="B2046" s="1" t="n">
        <v>45679.34158564815</v>
      </c>
      <c r="C2046" s="1" t="n">
        <v>45991</v>
      </c>
      <c r="D2046" t="inlineStr">
        <is>
          <t>VÄSTERBOTTENS LÄN</t>
        </is>
      </c>
      <c r="E2046" t="inlineStr">
        <is>
          <t>SKELLEFTEÅ</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58012-2023</t>
        </is>
      </c>
      <c r="B2047" s="1" t="n">
        <v>45244</v>
      </c>
      <c r="C2047" s="1" t="n">
        <v>45991</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1022-2025</t>
        </is>
      </c>
      <c r="B2048" s="1" t="n">
        <v>45665</v>
      </c>
      <c r="C2048" s="1" t="n">
        <v>45991</v>
      </c>
      <c r="D2048" t="inlineStr">
        <is>
          <t>VÄSTERBOTTENS LÄN</t>
        </is>
      </c>
      <c r="E2048" t="inlineStr">
        <is>
          <t>SKELLEFTEÅ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9925-2022</t>
        </is>
      </c>
      <c r="B2049" s="1" t="n">
        <v>44620.92208333333</v>
      </c>
      <c r="C2049" s="1" t="n">
        <v>45991</v>
      </c>
      <c r="D2049" t="inlineStr">
        <is>
          <t>VÄSTERBOTTENS LÄN</t>
        </is>
      </c>
      <c r="E2049" t="inlineStr">
        <is>
          <t>SKELLEFTEÅ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59689-2024</t>
        </is>
      </c>
      <c r="B2050" s="1" t="n">
        <v>45639.40660879629</v>
      </c>
      <c r="C2050" s="1" t="n">
        <v>45991</v>
      </c>
      <c r="D2050" t="inlineStr">
        <is>
          <t>VÄSTERBOTTENS LÄN</t>
        </is>
      </c>
      <c r="E2050" t="inlineStr">
        <is>
          <t>SKELLEFTEÅ</t>
        </is>
      </c>
      <c r="F2050" t="inlineStr">
        <is>
          <t>Holmen skog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61064-2023</t>
        </is>
      </c>
      <c r="B2051" s="1" t="n">
        <v>45259</v>
      </c>
      <c r="C2051" s="1" t="n">
        <v>45991</v>
      </c>
      <c r="D2051" t="inlineStr">
        <is>
          <t>VÄSTERBOTTENS LÄN</t>
        </is>
      </c>
      <c r="E2051" t="inlineStr">
        <is>
          <t>SKELLEFTEÅ</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50464-2023</t>
        </is>
      </c>
      <c r="B2052" s="1" t="n">
        <v>45216.84891203704</v>
      </c>
      <c r="C2052" s="1" t="n">
        <v>45991</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16494-2023</t>
        </is>
      </c>
      <c r="B2053" s="1" t="n">
        <v>45029.60325231482</v>
      </c>
      <c r="C2053" s="1" t="n">
        <v>45991</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26708-2024</t>
        </is>
      </c>
      <c r="B2054" s="1" t="n">
        <v>45470</v>
      </c>
      <c r="C2054" s="1" t="n">
        <v>45991</v>
      </c>
      <c r="D2054" t="inlineStr">
        <is>
          <t>VÄSTERBOTTENS LÄN</t>
        </is>
      </c>
      <c r="E2054" t="inlineStr">
        <is>
          <t>SKELLEFTEÅ</t>
        </is>
      </c>
      <c r="F2054" t="inlineStr">
        <is>
          <t>Sveaskog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42357-2022</t>
        </is>
      </c>
      <c r="B2055" s="1" t="n">
        <v>44827</v>
      </c>
      <c r="C2055" s="1" t="n">
        <v>45991</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62284-2022</t>
        </is>
      </c>
      <c r="B2056" s="1" t="n">
        <v>44923.40487268518</v>
      </c>
      <c r="C2056" s="1" t="n">
        <v>45991</v>
      </c>
      <c r="D2056" t="inlineStr">
        <is>
          <t>VÄSTERBOTTENS LÄN</t>
        </is>
      </c>
      <c r="E2056" t="inlineStr">
        <is>
          <t>SKELLEFTEÅ</t>
        </is>
      </c>
      <c r="F2056" t="inlineStr">
        <is>
          <t>Sveaskog</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33521-2021</t>
        </is>
      </c>
      <c r="B2057" s="1" t="n">
        <v>44377</v>
      </c>
      <c r="C2057" s="1" t="n">
        <v>45991</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56471-2023</t>
        </is>
      </c>
      <c r="B2058" s="1" t="n">
        <v>45243</v>
      </c>
      <c r="C2058" s="1" t="n">
        <v>45991</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11945-2023</t>
        </is>
      </c>
      <c r="B2059" s="1" t="n">
        <v>44995</v>
      </c>
      <c r="C2059" s="1" t="n">
        <v>45991</v>
      </c>
      <c r="D2059" t="inlineStr">
        <is>
          <t>VÄSTERBOTTENS LÄN</t>
        </is>
      </c>
      <c r="E2059" t="inlineStr">
        <is>
          <t>SKELLEFTEÅ</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64920-2023</t>
        </is>
      </c>
      <c r="B2060" s="1" t="n">
        <v>45282.68806712963</v>
      </c>
      <c r="C2060" s="1" t="n">
        <v>45991</v>
      </c>
      <c r="D2060" t="inlineStr">
        <is>
          <t>VÄSTERBOTTENS LÄN</t>
        </is>
      </c>
      <c r="E2060" t="inlineStr">
        <is>
          <t>SKELLEFTEÅ</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30986-2024</t>
        </is>
      </c>
      <c r="B2061" s="1" t="n">
        <v>45499.52881944444</v>
      </c>
      <c r="C2061" s="1" t="n">
        <v>45991</v>
      </c>
      <c r="D2061" t="inlineStr">
        <is>
          <t>VÄSTERBOTTENS LÄN</t>
        </is>
      </c>
      <c r="E2061" t="inlineStr">
        <is>
          <t>SKELLEFTEÅ</t>
        </is>
      </c>
      <c r="F2061" t="inlineStr">
        <is>
          <t>Sveaskog</t>
        </is>
      </c>
      <c r="G2061" t="n">
        <v>13.9</v>
      </c>
      <c r="H2061" t="n">
        <v>0</v>
      </c>
      <c r="I2061" t="n">
        <v>0</v>
      </c>
      <c r="J2061" t="n">
        <v>0</v>
      </c>
      <c r="K2061" t="n">
        <v>0</v>
      </c>
      <c r="L2061" t="n">
        <v>0</v>
      </c>
      <c r="M2061" t="n">
        <v>0</v>
      </c>
      <c r="N2061" t="n">
        <v>0</v>
      </c>
      <c r="O2061" t="n">
        <v>0</v>
      </c>
      <c r="P2061" t="n">
        <v>0</v>
      </c>
      <c r="Q2061" t="n">
        <v>0</v>
      </c>
      <c r="R2061" s="2" t="inlineStr"/>
    </row>
    <row r="2062" ht="15" customHeight="1">
      <c r="A2062" t="inlineStr">
        <is>
          <t>A 32820-2023</t>
        </is>
      </c>
      <c r="B2062" s="1" t="n">
        <v>45112</v>
      </c>
      <c r="C2062" s="1" t="n">
        <v>45991</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38505-2021</t>
        </is>
      </c>
      <c r="B2063" s="1" t="n">
        <v>44407.49136574074</v>
      </c>
      <c r="C2063" s="1" t="n">
        <v>45991</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35732-2023</t>
        </is>
      </c>
      <c r="B2064" s="1" t="n">
        <v>45147</v>
      </c>
      <c r="C2064" s="1" t="n">
        <v>45991</v>
      </c>
      <c r="D2064" t="inlineStr">
        <is>
          <t>VÄSTERBOTTENS LÄN</t>
        </is>
      </c>
      <c r="E2064" t="inlineStr">
        <is>
          <t>SKELLEFTEÅ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19498-2023</t>
        </is>
      </c>
      <c r="B2065" s="1" t="n">
        <v>45049</v>
      </c>
      <c r="C2065" s="1" t="n">
        <v>45991</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23169-2024</t>
        </is>
      </c>
      <c r="B2066" s="1" t="n">
        <v>45450</v>
      </c>
      <c r="C2066" s="1" t="n">
        <v>45991</v>
      </c>
      <c r="D2066" t="inlineStr">
        <is>
          <t>VÄSTERBOTTENS LÄN</t>
        </is>
      </c>
      <c r="E2066" t="inlineStr">
        <is>
          <t>SKELLEFTEÅ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60488-2022</t>
        </is>
      </c>
      <c r="B2067" s="1" t="n">
        <v>44911.43144675926</v>
      </c>
      <c r="C2067" s="1" t="n">
        <v>45991</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c r="U2067">
        <f>HYPERLINK("https://klasma.github.io/Logging_2482/knärot/A 60488-2022 karta knärot.png", "A 60488-2022")</f>
        <v/>
      </c>
      <c r="V2067">
        <f>HYPERLINK("https://klasma.github.io/Logging_2482/klagomål/A 60488-2022 FSC-klagomål.docx", "A 60488-2022")</f>
        <v/>
      </c>
      <c r="W2067">
        <f>HYPERLINK("https://klasma.github.io/Logging_2482/klagomålsmail/A 60488-2022 FSC-klagomål mail.docx", "A 60488-2022")</f>
        <v/>
      </c>
      <c r="X2067">
        <f>HYPERLINK("https://klasma.github.io/Logging_2482/tillsyn/A 60488-2022 tillsynsbegäran.docx", "A 60488-2022")</f>
        <v/>
      </c>
      <c r="Y2067">
        <f>HYPERLINK("https://klasma.github.io/Logging_2482/tillsynsmail/A 60488-2022 tillsynsbegäran mail.docx", "A 60488-2022")</f>
        <v/>
      </c>
    </row>
    <row r="2068" ht="15" customHeight="1">
      <c r="A2068" t="inlineStr">
        <is>
          <t>A 32677-2022</t>
        </is>
      </c>
      <c r="B2068" s="1" t="n">
        <v>44783.55438657408</v>
      </c>
      <c r="C2068" s="1" t="n">
        <v>45991</v>
      </c>
      <c r="D2068" t="inlineStr">
        <is>
          <t>VÄSTERBOTTENS LÄN</t>
        </is>
      </c>
      <c r="E2068" t="inlineStr">
        <is>
          <t>SKELLEFTEÅ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8241-2025</t>
        </is>
      </c>
      <c r="B2069" s="1" t="n">
        <v>45708.48162037037</v>
      </c>
      <c r="C2069" s="1" t="n">
        <v>45991</v>
      </c>
      <c r="D2069" t="inlineStr">
        <is>
          <t>VÄSTERBOTTENS LÄN</t>
        </is>
      </c>
      <c r="E2069" t="inlineStr">
        <is>
          <t>SKELLEFTEÅ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8301-2025</t>
        </is>
      </c>
      <c r="B2070" s="1" t="n">
        <v>45708</v>
      </c>
      <c r="C2070" s="1" t="n">
        <v>45991</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70718-2021</t>
        </is>
      </c>
      <c r="B2071" s="1" t="n">
        <v>44536</v>
      </c>
      <c r="C2071" s="1" t="n">
        <v>45991</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25182-2022</t>
        </is>
      </c>
      <c r="B2072" s="1" t="n">
        <v>44729.60717592593</v>
      </c>
      <c r="C2072" s="1" t="n">
        <v>45991</v>
      </c>
      <c r="D2072" t="inlineStr">
        <is>
          <t>VÄSTERBOTTENS LÄN</t>
        </is>
      </c>
      <c r="E2072" t="inlineStr">
        <is>
          <t>SKELLEFTEÅ</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58376-2022</t>
        </is>
      </c>
      <c r="B2073" s="1" t="n">
        <v>44901</v>
      </c>
      <c r="C2073" s="1" t="n">
        <v>45991</v>
      </c>
      <c r="D2073" t="inlineStr">
        <is>
          <t>VÄSTERBOTTENS LÄN</t>
        </is>
      </c>
      <c r="E2073" t="inlineStr">
        <is>
          <t>SKELLEFTEÅ</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33710-2023</t>
        </is>
      </c>
      <c r="B2074" s="1" t="n">
        <v>45132.92306712963</v>
      </c>
      <c r="C2074" s="1" t="n">
        <v>45991</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56539-2024</t>
        </is>
      </c>
      <c r="B2075" s="1" t="n">
        <v>45625</v>
      </c>
      <c r="C2075" s="1" t="n">
        <v>45991</v>
      </c>
      <c r="D2075" t="inlineStr">
        <is>
          <t>VÄSTERBOTTENS LÄN</t>
        </is>
      </c>
      <c r="E2075" t="inlineStr">
        <is>
          <t>SKELLEFTEÅ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43723-2024</t>
        </is>
      </c>
      <c r="B2076" s="1" t="n">
        <v>45569.63114583334</v>
      </c>
      <c r="C2076" s="1" t="n">
        <v>45991</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43748-2024</t>
        </is>
      </c>
      <c r="B2077" s="1" t="n">
        <v>45569.66576388889</v>
      </c>
      <c r="C2077" s="1" t="n">
        <v>45991</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49981-2024</t>
        </is>
      </c>
      <c r="B2078" s="1" t="n">
        <v>45597.75133101852</v>
      </c>
      <c r="C2078" s="1" t="n">
        <v>45991</v>
      </c>
      <c r="D2078" t="inlineStr">
        <is>
          <t>VÄSTERBOTTENS LÄN</t>
        </is>
      </c>
      <c r="E2078" t="inlineStr">
        <is>
          <t>SKELLEFTEÅ</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38717-2023</t>
        </is>
      </c>
      <c r="B2079" s="1" t="n">
        <v>45160</v>
      </c>
      <c r="C2079" s="1" t="n">
        <v>45991</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48204-2024</t>
        </is>
      </c>
      <c r="B2080" s="1" t="n">
        <v>45589</v>
      </c>
      <c r="C2080" s="1" t="n">
        <v>45991</v>
      </c>
      <c r="D2080" t="inlineStr">
        <is>
          <t>VÄSTERBOTTENS LÄN</t>
        </is>
      </c>
      <c r="E2080" t="inlineStr">
        <is>
          <t>SKELLEFTEÅ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8644-2025</t>
        </is>
      </c>
      <c r="B2081" s="1" t="n">
        <v>45712</v>
      </c>
      <c r="C2081" s="1" t="n">
        <v>45991</v>
      </c>
      <c r="D2081" t="inlineStr">
        <is>
          <t>VÄSTERBOTTENS LÄN</t>
        </is>
      </c>
      <c r="E2081" t="inlineStr">
        <is>
          <t>SKELLEFTEÅ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51734-2021</t>
        </is>
      </c>
      <c r="B2082" s="1" t="n">
        <v>44461</v>
      </c>
      <c r="C2082" s="1" t="n">
        <v>45991</v>
      </c>
      <c r="D2082" t="inlineStr">
        <is>
          <t>VÄSTERBOTTENS LÄN</t>
        </is>
      </c>
      <c r="E2082" t="inlineStr">
        <is>
          <t>SKELLEFTEÅ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61242-2023</t>
        </is>
      </c>
      <c r="B2083" s="1" t="n">
        <v>45264.46740740741</v>
      </c>
      <c r="C2083" s="1" t="n">
        <v>45991</v>
      </c>
      <c r="D2083" t="inlineStr">
        <is>
          <t>VÄSTERBOTTENS LÄN</t>
        </is>
      </c>
      <c r="E2083" t="inlineStr">
        <is>
          <t>SKELLEFTEÅ</t>
        </is>
      </c>
      <c r="F2083" t="inlineStr">
        <is>
          <t>Holmen skog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47544-2024</t>
        </is>
      </c>
      <c r="B2084" s="1" t="n">
        <v>45587</v>
      </c>
      <c r="C2084" s="1" t="n">
        <v>45991</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55873-2023</t>
        </is>
      </c>
      <c r="B2085" s="1" t="n">
        <v>45239</v>
      </c>
      <c r="C2085" s="1" t="n">
        <v>45991</v>
      </c>
      <c r="D2085" t="inlineStr">
        <is>
          <t>VÄSTERBOTTENS LÄN</t>
        </is>
      </c>
      <c r="E2085" t="inlineStr">
        <is>
          <t>SKELLEFTEÅ</t>
        </is>
      </c>
      <c r="F2085" t="inlineStr">
        <is>
          <t>Sveaskog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18101-2021</t>
        </is>
      </c>
      <c r="B2086" s="1" t="n">
        <v>44302</v>
      </c>
      <c r="C2086" s="1" t="n">
        <v>45991</v>
      </c>
      <c r="D2086" t="inlineStr">
        <is>
          <t>VÄSTERBOTTENS LÄN</t>
        </is>
      </c>
      <c r="E2086" t="inlineStr">
        <is>
          <t>SKELLEFTEÅ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8442-2025</t>
        </is>
      </c>
      <c r="B2087" s="1" t="n">
        <v>45709.44940972222</v>
      </c>
      <c r="C2087" s="1" t="n">
        <v>45991</v>
      </c>
      <c r="D2087" t="inlineStr">
        <is>
          <t>VÄSTERBOTTENS LÄN</t>
        </is>
      </c>
      <c r="E2087" t="inlineStr">
        <is>
          <t>SKELLEFTEÅ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10841-2025</t>
        </is>
      </c>
      <c r="B2088" s="1" t="n">
        <v>45722.57315972223</v>
      </c>
      <c r="C2088" s="1" t="n">
        <v>45991</v>
      </c>
      <c r="D2088" t="inlineStr">
        <is>
          <t>VÄSTERBOTTENS LÄN</t>
        </is>
      </c>
      <c r="E2088" t="inlineStr">
        <is>
          <t>SKELLEFTEÅ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51396-2023</t>
        </is>
      </c>
      <c r="B2089" s="1" t="n">
        <v>45219.67503472222</v>
      </c>
      <c r="C2089" s="1" t="n">
        <v>45991</v>
      </c>
      <c r="D2089" t="inlineStr">
        <is>
          <t>VÄSTERBOTTENS LÄN</t>
        </is>
      </c>
      <c r="E2089" t="inlineStr">
        <is>
          <t>SKELLEFTEÅ</t>
        </is>
      </c>
      <c r="F2089" t="inlineStr">
        <is>
          <t>Holmen skog AB</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26389-2024</t>
        </is>
      </c>
      <c r="B2090" s="1" t="n">
        <v>45469.43194444444</v>
      </c>
      <c r="C2090" s="1" t="n">
        <v>45991</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52862-2024</t>
        </is>
      </c>
      <c r="B2091" s="1" t="n">
        <v>45610.61991898148</v>
      </c>
      <c r="C2091" s="1" t="n">
        <v>45991</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52864-2024</t>
        </is>
      </c>
      <c r="B2092" s="1" t="n">
        <v>45610.62194444444</v>
      </c>
      <c r="C2092" s="1" t="n">
        <v>45991</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11077-2024</t>
        </is>
      </c>
      <c r="B2093" s="1" t="n">
        <v>45370.92724537037</v>
      </c>
      <c r="C2093" s="1" t="n">
        <v>45991</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11079-2024</t>
        </is>
      </c>
      <c r="B2094" s="1" t="n">
        <v>45370.92737268518</v>
      </c>
      <c r="C2094" s="1" t="n">
        <v>45991</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713-2025</t>
        </is>
      </c>
      <c r="B2095" s="1" t="n">
        <v>45664</v>
      </c>
      <c r="C2095" s="1" t="n">
        <v>45991</v>
      </c>
      <c r="D2095" t="inlineStr">
        <is>
          <t>VÄSTERBOTTENS LÄN</t>
        </is>
      </c>
      <c r="E2095" t="inlineStr">
        <is>
          <t>SKELLEFTEÅ</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4102-2023</t>
        </is>
      </c>
      <c r="B2096" s="1" t="n">
        <v>44952</v>
      </c>
      <c r="C2096" s="1" t="n">
        <v>45991</v>
      </c>
      <c r="D2096" t="inlineStr">
        <is>
          <t>VÄSTERBOTTENS LÄN</t>
        </is>
      </c>
      <c r="E2096" t="inlineStr">
        <is>
          <t>SKELLEFTEÅ</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53641-2022</t>
        </is>
      </c>
      <c r="B2097" s="1" t="n">
        <v>44879.93</v>
      </c>
      <c r="C2097" s="1" t="n">
        <v>45991</v>
      </c>
      <c r="D2097" t="inlineStr">
        <is>
          <t>VÄSTERBOTTENS LÄN</t>
        </is>
      </c>
      <c r="E2097" t="inlineStr">
        <is>
          <t>SKELLEFTEÅ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9465-2024</t>
        </is>
      </c>
      <c r="B2098" s="1" t="n">
        <v>45359.54578703704</v>
      </c>
      <c r="C2098" s="1" t="n">
        <v>45991</v>
      </c>
      <c r="D2098" t="inlineStr">
        <is>
          <t>VÄSTERBOTTENS LÄN</t>
        </is>
      </c>
      <c r="E2098" t="inlineStr">
        <is>
          <t>SKELLEFTEÅ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51993-2024</t>
        </is>
      </c>
      <c r="B2099" s="1" t="n">
        <v>45607</v>
      </c>
      <c r="C2099" s="1" t="n">
        <v>45991</v>
      </c>
      <c r="D2099" t="inlineStr">
        <is>
          <t>VÄSTERBOTTENS LÄN</t>
        </is>
      </c>
      <c r="E2099" t="inlineStr">
        <is>
          <t>SKELLEFTEÅ</t>
        </is>
      </c>
      <c r="F2099" t="inlineStr">
        <is>
          <t>Kommuner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46846-2024</t>
        </is>
      </c>
      <c r="B2100" s="1" t="n">
        <v>45583</v>
      </c>
      <c r="C2100" s="1" t="n">
        <v>45991</v>
      </c>
      <c r="D2100" t="inlineStr">
        <is>
          <t>VÄSTERBOTTENS LÄN</t>
        </is>
      </c>
      <c r="E2100" t="inlineStr">
        <is>
          <t>SKELLEFTEÅ</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58897-2022</t>
        </is>
      </c>
      <c r="B2101" s="1" t="n">
        <v>44895</v>
      </c>
      <c r="C2101" s="1" t="n">
        <v>45991</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52493-2023</t>
        </is>
      </c>
      <c r="B2102" s="1" t="n">
        <v>45225.45331018518</v>
      </c>
      <c r="C2102" s="1" t="n">
        <v>45991</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56993-2022</t>
        </is>
      </c>
      <c r="B2103" s="1" t="n">
        <v>44894</v>
      </c>
      <c r="C2103" s="1" t="n">
        <v>45991</v>
      </c>
      <c r="D2103" t="inlineStr">
        <is>
          <t>VÄSTERBOTTENS LÄN</t>
        </is>
      </c>
      <c r="E2103" t="inlineStr">
        <is>
          <t>SKELLEFTEÅ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41242-2024</t>
        </is>
      </c>
      <c r="B2104" s="1" t="n">
        <v>45559.57296296296</v>
      </c>
      <c r="C2104" s="1" t="n">
        <v>45991</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54974-2024</t>
        </is>
      </c>
      <c r="B2105" s="1" t="n">
        <v>45620.67599537037</v>
      </c>
      <c r="C2105" s="1" t="n">
        <v>45991</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8887-2025</t>
        </is>
      </c>
      <c r="B2106" s="1" t="n">
        <v>45713.39284722223</v>
      </c>
      <c r="C2106" s="1" t="n">
        <v>45991</v>
      </c>
      <c r="D2106" t="inlineStr">
        <is>
          <t>VÄSTERBOTTENS LÄN</t>
        </is>
      </c>
      <c r="E2106" t="inlineStr">
        <is>
          <t>SKELLEFTEÅ</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8927-2025</t>
        </is>
      </c>
      <c r="B2107" s="1" t="n">
        <v>45713.44215277778</v>
      </c>
      <c r="C2107" s="1" t="n">
        <v>45991</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17071-2023</t>
        </is>
      </c>
      <c r="B2108" s="1" t="n">
        <v>45030</v>
      </c>
      <c r="C2108" s="1" t="n">
        <v>45991</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642-2025</t>
        </is>
      </c>
      <c r="B2109" s="1" t="n">
        <v>45660</v>
      </c>
      <c r="C2109" s="1" t="n">
        <v>45991</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24604-2024</t>
        </is>
      </c>
      <c r="B2110" s="1" t="n">
        <v>45460</v>
      </c>
      <c r="C2110" s="1" t="n">
        <v>45991</v>
      </c>
      <c r="D2110" t="inlineStr">
        <is>
          <t>VÄSTERBOTTENS LÄN</t>
        </is>
      </c>
      <c r="E2110" t="inlineStr">
        <is>
          <t>SKELLEFTEÅ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39513-2023</t>
        </is>
      </c>
      <c r="B2111" s="1" t="n">
        <v>45167</v>
      </c>
      <c r="C2111" s="1" t="n">
        <v>45991</v>
      </c>
      <c r="D2111" t="inlineStr">
        <is>
          <t>VÄSTERBOTTENS LÄN</t>
        </is>
      </c>
      <c r="E2111" t="inlineStr">
        <is>
          <t>SKELLEFTEÅ</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6596-2023</t>
        </is>
      </c>
      <c r="B2112" s="1" t="n">
        <v>44963</v>
      </c>
      <c r="C2112" s="1" t="n">
        <v>45991</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38503-2024</t>
        </is>
      </c>
      <c r="B2113" s="1" t="n">
        <v>45546.52896990741</v>
      </c>
      <c r="C2113" s="1" t="n">
        <v>45991</v>
      </c>
      <c r="D2113" t="inlineStr">
        <is>
          <t>VÄSTERBOTTENS LÄN</t>
        </is>
      </c>
      <c r="E2113" t="inlineStr">
        <is>
          <t>SKELLEFTEÅ</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13487-2025</t>
        </is>
      </c>
      <c r="B2114" s="1" t="n">
        <v>45736.42761574074</v>
      </c>
      <c r="C2114" s="1" t="n">
        <v>45991</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2393-2023</t>
        </is>
      </c>
      <c r="B2115" s="1" t="n">
        <v>44942.9234375</v>
      </c>
      <c r="C2115" s="1" t="n">
        <v>45991</v>
      </c>
      <c r="D2115" t="inlineStr">
        <is>
          <t>VÄSTERBOTTENS LÄN</t>
        </is>
      </c>
      <c r="E2115" t="inlineStr">
        <is>
          <t>SKELLEFTEÅ</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47514-2024</t>
        </is>
      </c>
      <c r="B2116" s="1" t="n">
        <v>45587</v>
      </c>
      <c r="C2116" s="1" t="n">
        <v>45991</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24653-2021</t>
        </is>
      </c>
      <c r="B2117" s="1" t="n">
        <v>44340</v>
      </c>
      <c r="C2117" s="1" t="n">
        <v>45991</v>
      </c>
      <c r="D2117" t="inlineStr">
        <is>
          <t>VÄSTERBOTTENS LÄN</t>
        </is>
      </c>
      <c r="E2117" t="inlineStr">
        <is>
          <t>SKELLEFTEÅ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36546-2024</t>
        </is>
      </c>
      <c r="B2118" s="1" t="n">
        <v>45537</v>
      </c>
      <c r="C2118" s="1" t="n">
        <v>45991</v>
      </c>
      <c r="D2118" t="inlineStr">
        <is>
          <t>VÄSTERBOTTENS LÄN</t>
        </is>
      </c>
      <c r="E2118" t="inlineStr">
        <is>
          <t>SKELLEFTEÅ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44479-2024</t>
        </is>
      </c>
      <c r="B2119" s="1" t="n">
        <v>45574</v>
      </c>
      <c r="C2119" s="1" t="n">
        <v>45991</v>
      </c>
      <c r="D2119" t="inlineStr">
        <is>
          <t>VÄSTERBOTTENS LÄN</t>
        </is>
      </c>
      <c r="E2119" t="inlineStr">
        <is>
          <t>SKELLEFTEÅ</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61101-2022</t>
        </is>
      </c>
      <c r="B2120" s="1" t="n">
        <v>44915</v>
      </c>
      <c r="C2120" s="1" t="n">
        <v>45991</v>
      </c>
      <c r="D2120" t="inlineStr">
        <is>
          <t>VÄSTERBOTTENS LÄN</t>
        </is>
      </c>
      <c r="E2120" t="inlineStr">
        <is>
          <t>SKELLEFTEÅ</t>
        </is>
      </c>
      <c r="F2120" t="inlineStr">
        <is>
          <t>Sveaskog</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27698-2021</t>
        </is>
      </c>
      <c r="B2121" s="1" t="n">
        <v>44354.44306712963</v>
      </c>
      <c r="C2121" s="1" t="n">
        <v>45991</v>
      </c>
      <c r="D2121" t="inlineStr">
        <is>
          <t>VÄSTERBOTTENS LÄN</t>
        </is>
      </c>
      <c r="E2121" t="inlineStr">
        <is>
          <t>SKELLEFTEÅ</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15906-2023</t>
        </is>
      </c>
      <c r="B2122" s="1" t="n">
        <v>45021</v>
      </c>
      <c r="C2122" s="1" t="n">
        <v>45991</v>
      </c>
      <c r="D2122" t="inlineStr">
        <is>
          <t>VÄSTERBOTTENS LÄN</t>
        </is>
      </c>
      <c r="E2122" t="inlineStr">
        <is>
          <t>SKELLEFTEÅ</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41710-2024</t>
        </is>
      </c>
      <c r="B2123" s="1" t="n">
        <v>45560.70313657408</v>
      </c>
      <c r="C2123" s="1" t="n">
        <v>45991</v>
      </c>
      <c r="D2123" t="inlineStr">
        <is>
          <t>VÄSTERBOTTENS LÄN</t>
        </is>
      </c>
      <c r="E2123" t="inlineStr">
        <is>
          <t>SKELLEFTEÅ</t>
        </is>
      </c>
      <c r="F2123" t="inlineStr">
        <is>
          <t>Holmen skog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13493-2025</t>
        </is>
      </c>
      <c r="B2124" s="1" t="n">
        <v>45736.43454861111</v>
      </c>
      <c r="C2124" s="1" t="n">
        <v>45991</v>
      </c>
      <c r="D2124" t="inlineStr">
        <is>
          <t>VÄSTERBOTTENS LÄN</t>
        </is>
      </c>
      <c r="E2124" t="inlineStr">
        <is>
          <t>SKELLEFTEÅ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9053-2022</t>
        </is>
      </c>
      <c r="B2125" s="1" t="n">
        <v>44615</v>
      </c>
      <c r="C2125" s="1" t="n">
        <v>45991</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50338-2023</t>
        </is>
      </c>
      <c r="B2126" s="1" t="n">
        <v>45216</v>
      </c>
      <c r="C2126" s="1" t="n">
        <v>45991</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29687-2021</t>
        </is>
      </c>
      <c r="B2127" s="1" t="n">
        <v>44362.37407407408</v>
      </c>
      <c r="C2127" s="1" t="n">
        <v>45991</v>
      </c>
      <c r="D2127" t="inlineStr">
        <is>
          <t>VÄSTERBOTTENS LÄN</t>
        </is>
      </c>
      <c r="E2127" t="inlineStr">
        <is>
          <t>SKELLEFTEÅ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1206-2023</t>
        </is>
      </c>
      <c r="B2128" s="1" t="n">
        <v>44930</v>
      </c>
      <c r="C2128" s="1" t="n">
        <v>45991</v>
      </c>
      <c r="D2128" t="inlineStr">
        <is>
          <t>VÄSTERBOTTENS LÄN</t>
        </is>
      </c>
      <c r="E2128" t="inlineStr">
        <is>
          <t>SKELLEFTEÅ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17961-2025</t>
        </is>
      </c>
      <c r="B2129" s="1" t="n">
        <v>45761.32622685185</v>
      </c>
      <c r="C2129" s="1" t="n">
        <v>45991</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11942-2023</t>
        </is>
      </c>
      <c r="B2130" s="1" t="n">
        <v>44995.52376157408</v>
      </c>
      <c r="C2130" s="1" t="n">
        <v>45991</v>
      </c>
      <c r="D2130" t="inlineStr">
        <is>
          <t>VÄSTERBOTTENS LÄN</t>
        </is>
      </c>
      <c r="E2130" t="inlineStr">
        <is>
          <t>SKELLEFTEÅ</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52920-2024</t>
        </is>
      </c>
      <c r="B2131" s="1" t="n">
        <v>45610</v>
      </c>
      <c r="C2131" s="1" t="n">
        <v>45991</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15745-2025</t>
        </is>
      </c>
      <c r="B2132" s="1" t="n">
        <v>45748.5515162037</v>
      </c>
      <c r="C2132" s="1" t="n">
        <v>45991</v>
      </c>
      <c r="D2132" t="inlineStr">
        <is>
          <t>VÄSTERBOTTENS LÄN</t>
        </is>
      </c>
      <c r="E2132" t="inlineStr">
        <is>
          <t>SKELLEFTEÅ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54193-2021</t>
        </is>
      </c>
      <c r="B2133" s="1" t="n">
        <v>44470</v>
      </c>
      <c r="C2133" s="1" t="n">
        <v>45991</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33109-2024</t>
        </is>
      </c>
      <c r="B2134" s="1" t="n">
        <v>45517</v>
      </c>
      <c r="C2134" s="1" t="n">
        <v>45991</v>
      </c>
      <c r="D2134" t="inlineStr">
        <is>
          <t>VÄSTERBOTTENS LÄN</t>
        </is>
      </c>
      <c r="E2134" t="inlineStr">
        <is>
          <t>SKELLEFTEÅ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4138-2024</t>
        </is>
      </c>
      <c r="B2135" s="1" t="n">
        <v>45323</v>
      </c>
      <c r="C2135" s="1" t="n">
        <v>45991</v>
      </c>
      <c r="D2135" t="inlineStr">
        <is>
          <t>VÄSTERBOTTENS LÄN</t>
        </is>
      </c>
      <c r="E2135" t="inlineStr">
        <is>
          <t>SKELLEFTEÅ</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19422-2023</t>
        </is>
      </c>
      <c r="B2136" s="1" t="n">
        <v>45049</v>
      </c>
      <c r="C2136" s="1" t="n">
        <v>45991</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21883-2022</t>
        </is>
      </c>
      <c r="B2137" s="1" t="n">
        <v>44711</v>
      </c>
      <c r="C2137" s="1" t="n">
        <v>45991</v>
      </c>
      <c r="D2137" t="inlineStr">
        <is>
          <t>VÄSTERBOTTENS LÄN</t>
        </is>
      </c>
      <c r="E2137" t="inlineStr">
        <is>
          <t>SKELLEFTEÅ</t>
        </is>
      </c>
      <c r="F2137" t="inlineStr">
        <is>
          <t>Holmen skog AB</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28283-2024</t>
        </is>
      </c>
      <c r="B2138" s="1" t="n">
        <v>45477.46223379629</v>
      </c>
      <c r="C2138" s="1" t="n">
        <v>45991</v>
      </c>
      <c r="D2138" t="inlineStr">
        <is>
          <t>VÄSTERBOTTENS LÄN</t>
        </is>
      </c>
      <c r="E2138" t="inlineStr">
        <is>
          <t>SKELLEFTEÅ</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11989-2023</t>
        </is>
      </c>
      <c r="B2139" s="1" t="n">
        <v>44994</v>
      </c>
      <c r="C2139" s="1" t="n">
        <v>45991</v>
      </c>
      <c r="D2139" t="inlineStr">
        <is>
          <t>VÄSTERBOTTENS LÄN</t>
        </is>
      </c>
      <c r="E2139" t="inlineStr">
        <is>
          <t>SKELLEFTEÅ</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55500-2024</t>
        </is>
      </c>
      <c r="B2140" s="1" t="n">
        <v>45622.45622685185</v>
      </c>
      <c r="C2140" s="1" t="n">
        <v>45991</v>
      </c>
      <c r="D2140" t="inlineStr">
        <is>
          <t>VÄSTERBOTTENS LÄN</t>
        </is>
      </c>
      <c r="E2140" t="inlineStr">
        <is>
          <t>SKELLEFTEÅ</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25638-2023</t>
        </is>
      </c>
      <c r="B2141" s="1" t="n">
        <v>45084</v>
      </c>
      <c r="C2141" s="1" t="n">
        <v>45991</v>
      </c>
      <c r="D2141" t="inlineStr">
        <is>
          <t>VÄSTERBOTTENS LÄN</t>
        </is>
      </c>
      <c r="E2141" t="inlineStr">
        <is>
          <t>SKELLEFTEÅ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11707-2023</t>
        </is>
      </c>
      <c r="B2142" s="1" t="n">
        <v>44992</v>
      </c>
      <c r="C2142" s="1" t="n">
        <v>45991</v>
      </c>
      <c r="D2142" t="inlineStr">
        <is>
          <t>VÄSTERBOTTENS LÄN</t>
        </is>
      </c>
      <c r="E2142" t="inlineStr">
        <is>
          <t>SKELLEFTEÅ</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14663-2024</t>
        </is>
      </c>
      <c r="B2143" s="1" t="n">
        <v>45397.41376157408</v>
      </c>
      <c r="C2143" s="1" t="n">
        <v>45991</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65178-2023</t>
        </is>
      </c>
      <c r="B2144" s="1" t="n">
        <v>45288.93209490741</v>
      </c>
      <c r="C2144" s="1" t="n">
        <v>45991</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52548-2022</t>
        </is>
      </c>
      <c r="B2145" s="1" t="n">
        <v>44874</v>
      </c>
      <c r="C2145" s="1" t="n">
        <v>45991</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4022-2024</t>
        </is>
      </c>
      <c r="B2146" s="1" t="n">
        <v>45323</v>
      </c>
      <c r="C2146" s="1" t="n">
        <v>45991</v>
      </c>
      <c r="D2146" t="inlineStr">
        <is>
          <t>VÄSTERBOTTENS LÄN</t>
        </is>
      </c>
      <c r="E2146" t="inlineStr">
        <is>
          <t>SKELLEFTEÅ</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4458-2023</t>
        </is>
      </c>
      <c r="B2147" s="1" t="n">
        <v>44952</v>
      </c>
      <c r="C2147" s="1" t="n">
        <v>45991</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50515-2024</t>
        </is>
      </c>
      <c r="B2148" s="1" t="n">
        <v>45601.55185185185</v>
      </c>
      <c r="C2148" s="1" t="n">
        <v>45991</v>
      </c>
      <c r="D2148" t="inlineStr">
        <is>
          <t>VÄSTERBOTTENS LÄN</t>
        </is>
      </c>
      <c r="E2148" t="inlineStr">
        <is>
          <t>SKELLEFTEÅ</t>
        </is>
      </c>
      <c r="F2148" t="inlineStr">
        <is>
          <t>Holmen skog AB</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2090-2024</t>
        </is>
      </c>
      <c r="B2149" s="1" t="n">
        <v>45309.434375</v>
      </c>
      <c r="C2149" s="1" t="n">
        <v>45991</v>
      </c>
      <c r="D2149" t="inlineStr">
        <is>
          <t>VÄSTERBOTTENS LÄN</t>
        </is>
      </c>
      <c r="E2149" t="inlineStr">
        <is>
          <t>SKELLEFTEÅ</t>
        </is>
      </c>
      <c r="F2149" t="inlineStr">
        <is>
          <t>Sveaskog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46108-2024</t>
        </is>
      </c>
      <c r="B2150" s="1" t="n">
        <v>45581</v>
      </c>
      <c r="C2150" s="1" t="n">
        <v>45991</v>
      </c>
      <c r="D2150" t="inlineStr">
        <is>
          <t>VÄSTERBOTTENS LÄN</t>
        </is>
      </c>
      <c r="E2150" t="inlineStr">
        <is>
          <t>SKELLEFTEÅ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16642-2025</t>
        </is>
      </c>
      <c r="B2151" s="1" t="n">
        <v>45754.37208333334</v>
      </c>
      <c r="C2151" s="1" t="n">
        <v>45991</v>
      </c>
      <c r="D2151" t="inlineStr">
        <is>
          <t>VÄSTERBOTTENS LÄN</t>
        </is>
      </c>
      <c r="E2151" t="inlineStr">
        <is>
          <t>SKELLEFTEÅ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2043-2024</t>
        </is>
      </c>
      <c r="B2152" s="1" t="n">
        <v>45308</v>
      </c>
      <c r="C2152" s="1" t="n">
        <v>45991</v>
      </c>
      <c r="D2152" t="inlineStr">
        <is>
          <t>VÄSTERBOTTENS LÄN</t>
        </is>
      </c>
      <c r="E2152" t="inlineStr">
        <is>
          <t>SKELLEFTEÅ</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9051-2021</t>
        </is>
      </c>
      <c r="B2153" s="1" t="n">
        <v>44249</v>
      </c>
      <c r="C2153" s="1" t="n">
        <v>45991</v>
      </c>
      <c r="D2153" t="inlineStr">
        <is>
          <t>VÄSTERBOTTENS LÄN</t>
        </is>
      </c>
      <c r="E2153" t="inlineStr">
        <is>
          <t>SKELLEFTEÅ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30369-2023</t>
        </is>
      </c>
      <c r="B2154" s="1" t="n">
        <v>45111</v>
      </c>
      <c r="C2154" s="1" t="n">
        <v>45991</v>
      </c>
      <c r="D2154" t="inlineStr">
        <is>
          <t>VÄSTERBOTTENS LÄN</t>
        </is>
      </c>
      <c r="E2154" t="inlineStr">
        <is>
          <t>SKELLEFTEÅ</t>
        </is>
      </c>
      <c r="F2154" t="inlineStr">
        <is>
          <t>Holmen skog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4104-2023</t>
        </is>
      </c>
      <c r="B2155" s="1" t="n">
        <v>44952</v>
      </c>
      <c r="C2155" s="1" t="n">
        <v>45991</v>
      </c>
      <c r="D2155" t="inlineStr">
        <is>
          <t>VÄSTERBOTTENS LÄN</t>
        </is>
      </c>
      <c r="E2155" t="inlineStr">
        <is>
          <t>SKELLEFTEÅ</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5373-2023</t>
        </is>
      </c>
      <c r="B2156" s="1" t="n">
        <v>44957</v>
      </c>
      <c r="C2156" s="1" t="n">
        <v>45991</v>
      </c>
      <c r="D2156" t="inlineStr">
        <is>
          <t>VÄSTERBOTTENS LÄN</t>
        </is>
      </c>
      <c r="E2156" t="inlineStr">
        <is>
          <t>SKELLEFTEÅ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58575-2023</t>
        </is>
      </c>
      <c r="B2157" s="1" t="n">
        <v>45251.44665509259</v>
      </c>
      <c r="C2157" s="1" t="n">
        <v>45991</v>
      </c>
      <c r="D2157" t="inlineStr">
        <is>
          <t>VÄSTERBOTTENS LÄN</t>
        </is>
      </c>
      <c r="E2157" t="inlineStr">
        <is>
          <t>SKELLEFTEÅ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21842-2022</t>
        </is>
      </c>
      <c r="B2158" s="1" t="n">
        <v>44711.30804398148</v>
      </c>
      <c r="C2158" s="1" t="n">
        <v>45991</v>
      </c>
      <c r="D2158" t="inlineStr">
        <is>
          <t>VÄSTERBOTTENS LÄN</t>
        </is>
      </c>
      <c r="E2158" t="inlineStr">
        <is>
          <t>SKELLEFTEÅ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26626-2024</t>
        </is>
      </c>
      <c r="B2159" s="1" t="n">
        <v>45469.78458333333</v>
      </c>
      <c r="C2159" s="1" t="n">
        <v>45991</v>
      </c>
      <c r="D2159" t="inlineStr">
        <is>
          <t>VÄSTERBOTTENS LÄN</t>
        </is>
      </c>
      <c r="E2159" t="inlineStr">
        <is>
          <t>SKELLEFTEÅ</t>
        </is>
      </c>
      <c r="F2159" t="inlineStr">
        <is>
          <t>Sveaskog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54264-2024</t>
        </is>
      </c>
      <c r="B2160" s="1" t="n">
        <v>45616</v>
      </c>
      <c r="C2160" s="1" t="n">
        <v>45991</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36327-2023</t>
        </is>
      </c>
      <c r="B2161" s="1" t="n">
        <v>45152</v>
      </c>
      <c r="C2161" s="1" t="n">
        <v>45991</v>
      </c>
      <c r="D2161" t="inlineStr">
        <is>
          <t>VÄSTERBOTTENS LÄN</t>
        </is>
      </c>
      <c r="E2161" t="inlineStr">
        <is>
          <t>SKELLEFTEÅ</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35952-2023</t>
        </is>
      </c>
      <c r="B2162" s="1" t="n">
        <v>45148</v>
      </c>
      <c r="C2162" s="1" t="n">
        <v>45991</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10911-2024</t>
        </is>
      </c>
      <c r="B2163" s="1" t="n">
        <v>45370</v>
      </c>
      <c r="C2163" s="1" t="n">
        <v>45991</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18443-2025</t>
        </is>
      </c>
      <c r="B2164" s="1" t="n">
        <v>45762.65668981482</v>
      </c>
      <c r="C2164" s="1" t="n">
        <v>45991</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7875-2023</t>
        </is>
      </c>
      <c r="B2165" s="1" t="n">
        <v>44967</v>
      </c>
      <c r="C2165" s="1" t="n">
        <v>45991</v>
      </c>
      <c r="D2165" t="inlineStr">
        <is>
          <t>VÄSTERBOTTENS LÄN</t>
        </is>
      </c>
      <c r="E2165" t="inlineStr">
        <is>
          <t>SKELLEFTEÅ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53720-2024</t>
        </is>
      </c>
      <c r="B2166" s="1" t="n">
        <v>45615.43817129629</v>
      </c>
      <c r="C2166" s="1" t="n">
        <v>45991</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45991</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51222-2022</t>
        </is>
      </c>
      <c r="B2168" s="1" t="n">
        <v>44868.63834490741</v>
      </c>
      <c r="C2168" s="1" t="n">
        <v>45991</v>
      </c>
      <c r="D2168" t="inlineStr">
        <is>
          <t>VÄSTERBOTTENS LÄN</t>
        </is>
      </c>
      <c r="E2168" t="inlineStr">
        <is>
          <t>SKELLEFTEÅ</t>
        </is>
      </c>
      <c r="F2168" t="inlineStr">
        <is>
          <t>Holmen skog AB</t>
        </is>
      </c>
      <c r="G2168" t="n">
        <v>16.4</v>
      </c>
      <c r="H2168" t="n">
        <v>0</v>
      </c>
      <c r="I2168" t="n">
        <v>0</v>
      </c>
      <c r="J2168" t="n">
        <v>0</v>
      </c>
      <c r="K2168" t="n">
        <v>0</v>
      </c>
      <c r="L2168" t="n">
        <v>0</v>
      </c>
      <c r="M2168" t="n">
        <v>0</v>
      </c>
      <c r="N2168" t="n">
        <v>0</v>
      </c>
      <c r="O2168" t="n">
        <v>0</v>
      </c>
      <c r="P2168" t="n">
        <v>0</v>
      </c>
      <c r="Q2168" t="n">
        <v>0</v>
      </c>
      <c r="R2168" s="2" t="inlineStr"/>
    </row>
    <row r="2169" ht="15" customHeight="1">
      <c r="A2169" t="inlineStr">
        <is>
          <t>A 56627-2021</t>
        </is>
      </c>
      <c r="B2169" s="1" t="n">
        <v>44480.84313657408</v>
      </c>
      <c r="C2169" s="1" t="n">
        <v>45991</v>
      </c>
      <c r="D2169" t="inlineStr">
        <is>
          <t>VÄSTERBOTTENS LÄN</t>
        </is>
      </c>
      <c r="E2169" t="inlineStr">
        <is>
          <t>SKELLEFTEÅ</t>
        </is>
      </c>
      <c r="F2169" t="inlineStr">
        <is>
          <t>Sveaskog</t>
        </is>
      </c>
      <c r="G2169" t="n">
        <v>20.1</v>
      </c>
      <c r="H2169" t="n">
        <v>0</v>
      </c>
      <c r="I2169" t="n">
        <v>0</v>
      </c>
      <c r="J2169" t="n">
        <v>0</v>
      </c>
      <c r="K2169" t="n">
        <v>0</v>
      </c>
      <c r="L2169" t="n">
        <v>0</v>
      </c>
      <c r="M2169" t="n">
        <v>0</v>
      </c>
      <c r="N2169" t="n">
        <v>0</v>
      </c>
      <c r="O2169" t="n">
        <v>0</v>
      </c>
      <c r="P2169" t="n">
        <v>0</v>
      </c>
      <c r="Q2169" t="n">
        <v>0</v>
      </c>
      <c r="R2169" s="2" t="inlineStr"/>
    </row>
    <row r="2170" ht="15" customHeight="1">
      <c r="A2170" t="inlineStr">
        <is>
          <t>A 15089-2025</t>
        </is>
      </c>
      <c r="B2170" s="1" t="n">
        <v>45744.32665509259</v>
      </c>
      <c r="C2170" s="1" t="n">
        <v>45991</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9740-2023</t>
        </is>
      </c>
      <c r="B2171" s="1" t="n">
        <v>44978</v>
      </c>
      <c r="C2171" s="1" t="n">
        <v>45991</v>
      </c>
      <c r="D2171" t="inlineStr">
        <is>
          <t>VÄSTERBOTTENS LÄN</t>
        </is>
      </c>
      <c r="E2171" t="inlineStr">
        <is>
          <t>SKELLEFTEÅ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58838-2023</t>
        </is>
      </c>
      <c r="B2172" s="1" t="n">
        <v>45252.41853009259</v>
      </c>
      <c r="C2172" s="1" t="n">
        <v>45991</v>
      </c>
      <c r="D2172" t="inlineStr">
        <is>
          <t>VÄSTERBOTTENS LÄN</t>
        </is>
      </c>
      <c r="E2172" t="inlineStr">
        <is>
          <t>SKELLEFTEÅ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17026-2023</t>
        </is>
      </c>
      <c r="B2173" s="1" t="n">
        <v>45030</v>
      </c>
      <c r="C2173" s="1" t="n">
        <v>45991</v>
      </c>
      <c r="D2173" t="inlineStr">
        <is>
          <t>VÄSTERBOTTENS LÄN</t>
        </is>
      </c>
      <c r="E2173" t="inlineStr">
        <is>
          <t>SKELLEFTEÅ</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28433-2023</t>
        </is>
      </c>
      <c r="B2174" s="1" t="n">
        <v>45102.60045138889</v>
      </c>
      <c r="C2174" s="1" t="n">
        <v>45991</v>
      </c>
      <c r="D2174" t="inlineStr">
        <is>
          <t>VÄSTERBOTTENS LÄN</t>
        </is>
      </c>
      <c r="E2174" t="inlineStr">
        <is>
          <t>SKELLEFTEÅ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35881-2024</t>
        </is>
      </c>
      <c r="B2175" s="1" t="n">
        <v>45533.35347222222</v>
      </c>
      <c r="C2175" s="1" t="n">
        <v>45991</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52129-2022</t>
        </is>
      </c>
      <c r="B2176" s="1" t="n">
        <v>44868</v>
      </c>
      <c r="C2176" s="1" t="n">
        <v>45991</v>
      </c>
      <c r="D2176" t="inlineStr">
        <is>
          <t>VÄSTERBOTTENS LÄN</t>
        </is>
      </c>
      <c r="E2176" t="inlineStr">
        <is>
          <t>SKELLEFTEÅ</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42995-2024</t>
        </is>
      </c>
      <c r="B2177" s="1" t="n">
        <v>45567.37570601852</v>
      </c>
      <c r="C2177" s="1" t="n">
        <v>45991</v>
      </c>
      <c r="D2177" t="inlineStr">
        <is>
          <t>VÄSTERBOTTENS LÄN</t>
        </is>
      </c>
      <c r="E2177" t="inlineStr">
        <is>
          <t>SKELLEFTEÅ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41112-2024</t>
        </is>
      </c>
      <c r="B2178" s="1" t="n">
        <v>45559.45047453704</v>
      </c>
      <c r="C2178" s="1" t="n">
        <v>45991</v>
      </c>
      <c r="D2178" t="inlineStr">
        <is>
          <t>VÄSTERBOTTENS LÄN</t>
        </is>
      </c>
      <c r="E2178" t="inlineStr">
        <is>
          <t>SKELLEFTEÅ</t>
        </is>
      </c>
      <c r="F2178" t="inlineStr">
        <is>
          <t>Holmen skog AB</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41118-2024</t>
        </is>
      </c>
      <c r="B2179" s="1" t="n">
        <v>45559.45327546296</v>
      </c>
      <c r="C2179" s="1" t="n">
        <v>45991</v>
      </c>
      <c r="D2179" t="inlineStr">
        <is>
          <t>VÄSTERBOTTENS LÄN</t>
        </is>
      </c>
      <c r="E2179" t="inlineStr">
        <is>
          <t>SKELLEFTEÅ</t>
        </is>
      </c>
      <c r="F2179" t="inlineStr">
        <is>
          <t>Holmen skog AB</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23520-2024</t>
        </is>
      </c>
      <c r="B2180" s="1" t="n">
        <v>45453</v>
      </c>
      <c r="C2180" s="1" t="n">
        <v>45991</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46657-2024</t>
        </is>
      </c>
      <c r="B2181" s="1" t="n">
        <v>45583.36118055556</v>
      </c>
      <c r="C2181" s="1" t="n">
        <v>45991</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53124-2024</t>
        </is>
      </c>
      <c r="B2182" s="1" t="n">
        <v>45611.58855324074</v>
      </c>
      <c r="C2182" s="1" t="n">
        <v>45991</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5660-2024</t>
        </is>
      </c>
      <c r="B2183" s="1" t="n">
        <v>45334.64248842592</v>
      </c>
      <c r="C2183" s="1" t="n">
        <v>45991</v>
      </c>
      <c r="D2183" t="inlineStr">
        <is>
          <t>VÄSTERBOTTENS LÄN</t>
        </is>
      </c>
      <c r="E2183" t="inlineStr">
        <is>
          <t>SKELLEFTEÅ</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43749-2024</t>
        </is>
      </c>
      <c r="B2184" s="1" t="n">
        <v>45569.66871527778</v>
      </c>
      <c r="C2184" s="1" t="n">
        <v>45991</v>
      </c>
      <c r="D2184" t="inlineStr">
        <is>
          <t>VÄSTERBOTTENS LÄN</t>
        </is>
      </c>
      <c r="E2184" t="inlineStr">
        <is>
          <t>SKELLEFTEÅ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56529-2024</t>
        </is>
      </c>
      <c r="B2185" s="1" t="n">
        <v>45625.5534837963</v>
      </c>
      <c r="C2185" s="1" t="n">
        <v>45991</v>
      </c>
      <c r="D2185" t="inlineStr">
        <is>
          <t>VÄSTERBOTTENS LÄN</t>
        </is>
      </c>
      <c r="E2185" t="inlineStr">
        <is>
          <t>SKELLEFTEÅ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56530-2024</t>
        </is>
      </c>
      <c r="B2186" s="1" t="n">
        <v>45625</v>
      </c>
      <c r="C2186" s="1" t="n">
        <v>45991</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52453-2021</t>
        </is>
      </c>
      <c r="B2187" s="1" t="n">
        <v>44463</v>
      </c>
      <c r="C2187" s="1" t="n">
        <v>45991</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16239-2023</t>
        </is>
      </c>
      <c r="B2188" s="1" t="n">
        <v>45028</v>
      </c>
      <c r="C2188" s="1" t="n">
        <v>45991</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6837-2022</t>
        </is>
      </c>
      <c r="B2189" s="1" t="n">
        <v>44602</v>
      </c>
      <c r="C2189" s="1" t="n">
        <v>45991</v>
      </c>
      <c r="D2189" t="inlineStr">
        <is>
          <t>VÄSTERBOTTENS LÄN</t>
        </is>
      </c>
      <c r="E2189" t="inlineStr">
        <is>
          <t>SKELLEFTEÅ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1256-2024</t>
        </is>
      </c>
      <c r="B2190" s="1" t="n">
        <v>45302</v>
      </c>
      <c r="C2190" s="1" t="n">
        <v>45991</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45788-2024</t>
        </is>
      </c>
      <c r="B2191" s="1" t="n">
        <v>45579</v>
      </c>
      <c r="C2191" s="1" t="n">
        <v>45991</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47910-2023</t>
        </is>
      </c>
      <c r="B2192" s="1" t="n">
        <v>45204.5140625</v>
      </c>
      <c r="C2192" s="1" t="n">
        <v>45991</v>
      </c>
      <c r="D2192" t="inlineStr">
        <is>
          <t>VÄSTERBOTTENS LÄN</t>
        </is>
      </c>
      <c r="E2192" t="inlineStr">
        <is>
          <t>SKELLEFTEÅ</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6244-2024</t>
        </is>
      </c>
      <c r="B2193" s="1" t="n">
        <v>45337</v>
      </c>
      <c r="C2193" s="1" t="n">
        <v>45991</v>
      </c>
      <c r="D2193" t="inlineStr">
        <is>
          <t>VÄSTERBOTTENS LÄN</t>
        </is>
      </c>
      <c r="E2193" t="inlineStr">
        <is>
          <t>SKELLEFTEÅ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62599-2023</t>
        </is>
      </c>
      <c r="B2194" s="1" t="n">
        <v>45267</v>
      </c>
      <c r="C2194" s="1" t="n">
        <v>45991</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62601-2023</t>
        </is>
      </c>
      <c r="B2195" s="1" t="n">
        <v>45267</v>
      </c>
      <c r="C2195" s="1" t="n">
        <v>45991</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56072-2022</t>
        </is>
      </c>
      <c r="B2196" s="1" t="n">
        <v>44889.60342592592</v>
      </c>
      <c r="C2196" s="1" t="n">
        <v>45991</v>
      </c>
      <c r="D2196" t="inlineStr">
        <is>
          <t>VÄSTERBOTTENS LÄN</t>
        </is>
      </c>
      <c r="E2196" t="inlineStr">
        <is>
          <t>SKELLEFTEÅ</t>
        </is>
      </c>
      <c r="F2196" t="inlineStr">
        <is>
          <t>Holmen skog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60210-2024</t>
        </is>
      </c>
      <c r="B2197" s="1" t="n">
        <v>45642</v>
      </c>
      <c r="C2197" s="1" t="n">
        <v>45991</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55907-2023</t>
        </is>
      </c>
      <c r="B2198" s="1" t="n">
        <v>45239</v>
      </c>
      <c r="C2198" s="1" t="n">
        <v>45991</v>
      </c>
      <c r="D2198" t="inlineStr">
        <is>
          <t>VÄSTERBOTTENS LÄN</t>
        </is>
      </c>
      <c r="E2198" t="inlineStr">
        <is>
          <t>SKELLEFTEÅ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8648-2023</t>
        </is>
      </c>
      <c r="B2199" s="1" t="n">
        <v>44977.98358796296</v>
      </c>
      <c r="C2199" s="1" t="n">
        <v>45991</v>
      </c>
      <c r="D2199" t="inlineStr">
        <is>
          <t>VÄSTERBOTTENS LÄN</t>
        </is>
      </c>
      <c r="E2199" t="inlineStr">
        <is>
          <t>SKELLEFTEÅ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25491-2021</t>
        </is>
      </c>
      <c r="B2200" s="1" t="n">
        <v>44342</v>
      </c>
      <c r="C2200" s="1" t="n">
        <v>45991</v>
      </c>
      <c r="D2200" t="inlineStr">
        <is>
          <t>VÄSTERBOTTENS LÄN</t>
        </is>
      </c>
      <c r="E2200" t="inlineStr">
        <is>
          <t>SKELLEFTEÅ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40274-2023</t>
        </is>
      </c>
      <c r="B2201" s="1" t="n">
        <v>45169.55936342593</v>
      </c>
      <c r="C2201" s="1" t="n">
        <v>45991</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50476-2024</t>
        </is>
      </c>
      <c r="B2202" s="1" t="n">
        <v>45601.47450231481</v>
      </c>
      <c r="C2202" s="1" t="n">
        <v>45991</v>
      </c>
      <c r="D2202" t="inlineStr">
        <is>
          <t>VÄSTERBOTTENS LÄN</t>
        </is>
      </c>
      <c r="E2202" t="inlineStr">
        <is>
          <t>SKELLEFTEÅ</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13569-2025</t>
        </is>
      </c>
      <c r="B2203" s="1" t="n">
        <v>45736.57212962963</v>
      </c>
      <c r="C2203" s="1" t="n">
        <v>45991</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38616-2024</t>
        </is>
      </c>
      <c r="B2204" s="1" t="n">
        <v>45546.70543981482</v>
      </c>
      <c r="C2204" s="1" t="n">
        <v>45991</v>
      </c>
      <c r="D2204" t="inlineStr">
        <is>
          <t>VÄSTERBOTTENS LÄN</t>
        </is>
      </c>
      <c r="E2204" t="inlineStr">
        <is>
          <t>SKELLEFTEÅ</t>
        </is>
      </c>
      <c r="F2204" t="inlineStr">
        <is>
          <t>Holmen skog AB</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16236-2025</t>
        </is>
      </c>
      <c r="B2205" s="1" t="n">
        <v>45750</v>
      </c>
      <c r="C2205" s="1" t="n">
        <v>45991</v>
      </c>
      <c r="D2205" t="inlineStr">
        <is>
          <t>VÄSTERBOTTENS LÄN</t>
        </is>
      </c>
      <c r="E2205" t="inlineStr">
        <is>
          <t>SKELLEFTEÅ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51664-2023</t>
        </is>
      </c>
      <c r="B2206" s="1" t="n">
        <v>45215</v>
      </c>
      <c r="C2206" s="1" t="n">
        <v>45991</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40373-2023</t>
        </is>
      </c>
      <c r="B2207" s="1" t="n">
        <v>45169</v>
      </c>
      <c r="C2207" s="1" t="n">
        <v>45991</v>
      </c>
      <c r="D2207" t="inlineStr">
        <is>
          <t>VÄSTERBOTTENS LÄN</t>
        </is>
      </c>
      <c r="E2207" t="inlineStr">
        <is>
          <t>SKELLEFTEÅ</t>
        </is>
      </c>
      <c r="F2207" t="inlineStr">
        <is>
          <t>Sveaskog</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45374-2024</t>
        </is>
      </c>
      <c r="B2208" s="1" t="n">
        <v>45576.51516203704</v>
      </c>
      <c r="C2208" s="1" t="n">
        <v>45991</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45403-2024</t>
        </is>
      </c>
      <c r="B2209" s="1" t="n">
        <v>45576.57667824074</v>
      </c>
      <c r="C2209" s="1" t="n">
        <v>45991</v>
      </c>
      <c r="D2209" t="inlineStr">
        <is>
          <t>VÄSTERBOTTENS LÄN</t>
        </is>
      </c>
      <c r="E2209" t="inlineStr">
        <is>
          <t>SKELLEFTEÅ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71798-2021</t>
        </is>
      </c>
      <c r="B2210" s="1" t="n">
        <v>44543.56943287037</v>
      </c>
      <c r="C2210" s="1" t="n">
        <v>45991</v>
      </c>
      <c r="D2210" t="inlineStr">
        <is>
          <t>VÄSTERBOTTENS LÄN</t>
        </is>
      </c>
      <c r="E2210" t="inlineStr">
        <is>
          <t>SKELLEFTEÅ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26955-2023</t>
        </is>
      </c>
      <c r="B2211" s="1" t="n">
        <v>45091</v>
      </c>
      <c r="C2211" s="1" t="n">
        <v>45991</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5374-2025</t>
        </is>
      </c>
      <c r="B2212" s="1" t="n">
        <v>45692</v>
      </c>
      <c r="C2212" s="1" t="n">
        <v>45991</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4034-2024</t>
        </is>
      </c>
      <c r="B2213" s="1" t="n">
        <v>45323.41511574074</v>
      </c>
      <c r="C2213" s="1" t="n">
        <v>45991</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5563-2025</t>
        </is>
      </c>
      <c r="B2214" s="1" t="n">
        <v>45693</v>
      </c>
      <c r="C2214" s="1" t="n">
        <v>45991</v>
      </c>
      <c r="D2214" t="inlineStr">
        <is>
          <t>VÄSTERBOTTENS LÄN</t>
        </is>
      </c>
      <c r="E2214" t="inlineStr">
        <is>
          <t>SKELLEFTEÅ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8341-2024</t>
        </is>
      </c>
      <c r="B2215" s="1" t="n">
        <v>45351</v>
      </c>
      <c r="C2215" s="1" t="n">
        <v>45991</v>
      </c>
      <c r="D2215" t="inlineStr">
        <is>
          <t>VÄSTERBOTTENS LÄN</t>
        </is>
      </c>
      <c r="E2215" t="inlineStr">
        <is>
          <t>SKELLEFTEÅ</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1402-2025</t>
        </is>
      </c>
      <c r="B2216" s="1" t="n">
        <v>45667.70535879629</v>
      </c>
      <c r="C2216" s="1" t="n">
        <v>45991</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5783-2025</t>
        </is>
      </c>
      <c r="B2217" s="1" t="n">
        <v>45694.63975694445</v>
      </c>
      <c r="C2217" s="1" t="n">
        <v>45991</v>
      </c>
      <c r="D2217" t="inlineStr">
        <is>
          <t>VÄSTERBOTTENS LÄN</t>
        </is>
      </c>
      <c r="E2217" t="inlineStr">
        <is>
          <t>SKELLEFTEÅ</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16251-2025</t>
        </is>
      </c>
      <c r="B2218" s="1" t="n">
        <v>45750.69998842593</v>
      </c>
      <c r="C2218" s="1" t="n">
        <v>45991</v>
      </c>
      <c r="D2218" t="inlineStr">
        <is>
          <t>VÄSTERBOTTENS LÄN</t>
        </is>
      </c>
      <c r="E2218" t="inlineStr">
        <is>
          <t>SKELLEFTEÅ</t>
        </is>
      </c>
      <c r="F2218" t="inlineStr">
        <is>
          <t>Kommuner</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9448-2025</t>
        </is>
      </c>
      <c r="B2219" s="1" t="n">
        <v>45715.42537037037</v>
      </c>
      <c r="C2219" s="1" t="n">
        <v>45991</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12537-2024</t>
        </is>
      </c>
      <c r="B2220" s="1" t="n">
        <v>45379</v>
      </c>
      <c r="C2220" s="1" t="n">
        <v>45991</v>
      </c>
      <c r="D2220" t="inlineStr">
        <is>
          <t>VÄSTERBOTTENS LÄN</t>
        </is>
      </c>
      <c r="E2220" t="inlineStr">
        <is>
          <t>SKELLEFTEÅ</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22205-2024</t>
        </is>
      </c>
      <c r="B2221" s="1" t="n">
        <v>45446.37524305555</v>
      </c>
      <c r="C2221" s="1" t="n">
        <v>45991</v>
      </c>
      <c r="D2221" t="inlineStr">
        <is>
          <t>VÄSTERBOTTENS LÄN</t>
        </is>
      </c>
      <c r="E2221" t="inlineStr">
        <is>
          <t>SKELLEFTEÅ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19491-2023</t>
        </is>
      </c>
      <c r="B2222" s="1" t="n">
        <v>45049</v>
      </c>
      <c r="C2222" s="1" t="n">
        <v>45991</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18564-2024</t>
        </is>
      </c>
      <c r="B2223" s="1" t="n">
        <v>45425</v>
      </c>
      <c r="C2223" s="1" t="n">
        <v>45991</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7745-2024</t>
        </is>
      </c>
      <c r="B2224" s="1" t="n">
        <v>45348</v>
      </c>
      <c r="C2224" s="1" t="n">
        <v>45991</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11629-2023</t>
        </is>
      </c>
      <c r="B2225" s="1" t="n">
        <v>44994.43855324074</v>
      </c>
      <c r="C2225" s="1" t="n">
        <v>45991</v>
      </c>
      <c r="D2225" t="inlineStr">
        <is>
          <t>VÄSTERBOTTENS LÄN</t>
        </is>
      </c>
      <c r="E2225" t="inlineStr">
        <is>
          <t>SKELLEFTEÅ</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11642-2023</t>
        </is>
      </c>
      <c r="B2226" s="1" t="n">
        <v>44994.45225694445</v>
      </c>
      <c r="C2226" s="1" t="n">
        <v>45991</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41297-2024</t>
        </is>
      </c>
      <c r="B2227" s="1" t="n">
        <v>45559.61015046296</v>
      </c>
      <c r="C2227" s="1" t="n">
        <v>45991</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72692-2021</t>
        </is>
      </c>
      <c r="B2228" s="1" t="n">
        <v>44545</v>
      </c>
      <c r="C2228" s="1" t="n">
        <v>45991</v>
      </c>
      <c r="D2228" t="inlineStr">
        <is>
          <t>VÄSTERBOTTENS LÄN</t>
        </is>
      </c>
      <c r="E2228" t="inlineStr">
        <is>
          <t>SKELLEFTEÅ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26462-2023</t>
        </is>
      </c>
      <c r="B2229" s="1" t="n">
        <v>45092.4658449074</v>
      </c>
      <c r="C2229" s="1" t="n">
        <v>45991</v>
      </c>
      <c r="D2229" t="inlineStr">
        <is>
          <t>VÄSTERBOTTENS LÄN</t>
        </is>
      </c>
      <c r="E2229" t="inlineStr">
        <is>
          <t>SKELLEFTEÅ</t>
        </is>
      </c>
      <c r="F2229" t="inlineStr">
        <is>
          <t>Holmen skog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37796-2023</t>
        </is>
      </c>
      <c r="B2230" s="1" t="n">
        <v>45159.92447916666</v>
      </c>
      <c r="C2230" s="1" t="n">
        <v>45991</v>
      </c>
      <c r="D2230" t="inlineStr">
        <is>
          <t>VÄSTERBOTTENS LÄN</t>
        </is>
      </c>
      <c r="E2230" t="inlineStr">
        <is>
          <t>SKELLEFTEÅ</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27253-2024</t>
        </is>
      </c>
      <c r="B2231" s="1" t="n">
        <v>45471.70609953703</v>
      </c>
      <c r="C2231" s="1" t="n">
        <v>45991</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59783-2024</t>
        </is>
      </c>
      <c r="B2232" s="1" t="n">
        <v>45639.57982638889</v>
      </c>
      <c r="C2232" s="1" t="n">
        <v>45991</v>
      </c>
      <c r="D2232" t="inlineStr">
        <is>
          <t>VÄSTERBOTTENS LÄN</t>
        </is>
      </c>
      <c r="E2232" t="inlineStr">
        <is>
          <t>SKELLEFTEÅ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61105-2022</t>
        </is>
      </c>
      <c r="B2233" s="1" t="n">
        <v>44915.41087962963</v>
      </c>
      <c r="C2233" s="1" t="n">
        <v>45991</v>
      </c>
      <c r="D2233" t="inlineStr">
        <is>
          <t>VÄSTERBOTTENS LÄN</t>
        </is>
      </c>
      <c r="E2233" t="inlineStr">
        <is>
          <t>SKELLEFTEÅ</t>
        </is>
      </c>
      <c r="F2233" t="inlineStr">
        <is>
          <t>Sveaskog</t>
        </is>
      </c>
      <c r="G2233" t="n">
        <v>19.5</v>
      </c>
      <c r="H2233" t="n">
        <v>0</v>
      </c>
      <c r="I2233" t="n">
        <v>0</v>
      </c>
      <c r="J2233" t="n">
        <v>0</v>
      </c>
      <c r="K2233" t="n">
        <v>0</v>
      </c>
      <c r="L2233" t="n">
        <v>0</v>
      </c>
      <c r="M2233" t="n">
        <v>0</v>
      </c>
      <c r="N2233" t="n">
        <v>0</v>
      </c>
      <c r="O2233" t="n">
        <v>0</v>
      </c>
      <c r="P2233" t="n">
        <v>0</v>
      </c>
      <c r="Q2233" t="n">
        <v>0</v>
      </c>
      <c r="R2233" s="2" t="inlineStr"/>
    </row>
    <row r="2234" ht="15" customHeight="1">
      <c r="A2234" t="inlineStr">
        <is>
          <t>A 61132-2022</t>
        </is>
      </c>
      <c r="B2234" s="1" t="n">
        <v>44915.44849537037</v>
      </c>
      <c r="C2234" s="1" t="n">
        <v>45991</v>
      </c>
      <c r="D2234" t="inlineStr">
        <is>
          <t>VÄSTERBOTTENS LÄN</t>
        </is>
      </c>
      <c r="E2234" t="inlineStr">
        <is>
          <t>SKELLEFTEÅ</t>
        </is>
      </c>
      <c r="F2234" t="inlineStr">
        <is>
          <t>Sveaskog</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12715-2022</t>
        </is>
      </c>
      <c r="B2235" s="1" t="n">
        <v>44641</v>
      </c>
      <c r="C2235" s="1" t="n">
        <v>45991</v>
      </c>
      <c r="D2235" t="inlineStr">
        <is>
          <t>VÄSTERBOTTENS LÄN</t>
        </is>
      </c>
      <c r="E2235" t="inlineStr">
        <is>
          <t>SKELLEFTEÅ</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62058-2024</t>
        </is>
      </c>
      <c r="B2236" s="1" t="n">
        <v>45656.37960648148</v>
      </c>
      <c r="C2236" s="1" t="n">
        <v>45991</v>
      </c>
      <c r="D2236" t="inlineStr">
        <is>
          <t>VÄSTERBOTTENS LÄN</t>
        </is>
      </c>
      <c r="E2236" t="inlineStr">
        <is>
          <t>SKELLEFTEÅ</t>
        </is>
      </c>
      <c r="F2236" t="inlineStr">
        <is>
          <t>Sveaskog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19107-2025</t>
        </is>
      </c>
      <c r="B2237" s="1" t="n">
        <v>45768.37873842593</v>
      </c>
      <c r="C2237" s="1" t="n">
        <v>45991</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23458-2023</t>
        </is>
      </c>
      <c r="B2238" s="1" t="n">
        <v>45076.61943287037</v>
      </c>
      <c r="C2238" s="1" t="n">
        <v>45991</v>
      </c>
      <c r="D2238" t="inlineStr">
        <is>
          <t>VÄSTERBOTTENS LÄN</t>
        </is>
      </c>
      <c r="E2238" t="inlineStr">
        <is>
          <t>SKELLEFTEÅ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18975-2023</t>
        </is>
      </c>
      <c r="B2239" s="1" t="n">
        <v>45044</v>
      </c>
      <c r="C2239" s="1" t="n">
        <v>45991</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52871-2022</t>
        </is>
      </c>
      <c r="B2240" s="1" t="n">
        <v>44872</v>
      </c>
      <c r="C2240" s="1" t="n">
        <v>45991</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35435-2024</t>
        </is>
      </c>
      <c r="B2241" s="1" t="n">
        <v>45531.41481481482</v>
      </c>
      <c r="C2241" s="1" t="n">
        <v>45991</v>
      </c>
      <c r="D2241" t="inlineStr">
        <is>
          <t>VÄSTERBOTTENS LÄN</t>
        </is>
      </c>
      <c r="E2241" t="inlineStr">
        <is>
          <t>SKELLEFTEÅ</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26253-2024</t>
        </is>
      </c>
      <c r="B2242" s="1" t="n">
        <v>45468.64837962963</v>
      </c>
      <c r="C2242" s="1" t="n">
        <v>45991</v>
      </c>
      <c r="D2242" t="inlineStr">
        <is>
          <t>VÄSTERBOTTENS LÄN</t>
        </is>
      </c>
      <c r="E2242" t="inlineStr">
        <is>
          <t>SKELLEFTEÅ</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28203-2023</t>
        </is>
      </c>
      <c r="B2243" s="1" t="n">
        <v>45096</v>
      </c>
      <c r="C2243" s="1" t="n">
        <v>45991</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49429-2024</t>
        </is>
      </c>
      <c r="B2244" s="1" t="n">
        <v>45595.80703703704</v>
      </c>
      <c r="C2244" s="1" t="n">
        <v>45991</v>
      </c>
      <c r="D2244" t="inlineStr">
        <is>
          <t>VÄSTERBOTTENS LÄN</t>
        </is>
      </c>
      <c r="E2244" t="inlineStr">
        <is>
          <t>SKELLEFTEÅ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3600-2023</t>
        </is>
      </c>
      <c r="B2245" s="1" t="n">
        <v>44946</v>
      </c>
      <c r="C2245" s="1" t="n">
        <v>45991</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46557-2024</t>
        </is>
      </c>
      <c r="B2246" s="1" t="n">
        <v>45582.67056712963</v>
      </c>
      <c r="C2246" s="1" t="n">
        <v>45991</v>
      </c>
      <c r="D2246" t="inlineStr">
        <is>
          <t>VÄSTERBOTTENS LÄN</t>
        </is>
      </c>
      <c r="E2246" t="inlineStr">
        <is>
          <t>SKELLEFTEÅ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51476-2021</t>
        </is>
      </c>
      <c r="B2247" s="1" t="n">
        <v>44462</v>
      </c>
      <c r="C2247" s="1" t="n">
        <v>45991</v>
      </c>
      <c r="D2247" t="inlineStr">
        <is>
          <t>VÄSTERBOTTENS LÄN</t>
        </is>
      </c>
      <c r="E2247" t="inlineStr">
        <is>
          <t>SKELLEFTEÅ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1746-2025</t>
        </is>
      </c>
      <c r="B2248" s="1" t="n">
        <v>45671.40643518518</v>
      </c>
      <c r="C2248" s="1" t="n">
        <v>45991</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33776-2024</t>
        </is>
      </c>
      <c r="B2249" s="1" t="n">
        <v>45520.57944444445</v>
      </c>
      <c r="C2249" s="1" t="n">
        <v>45991</v>
      </c>
      <c r="D2249" t="inlineStr">
        <is>
          <t>VÄSTERBOTTENS LÄN</t>
        </is>
      </c>
      <c r="E2249" t="inlineStr">
        <is>
          <t>SKELLEFTEÅ</t>
        </is>
      </c>
      <c r="F2249" t="inlineStr">
        <is>
          <t>Sveaskog</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31872-2024</t>
        </is>
      </c>
      <c r="B2250" s="1" t="n">
        <v>45509.9290625</v>
      </c>
      <c r="C2250" s="1" t="n">
        <v>45991</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10567-2023</t>
        </is>
      </c>
      <c r="B2251" s="1" t="n">
        <v>44981</v>
      </c>
      <c r="C2251" s="1" t="n">
        <v>45991</v>
      </c>
      <c r="D2251" t="inlineStr">
        <is>
          <t>VÄSTERBOTTENS LÄN</t>
        </is>
      </c>
      <c r="E2251" t="inlineStr">
        <is>
          <t>SKELLEFTEÅ</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52509-2024</t>
        </is>
      </c>
      <c r="B2252" s="1" t="n">
        <v>45609.59239583334</v>
      </c>
      <c r="C2252" s="1" t="n">
        <v>45991</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41064-2024</t>
        </is>
      </c>
      <c r="B2253" s="1" t="n">
        <v>45559.38644675926</v>
      </c>
      <c r="C2253" s="1" t="n">
        <v>45991</v>
      </c>
      <c r="D2253" t="inlineStr">
        <is>
          <t>VÄSTERBOTTENS LÄN</t>
        </is>
      </c>
      <c r="E2253" t="inlineStr">
        <is>
          <t>SKELLEFTEÅ</t>
        </is>
      </c>
      <c r="F2253" t="inlineStr">
        <is>
          <t>Holmen skog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19778-2025</t>
        </is>
      </c>
      <c r="B2254" s="1" t="n">
        <v>45771.42734953704</v>
      </c>
      <c r="C2254" s="1" t="n">
        <v>45991</v>
      </c>
      <c r="D2254" t="inlineStr">
        <is>
          <t>VÄSTERBOTTENS LÄN</t>
        </is>
      </c>
      <c r="E2254" t="inlineStr">
        <is>
          <t>SKELLEFTEÅ</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12701-2025</t>
        </is>
      </c>
      <c r="B2255" s="1" t="n">
        <v>45733.46592592593</v>
      </c>
      <c r="C2255" s="1" t="n">
        <v>45991</v>
      </c>
      <c r="D2255" t="inlineStr">
        <is>
          <t>VÄSTERBOTTENS LÄN</t>
        </is>
      </c>
      <c r="E2255" t="inlineStr">
        <is>
          <t>SKELLEFTEÅ</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35135-2024</t>
        </is>
      </c>
      <c r="B2256" s="1" t="n">
        <v>45530.34371527778</v>
      </c>
      <c r="C2256" s="1" t="n">
        <v>45991</v>
      </c>
      <c r="D2256" t="inlineStr">
        <is>
          <t>VÄSTERBOTTENS LÄN</t>
        </is>
      </c>
      <c r="E2256" t="inlineStr">
        <is>
          <t>SKELLEFTEÅ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50232-2024</t>
        </is>
      </c>
      <c r="B2257" s="1" t="n">
        <v>45600.55253472222</v>
      </c>
      <c r="C2257" s="1" t="n">
        <v>45991</v>
      </c>
      <c r="D2257" t="inlineStr">
        <is>
          <t>VÄSTERBOTTENS LÄN</t>
        </is>
      </c>
      <c r="E2257" t="inlineStr">
        <is>
          <t>SKELLEFTEÅ</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61697-2022</t>
        </is>
      </c>
      <c r="B2258" s="1" t="n">
        <v>44911</v>
      </c>
      <c r="C2258" s="1" t="n">
        <v>45991</v>
      </c>
      <c r="D2258" t="inlineStr">
        <is>
          <t>VÄSTERBOTTENS LÄN</t>
        </is>
      </c>
      <c r="E2258" t="inlineStr">
        <is>
          <t>SKELLEFTEÅ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5740-2023</t>
        </is>
      </c>
      <c r="B2259" s="1" t="n">
        <v>44962.79574074074</v>
      </c>
      <c r="C2259" s="1" t="n">
        <v>45991</v>
      </c>
      <c r="D2259" t="inlineStr">
        <is>
          <t>VÄSTERBOTTENS LÄN</t>
        </is>
      </c>
      <c r="E2259" t="inlineStr">
        <is>
          <t>SKELLEFTEÅ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45643-2024</t>
        </is>
      </c>
      <c r="B2260" s="1" t="n">
        <v>45579</v>
      </c>
      <c r="C2260" s="1" t="n">
        <v>45991</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37499-2024</t>
        </is>
      </c>
      <c r="B2261" s="1" t="n">
        <v>45541.36834490741</v>
      </c>
      <c r="C2261" s="1" t="n">
        <v>45991</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36867-2024</t>
        </is>
      </c>
      <c r="B2262" s="1" t="n">
        <v>45538.57938657407</v>
      </c>
      <c r="C2262" s="1" t="n">
        <v>45991</v>
      </c>
      <c r="D2262" t="inlineStr">
        <is>
          <t>VÄSTERBOTTENS LÄN</t>
        </is>
      </c>
      <c r="E2262" t="inlineStr">
        <is>
          <t>SKELLEFTEÅ</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8539-2022</t>
        </is>
      </c>
      <c r="B2263" s="1" t="n">
        <v>44613</v>
      </c>
      <c r="C2263" s="1" t="n">
        <v>45991</v>
      </c>
      <c r="D2263" t="inlineStr">
        <is>
          <t>VÄSTERBOTTENS LÄN</t>
        </is>
      </c>
      <c r="E2263" t="inlineStr">
        <is>
          <t>SKELLEFTEÅ</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27439-2024</t>
        </is>
      </c>
      <c r="B2264" s="1" t="n">
        <v>45474</v>
      </c>
      <c r="C2264" s="1" t="n">
        <v>45991</v>
      </c>
      <c r="D2264" t="inlineStr">
        <is>
          <t>VÄSTERBOTTENS LÄN</t>
        </is>
      </c>
      <c r="E2264" t="inlineStr">
        <is>
          <t>SKELLEFTEÅ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50894-2024</t>
        </is>
      </c>
      <c r="B2265" s="1" t="n">
        <v>45602.67774305555</v>
      </c>
      <c r="C2265" s="1" t="n">
        <v>45991</v>
      </c>
      <c r="D2265" t="inlineStr">
        <is>
          <t>VÄSTERBOTTENS LÄN</t>
        </is>
      </c>
      <c r="E2265" t="inlineStr">
        <is>
          <t>SKELLEFTEÅ</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5220-2024</t>
        </is>
      </c>
      <c r="B2266" s="1" t="n">
        <v>45330</v>
      </c>
      <c r="C2266" s="1" t="n">
        <v>45991</v>
      </c>
      <c r="D2266" t="inlineStr">
        <is>
          <t>VÄSTERBOTTENS LÄN</t>
        </is>
      </c>
      <c r="E2266" t="inlineStr">
        <is>
          <t>SKELLEFTEÅ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50070-2024</t>
        </is>
      </c>
      <c r="B2267" s="1" t="n">
        <v>45600.35901620371</v>
      </c>
      <c r="C2267" s="1" t="n">
        <v>45991</v>
      </c>
      <c r="D2267" t="inlineStr">
        <is>
          <t>VÄSTERBOTTENS LÄN</t>
        </is>
      </c>
      <c r="E2267" t="inlineStr">
        <is>
          <t>SKELLEFTEÅ</t>
        </is>
      </c>
      <c r="F2267" t="inlineStr">
        <is>
          <t>Kommuner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1853-2023</t>
        </is>
      </c>
      <c r="B2268" s="1" t="n">
        <v>44938.90767361111</v>
      </c>
      <c r="C2268" s="1" t="n">
        <v>45991</v>
      </c>
      <c r="D2268" t="inlineStr">
        <is>
          <t>VÄSTERBOTTENS LÄN</t>
        </is>
      </c>
      <c r="E2268" t="inlineStr">
        <is>
          <t>SKELLEFTEÅ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44100-2024</t>
        </is>
      </c>
      <c r="B2269" s="1" t="n">
        <v>45572.62739583333</v>
      </c>
      <c r="C2269" s="1" t="n">
        <v>45991</v>
      </c>
      <c r="D2269" t="inlineStr">
        <is>
          <t>VÄSTERBOTTENS LÄN</t>
        </is>
      </c>
      <c r="E2269" t="inlineStr">
        <is>
          <t>SKELLEFTEÅ</t>
        </is>
      </c>
      <c r="F2269" t="inlineStr">
        <is>
          <t>Holmen skog AB</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33274-2023</t>
        </is>
      </c>
      <c r="B2270" s="1" t="n">
        <v>45127.59840277778</v>
      </c>
      <c r="C2270" s="1" t="n">
        <v>45991</v>
      </c>
      <c r="D2270" t="inlineStr">
        <is>
          <t>VÄSTERBOTTENS LÄN</t>
        </is>
      </c>
      <c r="E2270" t="inlineStr">
        <is>
          <t>SKELLEFTEÅ</t>
        </is>
      </c>
      <c r="F2270" t="inlineStr">
        <is>
          <t>Holmen skog AB</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63525-2023</t>
        </is>
      </c>
      <c r="B2271" s="1" t="n">
        <v>45274</v>
      </c>
      <c r="C2271" s="1" t="n">
        <v>45991</v>
      </c>
      <c r="D2271" t="inlineStr">
        <is>
          <t>VÄSTERBOTTENS LÄN</t>
        </is>
      </c>
      <c r="E2271" t="inlineStr">
        <is>
          <t>SKELLEFTEÅ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11963-2023</t>
        </is>
      </c>
      <c r="B2272" s="1" t="n">
        <v>44994</v>
      </c>
      <c r="C2272" s="1" t="n">
        <v>45991</v>
      </c>
      <c r="D2272" t="inlineStr">
        <is>
          <t>VÄSTERBOTTENS LÄN</t>
        </is>
      </c>
      <c r="E2272" t="inlineStr">
        <is>
          <t>SKELLEFTEÅ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26545-2022</t>
        </is>
      </c>
      <c r="B2273" s="1" t="n">
        <v>44739.46318287037</v>
      </c>
      <c r="C2273" s="1" t="n">
        <v>45991</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19582-2024</t>
        </is>
      </c>
      <c r="B2274" s="1" t="n">
        <v>45429.92415509259</v>
      </c>
      <c r="C2274" s="1" t="n">
        <v>45991</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1640-2023</t>
        </is>
      </c>
      <c r="B2275" s="1" t="n">
        <v>44937</v>
      </c>
      <c r="C2275" s="1" t="n">
        <v>45991</v>
      </c>
      <c r="D2275" t="inlineStr">
        <is>
          <t>VÄSTERBOTTENS LÄN</t>
        </is>
      </c>
      <c r="E2275" t="inlineStr">
        <is>
          <t>SKELLEFTEÅ</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3445-2024</t>
        </is>
      </c>
      <c r="B2276" s="1" t="n">
        <v>45320</v>
      </c>
      <c r="C2276" s="1" t="n">
        <v>45991</v>
      </c>
      <c r="D2276" t="inlineStr">
        <is>
          <t>VÄSTERBOTTENS LÄN</t>
        </is>
      </c>
      <c r="E2276" t="inlineStr">
        <is>
          <t>SKELLEFTEÅ</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3453-2024</t>
        </is>
      </c>
      <c r="B2277" s="1" t="n">
        <v>45320.39112268519</v>
      </c>
      <c r="C2277" s="1" t="n">
        <v>45991</v>
      </c>
      <c r="D2277" t="inlineStr">
        <is>
          <t>VÄSTERBOTTENS LÄN</t>
        </is>
      </c>
      <c r="E2277" t="inlineStr">
        <is>
          <t>SKELLEFTEÅ</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33519-2021</t>
        </is>
      </c>
      <c r="B2278" s="1" t="n">
        <v>44377.75302083333</v>
      </c>
      <c r="C2278" s="1" t="n">
        <v>45991</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26257-2024</t>
        </is>
      </c>
      <c r="B2279" s="1" t="n">
        <v>45468</v>
      </c>
      <c r="C2279" s="1" t="n">
        <v>45991</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28666-2021</t>
        </is>
      </c>
      <c r="B2280" s="1" t="n">
        <v>44357</v>
      </c>
      <c r="C2280" s="1" t="n">
        <v>45991</v>
      </c>
      <c r="D2280" t="inlineStr">
        <is>
          <t>VÄSTERBOTTENS LÄN</t>
        </is>
      </c>
      <c r="E2280" t="inlineStr">
        <is>
          <t>SKELLEFTEÅ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60498-2022</t>
        </is>
      </c>
      <c r="B2281" s="1" t="n">
        <v>44911.44347222222</v>
      </c>
      <c r="C2281" s="1" t="n">
        <v>45991</v>
      </c>
      <c r="D2281" t="inlineStr">
        <is>
          <t>VÄSTERBOTTENS LÄN</t>
        </is>
      </c>
      <c r="E2281" t="inlineStr">
        <is>
          <t>SKELLEFTEÅ</t>
        </is>
      </c>
      <c r="F2281" t="inlineStr">
        <is>
          <t>Sveaskog</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33520-2021</t>
        </is>
      </c>
      <c r="B2282" s="1" t="n">
        <v>44377.75653935185</v>
      </c>
      <c r="C2282" s="1" t="n">
        <v>45991</v>
      </c>
      <c r="D2282" t="inlineStr">
        <is>
          <t>VÄSTERBOTTENS LÄN</t>
        </is>
      </c>
      <c r="E2282" t="inlineStr">
        <is>
          <t>SKELLEFTEÅ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64258-2023</t>
        </is>
      </c>
      <c r="B2283" s="1" t="n">
        <v>45279</v>
      </c>
      <c r="C2283" s="1" t="n">
        <v>45991</v>
      </c>
      <c r="D2283" t="inlineStr">
        <is>
          <t>VÄSTERBOTTENS LÄN</t>
        </is>
      </c>
      <c r="E2283" t="inlineStr">
        <is>
          <t>SKELLEFTEÅ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8203-2022</t>
        </is>
      </c>
      <c r="B2284" s="1" t="n">
        <v>44609</v>
      </c>
      <c r="C2284" s="1" t="n">
        <v>45991</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24327-2023</t>
        </is>
      </c>
      <c r="B2285" s="1" t="n">
        <v>45080</v>
      </c>
      <c r="C2285" s="1" t="n">
        <v>45991</v>
      </c>
      <c r="D2285" t="inlineStr">
        <is>
          <t>VÄSTERBOTTENS LÄN</t>
        </is>
      </c>
      <c r="E2285" t="inlineStr">
        <is>
          <t>SKELLEFTEÅ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531-2023</t>
        </is>
      </c>
      <c r="B2286" s="1" t="n">
        <v>44925</v>
      </c>
      <c r="C2286" s="1" t="n">
        <v>45991</v>
      </c>
      <c r="D2286" t="inlineStr">
        <is>
          <t>VÄSTERBOTTENS LÄN</t>
        </is>
      </c>
      <c r="E2286" t="inlineStr">
        <is>
          <t>SKELLEFTEÅ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45991</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36513-2024</t>
        </is>
      </c>
      <c r="B2288" s="1" t="n">
        <v>45537.42751157407</v>
      </c>
      <c r="C2288" s="1" t="n">
        <v>45991</v>
      </c>
      <c r="D2288" t="inlineStr">
        <is>
          <t>VÄSTERBOTTENS LÄN</t>
        </is>
      </c>
      <c r="E2288" t="inlineStr">
        <is>
          <t>SKELLEFTEÅ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16183-2023</t>
        </is>
      </c>
      <c r="B2289" s="1" t="n">
        <v>45027</v>
      </c>
      <c r="C2289" s="1" t="n">
        <v>45991</v>
      </c>
      <c r="D2289" t="inlineStr">
        <is>
          <t>VÄSTERBOTTENS LÄN</t>
        </is>
      </c>
      <c r="E2289" t="inlineStr">
        <is>
          <t>SKELLEFTEÅ</t>
        </is>
      </c>
      <c r="G2289" t="n">
        <v>24.8</v>
      </c>
      <c r="H2289" t="n">
        <v>0</v>
      </c>
      <c r="I2289" t="n">
        <v>0</v>
      </c>
      <c r="J2289" t="n">
        <v>0</v>
      </c>
      <c r="K2289" t="n">
        <v>0</v>
      </c>
      <c r="L2289" t="n">
        <v>0</v>
      </c>
      <c r="M2289" t="n">
        <v>0</v>
      </c>
      <c r="N2289" t="n">
        <v>0</v>
      </c>
      <c r="O2289" t="n">
        <v>0</v>
      </c>
      <c r="P2289" t="n">
        <v>0</v>
      </c>
      <c r="Q2289" t="n">
        <v>0</v>
      </c>
      <c r="R2289" s="2" t="inlineStr"/>
    </row>
    <row r="2290" ht="15" customHeight="1">
      <c r="A2290" t="inlineStr">
        <is>
          <t>A 2326-2025</t>
        </is>
      </c>
      <c r="B2290" s="1" t="n">
        <v>45673.63425925926</v>
      </c>
      <c r="C2290" s="1" t="n">
        <v>45991</v>
      </c>
      <c r="D2290" t="inlineStr">
        <is>
          <t>VÄSTERBOTTENS LÄN</t>
        </is>
      </c>
      <c r="E2290" t="inlineStr">
        <is>
          <t>SKELLEFTEÅ</t>
        </is>
      </c>
      <c r="F2290" t="inlineStr">
        <is>
          <t>Holmen skog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56797-2024</t>
        </is>
      </c>
      <c r="B2291" s="1" t="n">
        <v>45628.46482638889</v>
      </c>
      <c r="C2291" s="1" t="n">
        <v>45991</v>
      </c>
      <c r="D2291" t="inlineStr">
        <is>
          <t>VÄSTERBOTTENS LÄN</t>
        </is>
      </c>
      <c r="E2291" t="inlineStr">
        <is>
          <t>SKELLEFTEÅ</t>
        </is>
      </c>
      <c r="F2291" t="inlineStr">
        <is>
          <t>Holmen skog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19073-2023</t>
        </is>
      </c>
      <c r="B2292" s="1" t="n">
        <v>45048.37394675926</v>
      </c>
      <c r="C2292" s="1" t="n">
        <v>45991</v>
      </c>
      <c r="D2292" t="inlineStr">
        <is>
          <t>VÄSTERBOTTENS LÄN</t>
        </is>
      </c>
      <c r="E2292" t="inlineStr">
        <is>
          <t>SKELLEFTEÅ</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4958-2025</t>
        </is>
      </c>
      <c r="B2293" s="1" t="n">
        <v>45689.58603009259</v>
      </c>
      <c r="C2293" s="1" t="n">
        <v>45991</v>
      </c>
      <c r="D2293" t="inlineStr">
        <is>
          <t>VÄSTERBOTTENS LÄN</t>
        </is>
      </c>
      <c r="E2293" t="inlineStr">
        <is>
          <t>SKELLEFTEÅ</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4959-2025</t>
        </is>
      </c>
      <c r="B2294" s="1" t="n">
        <v>45689.59054398148</v>
      </c>
      <c r="C2294" s="1" t="n">
        <v>45991</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46584-2023</t>
        </is>
      </c>
      <c r="B2295" s="1" t="n">
        <v>45198</v>
      </c>
      <c r="C2295" s="1" t="n">
        <v>45991</v>
      </c>
      <c r="D2295" t="inlineStr">
        <is>
          <t>VÄSTERBOTTENS LÄN</t>
        </is>
      </c>
      <c r="E2295" t="inlineStr">
        <is>
          <t>SKELLEFTEÅ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4299-2021</t>
        </is>
      </c>
      <c r="B2296" s="1" t="n">
        <v>44223</v>
      </c>
      <c r="C2296" s="1" t="n">
        <v>45991</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37547-2024</t>
        </is>
      </c>
      <c r="B2297" s="1" t="n">
        <v>45541.42965277778</v>
      </c>
      <c r="C2297" s="1" t="n">
        <v>45991</v>
      </c>
      <c r="D2297" t="inlineStr">
        <is>
          <t>VÄSTERBOTTENS LÄN</t>
        </is>
      </c>
      <c r="E2297" t="inlineStr">
        <is>
          <t>SKELLEFTEÅ</t>
        </is>
      </c>
      <c r="F2297" t="inlineStr">
        <is>
          <t>Holmen skog AB</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52686-2023</t>
        </is>
      </c>
      <c r="B2298" s="1" t="n">
        <v>45225.73399305555</v>
      </c>
      <c r="C2298" s="1" t="n">
        <v>45991</v>
      </c>
      <c r="D2298" t="inlineStr">
        <is>
          <t>VÄSTERBOTTENS LÄN</t>
        </is>
      </c>
      <c r="E2298" t="inlineStr">
        <is>
          <t>SKELLEFTEÅ</t>
        </is>
      </c>
      <c r="F2298" t="inlineStr">
        <is>
          <t>Sveaskog</t>
        </is>
      </c>
      <c r="G2298" t="n">
        <v>18.1</v>
      </c>
      <c r="H2298" t="n">
        <v>0</v>
      </c>
      <c r="I2298" t="n">
        <v>0</v>
      </c>
      <c r="J2298" t="n">
        <v>0</v>
      </c>
      <c r="K2298" t="n">
        <v>0</v>
      </c>
      <c r="L2298" t="n">
        <v>0</v>
      </c>
      <c r="M2298" t="n">
        <v>0</v>
      </c>
      <c r="N2298" t="n">
        <v>0</v>
      </c>
      <c r="O2298" t="n">
        <v>0</v>
      </c>
      <c r="P2298" t="n">
        <v>0</v>
      </c>
      <c r="Q2298" t="n">
        <v>0</v>
      </c>
      <c r="R2298" s="2" t="inlineStr"/>
    </row>
    <row r="2299" ht="15" customHeight="1">
      <c r="A2299" t="inlineStr">
        <is>
          <t>A 59664-2022</t>
        </is>
      </c>
      <c r="B2299" s="1" t="n">
        <v>44908.33321759259</v>
      </c>
      <c r="C2299" s="1" t="n">
        <v>45991</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7916-2025</t>
        </is>
      </c>
      <c r="B2300" s="1" t="n">
        <v>45707.35113425926</v>
      </c>
      <c r="C2300" s="1" t="n">
        <v>45991</v>
      </c>
      <c r="D2300" t="inlineStr">
        <is>
          <t>VÄSTERBOTTENS LÄN</t>
        </is>
      </c>
      <c r="E2300" t="inlineStr">
        <is>
          <t>SKELLEFTEÅ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4032-2024</t>
        </is>
      </c>
      <c r="B2301" s="1" t="n">
        <v>45323.40850694444</v>
      </c>
      <c r="C2301" s="1" t="n">
        <v>45991</v>
      </c>
      <c r="D2301" t="inlineStr">
        <is>
          <t>VÄSTERBOTTENS LÄN</t>
        </is>
      </c>
      <c r="E2301" t="inlineStr">
        <is>
          <t>SKELLEFTEÅ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47686-2024</t>
        </is>
      </c>
      <c r="B2302" s="1" t="n">
        <v>45588.42978009259</v>
      </c>
      <c r="C2302" s="1" t="n">
        <v>45991</v>
      </c>
      <c r="D2302" t="inlineStr">
        <is>
          <t>VÄSTERBOTTENS LÄN</t>
        </is>
      </c>
      <c r="E2302" t="inlineStr">
        <is>
          <t>SKELLEFTEÅ</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34615-2024</t>
        </is>
      </c>
      <c r="B2303" s="1" t="n">
        <v>45526.41416666667</v>
      </c>
      <c r="C2303" s="1" t="n">
        <v>45991</v>
      </c>
      <c r="D2303" t="inlineStr">
        <is>
          <t>VÄSTERBOTTENS LÄN</t>
        </is>
      </c>
      <c r="E2303" t="inlineStr">
        <is>
          <t>SKELLEFTEÅ</t>
        </is>
      </c>
      <c r="F2303" t="inlineStr">
        <is>
          <t>Holmen skog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20340-2025</t>
        </is>
      </c>
      <c r="B2304" s="1" t="n">
        <v>45775.36581018518</v>
      </c>
      <c r="C2304" s="1" t="n">
        <v>45991</v>
      </c>
      <c r="D2304" t="inlineStr">
        <is>
          <t>VÄSTERBOTTENS LÄN</t>
        </is>
      </c>
      <c r="E2304" t="inlineStr">
        <is>
          <t>SKELLEFTEÅ</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58250-2022</t>
        </is>
      </c>
      <c r="B2305" s="1" t="n">
        <v>44894</v>
      </c>
      <c r="C2305" s="1" t="n">
        <v>45991</v>
      </c>
      <c r="D2305" t="inlineStr">
        <is>
          <t>VÄSTERBOTTENS LÄN</t>
        </is>
      </c>
      <c r="E2305" t="inlineStr">
        <is>
          <t>SKELLEFTEÅ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58008-2024</t>
        </is>
      </c>
      <c r="B2306" s="1" t="n">
        <v>45631.65482638889</v>
      </c>
      <c r="C2306" s="1" t="n">
        <v>45991</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25237-2023</t>
        </is>
      </c>
      <c r="B2307" s="1" t="n">
        <v>45079</v>
      </c>
      <c r="C2307" s="1" t="n">
        <v>45991</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11525-2024</t>
        </is>
      </c>
      <c r="B2308" s="1" t="n">
        <v>45372</v>
      </c>
      <c r="C2308" s="1" t="n">
        <v>45991</v>
      </c>
      <c r="D2308" t="inlineStr">
        <is>
          <t>VÄSTERBOTTENS LÄN</t>
        </is>
      </c>
      <c r="E2308" t="inlineStr">
        <is>
          <t>SKELLEFTEÅ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38940-2022</t>
        </is>
      </c>
      <c r="B2309" s="1" t="n">
        <v>44816</v>
      </c>
      <c r="C2309" s="1" t="n">
        <v>45991</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32709-2024</t>
        </is>
      </c>
      <c r="B2310" s="1" t="n">
        <v>45516.3629050926</v>
      </c>
      <c r="C2310" s="1" t="n">
        <v>45991</v>
      </c>
      <c r="D2310" t="inlineStr">
        <is>
          <t>VÄSTERBOTTENS LÄN</t>
        </is>
      </c>
      <c r="E2310" t="inlineStr">
        <is>
          <t>SKELLEFTEÅ</t>
        </is>
      </c>
      <c r="F2310" t="inlineStr">
        <is>
          <t>Holmen skog AB</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18819-2023</t>
        </is>
      </c>
      <c r="B2311" s="1" t="n">
        <v>45044</v>
      </c>
      <c r="C2311" s="1" t="n">
        <v>45991</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51810-2024</t>
        </is>
      </c>
      <c r="B2312" s="1" t="n">
        <v>45607.48707175926</v>
      </c>
      <c r="C2312" s="1" t="n">
        <v>45991</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46480-2024</t>
        </is>
      </c>
      <c r="B2313" s="1" t="n">
        <v>45582.57158564815</v>
      </c>
      <c r="C2313" s="1" t="n">
        <v>45991</v>
      </c>
      <c r="D2313" t="inlineStr">
        <is>
          <t>VÄSTERBOTTENS LÄN</t>
        </is>
      </c>
      <c r="E2313" t="inlineStr">
        <is>
          <t>SKELLEFTEÅ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55743-2024</t>
        </is>
      </c>
      <c r="B2314" s="1" t="n">
        <v>45623.30952546297</v>
      </c>
      <c r="C2314" s="1" t="n">
        <v>45991</v>
      </c>
      <c r="D2314" t="inlineStr">
        <is>
          <t>VÄSTERBOTTENS LÄN</t>
        </is>
      </c>
      <c r="E2314" t="inlineStr">
        <is>
          <t>SKELLEFTEÅ</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16663-2025</t>
        </is>
      </c>
      <c r="B2315" s="1" t="n">
        <v>45754.41936342593</v>
      </c>
      <c r="C2315" s="1" t="n">
        <v>45991</v>
      </c>
      <c r="D2315" t="inlineStr">
        <is>
          <t>VÄSTERBOTTENS LÄN</t>
        </is>
      </c>
      <c r="E2315" t="inlineStr">
        <is>
          <t>SKELLEFTEÅ</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53000-2024</t>
        </is>
      </c>
      <c r="B2316" s="1" t="n">
        <v>45611.38673611111</v>
      </c>
      <c r="C2316" s="1" t="n">
        <v>45991</v>
      </c>
      <c r="D2316" t="inlineStr">
        <is>
          <t>VÄSTERBOTTENS LÄN</t>
        </is>
      </c>
      <c r="E2316" t="inlineStr">
        <is>
          <t>SKELLEFTEÅ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61467-2022</t>
        </is>
      </c>
      <c r="B2317" s="1" t="n">
        <v>44916</v>
      </c>
      <c r="C2317" s="1" t="n">
        <v>45991</v>
      </c>
      <c r="D2317" t="inlineStr">
        <is>
          <t>VÄSTERBOTTENS LÄN</t>
        </is>
      </c>
      <c r="E2317" t="inlineStr">
        <is>
          <t>SKELLEFTEÅ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12855-2025</t>
        </is>
      </c>
      <c r="B2318" s="1" t="n">
        <v>45733.66163194444</v>
      </c>
      <c r="C2318" s="1" t="n">
        <v>45991</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7364-2023</t>
        </is>
      </c>
      <c r="B2319" s="1" t="n">
        <v>44971</v>
      </c>
      <c r="C2319" s="1" t="n">
        <v>45991</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27555-2022</t>
        </is>
      </c>
      <c r="B2320" s="1" t="n">
        <v>44742.92666666667</v>
      </c>
      <c r="C2320" s="1" t="n">
        <v>45991</v>
      </c>
      <c r="D2320" t="inlineStr">
        <is>
          <t>VÄSTERBOTTENS LÄN</t>
        </is>
      </c>
      <c r="E2320" t="inlineStr">
        <is>
          <t>SKELLEFTEÅ</t>
        </is>
      </c>
      <c r="F2320" t="inlineStr">
        <is>
          <t>Kommuner</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34986-2023</t>
        </is>
      </c>
      <c r="B2321" s="1" t="n">
        <v>45142</v>
      </c>
      <c r="C2321" s="1" t="n">
        <v>45991</v>
      </c>
      <c r="D2321" t="inlineStr">
        <is>
          <t>VÄSTERBOTTENS LÄN</t>
        </is>
      </c>
      <c r="E2321" t="inlineStr">
        <is>
          <t>SKELLEFTEÅ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58053-2022</t>
        </is>
      </c>
      <c r="B2322" s="1" t="n">
        <v>44900</v>
      </c>
      <c r="C2322" s="1" t="n">
        <v>45991</v>
      </c>
      <c r="D2322" t="inlineStr">
        <is>
          <t>VÄSTERBOTTENS LÄN</t>
        </is>
      </c>
      <c r="E2322" t="inlineStr">
        <is>
          <t>SKELLEFTEÅ</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27542-2024</t>
        </is>
      </c>
      <c r="B2323" s="1" t="n">
        <v>45474.59413194445</v>
      </c>
      <c r="C2323" s="1" t="n">
        <v>45991</v>
      </c>
      <c r="D2323" t="inlineStr">
        <is>
          <t>VÄSTERBOTTENS LÄN</t>
        </is>
      </c>
      <c r="E2323" t="inlineStr">
        <is>
          <t>SKELLEFTEÅ</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33184-2023</t>
        </is>
      </c>
      <c r="B2324" s="1" t="n">
        <v>45114</v>
      </c>
      <c r="C2324" s="1" t="n">
        <v>45991</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803-2022</t>
        </is>
      </c>
      <c r="B2325" s="1" t="n">
        <v>44568</v>
      </c>
      <c r="C2325" s="1" t="n">
        <v>45991</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32914-2024</t>
        </is>
      </c>
      <c r="B2326" s="1" t="n">
        <v>45516.95133101852</v>
      </c>
      <c r="C2326" s="1" t="n">
        <v>45991</v>
      </c>
      <c r="D2326" t="inlineStr">
        <is>
          <t>VÄSTERBOTTENS LÄN</t>
        </is>
      </c>
      <c r="E2326" t="inlineStr">
        <is>
          <t>SKELLEFTEÅ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14016-2025</t>
        </is>
      </c>
      <c r="B2327" s="1" t="n">
        <v>45740.31862268518</v>
      </c>
      <c r="C2327" s="1" t="n">
        <v>45991</v>
      </c>
      <c r="D2327" t="inlineStr">
        <is>
          <t>VÄSTERBOTTENS LÄN</t>
        </is>
      </c>
      <c r="E2327" t="inlineStr">
        <is>
          <t>SKELLEFTEÅ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6016-2023</t>
        </is>
      </c>
      <c r="B2328" s="1" t="n">
        <v>44959</v>
      </c>
      <c r="C2328" s="1" t="n">
        <v>45991</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58542-2024</t>
        </is>
      </c>
      <c r="B2329" s="1" t="n">
        <v>45635.45708333333</v>
      </c>
      <c r="C2329" s="1" t="n">
        <v>45991</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42877-2024</t>
        </is>
      </c>
      <c r="B2330" s="1" t="n">
        <v>45566.68878472222</v>
      </c>
      <c r="C2330" s="1" t="n">
        <v>45991</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43954-2024</t>
        </is>
      </c>
      <c r="B2331" s="1" t="n">
        <v>45572.47539351852</v>
      </c>
      <c r="C2331" s="1" t="n">
        <v>45991</v>
      </c>
      <c r="D2331" t="inlineStr">
        <is>
          <t>VÄSTERBOTTENS LÄN</t>
        </is>
      </c>
      <c r="E2331" t="inlineStr">
        <is>
          <t>SKELLEFTEÅ</t>
        </is>
      </c>
      <c r="F2331" t="inlineStr">
        <is>
          <t>Sveaskog</t>
        </is>
      </c>
      <c r="G2331" t="n">
        <v>24.1</v>
      </c>
      <c r="H2331" t="n">
        <v>0</v>
      </c>
      <c r="I2331" t="n">
        <v>0</v>
      </c>
      <c r="J2331" t="n">
        <v>0</v>
      </c>
      <c r="K2331" t="n">
        <v>0</v>
      </c>
      <c r="L2331" t="n">
        <v>0</v>
      </c>
      <c r="M2331" t="n">
        <v>0</v>
      </c>
      <c r="N2331" t="n">
        <v>0</v>
      </c>
      <c r="O2331" t="n">
        <v>0</v>
      </c>
      <c r="P2331" t="n">
        <v>0</v>
      </c>
      <c r="Q2331" t="n">
        <v>0</v>
      </c>
      <c r="R2331" s="2" t="inlineStr"/>
    </row>
    <row r="2332" ht="15" customHeight="1">
      <c r="A2332" t="inlineStr">
        <is>
          <t>A 30332-2021</t>
        </is>
      </c>
      <c r="B2332" s="1" t="n">
        <v>44364</v>
      </c>
      <c r="C2332" s="1" t="n">
        <v>45991</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31395-2021</t>
        </is>
      </c>
      <c r="B2333" s="1" t="n">
        <v>44369.31599537037</v>
      </c>
      <c r="C2333" s="1" t="n">
        <v>45991</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4387-2025</t>
        </is>
      </c>
      <c r="B2334" s="1" t="n">
        <v>45686.40269675926</v>
      </c>
      <c r="C2334" s="1" t="n">
        <v>45991</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66366-2020</t>
        </is>
      </c>
      <c r="B2335" s="1" t="n">
        <v>44176</v>
      </c>
      <c r="C2335" s="1" t="n">
        <v>45991</v>
      </c>
      <c r="D2335" t="inlineStr">
        <is>
          <t>VÄSTERBOTTENS LÄN</t>
        </is>
      </c>
      <c r="E2335" t="inlineStr">
        <is>
          <t>SKELLEFTEÅ</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12090-2025</t>
        </is>
      </c>
      <c r="B2336" s="1" t="n">
        <v>45729.30722222223</v>
      </c>
      <c r="C2336" s="1" t="n">
        <v>45991</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12645-2025</t>
        </is>
      </c>
      <c r="B2337" s="1" t="n">
        <v>45733.39303240741</v>
      </c>
      <c r="C2337" s="1" t="n">
        <v>45991</v>
      </c>
      <c r="D2337" t="inlineStr">
        <is>
          <t>VÄSTERBOTTENS LÄN</t>
        </is>
      </c>
      <c r="E2337" t="inlineStr">
        <is>
          <t>SKELLEFTEÅ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20378-2025</t>
        </is>
      </c>
      <c r="B2338" s="1" t="n">
        <v>45775.42729166667</v>
      </c>
      <c r="C2338" s="1" t="n">
        <v>45991</v>
      </c>
      <c r="D2338" t="inlineStr">
        <is>
          <t>VÄSTERBOTTENS LÄN</t>
        </is>
      </c>
      <c r="E2338" t="inlineStr">
        <is>
          <t>SKELLEFTEÅ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42223-2024</t>
        </is>
      </c>
      <c r="B2339" s="1" t="n">
        <v>45562.55023148148</v>
      </c>
      <c r="C2339" s="1" t="n">
        <v>45991</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22859-2024</t>
        </is>
      </c>
      <c r="B2340" s="1" t="n">
        <v>45448</v>
      </c>
      <c r="C2340" s="1" t="n">
        <v>45991</v>
      </c>
      <c r="D2340" t="inlineStr">
        <is>
          <t>VÄSTERBOTTENS LÄN</t>
        </is>
      </c>
      <c r="E2340" t="inlineStr">
        <is>
          <t>SKELLEFTEÅ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49900-2023</t>
        </is>
      </c>
      <c r="B2341" s="1" t="n">
        <v>45213.86512731481</v>
      </c>
      <c r="C2341" s="1" t="n">
        <v>45991</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4620-2025</t>
        </is>
      </c>
      <c r="B2342" s="1" t="n">
        <v>45687.61184027778</v>
      </c>
      <c r="C2342" s="1" t="n">
        <v>45991</v>
      </c>
      <c r="D2342" t="inlineStr">
        <is>
          <t>VÄSTERBOTTENS LÄN</t>
        </is>
      </c>
      <c r="E2342" t="inlineStr">
        <is>
          <t>SKELLEFTEÅ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22351-2023</t>
        </is>
      </c>
      <c r="B2343" s="1" t="n">
        <v>45068</v>
      </c>
      <c r="C2343" s="1" t="n">
        <v>45991</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9192-2021</t>
        </is>
      </c>
      <c r="B2344" s="1" t="n">
        <v>44249</v>
      </c>
      <c r="C2344" s="1" t="n">
        <v>45991</v>
      </c>
      <c r="D2344" t="inlineStr">
        <is>
          <t>VÄSTERBOTTENS LÄN</t>
        </is>
      </c>
      <c r="E2344" t="inlineStr">
        <is>
          <t>SKELLEFTEÅ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14697-2023</t>
        </is>
      </c>
      <c r="B2345" s="1" t="n">
        <v>45012</v>
      </c>
      <c r="C2345" s="1" t="n">
        <v>45991</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1891-2021</t>
        </is>
      </c>
      <c r="B2346" s="1" t="n">
        <v>44210</v>
      </c>
      <c r="C2346" s="1" t="n">
        <v>45991</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27288-2024</t>
        </is>
      </c>
      <c r="B2347" s="1" t="n">
        <v>45471.92630787037</v>
      </c>
      <c r="C2347" s="1" t="n">
        <v>45991</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22760-2022</t>
        </is>
      </c>
      <c r="B2348" s="1" t="n">
        <v>44714</v>
      </c>
      <c r="C2348" s="1" t="n">
        <v>45991</v>
      </c>
      <c r="D2348" t="inlineStr">
        <is>
          <t>VÄSTERBOTTENS LÄN</t>
        </is>
      </c>
      <c r="E2348" t="inlineStr">
        <is>
          <t>SKELLEFTEÅ</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3626-2025</t>
        </is>
      </c>
      <c r="B2349" s="1" t="n">
        <v>45681.37163194444</v>
      </c>
      <c r="C2349" s="1" t="n">
        <v>45991</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4403-2025</t>
        </is>
      </c>
      <c r="B2350" s="1" t="n">
        <v>45686.43848379629</v>
      </c>
      <c r="C2350" s="1" t="n">
        <v>45991</v>
      </c>
      <c r="D2350" t="inlineStr">
        <is>
          <t>VÄSTERBOTTENS LÄN</t>
        </is>
      </c>
      <c r="E2350" t="inlineStr">
        <is>
          <t>SKELLEFTEÅ</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23521-2024</t>
        </is>
      </c>
      <c r="B2351" s="1" t="n">
        <v>45453.92469907407</v>
      </c>
      <c r="C2351" s="1" t="n">
        <v>45991</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24303-2021</t>
        </is>
      </c>
      <c r="B2352" s="1" t="n">
        <v>44337.33520833333</v>
      </c>
      <c r="C2352" s="1" t="n">
        <v>45991</v>
      </c>
      <c r="D2352" t="inlineStr">
        <is>
          <t>VÄSTERBOTTENS LÄN</t>
        </is>
      </c>
      <c r="E2352" t="inlineStr">
        <is>
          <t>SKELLEFTEÅ</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16856-2025</t>
        </is>
      </c>
      <c r="B2353" s="1" t="n">
        <v>45754</v>
      </c>
      <c r="C2353" s="1" t="n">
        <v>45991</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30953-2023</t>
        </is>
      </c>
      <c r="B2354" s="1" t="n">
        <v>45113.46905092592</v>
      </c>
      <c r="C2354" s="1" t="n">
        <v>45991</v>
      </c>
      <c r="D2354" t="inlineStr">
        <is>
          <t>VÄSTERBOTTENS LÄN</t>
        </is>
      </c>
      <c r="E2354" t="inlineStr">
        <is>
          <t>SKELLEFTEÅ</t>
        </is>
      </c>
      <c r="F2354" t="inlineStr">
        <is>
          <t>Holmen skog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12112-2024</t>
        </is>
      </c>
      <c r="B2355" s="1" t="n">
        <v>45376</v>
      </c>
      <c r="C2355" s="1" t="n">
        <v>45991</v>
      </c>
      <c r="D2355" t="inlineStr">
        <is>
          <t>VÄSTERBOTTENS LÄN</t>
        </is>
      </c>
      <c r="E2355" t="inlineStr">
        <is>
          <t>SKELLEFTEÅ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37298-2024</t>
        </is>
      </c>
      <c r="B2356" s="1" t="n">
        <v>45540.45724537037</v>
      </c>
      <c r="C2356" s="1" t="n">
        <v>45991</v>
      </c>
      <c r="D2356" t="inlineStr">
        <is>
          <t>VÄSTERBOTTENS LÄN</t>
        </is>
      </c>
      <c r="E2356" t="inlineStr">
        <is>
          <t>SKELLEFTEÅ</t>
        </is>
      </c>
      <c r="F2356" t="inlineStr">
        <is>
          <t>Holmen skog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59660-2024</t>
        </is>
      </c>
      <c r="B2357" s="1" t="n">
        <v>45639.35697916667</v>
      </c>
      <c r="C2357" s="1" t="n">
        <v>45991</v>
      </c>
      <c r="D2357" t="inlineStr">
        <is>
          <t>VÄSTERBOTTENS LÄN</t>
        </is>
      </c>
      <c r="E2357" t="inlineStr">
        <is>
          <t>SKELLEFTEÅ</t>
        </is>
      </c>
      <c r="F2357" t="inlineStr">
        <is>
          <t>Sveaskog</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15138-2025</t>
        </is>
      </c>
      <c r="B2358" s="1" t="n">
        <v>45744.38621527778</v>
      </c>
      <c r="C2358" s="1" t="n">
        <v>45991</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50276-2024</t>
        </is>
      </c>
      <c r="B2359" s="1" t="n">
        <v>45600.60181712963</v>
      </c>
      <c r="C2359" s="1" t="n">
        <v>45991</v>
      </c>
      <c r="D2359" t="inlineStr">
        <is>
          <t>VÄSTERBOTTENS LÄN</t>
        </is>
      </c>
      <c r="E2359" t="inlineStr">
        <is>
          <t>SKELLEFTEÅ</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3611-2025</t>
        </is>
      </c>
      <c r="B2360" s="1" t="n">
        <v>45681.36076388889</v>
      </c>
      <c r="C2360" s="1" t="n">
        <v>45991</v>
      </c>
      <c r="D2360" t="inlineStr">
        <is>
          <t>VÄSTERBOTTENS LÄN</t>
        </is>
      </c>
      <c r="E2360" t="inlineStr">
        <is>
          <t>SKELLEFTEÅ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964-2025</t>
        </is>
      </c>
      <c r="B2361" s="1" t="n">
        <v>45666.38408564815</v>
      </c>
      <c r="C2361" s="1" t="n">
        <v>45991</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59788-2023</t>
        </is>
      </c>
      <c r="B2362" s="1" t="n">
        <v>45257.44923611111</v>
      </c>
      <c r="C2362" s="1" t="n">
        <v>45991</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19730-2025</t>
        </is>
      </c>
      <c r="B2363" s="1" t="n">
        <v>45771.36560185185</v>
      </c>
      <c r="C2363" s="1" t="n">
        <v>45991</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39371-2024</t>
        </is>
      </c>
      <c r="B2364" s="1" t="n">
        <v>45551</v>
      </c>
      <c r="C2364" s="1" t="n">
        <v>45991</v>
      </c>
      <c r="D2364" t="inlineStr">
        <is>
          <t>VÄSTERBOTTENS LÄN</t>
        </is>
      </c>
      <c r="E2364" t="inlineStr">
        <is>
          <t>SKELLEFTEÅ</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45991</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40072-2024</t>
        </is>
      </c>
      <c r="B2366" s="1" t="n">
        <v>45554.32503472222</v>
      </c>
      <c r="C2366" s="1" t="n">
        <v>45991</v>
      </c>
      <c r="D2366" t="inlineStr">
        <is>
          <t>VÄSTERBOTTENS LÄN</t>
        </is>
      </c>
      <c r="E2366" t="inlineStr">
        <is>
          <t>SKELLEFTEÅ</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45991</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45991</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21190-2025</t>
        </is>
      </c>
      <c r="B2369" s="1" t="n">
        <v>45779.45958333334</v>
      </c>
      <c r="C2369" s="1" t="n">
        <v>45991</v>
      </c>
      <c r="D2369" t="inlineStr">
        <is>
          <t>VÄSTERBOTTENS LÄN</t>
        </is>
      </c>
      <c r="E2369" t="inlineStr">
        <is>
          <t>SKELLEFTEÅ</t>
        </is>
      </c>
      <c r="F2369" t="inlineStr">
        <is>
          <t>Holmen skog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58751-2023</t>
        </is>
      </c>
      <c r="B2370" s="1" t="n">
        <v>45251</v>
      </c>
      <c r="C2370" s="1" t="n">
        <v>45991</v>
      </c>
      <c r="D2370" t="inlineStr">
        <is>
          <t>VÄSTERBOTTENS LÄN</t>
        </is>
      </c>
      <c r="E2370" t="inlineStr">
        <is>
          <t>SKELLEFTEÅ</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21222-2025</t>
        </is>
      </c>
      <c r="B2371" s="1" t="n">
        <v>45779.5078125</v>
      </c>
      <c r="C2371" s="1" t="n">
        <v>45991</v>
      </c>
      <c r="D2371" t="inlineStr">
        <is>
          <t>VÄSTERBOTTENS LÄN</t>
        </is>
      </c>
      <c r="E2371" t="inlineStr">
        <is>
          <t>SKELLEFTEÅ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46107-2023</t>
        </is>
      </c>
      <c r="B2372" s="1" t="n">
        <v>45190</v>
      </c>
      <c r="C2372" s="1" t="n">
        <v>45991</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21207-2025</t>
        </is>
      </c>
      <c r="B2373" s="1" t="n">
        <v>45779.48564814815</v>
      </c>
      <c r="C2373" s="1" t="n">
        <v>45991</v>
      </c>
      <c r="D2373" t="inlineStr">
        <is>
          <t>VÄSTERBOTTENS LÄN</t>
        </is>
      </c>
      <c r="E2373" t="inlineStr">
        <is>
          <t>SKELLEFTEÅ</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21131-2025</t>
        </is>
      </c>
      <c r="B2374" s="1" t="n">
        <v>45778.36864583333</v>
      </c>
      <c r="C2374" s="1" t="n">
        <v>45991</v>
      </c>
      <c r="D2374" t="inlineStr">
        <is>
          <t>VÄSTERBOTTENS LÄN</t>
        </is>
      </c>
      <c r="E2374" t="inlineStr">
        <is>
          <t>SKELLEFTEÅ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21420-2025</t>
        </is>
      </c>
      <c r="B2375" s="1" t="n">
        <v>45782.5021875</v>
      </c>
      <c r="C2375" s="1" t="n">
        <v>45991</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21585-2025</t>
        </is>
      </c>
      <c r="B2376" s="1" t="n">
        <v>45783</v>
      </c>
      <c r="C2376" s="1" t="n">
        <v>45991</v>
      </c>
      <c r="D2376" t="inlineStr">
        <is>
          <t>VÄSTERBOTTENS LÄN</t>
        </is>
      </c>
      <c r="E2376" t="inlineStr">
        <is>
          <t>SKELLEFTEÅ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45991</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21350-2025</t>
        </is>
      </c>
      <c r="B2378" s="1" t="n">
        <v>45782.40702546296</v>
      </c>
      <c r="C2378" s="1" t="n">
        <v>45991</v>
      </c>
      <c r="D2378" t="inlineStr">
        <is>
          <t>VÄSTERBOTTENS LÄN</t>
        </is>
      </c>
      <c r="E2378" t="inlineStr">
        <is>
          <t>SKELLEFTEÅ</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21427-2025</t>
        </is>
      </c>
      <c r="B2379" s="1" t="n">
        <v>45782.50858796296</v>
      </c>
      <c r="C2379" s="1" t="n">
        <v>45991</v>
      </c>
      <c r="D2379" t="inlineStr">
        <is>
          <t>VÄSTERBOTTENS LÄN</t>
        </is>
      </c>
      <c r="E2379" t="inlineStr">
        <is>
          <t>SKELLEFTEÅ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21750-2025</t>
        </is>
      </c>
      <c r="B2380" s="1" t="n">
        <v>45783.61346064815</v>
      </c>
      <c r="C2380" s="1" t="n">
        <v>45991</v>
      </c>
      <c r="D2380" t="inlineStr">
        <is>
          <t>VÄSTERBOTTENS LÄN</t>
        </is>
      </c>
      <c r="E2380" t="inlineStr">
        <is>
          <t>SKELLEFTEÅ</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21424-2025</t>
        </is>
      </c>
      <c r="B2381" s="1" t="n">
        <v>45782.50584490741</v>
      </c>
      <c r="C2381" s="1" t="n">
        <v>45991</v>
      </c>
      <c r="D2381" t="inlineStr">
        <is>
          <t>VÄSTERBOTTENS LÄN</t>
        </is>
      </c>
      <c r="E2381" t="inlineStr">
        <is>
          <t>SKELLEFTEÅ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21755-2025</t>
        </is>
      </c>
      <c r="B2382" s="1" t="n">
        <v>45783.61917824074</v>
      </c>
      <c r="C2382" s="1" t="n">
        <v>45991</v>
      </c>
      <c r="D2382" t="inlineStr">
        <is>
          <t>VÄSTERBOTTENS LÄN</t>
        </is>
      </c>
      <c r="E2382" t="inlineStr">
        <is>
          <t>SKELLEFTEÅ</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21757-2025</t>
        </is>
      </c>
      <c r="B2383" s="1" t="n">
        <v>45783</v>
      </c>
      <c r="C2383" s="1" t="n">
        <v>45991</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21587-2025</t>
        </is>
      </c>
      <c r="B2384" s="1" t="n">
        <v>45783</v>
      </c>
      <c r="C2384" s="1" t="n">
        <v>45991</v>
      </c>
      <c r="D2384" t="inlineStr">
        <is>
          <t>VÄSTERBOTTENS LÄN</t>
        </is>
      </c>
      <c r="E2384" t="inlineStr">
        <is>
          <t>SKELLEFTEÅ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44480-2024</t>
        </is>
      </c>
      <c r="B2385" s="1" t="n">
        <v>45574</v>
      </c>
      <c r="C2385" s="1" t="n">
        <v>45991</v>
      </c>
      <c r="D2385" t="inlineStr">
        <is>
          <t>VÄSTERBOTTENS LÄN</t>
        </is>
      </c>
      <c r="E2385" t="inlineStr">
        <is>
          <t>SKELLEFTEÅ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21910-2025</t>
        </is>
      </c>
      <c r="B2386" s="1" t="n">
        <v>45784.47021990741</v>
      </c>
      <c r="C2386" s="1" t="n">
        <v>45991</v>
      </c>
      <c r="D2386" t="inlineStr">
        <is>
          <t>VÄSTERBOTTENS LÄN</t>
        </is>
      </c>
      <c r="E2386" t="inlineStr">
        <is>
          <t>SKELLEFTEÅ</t>
        </is>
      </c>
      <c r="F2386" t="inlineStr">
        <is>
          <t>Holmen skog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1113-2025</t>
        </is>
      </c>
      <c r="B2387" s="1" t="n">
        <v>45666</v>
      </c>
      <c r="C2387" s="1" t="n">
        <v>45991</v>
      </c>
      <c r="D2387" t="inlineStr">
        <is>
          <t>VÄSTERBOTTENS LÄN</t>
        </is>
      </c>
      <c r="E2387" t="inlineStr">
        <is>
          <t>SKELLEFTEÅ</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27504-2023</t>
        </is>
      </c>
      <c r="B2388" s="1" t="n">
        <v>45097</v>
      </c>
      <c r="C2388" s="1" t="n">
        <v>45991</v>
      </c>
      <c r="D2388" t="inlineStr">
        <is>
          <t>VÄSTERBOTTENS LÄN</t>
        </is>
      </c>
      <c r="E2388" t="inlineStr">
        <is>
          <t>SKELLEFTEÅ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21992-2025</t>
        </is>
      </c>
      <c r="B2389" s="1" t="n">
        <v>45784.66221064814</v>
      </c>
      <c r="C2389" s="1" t="n">
        <v>45991</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5986-2025</t>
        </is>
      </c>
      <c r="B2390" s="1" t="n">
        <v>45695</v>
      </c>
      <c r="C2390" s="1" t="n">
        <v>45991</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22031-2025</t>
        </is>
      </c>
      <c r="B2391" s="1" t="n">
        <v>45785.27292824074</v>
      </c>
      <c r="C2391" s="1" t="n">
        <v>45991</v>
      </c>
      <c r="D2391" t="inlineStr">
        <is>
          <t>VÄSTERBOTTENS LÄN</t>
        </is>
      </c>
      <c r="E2391" t="inlineStr">
        <is>
          <t>SKELLEFTEÅ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22530-2025</t>
        </is>
      </c>
      <c r="B2392" s="1" t="n">
        <v>45786</v>
      </c>
      <c r="C2392" s="1" t="n">
        <v>45991</v>
      </c>
      <c r="D2392" t="inlineStr">
        <is>
          <t>VÄSTERBOTTENS LÄN</t>
        </is>
      </c>
      <c r="E2392" t="inlineStr">
        <is>
          <t>SKELLEFTEÅ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22311-2025</t>
        </is>
      </c>
      <c r="B2393" s="1" t="n">
        <v>45786</v>
      </c>
      <c r="C2393" s="1" t="n">
        <v>45991</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50549-2023</t>
        </is>
      </c>
      <c r="B2394" s="1" t="n">
        <v>45217.36358796297</v>
      </c>
      <c r="C2394" s="1" t="n">
        <v>45991</v>
      </c>
      <c r="D2394" t="inlineStr">
        <is>
          <t>VÄSTERBOTTENS LÄN</t>
        </is>
      </c>
      <c r="E2394" t="inlineStr">
        <is>
          <t>SKELLEFTEÅ</t>
        </is>
      </c>
      <c r="F2394" t="inlineStr">
        <is>
          <t>Holmen skog AB</t>
        </is>
      </c>
      <c r="G2394" t="n">
        <v>28.5</v>
      </c>
      <c r="H2394" t="n">
        <v>0</v>
      </c>
      <c r="I2394" t="n">
        <v>0</v>
      </c>
      <c r="J2394" t="n">
        <v>0</v>
      </c>
      <c r="K2394" t="n">
        <v>0</v>
      </c>
      <c r="L2394" t="n">
        <v>0</v>
      </c>
      <c r="M2394" t="n">
        <v>0</v>
      </c>
      <c r="N2394" t="n">
        <v>0</v>
      </c>
      <c r="O2394" t="n">
        <v>0</v>
      </c>
      <c r="P2394" t="n">
        <v>0</v>
      </c>
      <c r="Q2394" t="n">
        <v>0</v>
      </c>
      <c r="R2394" s="2" t="inlineStr"/>
    </row>
    <row r="2395" ht="15" customHeight="1">
      <c r="A2395" t="inlineStr">
        <is>
          <t>A 22284-2025</t>
        </is>
      </c>
      <c r="B2395" s="1" t="n">
        <v>45786.34259259259</v>
      </c>
      <c r="C2395" s="1" t="n">
        <v>45991</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21763-2025</t>
        </is>
      </c>
      <c r="B2396" s="1" t="n">
        <v>45783</v>
      </c>
      <c r="C2396" s="1" t="n">
        <v>45991</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22531-2025</t>
        </is>
      </c>
      <c r="B2397" s="1" t="n">
        <v>45786</v>
      </c>
      <c r="C2397" s="1" t="n">
        <v>45991</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26293-2024</t>
        </is>
      </c>
      <c r="B2398" s="1" t="n">
        <v>45468.81053240741</v>
      </c>
      <c r="C2398" s="1" t="n">
        <v>45991</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22838-2025</t>
        </is>
      </c>
      <c r="B2399" s="1" t="n">
        <v>45790.28381944444</v>
      </c>
      <c r="C2399" s="1" t="n">
        <v>45991</v>
      </c>
      <c r="D2399" t="inlineStr">
        <is>
          <t>VÄSTERBOTTENS LÄN</t>
        </is>
      </c>
      <c r="E2399" t="inlineStr">
        <is>
          <t>SKELLEFTEÅ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23213-2025</t>
        </is>
      </c>
      <c r="B2400" s="1" t="n">
        <v>45791</v>
      </c>
      <c r="C2400" s="1" t="n">
        <v>45991</v>
      </c>
      <c r="D2400" t="inlineStr">
        <is>
          <t>VÄSTERBOTTENS LÄN</t>
        </is>
      </c>
      <c r="E2400" t="inlineStr">
        <is>
          <t>SKELLEFTEÅ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23327-2025</t>
        </is>
      </c>
      <c r="B2401" s="1" t="n">
        <v>45791.62792824074</v>
      </c>
      <c r="C2401" s="1" t="n">
        <v>45991</v>
      </c>
      <c r="D2401" t="inlineStr">
        <is>
          <t>VÄSTERBOTTENS LÄN</t>
        </is>
      </c>
      <c r="E2401" t="inlineStr">
        <is>
          <t>SKELLEFTEÅ</t>
        </is>
      </c>
      <c r="F2401" t="inlineStr">
        <is>
          <t>Holmen skog AB</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23208-2025</t>
        </is>
      </c>
      <c r="B2402" s="1" t="n">
        <v>45791</v>
      </c>
      <c r="C2402" s="1" t="n">
        <v>45991</v>
      </c>
      <c r="D2402" t="inlineStr">
        <is>
          <t>VÄSTERBOTTENS LÄN</t>
        </is>
      </c>
      <c r="E2402" t="inlineStr">
        <is>
          <t>SKELLEFTEÅ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23018-2025</t>
        </is>
      </c>
      <c r="B2403" s="1" t="n">
        <v>45790.6446875</v>
      </c>
      <c r="C2403" s="1" t="n">
        <v>45991</v>
      </c>
      <c r="D2403" t="inlineStr">
        <is>
          <t>VÄSTERBOTTENS LÄN</t>
        </is>
      </c>
      <c r="E2403" t="inlineStr">
        <is>
          <t>SKELLEFTEÅ</t>
        </is>
      </c>
      <c r="F2403" t="inlineStr">
        <is>
          <t>Holmen skog AB</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23104-2025</t>
        </is>
      </c>
      <c r="B2404" s="1" t="n">
        <v>45791.35722222222</v>
      </c>
      <c r="C2404" s="1" t="n">
        <v>45991</v>
      </c>
      <c r="D2404" t="inlineStr">
        <is>
          <t>VÄSTERBOTTENS LÄN</t>
        </is>
      </c>
      <c r="E2404" t="inlineStr">
        <is>
          <t>SKELLEFTEÅ</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23153-2025</t>
        </is>
      </c>
      <c r="B2405" s="1" t="n">
        <v>45791</v>
      </c>
      <c r="C2405" s="1" t="n">
        <v>45991</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19349-2023</t>
        </is>
      </c>
      <c r="B2406" s="1" t="n">
        <v>45049.59215277778</v>
      </c>
      <c r="C2406" s="1" t="n">
        <v>45991</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64340-2023</t>
        </is>
      </c>
      <c r="B2407" s="1" t="n">
        <v>45280.45571759259</v>
      </c>
      <c r="C2407" s="1" t="n">
        <v>45991</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22921-2025</t>
        </is>
      </c>
      <c r="B2408" s="1" t="n">
        <v>45790.43959490741</v>
      </c>
      <c r="C2408" s="1" t="n">
        <v>45991</v>
      </c>
      <c r="D2408" t="inlineStr">
        <is>
          <t>VÄSTERBOTTENS LÄN</t>
        </is>
      </c>
      <c r="E2408" t="inlineStr">
        <is>
          <t>SKELLEFTEÅ</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23241-2025</t>
        </is>
      </c>
      <c r="B2409" s="1" t="n">
        <v>45791.50141203704</v>
      </c>
      <c r="C2409" s="1" t="n">
        <v>45991</v>
      </c>
      <c r="D2409" t="inlineStr">
        <is>
          <t>VÄSTERBOTTENS LÄN</t>
        </is>
      </c>
      <c r="E2409" t="inlineStr">
        <is>
          <t>SKELLEFTEÅ</t>
        </is>
      </c>
      <c r="F2409" t="inlineStr">
        <is>
          <t>Holmen skog AB</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43714-2024</t>
        </is>
      </c>
      <c r="B2410" s="1" t="n">
        <v>45569</v>
      </c>
      <c r="C2410" s="1" t="n">
        <v>45991</v>
      </c>
      <c r="D2410" t="inlineStr">
        <is>
          <t>VÄSTERBOTTENS LÄN</t>
        </is>
      </c>
      <c r="E2410" t="inlineStr">
        <is>
          <t>SKELLEFTEÅ</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23886-2025</t>
        </is>
      </c>
      <c r="B2411" s="1" t="n">
        <v>45793</v>
      </c>
      <c r="C2411" s="1" t="n">
        <v>45991</v>
      </c>
      <c r="D2411" t="inlineStr">
        <is>
          <t>VÄSTERBOTTENS LÄN</t>
        </is>
      </c>
      <c r="E2411" t="inlineStr">
        <is>
          <t>SKELLEFTEÅ</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23847-2025</t>
        </is>
      </c>
      <c r="B2412" s="1" t="n">
        <v>45793.62730324074</v>
      </c>
      <c r="C2412" s="1" t="n">
        <v>45991</v>
      </c>
      <c r="D2412" t="inlineStr">
        <is>
          <t>VÄSTERBOTTENS LÄN</t>
        </is>
      </c>
      <c r="E2412" t="inlineStr">
        <is>
          <t>SKELLEFTEÅ</t>
        </is>
      </c>
      <c r="F2412" t="inlineStr">
        <is>
          <t>Holmen skog AB</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23676-2025</t>
        </is>
      </c>
      <c r="B2413" s="1" t="n">
        <v>45793.31434027778</v>
      </c>
      <c r="C2413" s="1" t="n">
        <v>45991</v>
      </c>
      <c r="D2413" t="inlineStr">
        <is>
          <t>VÄSTERBOTTENS LÄN</t>
        </is>
      </c>
      <c r="E2413" t="inlineStr">
        <is>
          <t>SKELLEFTEÅ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23537-2025</t>
        </is>
      </c>
      <c r="B2414" s="1" t="n">
        <v>45792.54960648148</v>
      </c>
      <c r="C2414" s="1" t="n">
        <v>45991</v>
      </c>
      <c r="D2414" t="inlineStr">
        <is>
          <t>VÄSTERBOTTENS LÄN</t>
        </is>
      </c>
      <c r="E2414" t="inlineStr">
        <is>
          <t>SKELLEFTEÅ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23696-2025</t>
        </is>
      </c>
      <c r="B2415" s="1" t="n">
        <v>45793</v>
      </c>
      <c r="C2415" s="1" t="n">
        <v>45991</v>
      </c>
      <c r="D2415" t="inlineStr">
        <is>
          <t>VÄSTERBOTTENS LÄN</t>
        </is>
      </c>
      <c r="E2415" t="inlineStr">
        <is>
          <t>SKELLEFTEÅ</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23678-2025</t>
        </is>
      </c>
      <c r="B2416" s="1" t="n">
        <v>45793.32435185185</v>
      </c>
      <c r="C2416" s="1" t="n">
        <v>45991</v>
      </c>
      <c r="D2416" t="inlineStr">
        <is>
          <t>VÄSTERBOTTENS LÄN</t>
        </is>
      </c>
      <c r="E2416" t="inlineStr">
        <is>
          <t>SKELLEFTEÅ</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23881-2025</t>
        </is>
      </c>
      <c r="B2417" s="1" t="n">
        <v>45793</v>
      </c>
      <c r="C2417" s="1" t="n">
        <v>45991</v>
      </c>
      <c r="D2417" t="inlineStr">
        <is>
          <t>VÄSTERBOTTENS LÄN</t>
        </is>
      </c>
      <c r="E2417" t="inlineStr">
        <is>
          <t>SKELLEFTEÅ</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23373-2025</t>
        </is>
      </c>
      <c r="B2418" s="1" t="n">
        <v>45791.75634259259</v>
      </c>
      <c r="C2418" s="1" t="n">
        <v>45991</v>
      </c>
      <c r="D2418" t="inlineStr">
        <is>
          <t>VÄSTERBOTTENS LÄN</t>
        </is>
      </c>
      <c r="E2418" t="inlineStr">
        <is>
          <t>SKELLEFTEÅ</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37210-2021</t>
        </is>
      </c>
      <c r="B2419" s="1" t="n">
        <v>44396</v>
      </c>
      <c r="C2419" s="1" t="n">
        <v>45991</v>
      </c>
      <c r="D2419" t="inlineStr">
        <is>
          <t>VÄSTERBOTTENS LÄN</t>
        </is>
      </c>
      <c r="E2419" t="inlineStr">
        <is>
          <t>SKELLEFTEÅ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24064-2025</t>
        </is>
      </c>
      <c r="B2420" s="1" t="n">
        <v>45796.53480324074</v>
      </c>
      <c r="C2420" s="1" t="n">
        <v>45991</v>
      </c>
      <c r="D2420" t="inlineStr">
        <is>
          <t>VÄSTERBOTTENS LÄN</t>
        </is>
      </c>
      <c r="E2420" t="inlineStr">
        <is>
          <t>SKELLEFTEÅ</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24067-2025</t>
        </is>
      </c>
      <c r="B2421" s="1" t="n">
        <v>45796.53820601852</v>
      </c>
      <c r="C2421" s="1" t="n">
        <v>45991</v>
      </c>
      <c r="D2421" t="inlineStr">
        <is>
          <t>VÄSTERBOTTENS LÄN</t>
        </is>
      </c>
      <c r="E2421" t="inlineStr">
        <is>
          <t>SKELLEFTEÅ</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10693-2024</t>
        </is>
      </c>
      <c r="B2422" s="1" t="n">
        <v>45369</v>
      </c>
      <c r="C2422" s="1" t="n">
        <v>45991</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38588-2024</t>
        </is>
      </c>
      <c r="B2423" s="1" t="n">
        <v>45546.65261574074</v>
      </c>
      <c r="C2423" s="1" t="n">
        <v>45991</v>
      </c>
      <c r="D2423" t="inlineStr">
        <is>
          <t>VÄSTERBOTTENS LÄN</t>
        </is>
      </c>
      <c r="E2423" t="inlineStr">
        <is>
          <t>SKELLEFTEÅ</t>
        </is>
      </c>
      <c r="F2423" t="inlineStr">
        <is>
          <t>Holmen skog AB</t>
        </is>
      </c>
      <c r="G2423" t="n">
        <v>4.1</v>
      </c>
      <c r="H2423" t="n">
        <v>0</v>
      </c>
      <c r="I2423" t="n">
        <v>0</v>
      </c>
      <c r="J2423" t="n">
        <v>0</v>
      </c>
      <c r="K2423" t="n">
        <v>0</v>
      </c>
      <c r="L2423" t="n">
        <v>0</v>
      </c>
      <c r="M2423" t="n">
        <v>0</v>
      </c>
      <c r="N2423" t="n">
        <v>0</v>
      </c>
      <c r="O2423" t="n">
        <v>0</v>
      </c>
      <c r="P2423" t="n">
        <v>0</v>
      </c>
      <c r="Q2423" t="n">
        <v>0</v>
      </c>
      <c r="R2423" s="2" t="inlineStr"/>
    </row>
    <row r="2424">
      <c r="A2424" t="inlineStr">
        <is>
          <t>A 24205-2025</t>
        </is>
      </c>
      <c r="B2424" s="1" t="n">
        <v>45797.32711805555</v>
      </c>
      <c r="C2424" s="1" t="n">
        <v>45991</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2025-11-30T10:22:14Z</dcterms:created>
  <dcterms:modified xmlns:dcterms="http://purl.org/dc/terms/" xmlns:xsi="http://www.w3.org/2001/XMLSchema-instance" xsi:type="dcterms:W3CDTF">2025-11-30T10:22:16Z</dcterms:modified>
</cp:coreProperties>
</file>