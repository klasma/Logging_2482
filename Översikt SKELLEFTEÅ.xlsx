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45566</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45566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45566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45566</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45566</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45566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45566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45566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45566</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45566</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45566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45566</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45566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45566</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45566</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45566</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45566</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45566</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45566</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45566</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45566</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45566</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45566</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45566</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45566</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45566</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45566</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45566</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45566</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45566</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45566</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45566</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45566</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45566</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45566</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45566</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31889-2019</t>
        </is>
      </c>
      <c r="B41" s="1" t="n">
        <v>43642</v>
      </c>
      <c r="C41" s="1" t="n">
        <v>45566</v>
      </c>
      <c r="D41" t="inlineStr">
        <is>
          <t>VÄSTERBOTTENS LÄN</t>
        </is>
      </c>
      <c r="E41" t="inlineStr">
        <is>
          <t>SKELLEFTEÅ</t>
        </is>
      </c>
      <c r="G41" t="n">
        <v>0.7</v>
      </c>
      <c r="H41" t="n">
        <v>2</v>
      </c>
      <c r="I41" t="n">
        <v>1</v>
      </c>
      <c r="J41" t="n">
        <v>3</v>
      </c>
      <c r="K41" t="n">
        <v>2</v>
      </c>
      <c r="L41" t="n">
        <v>0</v>
      </c>
      <c r="M41" t="n">
        <v>0</v>
      </c>
      <c r="N41" t="n">
        <v>0</v>
      </c>
      <c r="O41" t="n">
        <v>5</v>
      </c>
      <c r="P41" t="n">
        <v>2</v>
      </c>
      <c r="Q41" t="n">
        <v>6</v>
      </c>
      <c r="R41" s="2" t="inlineStr">
        <is>
          <t>Bombmurkla
Knärot
Garnlav
Rosenticka
Ullticka
Vedticka</t>
        </is>
      </c>
      <c r="S41">
        <f>HYPERLINK("https://klasma.github.io/Logging_2482/artfynd/A 31889-2019 artfynd.xlsx", "A 31889-2019")</f>
        <v/>
      </c>
      <c r="T41">
        <f>HYPERLINK("https://klasma.github.io/Logging_2482/kartor/A 31889-2019 karta.png", "A 31889-2019")</f>
        <v/>
      </c>
      <c r="U41">
        <f>HYPERLINK("https://klasma.github.io/Logging_2482/knärot/A 31889-2019 karta knärot.png", "A 31889-2019")</f>
        <v/>
      </c>
      <c r="V41">
        <f>HYPERLINK("https://klasma.github.io/Logging_2482/klagomål/A 31889-2019 FSC-klagomål.docx", "A 31889-2019")</f>
        <v/>
      </c>
      <c r="W41">
        <f>HYPERLINK("https://klasma.github.io/Logging_2482/klagomålsmail/A 31889-2019 FSC-klagomål mail.docx", "A 31889-2019")</f>
        <v/>
      </c>
      <c r="X41">
        <f>HYPERLINK("https://klasma.github.io/Logging_2482/tillsyn/A 31889-2019 tillsynsbegäran.docx", "A 31889-2019")</f>
        <v/>
      </c>
      <c r="Y41">
        <f>HYPERLINK("https://klasma.github.io/Logging_2482/tillsynsmail/A 31889-2019 tillsynsbegäran mail.docx", "A 31889-2019")</f>
        <v/>
      </c>
    </row>
    <row r="42" ht="15" customHeight="1">
      <c r="A42" t="inlineStr">
        <is>
          <t>A 41641-2019</t>
        </is>
      </c>
      <c r="B42" s="1" t="n">
        <v>43696</v>
      </c>
      <c r="C42" s="1" t="n">
        <v>45566</v>
      </c>
      <c r="D42" t="inlineStr">
        <is>
          <t>VÄSTERBOTTENS LÄN</t>
        </is>
      </c>
      <c r="E42" t="inlineStr">
        <is>
          <t>SKELLEFTEÅ</t>
        </is>
      </c>
      <c r="G42" t="n">
        <v>6.1</v>
      </c>
      <c r="H42" t="n">
        <v>1</v>
      </c>
      <c r="I42" t="n">
        <v>1</v>
      </c>
      <c r="J42" t="n">
        <v>5</v>
      </c>
      <c r="K42" t="n">
        <v>0</v>
      </c>
      <c r="L42" t="n">
        <v>0</v>
      </c>
      <c r="M42" t="n">
        <v>0</v>
      </c>
      <c r="N42" t="n">
        <v>0</v>
      </c>
      <c r="O42" t="n">
        <v>5</v>
      </c>
      <c r="P42" t="n">
        <v>0</v>
      </c>
      <c r="Q42" t="n">
        <v>6</v>
      </c>
      <c r="R42" s="2" t="inlineStr">
        <is>
          <t>Garnlav
Granticka
Harticka
Tretåig hackspett
Ullticka
Vedticka</t>
        </is>
      </c>
      <c r="S42">
        <f>HYPERLINK("https://klasma.github.io/Logging_2482/artfynd/A 41641-2019 artfynd.xlsx", "A 41641-2019")</f>
        <v/>
      </c>
      <c r="T42">
        <f>HYPERLINK("https://klasma.github.io/Logging_2482/kartor/A 41641-2019 karta.png", "A 41641-2019")</f>
        <v/>
      </c>
      <c r="V42">
        <f>HYPERLINK("https://klasma.github.io/Logging_2482/klagomål/A 41641-2019 FSC-klagomål.docx", "A 41641-2019")</f>
        <v/>
      </c>
      <c r="W42">
        <f>HYPERLINK("https://klasma.github.io/Logging_2482/klagomålsmail/A 41641-2019 FSC-klagomål mail.docx", "A 41641-2019")</f>
        <v/>
      </c>
      <c r="X42">
        <f>HYPERLINK("https://klasma.github.io/Logging_2482/tillsyn/A 41641-2019 tillsynsbegäran.docx", "A 41641-2019")</f>
        <v/>
      </c>
      <c r="Y42">
        <f>HYPERLINK("https://klasma.github.io/Logging_2482/tillsynsmail/A 41641-2019 tillsynsbegäran mail.docx", "A 41641-2019")</f>
        <v/>
      </c>
      <c r="Z42">
        <f>HYPERLINK("https://klasma.github.io/Logging_2482/fåglar/A 41641-2019 prioriterade fågelarter.docx", "A 41641-2019")</f>
        <v/>
      </c>
    </row>
    <row r="43" ht="15" customHeight="1">
      <c r="A43" t="inlineStr">
        <is>
          <t>A 55631-2020</t>
        </is>
      </c>
      <c r="B43" s="1" t="n">
        <v>44131</v>
      </c>
      <c r="C43" s="1" t="n">
        <v>45566</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18298-2021</t>
        </is>
      </c>
      <c r="B44" s="1" t="n">
        <v>44305</v>
      </c>
      <c r="C44" s="1" t="n">
        <v>45566</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28523-2021</t>
        </is>
      </c>
      <c r="B45" s="1" t="n">
        <v>44356</v>
      </c>
      <c r="C45" s="1" t="n">
        <v>45566</v>
      </c>
      <c r="D45" t="inlineStr">
        <is>
          <t>VÄSTERBOTTENS LÄN</t>
        </is>
      </c>
      <c r="E45" t="inlineStr">
        <is>
          <t>SKELLEFTEÅ</t>
        </is>
      </c>
      <c r="G45" t="n">
        <v>6.3</v>
      </c>
      <c r="H45" t="n">
        <v>0</v>
      </c>
      <c r="I45" t="n">
        <v>1</v>
      </c>
      <c r="J45" t="n">
        <v>5</v>
      </c>
      <c r="K45" t="n">
        <v>0</v>
      </c>
      <c r="L45" t="n">
        <v>0</v>
      </c>
      <c r="M45" t="n">
        <v>0</v>
      </c>
      <c r="N45" t="n">
        <v>0</v>
      </c>
      <c r="O45" t="n">
        <v>5</v>
      </c>
      <c r="P45" t="n">
        <v>0</v>
      </c>
      <c r="Q45" t="n">
        <v>6</v>
      </c>
      <c r="R45" s="2" t="inlineStr">
        <is>
          <t>Gammelgransskål
Garnlav
Granticka
Stjärntagging
Violettgrå tagellav
Vedticka</t>
        </is>
      </c>
      <c r="S45">
        <f>HYPERLINK("https://klasma.github.io/Logging_2482/artfynd/A 28523-2021 artfynd.xlsx", "A 28523-2021")</f>
        <v/>
      </c>
      <c r="T45">
        <f>HYPERLINK("https://klasma.github.io/Logging_2482/kartor/A 28523-2021 karta.png", "A 28523-2021")</f>
        <v/>
      </c>
      <c r="V45">
        <f>HYPERLINK("https://klasma.github.io/Logging_2482/klagomål/A 28523-2021 FSC-klagomål.docx", "A 28523-2021")</f>
        <v/>
      </c>
      <c r="W45">
        <f>HYPERLINK("https://klasma.github.io/Logging_2482/klagomålsmail/A 28523-2021 FSC-klagomål mail.docx", "A 28523-2021")</f>
        <v/>
      </c>
      <c r="X45">
        <f>HYPERLINK("https://klasma.github.io/Logging_2482/tillsyn/A 28523-2021 tillsynsbegäran.docx", "A 28523-2021")</f>
        <v/>
      </c>
      <c r="Y45">
        <f>HYPERLINK("https://klasma.github.io/Logging_2482/tillsynsmail/A 28523-2021 tillsynsbegäran mail.docx", "A 28523-2021")</f>
        <v/>
      </c>
    </row>
    <row r="46" ht="15" customHeight="1">
      <c r="A46" t="inlineStr">
        <is>
          <t>A 2451-2022</t>
        </is>
      </c>
      <c r="B46" s="1" t="n">
        <v>44579</v>
      </c>
      <c r="C46" s="1" t="n">
        <v>45566</v>
      </c>
      <c r="D46" t="inlineStr">
        <is>
          <t>VÄSTERBOTTENS LÄN</t>
        </is>
      </c>
      <c r="E46" t="inlineStr">
        <is>
          <t>SKELLEFTEÅ</t>
        </is>
      </c>
      <c r="G46" t="n">
        <v>2.1</v>
      </c>
      <c r="H46" t="n">
        <v>0</v>
      </c>
      <c r="I46" t="n">
        <v>0</v>
      </c>
      <c r="J46" t="n">
        <v>6</v>
      </c>
      <c r="K46" t="n">
        <v>0</v>
      </c>
      <c r="L46" t="n">
        <v>0</v>
      </c>
      <c r="M46" t="n">
        <v>0</v>
      </c>
      <c r="N46" t="n">
        <v>0</v>
      </c>
      <c r="O46" t="n">
        <v>6</v>
      </c>
      <c r="P46" t="n">
        <v>0</v>
      </c>
      <c r="Q46" t="n">
        <v>6</v>
      </c>
      <c r="R46" s="2" t="inlineStr">
        <is>
          <t>Garnlav
Granticka
Nordtagging
Stjärntagging
Ullticka
Violettgrå tagellav</t>
        </is>
      </c>
      <c r="S46">
        <f>HYPERLINK("https://klasma.github.io/Logging_2482/artfynd/A 2451-2022 artfynd.xlsx", "A 2451-2022")</f>
        <v/>
      </c>
      <c r="T46">
        <f>HYPERLINK("https://klasma.github.io/Logging_2482/kartor/A 2451-2022 karta.png", "A 2451-2022")</f>
        <v/>
      </c>
      <c r="V46">
        <f>HYPERLINK("https://klasma.github.io/Logging_2482/klagomål/A 2451-2022 FSC-klagomål.docx", "A 2451-2022")</f>
        <v/>
      </c>
      <c r="W46">
        <f>HYPERLINK("https://klasma.github.io/Logging_2482/klagomålsmail/A 2451-2022 FSC-klagomål mail.docx", "A 2451-2022")</f>
        <v/>
      </c>
      <c r="X46">
        <f>HYPERLINK("https://klasma.github.io/Logging_2482/tillsyn/A 2451-2022 tillsynsbegäran.docx", "A 2451-2022")</f>
        <v/>
      </c>
      <c r="Y46">
        <f>HYPERLINK("https://klasma.github.io/Logging_2482/tillsynsmail/A 2451-2022 tillsynsbegäran mail.docx", "A 2451-2022")</f>
        <v/>
      </c>
    </row>
    <row r="47" ht="15" customHeight="1">
      <c r="A47" t="inlineStr">
        <is>
          <t>A 902-2023</t>
        </is>
      </c>
      <c r="B47" s="1" t="n">
        <v>44931</v>
      </c>
      <c r="C47" s="1" t="n">
        <v>45566</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36140-2023</t>
        </is>
      </c>
      <c r="B48" s="1" t="n">
        <v>45149</v>
      </c>
      <c r="C48" s="1" t="n">
        <v>45566</v>
      </c>
      <c r="D48" t="inlineStr">
        <is>
          <t>VÄSTERBOTTENS LÄN</t>
        </is>
      </c>
      <c r="E48" t="inlineStr">
        <is>
          <t>SKELLEFTEÅ</t>
        </is>
      </c>
      <c r="F48" t="inlineStr">
        <is>
          <t>Holmen skog AB</t>
        </is>
      </c>
      <c r="G48" t="n">
        <v>3.5</v>
      </c>
      <c r="H48" t="n">
        <v>3</v>
      </c>
      <c r="I48" t="n">
        <v>0</v>
      </c>
      <c r="J48" t="n">
        <v>6</v>
      </c>
      <c r="K48" t="n">
        <v>0</v>
      </c>
      <c r="L48" t="n">
        <v>0</v>
      </c>
      <c r="M48" t="n">
        <v>0</v>
      </c>
      <c r="N48" t="n">
        <v>0</v>
      </c>
      <c r="O48" t="n">
        <v>6</v>
      </c>
      <c r="P48" t="n">
        <v>0</v>
      </c>
      <c r="Q48" t="n">
        <v>6</v>
      </c>
      <c r="R48" s="2" t="inlineStr">
        <is>
          <t>Garnlav
Järpe
Lunglav
Spillkråka
Tretåig hackspett
Ullticka</t>
        </is>
      </c>
      <c r="S48">
        <f>HYPERLINK("https://klasma.github.io/Logging_2482/artfynd/A 36140-2023 artfynd.xlsx", "A 36140-2023")</f>
        <v/>
      </c>
      <c r="T48">
        <f>HYPERLINK("https://klasma.github.io/Logging_2482/kartor/A 36140-2023 karta.png", "A 36140-2023")</f>
        <v/>
      </c>
      <c r="V48">
        <f>HYPERLINK("https://klasma.github.io/Logging_2482/klagomål/A 36140-2023 FSC-klagomål.docx", "A 36140-2023")</f>
        <v/>
      </c>
      <c r="W48">
        <f>HYPERLINK("https://klasma.github.io/Logging_2482/klagomålsmail/A 36140-2023 FSC-klagomål mail.docx", "A 36140-2023")</f>
        <v/>
      </c>
      <c r="X48">
        <f>HYPERLINK("https://klasma.github.io/Logging_2482/tillsyn/A 36140-2023 tillsynsbegäran.docx", "A 36140-2023")</f>
        <v/>
      </c>
      <c r="Y48">
        <f>HYPERLINK("https://klasma.github.io/Logging_2482/tillsynsmail/A 36140-2023 tillsynsbegäran mail.docx", "A 36140-2023")</f>
        <v/>
      </c>
      <c r="Z48">
        <f>HYPERLINK("https://klasma.github.io/Logging_2482/fåglar/A 36140-2023 prioriterade fågelarter.docx", "A 36140-2023")</f>
        <v/>
      </c>
    </row>
    <row r="49" ht="15" customHeight="1">
      <c r="A49" t="inlineStr">
        <is>
          <t>A 32612-2024</t>
        </is>
      </c>
      <c r="B49" s="1" t="n">
        <v>45513</v>
      </c>
      <c r="C49" s="1" t="n">
        <v>45566</v>
      </c>
      <c r="D49" t="inlineStr">
        <is>
          <t>VÄSTERBOTTENS LÄN</t>
        </is>
      </c>
      <c r="E49" t="inlineStr">
        <is>
          <t>SKELLEFTEÅ</t>
        </is>
      </c>
      <c r="F49" t="inlineStr">
        <is>
          <t>Sveaskog</t>
        </is>
      </c>
      <c r="G49" t="n">
        <v>12.9</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32612-2024 artfynd.xlsx", "A 32612-2024")</f>
        <v/>
      </c>
      <c r="T49">
        <f>HYPERLINK("https://klasma.github.io/Logging_2482/kartor/A 32612-2024 karta.png", "A 32612-2024")</f>
        <v/>
      </c>
      <c r="V49">
        <f>HYPERLINK("https://klasma.github.io/Logging_2482/klagomål/A 32612-2024 FSC-klagomål.docx", "A 32612-2024")</f>
        <v/>
      </c>
      <c r="W49">
        <f>HYPERLINK("https://klasma.github.io/Logging_2482/klagomålsmail/A 32612-2024 FSC-klagomål mail.docx", "A 32612-2024")</f>
        <v/>
      </c>
      <c r="X49">
        <f>HYPERLINK("https://klasma.github.io/Logging_2482/tillsyn/A 32612-2024 tillsynsbegäran.docx", "A 32612-2024")</f>
        <v/>
      </c>
      <c r="Y49">
        <f>HYPERLINK("https://klasma.github.io/Logging_2482/tillsynsmail/A 32612-2024 tillsynsbegäran mail.docx", "A 32612-2024")</f>
        <v/>
      </c>
      <c r="Z49">
        <f>HYPERLINK("https://klasma.github.io/Logging_2482/fåglar/A 32612-2024 prioriterade fågelarter.docx", "A 32612-2024")</f>
        <v/>
      </c>
    </row>
    <row r="50" ht="15" customHeight="1">
      <c r="A50" t="inlineStr">
        <is>
          <t>A 63593-2019</t>
        </is>
      </c>
      <c r="B50" s="1" t="n">
        <v>43780</v>
      </c>
      <c r="C50" s="1" t="n">
        <v>45566</v>
      </c>
      <c r="D50" t="inlineStr">
        <is>
          <t>VÄSTERBOTTENS LÄN</t>
        </is>
      </c>
      <c r="E50" t="inlineStr">
        <is>
          <t>SKELLEFTEÅ</t>
        </is>
      </c>
      <c r="G50" t="n">
        <v>37.6</v>
      </c>
      <c r="H50" t="n">
        <v>4</v>
      </c>
      <c r="I50" t="n">
        <v>0</v>
      </c>
      <c r="J50" t="n">
        <v>0</v>
      </c>
      <c r="K50" t="n">
        <v>3</v>
      </c>
      <c r="L50" t="n">
        <v>1</v>
      </c>
      <c r="M50" t="n">
        <v>0</v>
      </c>
      <c r="N50" t="n">
        <v>0</v>
      </c>
      <c r="O50" t="n">
        <v>4</v>
      </c>
      <c r="P50" t="n">
        <v>4</v>
      </c>
      <c r="Q50" t="n">
        <v>5</v>
      </c>
      <c r="R50" s="2" t="inlineStr">
        <is>
          <t>Storspov
Grenlav
Kricka
Tofsvipa
Revlummer</t>
        </is>
      </c>
      <c r="S50">
        <f>HYPERLINK("https://klasma.github.io/Logging_2482/artfynd/A 63593-2019 artfynd.xlsx", "A 63593-2019")</f>
        <v/>
      </c>
      <c r="T50">
        <f>HYPERLINK("https://klasma.github.io/Logging_2482/kartor/A 63593-2019 karta.png", "A 63593-2019")</f>
        <v/>
      </c>
      <c r="V50">
        <f>HYPERLINK("https://klasma.github.io/Logging_2482/klagomål/A 63593-2019 FSC-klagomål.docx", "A 63593-2019")</f>
        <v/>
      </c>
      <c r="W50">
        <f>HYPERLINK("https://klasma.github.io/Logging_2482/klagomålsmail/A 63593-2019 FSC-klagomål mail.docx", "A 63593-2019")</f>
        <v/>
      </c>
      <c r="X50">
        <f>HYPERLINK("https://klasma.github.io/Logging_2482/tillsyn/A 63593-2019 tillsynsbegäran.docx", "A 63593-2019")</f>
        <v/>
      </c>
      <c r="Y50">
        <f>HYPERLINK("https://klasma.github.io/Logging_2482/tillsynsmail/A 63593-2019 tillsynsbegäran mail.docx", "A 63593-2019")</f>
        <v/>
      </c>
      <c r="Z50">
        <f>HYPERLINK("https://klasma.github.io/Logging_2482/fåglar/A 63593-2019 prioriterade fågelarter.docx", "A 63593-2019")</f>
        <v/>
      </c>
    </row>
    <row r="51" ht="15" customHeight="1">
      <c r="A51" t="inlineStr">
        <is>
          <t>A 30834-2020</t>
        </is>
      </c>
      <c r="B51" s="1" t="n">
        <v>44011</v>
      </c>
      <c r="C51" s="1" t="n">
        <v>45566</v>
      </c>
      <c r="D51" t="inlineStr">
        <is>
          <t>VÄSTERBOTTENS LÄN</t>
        </is>
      </c>
      <c r="E51" t="inlineStr">
        <is>
          <t>SKELLEFTEÅ</t>
        </is>
      </c>
      <c r="F51" t="inlineStr">
        <is>
          <t>Kyrkan</t>
        </is>
      </c>
      <c r="G51" t="n">
        <v>8.4</v>
      </c>
      <c r="H51" t="n">
        <v>0</v>
      </c>
      <c r="I51" t="n">
        <v>0</v>
      </c>
      <c r="J51" t="n">
        <v>4</v>
      </c>
      <c r="K51" t="n">
        <v>1</v>
      </c>
      <c r="L51" t="n">
        <v>0</v>
      </c>
      <c r="M51" t="n">
        <v>0</v>
      </c>
      <c r="N51" t="n">
        <v>0</v>
      </c>
      <c r="O51" t="n">
        <v>5</v>
      </c>
      <c r="P51" t="n">
        <v>1</v>
      </c>
      <c r="Q51" t="n">
        <v>5</v>
      </c>
      <c r="R51" s="2" t="inlineStr">
        <is>
          <t>Gräddticka
Harticka
Rosenticka
Stjärntagging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row>
    <row r="52" ht="15" customHeight="1">
      <c r="A52" t="inlineStr">
        <is>
          <t>A 25468-2021</t>
        </is>
      </c>
      <c r="B52" s="1" t="n">
        <v>44342</v>
      </c>
      <c r="C52" s="1" t="n">
        <v>45566</v>
      </c>
      <c r="D52" t="inlineStr">
        <is>
          <t>VÄSTERBOTTENS LÄN</t>
        </is>
      </c>
      <c r="E52" t="inlineStr">
        <is>
          <t>SKELLEFTEÅ</t>
        </is>
      </c>
      <c r="G52" t="n">
        <v>3.2</v>
      </c>
      <c r="H52" t="n">
        <v>2</v>
      </c>
      <c r="I52" t="n">
        <v>2</v>
      </c>
      <c r="J52" t="n">
        <v>3</v>
      </c>
      <c r="K52" t="n">
        <v>0</v>
      </c>
      <c r="L52" t="n">
        <v>0</v>
      </c>
      <c r="M52" t="n">
        <v>0</v>
      </c>
      <c r="N52" t="n">
        <v>0</v>
      </c>
      <c r="O52" t="n">
        <v>3</v>
      </c>
      <c r="P52" t="n">
        <v>0</v>
      </c>
      <c r="Q52" t="n">
        <v>5</v>
      </c>
      <c r="R52" s="2" t="inlineStr">
        <is>
          <t>Garnlav
Spillkråka
Ärtsångare
Skinnlav
Stuplav</t>
        </is>
      </c>
      <c r="S52">
        <f>HYPERLINK("https://klasma.github.io/Logging_2482/artfynd/A 25468-2021 artfynd.xlsx", "A 25468-2021")</f>
        <v/>
      </c>
      <c r="T52">
        <f>HYPERLINK("https://klasma.github.io/Logging_2482/kartor/A 25468-2021 karta.png", "A 25468-2021")</f>
        <v/>
      </c>
      <c r="V52">
        <f>HYPERLINK("https://klasma.github.io/Logging_2482/klagomål/A 25468-2021 FSC-klagomål.docx", "A 25468-2021")</f>
        <v/>
      </c>
      <c r="W52">
        <f>HYPERLINK("https://klasma.github.io/Logging_2482/klagomålsmail/A 25468-2021 FSC-klagomål mail.docx", "A 25468-2021")</f>
        <v/>
      </c>
      <c r="X52">
        <f>HYPERLINK("https://klasma.github.io/Logging_2482/tillsyn/A 25468-2021 tillsynsbegäran.docx", "A 25468-2021")</f>
        <v/>
      </c>
      <c r="Y52">
        <f>HYPERLINK("https://klasma.github.io/Logging_2482/tillsynsmail/A 25468-2021 tillsynsbegäran mail.docx", "A 25468-2021")</f>
        <v/>
      </c>
      <c r="Z52">
        <f>HYPERLINK("https://klasma.github.io/Logging_2482/fåglar/A 25468-2021 prioriterade fågelarter.docx", "A 25468-2021")</f>
        <v/>
      </c>
    </row>
    <row r="53" ht="15" customHeight="1">
      <c r="A53" t="inlineStr">
        <is>
          <t>A 34250-2021</t>
        </is>
      </c>
      <c r="B53" s="1" t="n">
        <v>44379</v>
      </c>
      <c r="C53" s="1" t="n">
        <v>45566</v>
      </c>
      <c r="D53" t="inlineStr">
        <is>
          <t>VÄSTERBOTTENS LÄN</t>
        </is>
      </c>
      <c r="E53" t="inlineStr">
        <is>
          <t>SKELLEFTEÅ</t>
        </is>
      </c>
      <c r="F53" t="inlineStr">
        <is>
          <t>Holmen skog AB</t>
        </is>
      </c>
      <c r="G53" t="n">
        <v>4.3</v>
      </c>
      <c r="H53" t="n">
        <v>0</v>
      </c>
      <c r="I53" t="n">
        <v>0</v>
      </c>
      <c r="J53" t="n">
        <v>5</v>
      </c>
      <c r="K53" t="n">
        <v>0</v>
      </c>
      <c r="L53" t="n">
        <v>0</v>
      </c>
      <c r="M53" t="n">
        <v>0</v>
      </c>
      <c r="N53" t="n">
        <v>0</v>
      </c>
      <c r="O53" t="n">
        <v>5</v>
      </c>
      <c r="P53" t="n">
        <v>0</v>
      </c>
      <c r="Q53" t="n">
        <v>5</v>
      </c>
      <c r="R53" s="2" t="inlineStr">
        <is>
          <t>Gammelgransskål
Garnlav
Kolflarnlav
Vedflamlav
Vedskivlav</t>
        </is>
      </c>
      <c r="S53">
        <f>HYPERLINK("https://klasma.github.io/Logging_2482/artfynd/A 34250-2021 artfynd.xlsx", "A 34250-2021")</f>
        <v/>
      </c>
      <c r="T53">
        <f>HYPERLINK("https://klasma.github.io/Logging_2482/kartor/A 34250-2021 karta.png", "A 34250-2021")</f>
        <v/>
      </c>
      <c r="V53">
        <f>HYPERLINK("https://klasma.github.io/Logging_2482/klagomål/A 34250-2021 FSC-klagomål.docx", "A 34250-2021")</f>
        <v/>
      </c>
      <c r="W53">
        <f>HYPERLINK("https://klasma.github.io/Logging_2482/klagomålsmail/A 34250-2021 FSC-klagomål mail.docx", "A 34250-2021")</f>
        <v/>
      </c>
      <c r="X53">
        <f>HYPERLINK("https://klasma.github.io/Logging_2482/tillsyn/A 34250-2021 tillsynsbegäran.docx", "A 34250-2021")</f>
        <v/>
      </c>
      <c r="Y53">
        <f>HYPERLINK("https://klasma.github.io/Logging_2482/tillsynsmail/A 34250-2021 tillsynsbegäran mail.docx", "A 34250-2021")</f>
        <v/>
      </c>
    </row>
    <row r="54" ht="15" customHeight="1">
      <c r="A54" t="inlineStr">
        <is>
          <t>A 61848-2021</t>
        </is>
      </c>
      <c r="B54" s="1" t="n">
        <v>44501</v>
      </c>
      <c r="C54" s="1" t="n">
        <v>45566</v>
      </c>
      <c r="D54" t="inlineStr">
        <is>
          <t>VÄSTERBOTTENS LÄN</t>
        </is>
      </c>
      <c r="E54" t="inlineStr">
        <is>
          <t>SKELLEFTEÅ</t>
        </is>
      </c>
      <c r="G54" t="n">
        <v>6.4</v>
      </c>
      <c r="H54" t="n">
        <v>1</v>
      </c>
      <c r="I54" t="n">
        <v>2</v>
      </c>
      <c r="J54" t="n">
        <v>2</v>
      </c>
      <c r="K54" t="n">
        <v>0</v>
      </c>
      <c r="L54" t="n">
        <v>0</v>
      </c>
      <c r="M54" t="n">
        <v>0</v>
      </c>
      <c r="N54" t="n">
        <v>0</v>
      </c>
      <c r="O54" t="n">
        <v>2</v>
      </c>
      <c r="P54" t="n">
        <v>0</v>
      </c>
      <c r="Q54" t="n">
        <v>5</v>
      </c>
      <c r="R54" s="2" t="inlineStr">
        <is>
          <t>Koralltaggsvamp
Lunglav
Bårdlav
Stuplav
Fläcknycklar</t>
        </is>
      </c>
      <c r="S54">
        <f>HYPERLINK("https://klasma.github.io/Logging_2482/artfynd/A 61848-2021 artfynd.xlsx", "A 61848-2021")</f>
        <v/>
      </c>
      <c r="T54">
        <f>HYPERLINK("https://klasma.github.io/Logging_2482/kartor/A 61848-2021 karta.png", "A 61848-2021")</f>
        <v/>
      </c>
      <c r="V54">
        <f>HYPERLINK("https://klasma.github.io/Logging_2482/klagomål/A 61848-2021 FSC-klagomål.docx", "A 61848-2021")</f>
        <v/>
      </c>
      <c r="W54">
        <f>HYPERLINK("https://klasma.github.io/Logging_2482/klagomålsmail/A 61848-2021 FSC-klagomål mail.docx", "A 61848-2021")</f>
        <v/>
      </c>
      <c r="X54">
        <f>HYPERLINK("https://klasma.github.io/Logging_2482/tillsyn/A 61848-2021 tillsynsbegäran.docx", "A 61848-2021")</f>
        <v/>
      </c>
      <c r="Y54">
        <f>HYPERLINK("https://klasma.github.io/Logging_2482/tillsynsmail/A 61848-2021 tillsynsbegäran mail.docx", "A 61848-2021")</f>
        <v/>
      </c>
    </row>
    <row r="55" ht="15" customHeight="1">
      <c r="A55" t="inlineStr">
        <is>
          <t>A 9499-2022</t>
        </is>
      </c>
      <c r="B55" s="1" t="n">
        <v>44616</v>
      </c>
      <c r="C55" s="1" t="n">
        <v>45566</v>
      </c>
      <c r="D55" t="inlineStr">
        <is>
          <t>VÄSTERBOTTENS LÄN</t>
        </is>
      </c>
      <c r="E55" t="inlineStr">
        <is>
          <t>SKELLEFTEÅ</t>
        </is>
      </c>
      <c r="F55" t="inlineStr">
        <is>
          <t>SCA</t>
        </is>
      </c>
      <c r="G55" t="n">
        <v>3.2</v>
      </c>
      <c r="H55" t="n">
        <v>0</v>
      </c>
      <c r="I55" t="n">
        <v>1</v>
      </c>
      <c r="J55" t="n">
        <v>2</v>
      </c>
      <c r="K55" t="n">
        <v>2</v>
      </c>
      <c r="L55" t="n">
        <v>0</v>
      </c>
      <c r="M55" t="n">
        <v>0</v>
      </c>
      <c r="N55" t="n">
        <v>0</v>
      </c>
      <c r="O55" t="n">
        <v>4</v>
      </c>
      <c r="P55" t="n">
        <v>2</v>
      </c>
      <c r="Q55" t="n">
        <v>5</v>
      </c>
      <c r="R55" s="2" t="inlineStr">
        <is>
          <t>Tajgataggsvamp
Tallgråticka
Motaggsvamp
Talltaggsvamp
Dropptaggsvamp</t>
        </is>
      </c>
      <c r="S55">
        <f>HYPERLINK("https://klasma.github.io/Logging_2482/artfynd/A 9499-2022 artfynd.xlsx", "A 9499-2022")</f>
        <v/>
      </c>
      <c r="T55">
        <f>HYPERLINK("https://klasma.github.io/Logging_2482/kartor/A 9499-2022 karta.png", "A 9499-2022")</f>
        <v/>
      </c>
      <c r="V55">
        <f>HYPERLINK("https://klasma.github.io/Logging_2482/klagomål/A 9499-2022 FSC-klagomål.docx", "A 9499-2022")</f>
        <v/>
      </c>
      <c r="W55">
        <f>HYPERLINK("https://klasma.github.io/Logging_2482/klagomålsmail/A 9499-2022 FSC-klagomål mail.docx", "A 9499-2022")</f>
        <v/>
      </c>
      <c r="X55">
        <f>HYPERLINK("https://klasma.github.io/Logging_2482/tillsyn/A 9499-2022 tillsynsbegäran.docx", "A 9499-2022")</f>
        <v/>
      </c>
      <c r="Y55">
        <f>HYPERLINK("https://klasma.github.io/Logging_2482/tillsynsmail/A 9499-2022 tillsynsbegäran mail.docx", "A 9499-2022")</f>
        <v/>
      </c>
    </row>
    <row r="56" ht="15" customHeight="1">
      <c r="A56" t="inlineStr">
        <is>
          <t>A 11867-2022</t>
        </is>
      </c>
      <c r="B56" s="1" t="n">
        <v>44635</v>
      </c>
      <c r="C56" s="1" t="n">
        <v>45566</v>
      </c>
      <c r="D56" t="inlineStr">
        <is>
          <t>VÄSTERBOTTENS LÄN</t>
        </is>
      </c>
      <c r="E56" t="inlineStr">
        <is>
          <t>SKELLEFTEÅ</t>
        </is>
      </c>
      <c r="G56" t="n">
        <v>5</v>
      </c>
      <c r="H56" t="n">
        <v>1</v>
      </c>
      <c r="I56" t="n">
        <v>0</v>
      </c>
      <c r="J56" t="n">
        <v>4</v>
      </c>
      <c r="K56" t="n">
        <v>1</v>
      </c>
      <c r="L56" t="n">
        <v>0</v>
      </c>
      <c r="M56" t="n">
        <v>0</v>
      </c>
      <c r="N56" t="n">
        <v>0</v>
      </c>
      <c r="O56" t="n">
        <v>5</v>
      </c>
      <c r="P56" t="n">
        <v>1</v>
      </c>
      <c r="Q56" t="n">
        <v>5</v>
      </c>
      <c r="R56" s="2" t="inlineStr">
        <is>
          <t>Nordlig flatbagge
Kolflarnlav
Skrovlig flatbagge
Spillkråka
Violettgrå tagellav</t>
        </is>
      </c>
      <c r="S56">
        <f>HYPERLINK("https://klasma.github.io/Logging_2482/artfynd/A 11867-2022 artfynd.xlsx", "A 11867-2022")</f>
        <v/>
      </c>
      <c r="T56">
        <f>HYPERLINK("https://klasma.github.io/Logging_2482/kartor/A 11867-2022 karta.png", "A 11867-2022")</f>
        <v/>
      </c>
      <c r="V56">
        <f>HYPERLINK("https://klasma.github.io/Logging_2482/klagomål/A 11867-2022 FSC-klagomål.docx", "A 11867-2022")</f>
        <v/>
      </c>
      <c r="W56">
        <f>HYPERLINK("https://klasma.github.io/Logging_2482/klagomålsmail/A 11867-2022 FSC-klagomål mail.docx", "A 11867-2022")</f>
        <v/>
      </c>
      <c r="X56">
        <f>HYPERLINK("https://klasma.github.io/Logging_2482/tillsyn/A 11867-2022 tillsynsbegäran.docx", "A 11867-2022")</f>
        <v/>
      </c>
      <c r="Y56">
        <f>HYPERLINK("https://klasma.github.io/Logging_2482/tillsynsmail/A 11867-2022 tillsynsbegäran mail.docx", "A 11867-2022")</f>
        <v/>
      </c>
      <c r="Z56">
        <f>HYPERLINK("https://klasma.github.io/Logging_2482/fåglar/A 11867-2022 prioriterade fågelarter.docx", "A 11867-2022")</f>
        <v/>
      </c>
    </row>
    <row r="57" ht="15" customHeight="1">
      <c r="A57" t="inlineStr">
        <is>
          <t>A 51811-2022</t>
        </is>
      </c>
      <c r="B57" s="1" t="n">
        <v>44867</v>
      </c>
      <c r="C57" s="1" t="n">
        <v>45566</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31594-2023</t>
        </is>
      </c>
      <c r="B58" s="1" t="n">
        <v>45117</v>
      </c>
      <c r="C58" s="1" t="n">
        <v>45566</v>
      </c>
      <c r="D58" t="inlineStr">
        <is>
          <t>VÄSTERBOTTENS LÄN</t>
        </is>
      </c>
      <c r="E58" t="inlineStr">
        <is>
          <t>SKELLEFTEÅ</t>
        </is>
      </c>
      <c r="F58" t="inlineStr">
        <is>
          <t>Holmen skog AB</t>
        </is>
      </c>
      <c r="G58" t="n">
        <v>11.3</v>
      </c>
      <c r="H58" t="n">
        <v>1</v>
      </c>
      <c r="I58" t="n">
        <v>2</v>
      </c>
      <c r="J58" t="n">
        <v>2</v>
      </c>
      <c r="K58" t="n">
        <v>1</v>
      </c>
      <c r="L58" t="n">
        <v>0</v>
      </c>
      <c r="M58" t="n">
        <v>0</v>
      </c>
      <c r="N58" t="n">
        <v>0</v>
      </c>
      <c r="O58" t="n">
        <v>3</v>
      </c>
      <c r="P58" t="n">
        <v>1</v>
      </c>
      <c r="Q58" t="n">
        <v>5</v>
      </c>
      <c r="R58" s="2" t="inlineStr">
        <is>
          <t>Doftticka
Garnlav
Lunglav
Bårdlav
Stuplav</t>
        </is>
      </c>
      <c r="S58">
        <f>HYPERLINK("https://klasma.github.io/Logging_2482/artfynd/A 31594-2023 artfynd.xlsx", "A 31594-2023")</f>
        <v/>
      </c>
      <c r="T58">
        <f>HYPERLINK("https://klasma.github.io/Logging_2482/kartor/A 31594-2023 karta.png", "A 31594-2023")</f>
        <v/>
      </c>
      <c r="V58">
        <f>HYPERLINK("https://klasma.github.io/Logging_2482/klagomål/A 31594-2023 FSC-klagomål.docx", "A 31594-2023")</f>
        <v/>
      </c>
      <c r="W58">
        <f>HYPERLINK("https://klasma.github.io/Logging_2482/klagomålsmail/A 31594-2023 FSC-klagomål mail.docx", "A 31594-2023")</f>
        <v/>
      </c>
      <c r="X58">
        <f>HYPERLINK("https://klasma.github.io/Logging_2482/tillsyn/A 31594-2023 tillsynsbegäran.docx", "A 31594-2023")</f>
        <v/>
      </c>
      <c r="Y58">
        <f>HYPERLINK("https://klasma.github.io/Logging_2482/tillsynsmail/A 31594-2023 tillsynsbegäran mail.docx", "A 31594-2023")</f>
        <v/>
      </c>
    </row>
    <row r="59" ht="15" customHeight="1">
      <c r="A59" t="inlineStr">
        <is>
          <t>A 27285-2024</t>
        </is>
      </c>
      <c r="B59" s="1" t="n">
        <v>45472</v>
      </c>
      <c r="C59" s="1" t="n">
        <v>45566</v>
      </c>
      <c r="D59" t="inlineStr">
        <is>
          <t>VÄSTERBOTTENS LÄN</t>
        </is>
      </c>
      <c r="E59" t="inlineStr">
        <is>
          <t>SKELLEFTEÅ</t>
        </is>
      </c>
      <c r="G59" t="n">
        <v>5.8</v>
      </c>
      <c r="H59" t="n">
        <v>0</v>
      </c>
      <c r="I59" t="n">
        <v>1</v>
      </c>
      <c r="J59" t="n">
        <v>4</v>
      </c>
      <c r="K59" t="n">
        <v>0</v>
      </c>
      <c r="L59" t="n">
        <v>0</v>
      </c>
      <c r="M59" t="n">
        <v>0</v>
      </c>
      <c r="N59" t="n">
        <v>0</v>
      </c>
      <c r="O59" t="n">
        <v>4</v>
      </c>
      <c r="P59" t="n">
        <v>0</v>
      </c>
      <c r="Q59" t="n">
        <v>5</v>
      </c>
      <c r="R59" s="2" t="inlineStr">
        <is>
          <t>Gammelgransskål
Garnlav
Granticka
Violettgrå tagellav
Dropptaggsvamp</t>
        </is>
      </c>
      <c r="S59">
        <f>HYPERLINK("https://klasma.github.io/Logging_2482/artfynd/A 27285-2024 artfynd.xlsx", "A 27285-2024")</f>
        <v/>
      </c>
      <c r="T59">
        <f>HYPERLINK("https://klasma.github.io/Logging_2482/kartor/A 27285-2024 karta.png", "A 27285-2024")</f>
        <v/>
      </c>
      <c r="V59">
        <f>HYPERLINK("https://klasma.github.io/Logging_2482/klagomål/A 27285-2024 FSC-klagomål.docx", "A 27285-2024")</f>
        <v/>
      </c>
      <c r="W59">
        <f>HYPERLINK("https://klasma.github.io/Logging_2482/klagomålsmail/A 27285-2024 FSC-klagomål mail.docx", "A 27285-2024")</f>
        <v/>
      </c>
      <c r="X59">
        <f>HYPERLINK("https://klasma.github.io/Logging_2482/tillsyn/A 27285-2024 tillsynsbegäran.docx", "A 27285-2024")</f>
        <v/>
      </c>
      <c r="Y59">
        <f>HYPERLINK("https://klasma.github.io/Logging_2482/tillsynsmail/A 27285-2024 tillsynsbegäran mail.docx", "A 27285-2024")</f>
        <v/>
      </c>
    </row>
    <row r="60" ht="15" customHeight="1">
      <c r="A60" t="inlineStr">
        <is>
          <t>A 32689-2019</t>
        </is>
      </c>
      <c r="B60" s="1" t="n">
        <v>43647</v>
      </c>
      <c r="C60" s="1" t="n">
        <v>45566</v>
      </c>
      <c r="D60" t="inlineStr">
        <is>
          <t>VÄSTERBOTTENS LÄN</t>
        </is>
      </c>
      <c r="E60" t="inlineStr">
        <is>
          <t>SKELLEFTEÅ</t>
        </is>
      </c>
      <c r="G60" t="n">
        <v>46.9</v>
      </c>
      <c r="H60" t="n">
        <v>0</v>
      </c>
      <c r="I60" t="n">
        <v>2</v>
      </c>
      <c r="J60" t="n">
        <v>2</v>
      </c>
      <c r="K60" t="n">
        <v>0</v>
      </c>
      <c r="L60" t="n">
        <v>0</v>
      </c>
      <c r="M60" t="n">
        <v>0</v>
      </c>
      <c r="N60" t="n">
        <v>0</v>
      </c>
      <c r="O60" t="n">
        <v>2</v>
      </c>
      <c r="P60" t="n">
        <v>0</v>
      </c>
      <c r="Q60" t="n">
        <v>4</v>
      </c>
      <c r="R60" s="2" t="inlineStr">
        <is>
          <t>Dvärgbägarlav
Lunglav
Luddlav
Stuplav</t>
        </is>
      </c>
      <c r="S60">
        <f>HYPERLINK("https://klasma.github.io/Logging_2482/artfynd/A 32689-2019 artfynd.xlsx", "A 32689-2019")</f>
        <v/>
      </c>
      <c r="T60">
        <f>HYPERLINK("https://klasma.github.io/Logging_2482/kartor/A 32689-2019 karta.png", "A 32689-2019")</f>
        <v/>
      </c>
      <c r="V60">
        <f>HYPERLINK("https://klasma.github.io/Logging_2482/klagomål/A 32689-2019 FSC-klagomål.docx", "A 32689-2019")</f>
        <v/>
      </c>
      <c r="W60">
        <f>HYPERLINK("https://klasma.github.io/Logging_2482/klagomålsmail/A 32689-2019 FSC-klagomål mail.docx", "A 32689-2019")</f>
        <v/>
      </c>
      <c r="X60">
        <f>HYPERLINK("https://klasma.github.io/Logging_2482/tillsyn/A 32689-2019 tillsynsbegäran.docx", "A 32689-2019")</f>
        <v/>
      </c>
      <c r="Y60">
        <f>HYPERLINK("https://klasma.github.io/Logging_2482/tillsynsmail/A 32689-2019 tillsynsbegäran mail.docx", "A 32689-2019")</f>
        <v/>
      </c>
    </row>
    <row r="61" ht="15" customHeight="1">
      <c r="A61" t="inlineStr">
        <is>
          <t>A 52731-2019</t>
        </is>
      </c>
      <c r="B61" s="1" t="n">
        <v>43739</v>
      </c>
      <c r="C61" s="1" t="n">
        <v>45566</v>
      </c>
      <c r="D61" t="inlineStr">
        <is>
          <t>VÄSTERBOTTENS LÄN</t>
        </is>
      </c>
      <c r="E61" t="inlineStr">
        <is>
          <t>SKELLEFTEÅ</t>
        </is>
      </c>
      <c r="G61" t="n">
        <v>6.5</v>
      </c>
      <c r="H61" t="n">
        <v>0</v>
      </c>
      <c r="I61" t="n">
        <v>0</v>
      </c>
      <c r="J61" t="n">
        <v>4</v>
      </c>
      <c r="K61" t="n">
        <v>0</v>
      </c>
      <c r="L61" t="n">
        <v>0</v>
      </c>
      <c r="M61" t="n">
        <v>0</v>
      </c>
      <c r="N61" t="n">
        <v>0</v>
      </c>
      <c r="O61" t="n">
        <v>4</v>
      </c>
      <c r="P61" t="n">
        <v>0</v>
      </c>
      <c r="Q61" t="n">
        <v>4</v>
      </c>
      <c r="R61" s="2" t="inlineStr">
        <is>
          <t>Granticka
Lunglav
Ullticka
Violettgrå tagellav</t>
        </is>
      </c>
      <c r="S61">
        <f>HYPERLINK("https://klasma.github.io/Logging_2482/artfynd/A 52731-2019 artfynd.xlsx", "A 52731-2019")</f>
        <v/>
      </c>
      <c r="T61">
        <f>HYPERLINK("https://klasma.github.io/Logging_2482/kartor/A 52731-2019 karta.png", "A 52731-2019")</f>
        <v/>
      </c>
      <c r="V61">
        <f>HYPERLINK("https://klasma.github.io/Logging_2482/klagomål/A 52731-2019 FSC-klagomål.docx", "A 52731-2019")</f>
        <v/>
      </c>
      <c r="W61">
        <f>HYPERLINK("https://klasma.github.io/Logging_2482/klagomålsmail/A 52731-2019 FSC-klagomål mail.docx", "A 52731-2019")</f>
        <v/>
      </c>
      <c r="X61">
        <f>HYPERLINK("https://klasma.github.io/Logging_2482/tillsyn/A 52731-2019 tillsynsbegäran.docx", "A 52731-2019")</f>
        <v/>
      </c>
      <c r="Y61">
        <f>HYPERLINK("https://klasma.github.io/Logging_2482/tillsynsmail/A 52731-2019 tillsynsbegäran mail.docx", "A 52731-2019")</f>
        <v/>
      </c>
    </row>
    <row r="62" ht="15" customHeight="1">
      <c r="A62" t="inlineStr">
        <is>
          <t>A 55630-2019</t>
        </is>
      </c>
      <c r="B62" s="1" t="n">
        <v>43755</v>
      </c>
      <c r="C62" s="1" t="n">
        <v>45566</v>
      </c>
      <c r="D62" t="inlineStr">
        <is>
          <t>VÄSTERBOTTENS LÄN</t>
        </is>
      </c>
      <c r="E62" t="inlineStr">
        <is>
          <t>SKELLEFTEÅ</t>
        </is>
      </c>
      <c r="G62" t="n">
        <v>20.2</v>
      </c>
      <c r="H62" t="n">
        <v>0</v>
      </c>
      <c r="I62" t="n">
        <v>0</v>
      </c>
      <c r="J62" t="n">
        <v>4</v>
      </c>
      <c r="K62" t="n">
        <v>0</v>
      </c>
      <c r="L62" t="n">
        <v>0</v>
      </c>
      <c r="M62" t="n">
        <v>0</v>
      </c>
      <c r="N62" t="n">
        <v>0</v>
      </c>
      <c r="O62" t="n">
        <v>4</v>
      </c>
      <c r="P62" t="n">
        <v>0</v>
      </c>
      <c r="Q62" t="n">
        <v>4</v>
      </c>
      <c r="R62" s="2" t="inlineStr">
        <is>
          <t>Gammelgransskål
Garnlav
Granticka
Violettgrå tagellav</t>
        </is>
      </c>
      <c r="S62">
        <f>HYPERLINK("https://klasma.github.io/Logging_2482/artfynd/A 55630-2019 artfynd.xlsx", "A 55630-2019")</f>
        <v/>
      </c>
      <c r="T62">
        <f>HYPERLINK("https://klasma.github.io/Logging_2482/kartor/A 55630-2019 karta.png", "A 55630-2019")</f>
        <v/>
      </c>
      <c r="V62">
        <f>HYPERLINK("https://klasma.github.io/Logging_2482/klagomål/A 55630-2019 FSC-klagomål.docx", "A 55630-2019")</f>
        <v/>
      </c>
      <c r="W62">
        <f>HYPERLINK("https://klasma.github.io/Logging_2482/klagomålsmail/A 55630-2019 FSC-klagomål mail.docx", "A 55630-2019")</f>
        <v/>
      </c>
      <c r="X62">
        <f>HYPERLINK("https://klasma.github.io/Logging_2482/tillsyn/A 55630-2019 tillsynsbegäran.docx", "A 55630-2019")</f>
        <v/>
      </c>
      <c r="Y62">
        <f>HYPERLINK("https://klasma.github.io/Logging_2482/tillsynsmail/A 55630-2019 tillsynsbegäran mail.docx", "A 55630-2019")</f>
        <v/>
      </c>
    </row>
    <row r="63" ht="15" customHeight="1">
      <c r="A63" t="inlineStr">
        <is>
          <t>A 26906-2020</t>
        </is>
      </c>
      <c r="B63" s="1" t="n">
        <v>43990</v>
      </c>
      <c r="C63" s="1" t="n">
        <v>45566</v>
      </c>
      <c r="D63" t="inlineStr">
        <is>
          <t>VÄSTERBOTTENS LÄN</t>
        </is>
      </c>
      <c r="E63" t="inlineStr">
        <is>
          <t>SKELLEFTEÅ</t>
        </is>
      </c>
      <c r="F63" t="inlineStr">
        <is>
          <t>Holmen skog AB</t>
        </is>
      </c>
      <c r="G63" t="n">
        <v>5.2</v>
      </c>
      <c r="H63" t="n">
        <v>0</v>
      </c>
      <c r="I63" t="n">
        <v>2</v>
      </c>
      <c r="J63" t="n">
        <v>2</v>
      </c>
      <c r="K63" t="n">
        <v>0</v>
      </c>
      <c r="L63" t="n">
        <v>0</v>
      </c>
      <c r="M63" t="n">
        <v>0</v>
      </c>
      <c r="N63" t="n">
        <v>0</v>
      </c>
      <c r="O63" t="n">
        <v>2</v>
      </c>
      <c r="P63" t="n">
        <v>0</v>
      </c>
      <c r="Q63" t="n">
        <v>4</v>
      </c>
      <c r="R63" s="2" t="inlineStr">
        <is>
          <t>Granticka
Lunglav
Bårdlav
Luddlav</t>
        </is>
      </c>
      <c r="S63">
        <f>HYPERLINK("https://klasma.github.io/Logging_2482/artfynd/A 26906-2020 artfynd.xlsx", "A 26906-2020")</f>
        <v/>
      </c>
      <c r="T63">
        <f>HYPERLINK("https://klasma.github.io/Logging_2482/kartor/A 26906-2020 karta.png", "A 26906-2020")</f>
        <v/>
      </c>
      <c r="V63">
        <f>HYPERLINK("https://klasma.github.io/Logging_2482/klagomål/A 26906-2020 FSC-klagomål.docx", "A 26906-2020")</f>
        <v/>
      </c>
      <c r="W63">
        <f>HYPERLINK("https://klasma.github.io/Logging_2482/klagomålsmail/A 26906-2020 FSC-klagomål mail.docx", "A 26906-2020")</f>
        <v/>
      </c>
      <c r="X63">
        <f>HYPERLINK("https://klasma.github.io/Logging_2482/tillsyn/A 26906-2020 tillsynsbegäran.docx", "A 26906-2020")</f>
        <v/>
      </c>
      <c r="Y63">
        <f>HYPERLINK("https://klasma.github.io/Logging_2482/tillsynsmail/A 26906-2020 tillsynsbegäran mail.docx", "A 26906-2020")</f>
        <v/>
      </c>
    </row>
    <row r="64" ht="15" customHeight="1">
      <c r="A64" t="inlineStr">
        <is>
          <t>A 30604-2020</t>
        </is>
      </c>
      <c r="B64" s="1" t="n">
        <v>44008</v>
      </c>
      <c r="C64" s="1" t="n">
        <v>45566</v>
      </c>
      <c r="D64" t="inlineStr">
        <is>
          <t>VÄSTERBOTTENS LÄN</t>
        </is>
      </c>
      <c r="E64" t="inlineStr">
        <is>
          <t>SKELLEFTEÅ</t>
        </is>
      </c>
      <c r="G64" t="n">
        <v>17.9</v>
      </c>
      <c r="H64" t="n">
        <v>3</v>
      </c>
      <c r="I64" t="n">
        <v>0</v>
      </c>
      <c r="J64" t="n">
        <v>1</v>
      </c>
      <c r="K64" t="n">
        <v>0</v>
      </c>
      <c r="L64" t="n">
        <v>0</v>
      </c>
      <c r="M64" t="n">
        <v>0</v>
      </c>
      <c r="N64" t="n">
        <v>0</v>
      </c>
      <c r="O64" t="n">
        <v>1</v>
      </c>
      <c r="P64" t="n">
        <v>0</v>
      </c>
      <c r="Q64" t="n">
        <v>4</v>
      </c>
      <c r="R64" s="2" t="inlineStr">
        <is>
          <t>Lunglav
Tjäder
Fläcknycklar
Revlummer</t>
        </is>
      </c>
      <c r="S64">
        <f>HYPERLINK("https://klasma.github.io/Logging_2482/artfynd/A 30604-2020 artfynd.xlsx", "A 30604-2020")</f>
        <v/>
      </c>
      <c r="T64">
        <f>HYPERLINK("https://klasma.github.io/Logging_2482/kartor/A 30604-2020 karta.png", "A 30604-2020")</f>
        <v/>
      </c>
      <c r="V64">
        <f>HYPERLINK("https://klasma.github.io/Logging_2482/klagomål/A 30604-2020 FSC-klagomål.docx", "A 30604-2020")</f>
        <v/>
      </c>
      <c r="W64">
        <f>HYPERLINK("https://klasma.github.io/Logging_2482/klagomålsmail/A 30604-2020 FSC-klagomål mail.docx", "A 30604-2020")</f>
        <v/>
      </c>
      <c r="X64">
        <f>HYPERLINK("https://klasma.github.io/Logging_2482/tillsyn/A 30604-2020 tillsynsbegäran.docx", "A 30604-2020")</f>
        <v/>
      </c>
      <c r="Y64">
        <f>HYPERLINK("https://klasma.github.io/Logging_2482/tillsynsmail/A 30604-2020 tillsynsbegäran mail.docx", "A 30604-2020")</f>
        <v/>
      </c>
      <c r="Z64">
        <f>HYPERLINK("https://klasma.github.io/Logging_2482/fåglar/A 30604-2020 prioriterade fågelarter.docx", "A 30604-2020")</f>
        <v/>
      </c>
    </row>
    <row r="65" ht="15" customHeight="1">
      <c r="A65" t="inlineStr">
        <is>
          <t>A 55812-2020</t>
        </is>
      </c>
      <c r="B65" s="1" t="n">
        <v>44132</v>
      </c>
      <c r="C65" s="1" t="n">
        <v>45566</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59408-2020</t>
        </is>
      </c>
      <c r="B66" s="1" t="n">
        <v>44147</v>
      </c>
      <c r="C66" s="1" t="n">
        <v>45566</v>
      </c>
      <c r="D66" t="inlineStr">
        <is>
          <t>VÄSTERBOTTENS LÄN</t>
        </is>
      </c>
      <c r="E66" t="inlineStr">
        <is>
          <t>SKELLEFTEÅ</t>
        </is>
      </c>
      <c r="G66" t="n">
        <v>2.1</v>
      </c>
      <c r="H66" t="n">
        <v>4</v>
      </c>
      <c r="I66" t="n">
        <v>0</v>
      </c>
      <c r="J66" t="n">
        <v>3</v>
      </c>
      <c r="K66" t="n">
        <v>0</v>
      </c>
      <c r="L66" t="n">
        <v>0</v>
      </c>
      <c r="M66" t="n">
        <v>0</v>
      </c>
      <c r="N66" t="n">
        <v>0</v>
      </c>
      <c r="O66" t="n">
        <v>3</v>
      </c>
      <c r="P66" t="n">
        <v>0</v>
      </c>
      <c r="Q66" t="n">
        <v>4</v>
      </c>
      <c r="R66" s="2" t="inlineStr">
        <is>
          <t>Buskskvätta
Gulsparv
Havsörn
Törnskata</t>
        </is>
      </c>
      <c r="S66">
        <f>HYPERLINK("https://klasma.github.io/Logging_2482/artfynd/A 59408-2020 artfynd.xlsx", "A 59408-2020")</f>
        <v/>
      </c>
      <c r="T66">
        <f>HYPERLINK("https://klasma.github.io/Logging_2482/kartor/A 59408-2020 karta.png", "A 59408-2020")</f>
        <v/>
      </c>
      <c r="V66">
        <f>HYPERLINK("https://klasma.github.io/Logging_2482/klagomål/A 59408-2020 FSC-klagomål.docx", "A 59408-2020")</f>
        <v/>
      </c>
      <c r="W66">
        <f>HYPERLINK("https://klasma.github.io/Logging_2482/klagomålsmail/A 59408-2020 FSC-klagomål mail.docx", "A 59408-2020")</f>
        <v/>
      </c>
      <c r="X66">
        <f>HYPERLINK("https://klasma.github.io/Logging_2482/tillsyn/A 59408-2020 tillsynsbegäran.docx", "A 59408-2020")</f>
        <v/>
      </c>
      <c r="Y66">
        <f>HYPERLINK("https://klasma.github.io/Logging_2482/tillsynsmail/A 59408-2020 tillsynsbegäran mail.docx", "A 59408-2020")</f>
        <v/>
      </c>
      <c r="Z66">
        <f>HYPERLINK("https://klasma.github.io/Logging_2482/fåglar/A 59408-2020 prioriterade fågelarter.docx", "A 59408-2020")</f>
        <v/>
      </c>
    </row>
    <row r="67" ht="15" customHeight="1">
      <c r="A67" t="inlineStr">
        <is>
          <t>A 68169-2020</t>
        </is>
      </c>
      <c r="B67" s="1" t="n">
        <v>44183</v>
      </c>
      <c r="C67" s="1" t="n">
        <v>45566</v>
      </c>
      <c r="D67" t="inlineStr">
        <is>
          <t>VÄSTERBOTTENS LÄN</t>
        </is>
      </c>
      <c r="E67" t="inlineStr">
        <is>
          <t>SKELLEFTEÅ</t>
        </is>
      </c>
      <c r="F67" t="inlineStr">
        <is>
          <t>Sveaskog</t>
        </is>
      </c>
      <c r="G67" t="n">
        <v>7.6</v>
      </c>
      <c r="H67" t="n">
        <v>2</v>
      </c>
      <c r="I67" t="n">
        <v>1</v>
      </c>
      <c r="J67" t="n">
        <v>2</v>
      </c>
      <c r="K67" t="n">
        <v>0</v>
      </c>
      <c r="L67" t="n">
        <v>0</v>
      </c>
      <c r="M67" t="n">
        <v>0</v>
      </c>
      <c r="N67" t="n">
        <v>0</v>
      </c>
      <c r="O67" t="n">
        <v>2</v>
      </c>
      <c r="P67" t="n">
        <v>0</v>
      </c>
      <c r="Q67" t="n">
        <v>4</v>
      </c>
      <c r="R67" s="2" t="inlineStr">
        <is>
          <t>Garnlav
Spillkråka
Vedticka
Fläcknycklar</t>
        </is>
      </c>
      <c r="S67">
        <f>HYPERLINK("https://klasma.github.io/Logging_2482/artfynd/A 68169-2020 artfynd.xlsx", "A 68169-2020")</f>
        <v/>
      </c>
      <c r="T67">
        <f>HYPERLINK("https://klasma.github.io/Logging_2482/kartor/A 68169-2020 karta.png", "A 68169-2020")</f>
        <v/>
      </c>
      <c r="V67">
        <f>HYPERLINK("https://klasma.github.io/Logging_2482/klagomål/A 68169-2020 FSC-klagomål.docx", "A 68169-2020")</f>
        <v/>
      </c>
      <c r="W67">
        <f>HYPERLINK("https://klasma.github.io/Logging_2482/klagomålsmail/A 68169-2020 FSC-klagomål mail.docx", "A 68169-2020")</f>
        <v/>
      </c>
      <c r="X67">
        <f>HYPERLINK("https://klasma.github.io/Logging_2482/tillsyn/A 68169-2020 tillsynsbegäran.docx", "A 68169-2020")</f>
        <v/>
      </c>
      <c r="Y67">
        <f>HYPERLINK("https://klasma.github.io/Logging_2482/tillsynsmail/A 68169-2020 tillsynsbegäran mail.docx", "A 68169-2020")</f>
        <v/>
      </c>
      <c r="Z67">
        <f>HYPERLINK("https://klasma.github.io/Logging_2482/fåglar/A 68169-2020 prioriterade fågelarter.docx", "A 68169-2020")</f>
        <v/>
      </c>
    </row>
    <row r="68" ht="15" customHeight="1">
      <c r="A68" t="inlineStr">
        <is>
          <t>A 68511-2020</t>
        </is>
      </c>
      <c r="B68" s="1" t="n">
        <v>44186</v>
      </c>
      <c r="C68" s="1" t="n">
        <v>45566</v>
      </c>
      <c r="D68" t="inlineStr">
        <is>
          <t>VÄSTERBOTTENS LÄN</t>
        </is>
      </c>
      <c r="E68" t="inlineStr">
        <is>
          <t>SKELLEFTEÅ</t>
        </is>
      </c>
      <c r="F68" t="inlineStr">
        <is>
          <t>Sveaskog</t>
        </is>
      </c>
      <c r="G68" t="n">
        <v>16.9</v>
      </c>
      <c r="H68" t="n">
        <v>0</v>
      </c>
      <c r="I68" t="n">
        <v>1</v>
      </c>
      <c r="J68" t="n">
        <v>3</v>
      </c>
      <c r="K68" t="n">
        <v>0</v>
      </c>
      <c r="L68" t="n">
        <v>0</v>
      </c>
      <c r="M68" t="n">
        <v>0</v>
      </c>
      <c r="N68" t="n">
        <v>0</v>
      </c>
      <c r="O68" t="n">
        <v>3</v>
      </c>
      <c r="P68" t="n">
        <v>0</v>
      </c>
      <c r="Q68" t="n">
        <v>4</v>
      </c>
      <c r="R68" s="2" t="inlineStr">
        <is>
          <t>Garnlav
Lunglav
Violettgrå tagellav
Stuplav</t>
        </is>
      </c>
      <c r="S68">
        <f>HYPERLINK("https://klasma.github.io/Logging_2482/artfynd/A 68511-2020 artfynd.xlsx", "A 68511-2020")</f>
        <v/>
      </c>
      <c r="T68">
        <f>HYPERLINK("https://klasma.github.io/Logging_2482/kartor/A 68511-2020 karta.png", "A 68511-2020")</f>
        <v/>
      </c>
      <c r="V68">
        <f>HYPERLINK("https://klasma.github.io/Logging_2482/klagomål/A 68511-2020 FSC-klagomål.docx", "A 68511-2020")</f>
        <v/>
      </c>
      <c r="W68">
        <f>HYPERLINK("https://klasma.github.io/Logging_2482/klagomålsmail/A 68511-2020 FSC-klagomål mail.docx", "A 68511-2020")</f>
        <v/>
      </c>
      <c r="X68">
        <f>HYPERLINK("https://klasma.github.io/Logging_2482/tillsyn/A 68511-2020 tillsynsbegäran.docx", "A 68511-2020")</f>
        <v/>
      </c>
      <c r="Y68">
        <f>HYPERLINK("https://klasma.github.io/Logging_2482/tillsynsmail/A 68511-2020 tillsynsbegäran mail.docx", "A 68511-2020")</f>
        <v/>
      </c>
    </row>
    <row r="69" ht="15" customHeight="1">
      <c r="A69" t="inlineStr">
        <is>
          <t>A 2776-2021</t>
        </is>
      </c>
      <c r="B69" s="1" t="n">
        <v>44215</v>
      </c>
      <c r="C69" s="1" t="n">
        <v>45566</v>
      </c>
      <c r="D69" t="inlineStr">
        <is>
          <t>VÄSTERBOTTENS LÄN</t>
        </is>
      </c>
      <c r="E69" t="inlineStr">
        <is>
          <t>SKELLEFTEÅ</t>
        </is>
      </c>
      <c r="F69" t="inlineStr">
        <is>
          <t>Sveaskog</t>
        </is>
      </c>
      <c r="G69" t="n">
        <v>4.4</v>
      </c>
      <c r="H69" t="n">
        <v>0</v>
      </c>
      <c r="I69" t="n">
        <v>1</v>
      </c>
      <c r="J69" t="n">
        <v>3</v>
      </c>
      <c r="K69" t="n">
        <v>0</v>
      </c>
      <c r="L69" t="n">
        <v>0</v>
      </c>
      <c r="M69" t="n">
        <v>0</v>
      </c>
      <c r="N69" t="n">
        <v>0</v>
      </c>
      <c r="O69" t="n">
        <v>3</v>
      </c>
      <c r="P69" t="n">
        <v>0</v>
      </c>
      <c r="Q69" t="n">
        <v>4</v>
      </c>
      <c r="R69" s="2" t="inlineStr">
        <is>
          <t>Garnlav
Granticka
Lunglav
Bårdlav</t>
        </is>
      </c>
      <c r="S69">
        <f>HYPERLINK("https://klasma.github.io/Logging_2482/artfynd/A 2776-2021 artfynd.xlsx", "A 2776-2021")</f>
        <v/>
      </c>
      <c r="T69">
        <f>HYPERLINK("https://klasma.github.io/Logging_2482/kartor/A 2776-2021 karta.png", "A 2776-2021")</f>
        <v/>
      </c>
      <c r="V69">
        <f>HYPERLINK("https://klasma.github.io/Logging_2482/klagomål/A 2776-2021 FSC-klagomål.docx", "A 2776-2021")</f>
        <v/>
      </c>
      <c r="W69">
        <f>HYPERLINK("https://klasma.github.io/Logging_2482/klagomålsmail/A 2776-2021 FSC-klagomål mail.docx", "A 2776-2021")</f>
        <v/>
      </c>
      <c r="X69">
        <f>HYPERLINK("https://klasma.github.io/Logging_2482/tillsyn/A 2776-2021 tillsynsbegäran.docx", "A 2776-2021")</f>
        <v/>
      </c>
      <c r="Y69">
        <f>HYPERLINK("https://klasma.github.io/Logging_2482/tillsynsmail/A 2776-2021 tillsynsbegäran mail.docx", "A 2776-2021")</f>
        <v/>
      </c>
    </row>
    <row r="70" ht="15" customHeight="1">
      <c r="A70" t="inlineStr">
        <is>
          <t>A 7607-2021</t>
        </is>
      </c>
      <c r="B70" s="1" t="n">
        <v>44242</v>
      </c>
      <c r="C70" s="1" t="n">
        <v>45566</v>
      </c>
      <c r="D70" t="inlineStr">
        <is>
          <t>VÄSTERBOTTENS LÄN</t>
        </is>
      </c>
      <c r="E70" t="inlineStr">
        <is>
          <t>SKELLEFTEÅ</t>
        </is>
      </c>
      <c r="G70" t="n">
        <v>2.3</v>
      </c>
      <c r="H70" t="n">
        <v>1</v>
      </c>
      <c r="I70" t="n">
        <v>2</v>
      </c>
      <c r="J70" t="n">
        <v>1</v>
      </c>
      <c r="K70" t="n">
        <v>0</v>
      </c>
      <c r="L70" t="n">
        <v>0</v>
      </c>
      <c r="M70" t="n">
        <v>0</v>
      </c>
      <c r="N70" t="n">
        <v>0</v>
      </c>
      <c r="O70" t="n">
        <v>1</v>
      </c>
      <c r="P70" t="n">
        <v>0</v>
      </c>
      <c r="Q70" t="n">
        <v>4</v>
      </c>
      <c r="R70" s="2" t="inlineStr">
        <is>
          <t>Granticka
Norrlandslav
Stuplav
Revlummer</t>
        </is>
      </c>
      <c r="S70">
        <f>HYPERLINK("https://klasma.github.io/Logging_2482/artfynd/A 7607-2021 artfynd.xlsx", "A 7607-2021")</f>
        <v/>
      </c>
      <c r="T70">
        <f>HYPERLINK("https://klasma.github.io/Logging_2482/kartor/A 7607-2021 karta.png", "A 7607-2021")</f>
        <v/>
      </c>
      <c r="V70">
        <f>HYPERLINK("https://klasma.github.io/Logging_2482/klagomål/A 7607-2021 FSC-klagomål.docx", "A 7607-2021")</f>
        <v/>
      </c>
      <c r="W70">
        <f>HYPERLINK("https://klasma.github.io/Logging_2482/klagomålsmail/A 7607-2021 FSC-klagomål mail.docx", "A 7607-2021")</f>
        <v/>
      </c>
      <c r="X70">
        <f>HYPERLINK("https://klasma.github.io/Logging_2482/tillsyn/A 7607-2021 tillsynsbegäran.docx", "A 7607-2021")</f>
        <v/>
      </c>
      <c r="Y70">
        <f>HYPERLINK("https://klasma.github.io/Logging_2482/tillsynsmail/A 7607-2021 tillsynsbegäran mail.docx", "A 7607-2021")</f>
        <v/>
      </c>
    </row>
    <row r="71" ht="15" customHeight="1">
      <c r="A71" t="inlineStr">
        <is>
          <t>A 57409-2021</t>
        </is>
      </c>
      <c r="B71" s="1" t="n">
        <v>44483</v>
      </c>
      <c r="C71" s="1" t="n">
        <v>45566</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57738-2021</t>
        </is>
      </c>
      <c r="B72" s="1" t="n">
        <v>44484</v>
      </c>
      <c r="C72" s="1" t="n">
        <v>45566</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58835-2021</t>
        </is>
      </c>
      <c r="B73" s="1" t="n">
        <v>44489</v>
      </c>
      <c r="C73" s="1" t="n">
        <v>45566</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3212-2022</t>
        </is>
      </c>
      <c r="B74" s="1" t="n">
        <v>44582</v>
      </c>
      <c r="C74" s="1" t="n">
        <v>45566</v>
      </c>
      <c r="D74" t="inlineStr">
        <is>
          <t>VÄSTERBOTTENS LÄN</t>
        </is>
      </c>
      <c r="E74" t="inlineStr">
        <is>
          <t>SKELLEFTEÅ</t>
        </is>
      </c>
      <c r="G74" t="n">
        <v>1.4</v>
      </c>
      <c r="H74" t="n">
        <v>0</v>
      </c>
      <c r="I74" t="n">
        <v>1</v>
      </c>
      <c r="J74" t="n">
        <v>3</v>
      </c>
      <c r="K74" t="n">
        <v>0</v>
      </c>
      <c r="L74" t="n">
        <v>0</v>
      </c>
      <c r="M74" t="n">
        <v>0</v>
      </c>
      <c r="N74" t="n">
        <v>0</v>
      </c>
      <c r="O74" t="n">
        <v>3</v>
      </c>
      <c r="P74" t="n">
        <v>0</v>
      </c>
      <c r="Q74" t="n">
        <v>4</v>
      </c>
      <c r="R74" s="2" t="inlineStr">
        <is>
          <t>Garnlav
Granticka
Harticka
Vedticka</t>
        </is>
      </c>
      <c r="S74">
        <f>HYPERLINK("https://klasma.github.io/Logging_2482/artfynd/A 3212-2022 artfynd.xlsx", "A 3212-2022")</f>
        <v/>
      </c>
      <c r="T74">
        <f>HYPERLINK("https://klasma.github.io/Logging_2482/kartor/A 3212-2022 karta.png", "A 3212-2022")</f>
        <v/>
      </c>
      <c r="V74">
        <f>HYPERLINK("https://klasma.github.io/Logging_2482/klagomål/A 3212-2022 FSC-klagomål.docx", "A 3212-2022")</f>
        <v/>
      </c>
      <c r="W74">
        <f>HYPERLINK("https://klasma.github.io/Logging_2482/klagomålsmail/A 3212-2022 FSC-klagomål mail.docx", "A 3212-2022")</f>
        <v/>
      </c>
      <c r="X74">
        <f>HYPERLINK("https://klasma.github.io/Logging_2482/tillsyn/A 3212-2022 tillsynsbegäran.docx", "A 3212-2022")</f>
        <v/>
      </c>
      <c r="Y74">
        <f>HYPERLINK("https://klasma.github.io/Logging_2482/tillsynsmail/A 3212-2022 tillsynsbegäran mail.docx", "A 3212-2022")</f>
        <v/>
      </c>
    </row>
    <row r="75" ht="15" customHeight="1">
      <c r="A75" t="inlineStr">
        <is>
          <t>A 37477-2023</t>
        </is>
      </c>
      <c r="B75" s="1" t="n">
        <v>45156</v>
      </c>
      <c r="C75" s="1" t="n">
        <v>45566</v>
      </c>
      <c r="D75" t="inlineStr">
        <is>
          <t>VÄSTERBOTTENS LÄN</t>
        </is>
      </c>
      <c r="E75" t="inlineStr">
        <is>
          <t>SKELLEFTEÅ</t>
        </is>
      </c>
      <c r="G75" t="n">
        <v>6.3</v>
      </c>
      <c r="H75" t="n">
        <v>0</v>
      </c>
      <c r="I75" t="n">
        <v>0</v>
      </c>
      <c r="J75" t="n">
        <v>4</v>
      </c>
      <c r="K75" t="n">
        <v>0</v>
      </c>
      <c r="L75" t="n">
        <v>0</v>
      </c>
      <c r="M75" t="n">
        <v>0</v>
      </c>
      <c r="N75" t="n">
        <v>0</v>
      </c>
      <c r="O75" t="n">
        <v>4</v>
      </c>
      <c r="P75" t="n">
        <v>0</v>
      </c>
      <c r="Q75" t="n">
        <v>4</v>
      </c>
      <c r="R75" s="2" t="inlineStr">
        <is>
          <t>Garnlav
Lunglav
Ullticka
Violettgrå tagellav</t>
        </is>
      </c>
      <c r="S75">
        <f>HYPERLINK("https://klasma.github.io/Logging_2482/artfynd/A 37477-2023 artfynd.xlsx", "A 37477-2023")</f>
        <v/>
      </c>
      <c r="T75">
        <f>HYPERLINK("https://klasma.github.io/Logging_2482/kartor/A 37477-2023 karta.png", "A 37477-2023")</f>
        <v/>
      </c>
      <c r="V75">
        <f>HYPERLINK("https://klasma.github.io/Logging_2482/klagomål/A 37477-2023 FSC-klagomål.docx", "A 37477-2023")</f>
        <v/>
      </c>
      <c r="W75">
        <f>HYPERLINK("https://klasma.github.io/Logging_2482/klagomålsmail/A 37477-2023 FSC-klagomål mail.docx", "A 37477-2023")</f>
        <v/>
      </c>
      <c r="X75">
        <f>HYPERLINK("https://klasma.github.io/Logging_2482/tillsyn/A 37477-2023 tillsynsbegäran.docx", "A 37477-2023")</f>
        <v/>
      </c>
      <c r="Y75">
        <f>HYPERLINK("https://klasma.github.io/Logging_2482/tillsynsmail/A 37477-2023 tillsynsbegäran mail.docx", "A 37477-2023")</f>
        <v/>
      </c>
    </row>
    <row r="76" ht="15" customHeight="1">
      <c r="A76" t="inlineStr">
        <is>
          <t>A 46092-2023</t>
        </is>
      </c>
      <c r="B76" s="1" t="n">
        <v>45190</v>
      </c>
      <c r="C76" s="1" t="n">
        <v>45566</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62393-2023</t>
        </is>
      </c>
      <c r="B77" s="1" t="n">
        <v>45268</v>
      </c>
      <c r="C77" s="1" t="n">
        <v>45566</v>
      </c>
      <c r="D77" t="inlineStr">
        <is>
          <t>VÄSTERBOTTENS LÄN</t>
        </is>
      </c>
      <c r="E77" t="inlineStr">
        <is>
          <t>SKELLEFTEÅ</t>
        </is>
      </c>
      <c r="F77" t="inlineStr">
        <is>
          <t>Sveaskog</t>
        </is>
      </c>
      <c r="G77" t="n">
        <v>6.7</v>
      </c>
      <c r="H77" t="n">
        <v>0</v>
      </c>
      <c r="I77" t="n">
        <v>1</v>
      </c>
      <c r="J77" t="n">
        <v>3</v>
      </c>
      <c r="K77" t="n">
        <v>0</v>
      </c>
      <c r="L77" t="n">
        <v>0</v>
      </c>
      <c r="M77" t="n">
        <v>0</v>
      </c>
      <c r="N77" t="n">
        <v>0</v>
      </c>
      <c r="O77" t="n">
        <v>3</v>
      </c>
      <c r="P77" t="n">
        <v>0</v>
      </c>
      <c r="Q77" t="n">
        <v>4</v>
      </c>
      <c r="R77" s="2" t="inlineStr">
        <is>
          <t>Garnlav
Lunglav
Violettgrå tagellav
Bårdlav</t>
        </is>
      </c>
      <c r="S77">
        <f>HYPERLINK("https://klasma.github.io/Logging_2482/artfynd/A 62393-2023 artfynd.xlsx", "A 62393-2023")</f>
        <v/>
      </c>
      <c r="T77">
        <f>HYPERLINK("https://klasma.github.io/Logging_2482/kartor/A 62393-2023 karta.png", "A 62393-2023")</f>
        <v/>
      </c>
      <c r="V77">
        <f>HYPERLINK("https://klasma.github.io/Logging_2482/klagomål/A 62393-2023 FSC-klagomål.docx", "A 62393-2023")</f>
        <v/>
      </c>
      <c r="W77">
        <f>HYPERLINK("https://klasma.github.io/Logging_2482/klagomålsmail/A 62393-2023 FSC-klagomål mail.docx", "A 62393-2023")</f>
        <v/>
      </c>
      <c r="X77">
        <f>HYPERLINK("https://klasma.github.io/Logging_2482/tillsyn/A 62393-2023 tillsynsbegäran.docx", "A 62393-2023")</f>
        <v/>
      </c>
      <c r="Y77">
        <f>HYPERLINK("https://klasma.github.io/Logging_2482/tillsynsmail/A 62393-2023 tillsynsbegäran mail.docx", "A 62393-2023")</f>
        <v/>
      </c>
    </row>
    <row r="78" ht="15" customHeight="1">
      <c r="A78" t="inlineStr">
        <is>
          <t>A 2057-2024</t>
        </is>
      </c>
      <c r="B78" s="1" t="n">
        <v>45308</v>
      </c>
      <c r="C78" s="1" t="n">
        <v>45566</v>
      </c>
      <c r="D78" t="inlineStr">
        <is>
          <t>VÄSTERBOTTENS LÄN</t>
        </is>
      </c>
      <c r="E78" t="inlineStr">
        <is>
          <t>SKELLEFTEÅ</t>
        </is>
      </c>
      <c r="G78" t="n">
        <v>3.5</v>
      </c>
      <c r="H78" t="n">
        <v>1</v>
      </c>
      <c r="I78" t="n">
        <v>0</v>
      </c>
      <c r="J78" t="n">
        <v>4</v>
      </c>
      <c r="K78" t="n">
        <v>0</v>
      </c>
      <c r="L78" t="n">
        <v>0</v>
      </c>
      <c r="M78" t="n">
        <v>0</v>
      </c>
      <c r="N78" t="n">
        <v>0</v>
      </c>
      <c r="O78" t="n">
        <v>4</v>
      </c>
      <c r="P78" t="n">
        <v>0</v>
      </c>
      <c r="Q78" t="n">
        <v>4</v>
      </c>
      <c r="R78" s="2" t="inlineStr">
        <is>
          <t>Blanksvart spiklav
Blå taggsvamp
Garnlav
Spillkråka</t>
        </is>
      </c>
      <c r="S78">
        <f>HYPERLINK("https://klasma.github.io/Logging_2482/artfynd/A 2057-2024 artfynd.xlsx", "A 2057-2024")</f>
        <v/>
      </c>
      <c r="T78">
        <f>HYPERLINK("https://klasma.github.io/Logging_2482/kartor/A 2057-2024 karta.png", "A 2057-2024")</f>
        <v/>
      </c>
      <c r="V78">
        <f>HYPERLINK("https://klasma.github.io/Logging_2482/klagomål/A 2057-2024 FSC-klagomål.docx", "A 2057-2024")</f>
        <v/>
      </c>
      <c r="W78">
        <f>HYPERLINK("https://klasma.github.io/Logging_2482/klagomålsmail/A 2057-2024 FSC-klagomål mail.docx", "A 2057-2024")</f>
        <v/>
      </c>
      <c r="X78">
        <f>HYPERLINK("https://klasma.github.io/Logging_2482/tillsyn/A 2057-2024 tillsynsbegäran.docx", "A 2057-2024")</f>
        <v/>
      </c>
      <c r="Y78">
        <f>HYPERLINK("https://klasma.github.io/Logging_2482/tillsynsmail/A 2057-2024 tillsynsbegäran mail.docx", "A 2057-2024")</f>
        <v/>
      </c>
      <c r="Z78">
        <f>HYPERLINK("https://klasma.github.io/Logging_2482/fåglar/A 2057-2024 prioriterade fågelarter.docx", "A 2057-2024")</f>
        <v/>
      </c>
    </row>
    <row r="79" ht="15" customHeight="1">
      <c r="A79" t="inlineStr">
        <is>
          <t>A 18577-2024</t>
        </is>
      </c>
      <c r="B79" s="1" t="n">
        <v>45425</v>
      </c>
      <c r="C79" s="1" t="n">
        <v>45566</v>
      </c>
      <c r="D79" t="inlineStr">
        <is>
          <t>VÄSTERBOTTENS LÄN</t>
        </is>
      </c>
      <c r="E79" t="inlineStr">
        <is>
          <t>SKELLEFTEÅ</t>
        </is>
      </c>
      <c r="G79" t="n">
        <v>5.3</v>
      </c>
      <c r="H79" t="n">
        <v>1</v>
      </c>
      <c r="I79" t="n">
        <v>1</v>
      </c>
      <c r="J79" t="n">
        <v>2</v>
      </c>
      <c r="K79" t="n">
        <v>1</v>
      </c>
      <c r="L79" t="n">
        <v>0</v>
      </c>
      <c r="M79" t="n">
        <v>0</v>
      </c>
      <c r="N79" t="n">
        <v>0</v>
      </c>
      <c r="O79" t="n">
        <v>3</v>
      </c>
      <c r="P79" t="n">
        <v>1</v>
      </c>
      <c r="Q79" t="n">
        <v>4</v>
      </c>
      <c r="R79" s="2" t="inlineStr">
        <is>
          <t>Knärot
Gammelgransskål
Garnlav
Rävticka</t>
        </is>
      </c>
      <c r="S79">
        <f>HYPERLINK("https://klasma.github.io/Logging_2482/artfynd/A 18577-2024 artfynd.xlsx", "A 18577-2024")</f>
        <v/>
      </c>
      <c r="T79">
        <f>HYPERLINK("https://klasma.github.io/Logging_2482/kartor/A 18577-2024 karta.png", "A 18577-2024")</f>
        <v/>
      </c>
      <c r="U79">
        <f>HYPERLINK("https://klasma.github.io/Logging_2482/knärot/A 18577-2024 karta knärot.png", "A 18577-2024")</f>
        <v/>
      </c>
      <c r="V79">
        <f>HYPERLINK("https://klasma.github.io/Logging_2482/klagomål/A 18577-2024 FSC-klagomål.docx", "A 18577-2024")</f>
        <v/>
      </c>
      <c r="W79">
        <f>HYPERLINK("https://klasma.github.io/Logging_2482/klagomålsmail/A 18577-2024 FSC-klagomål mail.docx", "A 18577-2024")</f>
        <v/>
      </c>
      <c r="X79">
        <f>HYPERLINK("https://klasma.github.io/Logging_2482/tillsyn/A 18577-2024 tillsynsbegäran.docx", "A 18577-2024")</f>
        <v/>
      </c>
      <c r="Y79">
        <f>HYPERLINK("https://klasma.github.io/Logging_2482/tillsynsmail/A 18577-2024 tillsynsbegäran mail.docx", "A 18577-2024")</f>
        <v/>
      </c>
    </row>
    <row r="80" ht="15" customHeight="1">
      <c r="A80" t="inlineStr">
        <is>
          <t>A 40484-2024</t>
        </is>
      </c>
      <c r="B80" s="1" t="n">
        <v>45555</v>
      </c>
      <c r="C80" s="1" t="n">
        <v>45566</v>
      </c>
      <c r="D80" t="inlineStr">
        <is>
          <t>VÄSTERBOTTENS LÄN</t>
        </is>
      </c>
      <c r="E80" t="inlineStr">
        <is>
          <t>SKELLEFTEÅ</t>
        </is>
      </c>
      <c r="G80" t="n">
        <v>2</v>
      </c>
      <c r="H80" t="n">
        <v>0</v>
      </c>
      <c r="I80" t="n">
        <v>1</v>
      </c>
      <c r="J80" t="n">
        <v>2</v>
      </c>
      <c r="K80" t="n">
        <v>1</v>
      </c>
      <c r="L80" t="n">
        <v>0</v>
      </c>
      <c r="M80" t="n">
        <v>0</v>
      </c>
      <c r="N80" t="n">
        <v>0</v>
      </c>
      <c r="O80" t="n">
        <v>3</v>
      </c>
      <c r="P80" t="n">
        <v>1</v>
      </c>
      <c r="Q80" t="n">
        <v>4</v>
      </c>
      <c r="R80" s="2" t="inlineStr">
        <is>
          <t>Smalfotad taggsvamp
Skrovlig taggsvamp
Talltaggsvamp
Dropptaggsvamp</t>
        </is>
      </c>
      <c r="S80">
        <f>HYPERLINK("https://klasma.github.io/Logging_2482/artfynd/A 40484-2024 artfynd.xlsx", "A 40484-2024")</f>
        <v/>
      </c>
      <c r="T80">
        <f>HYPERLINK("https://klasma.github.io/Logging_2482/kartor/A 40484-2024 karta.png", "A 40484-2024")</f>
        <v/>
      </c>
      <c r="V80">
        <f>HYPERLINK("https://klasma.github.io/Logging_2482/klagomål/A 40484-2024 FSC-klagomål.docx", "A 40484-2024")</f>
        <v/>
      </c>
      <c r="W80">
        <f>HYPERLINK("https://klasma.github.io/Logging_2482/klagomålsmail/A 40484-2024 FSC-klagomål mail.docx", "A 40484-2024")</f>
        <v/>
      </c>
      <c r="X80">
        <f>HYPERLINK("https://klasma.github.io/Logging_2482/tillsyn/A 40484-2024 tillsynsbegäran.docx", "A 40484-2024")</f>
        <v/>
      </c>
      <c r="Y80">
        <f>HYPERLINK("https://klasma.github.io/Logging_2482/tillsynsmail/A 40484-2024 tillsynsbegäran mail.docx", "A 40484-2024")</f>
        <v/>
      </c>
    </row>
    <row r="81" ht="15" customHeight="1">
      <c r="A81" t="inlineStr">
        <is>
          <t>A 35777-2019</t>
        </is>
      </c>
      <c r="B81" s="1" t="n">
        <v>43665</v>
      </c>
      <c r="C81" s="1" t="n">
        <v>45566</v>
      </c>
      <c r="D81" t="inlineStr">
        <is>
          <t>VÄSTERBOTTENS LÄN</t>
        </is>
      </c>
      <c r="E81" t="inlineStr">
        <is>
          <t>SKELLEFTEÅ</t>
        </is>
      </c>
      <c r="F81" t="inlineStr">
        <is>
          <t>Holmen skog AB</t>
        </is>
      </c>
      <c r="G81" t="n">
        <v>26.8</v>
      </c>
      <c r="H81" t="n">
        <v>0</v>
      </c>
      <c r="I81" t="n">
        <v>1</v>
      </c>
      <c r="J81" t="n">
        <v>2</v>
      </c>
      <c r="K81" t="n">
        <v>0</v>
      </c>
      <c r="L81" t="n">
        <v>0</v>
      </c>
      <c r="M81" t="n">
        <v>0</v>
      </c>
      <c r="N81" t="n">
        <v>0</v>
      </c>
      <c r="O81" t="n">
        <v>2</v>
      </c>
      <c r="P81" t="n">
        <v>0</v>
      </c>
      <c r="Q81" t="n">
        <v>3</v>
      </c>
      <c r="R81" s="2" t="inlineStr">
        <is>
          <t>Garnlav
Ullticka
Vedticka</t>
        </is>
      </c>
      <c r="S81">
        <f>HYPERLINK("https://klasma.github.io/Logging_2482/artfynd/A 35777-2019 artfynd.xlsx", "A 35777-2019")</f>
        <v/>
      </c>
      <c r="T81">
        <f>HYPERLINK("https://klasma.github.io/Logging_2482/kartor/A 35777-2019 karta.png", "A 35777-2019")</f>
        <v/>
      </c>
      <c r="V81">
        <f>HYPERLINK("https://klasma.github.io/Logging_2482/klagomål/A 35777-2019 FSC-klagomål.docx", "A 35777-2019")</f>
        <v/>
      </c>
      <c r="W81">
        <f>HYPERLINK("https://klasma.github.io/Logging_2482/klagomålsmail/A 35777-2019 FSC-klagomål mail.docx", "A 35777-2019")</f>
        <v/>
      </c>
      <c r="X81">
        <f>HYPERLINK("https://klasma.github.io/Logging_2482/tillsyn/A 35777-2019 tillsynsbegäran.docx", "A 35777-2019")</f>
        <v/>
      </c>
      <c r="Y81">
        <f>HYPERLINK("https://klasma.github.io/Logging_2482/tillsynsmail/A 35777-2019 tillsynsbegäran mail.docx", "A 35777-2019")</f>
        <v/>
      </c>
    </row>
    <row r="82" ht="15" customHeight="1">
      <c r="A82" t="inlineStr">
        <is>
          <t>A 54111-2019</t>
        </is>
      </c>
      <c r="B82" s="1" t="n">
        <v>43752</v>
      </c>
      <c r="C82" s="1" t="n">
        <v>45566</v>
      </c>
      <c r="D82" t="inlineStr">
        <is>
          <t>VÄSTERBOTTENS LÄN</t>
        </is>
      </c>
      <c r="E82" t="inlineStr">
        <is>
          <t>SKELLEFTEÅ</t>
        </is>
      </c>
      <c r="F82" t="inlineStr">
        <is>
          <t>Sveaskog</t>
        </is>
      </c>
      <c r="G82" t="n">
        <v>30.6</v>
      </c>
      <c r="H82" t="n">
        <v>0</v>
      </c>
      <c r="I82" t="n">
        <v>1</v>
      </c>
      <c r="J82" t="n">
        <v>2</v>
      </c>
      <c r="K82" t="n">
        <v>0</v>
      </c>
      <c r="L82" t="n">
        <v>0</v>
      </c>
      <c r="M82" t="n">
        <v>0</v>
      </c>
      <c r="N82" t="n">
        <v>0</v>
      </c>
      <c r="O82" t="n">
        <v>2</v>
      </c>
      <c r="P82" t="n">
        <v>0</v>
      </c>
      <c r="Q82" t="n">
        <v>3</v>
      </c>
      <c r="R82" s="2" t="inlineStr">
        <is>
          <t>Kolflarnlav
Vedskivlav
Skarp dropptaggsvamp</t>
        </is>
      </c>
      <c r="S82">
        <f>HYPERLINK("https://klasma.github.io/Logging_2482/artfynd/A 54111-2019 artfynd.xlsx", "A 54111-2019")</f>
        <v/>
      </c>
      <c r="T82">
        <f>HYPERLINK("https://klasma.github.io/Logging_2482/kartor/A 54111-2019 karta.png", "A 54111-2019")</f>
        <v/>
      </c>
      <c r="V82">
        <f>HYPERLINK("https://klasma.github.io/Logging_2482/klagomål/A 54111-2019 FSC-klagomål.docx", "A 54111-2019")</f>
        <v/>
      </c>
      <c r="W82">
        <f>HYPERLINK("https://klasma.github.io/Logging_2482/klagomålsmail/A 54111-2019 FSC-klagomål mail.docx", "A 54111-2019")</f>
        <v/>
      </c>
      <c r="X82">
        <f>HYPERLINK("https://klasma.github.io/Logging_2482/tillsyn/A 54111-2019 tillsynsbegäran.docx", "A 54111-2019")</f>
        <v/>
      </c>
      <c r="Y82">
        <f>HYPERLINK("https://klasma.github.io/Logging_2482/tillsynsmail/A 54111-2019 tillsynsbegäran mail.docx", "A 54111-2019")</f>
        <v/>
      </c>
    </row>
    <row r="83" ht="15" customHeight="1">
      <c r="A83" t="inlineStr">
        <is>
          <t>A 64056-2019</t>
        </is>
      </c>
      <c r="B83" s="1" t="n">
        <v>43796</v>
      </c>
      <c r="C83" s="1" t="n">
        <v>45566</v>
      </c>
      <c r="D83" t="inlineStr">
        <is>
          <t>VÄSTERBOTTENS LÄN</t>
        </is>
      </c>
      <c r="E83" t="inlineStr">
        <is>
          <t>SKELLEFTEÅ</t>
        </is>
      </c>
      <c r="F83" t="inlineStr">
        <is>
          <t>Sveaskog</t>
        </is>
      </c>
      <c r="G83" t="n">
        <v>4.1</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64056-2019 artfynd.xlsx", "A 64056-2019")</f>
        <v/>
      </c>
      <c r="T83">
        <f>HYPERLINK("https://klasma.github.io/Logging_2482/kartor/A 64056-2019 karta.png", "A 64056-2019")</f>
        <v/>
      </c>
      <c r="V83">
        <f>HYPERLINK("https://klasma.github.io/Logging_2482/klagomål/A 64056-2019 FSC-klagomål.docx", "A 64056-2019")</f>
        <v/>
      </c>
      <c r="W83">
        <f>HYPERLINK("https://klasma.github.io/Logging_2482/klagomålsmail/A 64056-2019 FSC-klagomål mail.docx", "A 64056-2019")</f>
        <v/>
      </c>
      <c r="X83">
        <f>HYPERLINK("https://klasma.github.io/Logging_2482/tillsyn/A 64056-2019 tillsynsbegäran.docx", "A 64056-2019")</f>
        <v/>
      </c>
      <c r="Y83">
        <f>HYPERLINK("https://klasma.github.io/Logging_2482/tillsynsmail/A 64056-2019 tillsynsbegäran mail.docx", "A 64056-2019")</f>
        <v/>
      </c>
    </row>
    <row r="84" ht="15" customHeight="1">
      <c r="A84" t="inlineStr">
        <is>
          <t>A 32940-2020</t>
        </is>
      </c>
      <c r="B84" s="1" t="n">
        <v>44018</v>
      </c>
      <c r="C84" s="1" t="n">
        <v>45566</v>
      </c>
      <c r="D84" t="inlineStr">
        <is>
          <t>VÄSTERBOTTENS LÄN</t>
        </is>
      </c>
      <c r="E84" t="inlineStr">
        <is>
          <t>SKELLEFTEÅ</t>
        </is>
      </c>
      <c r="G84" t="n">
        <v>15.6</v>
      </c>
      <c r="H84" t="n">
        <v>0</v>
      </c>
      <c r="I84" t="n">
        <v>1</v>
      </c>
      <c r="J84" t="n">
        <v>1</v>
      </c>
      <c r="K84" t="n">
        <v>1</v>
      </c>
      <c r="L84" t="n">
        <v>0</v>
      </c>
      <c r="M84" t="n">
        <v>0</v>
      </c>
      <c r="N84" t="n">
        <v>0</v>
      </c>
      <c r="O84" t="n">
        <v>2</v>
      </c>
      <c r="P84" t="n">
        <v>1</v>
      </c>
      <c r="Q84" t="n">
        <v>3</v>
      </c>
      <c r="R84" s="2" t="inlineStr">
        <is>
          <t>Goliatmusseron
Skrovlig taggsvamp
Dropptaggsvamp</t>
        </is>
      </c>
      <c r="S84">
        <f>HYPERLINK("https://klasma.github.io/Logging_2482/artfynd/A 32940-2020 artfynd.xlsx", "A 32940-2020")</f>
        <v/>
      </c>
      <c r="T84">
        <f>HYPERLINK("https://klasma.github.io/Logging_2482/kartor/A 32940-2020 karta.png", "A 32940-2020")</f>
        <v/>
      </c>
      <c r="V84">
        <f>HYPERLINK("https://klasma.github.io/Logging_2482/klagomål/A 32940-2020 FSC-klagomål.docx", "A 32940-2020")</f>
        <v/>
      </c>
      <c r="W84">
        <f>HYPERLINK("https://klasma.github.io/Logging_2482/klagomålsmail/A 32940-2020 FSC-klagomål mail.docx", "A 32940-2020")</f>
        <v/>
      </c>
      <c r="X84">
        <f>HYPERLINK("https://klasma.github.io/Logging_2482/tillsyn/A 32940-2020 tillsynsbegäran.docx", "A 32940-2020")</f>
        <v/>
      </c>
      <c r="Y84">
        <f>HYPERLINK("https://klasma.github.io/Logging_2482/tillsynsmail/A 32940-2020 tillsynsbegäran mail.docx", "A 32940-2020")</f>
        <v/>
      </c>
    </row>
    <row r="85" ht="15" customHeight="1">
      <c r="A85" t="inlineStr">
        <is>
          <t>A 46682-2020</t>
        </is>
      </c>
      <c r="B85" s="1" t="n">
        <v>44089</v>
      </c>
      <c r="C85" s="1" t="n">
        <v>45566</v>
      </c>
      <c r="D85" t="inlineStr">
        <is>
          <t>VÄSTERBOTTENS LÄN</t>
        </is>
      </c>
      <c r="E85" t="inlineStr">
        <is>
          <t>SKELLEFTEÅ</t>
        </is>
      </c>
      <c r="G85" t="n">
        <v>2.5</v>
      </c>
      <c r="H85" t="n">
        <v>0</v>
      </c>
      <c r="I85" t="n">
        <v>0</v>
      </c>
      <c r="J85" t="n">
        <v>3</v>
      </c>
      <c r="K85" t="n">
        <v>0</v>
      </c>
      <c r="L85" t="n">
        <v>0</v>
      </c>
      <c r="M85" t="n">
        <v>0</v>
      </c>
      <c r="N85" t="n">
        <v>0</v>
      </c>
      <c r="O85" t="n">
        <v>3</v>
      </c>
      <c r="P85" t="n">
        <v>0</v>
      </c>
      <c r="Q85" t="n">
        <v>3</v>
      </c>
      <c r="R85" s="2" t="inlineStr">
        <is>
          <t>Gammelgransskål
Garnlav
Granticka</t>
        </is>
      </c>
      <c r="S85">
        <f>HYPERLINK("https://klasma.github.io/Logging_2482/artfynd/A 46682-2020 artfynd.xlsx", "A 46682-2020")</f>
        <v/>
      </c>
      <c r="T85">
        <f>HYPERLINK("https://klasma.github.io/Logging_2482/kartor/A 46682-2020 karta.png", "A 46682-2020")</f>
        <v/>
      </c>
      <c r="V85">
        <f>HYPERLINK("https://klasma.github.io/Logging_2482/klagomål/A 46682-2020 FSC-klagomål.docx", "A 46682-2020")</f>
        <v/>
      </c>
      <c r="W85">
        <f>HYPERLINK("https://klasma.github.io/Logging_2482/klagomålsmail/A 46682-2020 FSC-klagomål mail.docx", "A 46682-2020")</f>
        <v/>
      </c>
      <c r="X85">
        <f>HYPERLINK("https://klasma.github.io/Logging_2482/tillsyn/A 46682-2020 tillsynsbegäran.docx", "A 46682-2020")</f>
        <v/>
      </c>
      <c r="Y85">
        <f>HYPERLINK("https://klasma.github.io/Logging_2482/tillsynsmail/A 46682-2020 tillsynsbegäran mail.docx", "A 46682-2020")</f>
        <v/>
      </c>
    </row>
    <row r="86" ht="15" customHeight="1">
      <c r="A86" t="inlineStr">
        <is>
          <t>A 68690-2020</t>
        </is>
      </c>
      <c r="B86" s="1" t="n">
        <v>44186</v>
      </c>
      <c r="C86" s="1" t="n">
        <v>45566</v>
      </c>
      <c r="D86" t="inlineStr">
        <is>
          <t>VÄSTERBOTTENS LÄN</t>
        </is>
      </c>
      <c r="E86" t="inlineStr">
        <is>
          <t>SKELLEFTEÅ</t>
        </is>
      </c>
      <c r="G86" t="n">
        <v>6.1</v>
      </c>
      <c r="H86" t="n">
        <v>0</v>
      </c>
      <c r="I86" t="n">
        <v>1</v>
      </c>
      <c r="J86" t="n">
        <v>2</v>
      </c>
      <c r="K86" t="n">
        <v>0</v>
      </c>
      <c r="L86" t="n">
        <v>0</v>
      </c>
      <c r="M86" t="n">
        <v>0</v>
      </c>
      <c r="N86" t="n">
        <v>0</v>
      </c>
      <c r="O86" t="n">
        <v>2</v>
      </c>
      <c r="P86" t="n">
        <v>0</v>
      </c>
      <c r="Q86" t="n">
        <v>3</v>
      </c>
      <c r="R86" s="2" t="inlineStr">
        <is>
          <t>Garnlav
Ullticka
Vedticka</t>
        </is>
      </c>
      <c r="S86">
        <f>HYPERLINK("https://klasma.github.io/Logging_2482/artfynd/A 68690-2020 artfynd.xlsx", "A 68690-2020")</f>
        <v/>
      </c>
      <c r="T86">
        <f>HYPERLINK("https://klasma.github.io/Logging_2482/kartor/A 68690-2020 karta.png", "A 68690-2020")</f>
        <v/>
      </c>
      <c r="V86">
        <f>HYPERLINK("https://klasma.github.io/Logging_2482/klagomål/A 68690-2020 FSC-klagomål.docx", "A 68690-2020")</f>
        <v/>
      </c>
      <c r="W86">
        <f>HYPERLINK("https://klasma.github.io/Logging_2482/klagomålsmail/A 68690-2020 FSC-klagomål mail.docx", "A 68690-2020")</f>
        <v/>
      </c>
      <c r="X86">
        <f>HYPERLINK("https://klasma.github.io/Logging_2482/tillsyn/A 68690-2020 tillsynsbegäran.docx", "A 68690-2020")</f>
        <v/>
      </c>
      <c r="Y86">
        <f>HYPERLINK("https://klasma.github.io/Logging_2482/tillsynsmail/A 68690-2020 tillsynsbegäran mail.docx", "A 68690-2020")</f>
        <v/>
      </c>
    </row>
    <row r="87" ht="15" customHeight="1">
      <c r="A87" t="inlineStr">
        <is>
          <t>A 29725-2021</t>
        </is>
      </c>
      <c r="B87" s="1" t="n">
        <v>44362</v>
      </c>
      <c r="C87" s="1" t="n">
        <v>45566</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32918-2021</t>
        </is>
      </c>
      <c r="B88" s="1" t="n">
        <v>44375</v>
      </c>
      <c r="C88" s="1" t="n">
        <v>45566</v>
      </c>
      <c r="D88" t="inlineStr">
        <is>
          <t>VÄSTERBOTTENS LÄN</t>
        </is>
      </c>
      <c r="E88" t="inlineStr">
        <is>
          <t>SKELLEFTEÅ</t>
        </is>
      </c>
      <c r="F88" t="inlineStr">
        <is>
          <t>SCA</t>
        </is>
      </c>
      <c r="G88" t="n">
        <v>16.7</v>
      </c>
      <c r="H88" t="n">
        <v>0</v>
      </c>
      <c r="I88" t="n">
        <v>1</v>
      </c>
      <c r="J88" t="n">
        <v>2</v>
      </c>
      <c r="K88" t="n">
        <v>0</v>
      </c>
      <c r="L88" t="n">
        <v>0</v>
      </c>
      <c r="M88" t="n">
        <v>0</v>
      </c>
      <c r="N88" t="n">
        <v>0</v>
      </c>
      <c r="O88" t="n">
        <v>2</v>
      </c>
      <c r="P88" t="n">
        <v>0</v>
      </c>
      <c r="Q88" t="n">
        <v>3</v>
      </c>
      <c r="R88" s="2" t="inlineStr">
        <is>
          <t>Blå taggsvamp
Tallticka
Dropptaggsvamp</t>
        </is>
      </c>
      <c r="S88">
        <f>HYPERLINK("https://klasma.github.io/Logging_2482/artfynd/A 32918-2021 artfynd.xlsx", "A 32918-2021")</f>
        <v/>
      </c>
      <c r="T88">
        <f>HYPERLINK("https://klasma.github.io/Logging_2482/kartor/A 32918-2021 karta.png", "A 32918-2021")</f>
        <v/>
      </c>
      <c r="V88">
        <f>HYPERLINK("https://klasma.github.io/Logging_2482/klagomål/A 32918-2021 FSC-klagomål.docx", "A 32918-2021")</f>
        <v/>
      </c>
      <c r="W88">
        <f>HYPERLINK("https://klasma.github.io/Logging_2482/klagomålsmail/A 32918-2021 FSC-klagomål mail.docx", "A 32918-2021")</f>
        <v/>
      </c>
      <c r="X88">
        <f>HYPERLINK("https://klasma.github.io/Logging_2482/tillsyn/A 32918-2021 tillsynsbegäran.docx", "A 32918-2021")</f>
        <v/>
      </c>
      <c r="Y88">
        <f>HYPERLINK("https://klasma.github.io/Logging_2482/tillsynsmail/A 32918-2021 tillsynsbegäran mail.docx", "A 32918-2021")</f>
        <v/>
      </c>
    </row>
    <row r="89" ht="15" customHeight="1">
      <c r="A89" t="inlineStr">
        <is>
          <t>A 41508-2021</t>
        </is>
      </c>
      <c r="B89" s="1" t="n">
        <v>44424</v>
      </c>
      <c r="C89" s="1" t="n">
        <v>45566</v>
      </c>
      <c r="D89" t="inlineStr">
        <is>
          <t>VÄSTERBOTTENS LÄN</t>
        </is>
      </c>
      <c r="E89" t="inlineStr">
        <is>
          <t>SKELLEFTEÅ</t>
        </is>
      </c>
      <c r="F89" t="inlineStr">
        <is>
          <t>SCA</t>
        </is>
      </c>
      <c r="G89" t="n">
        <v>9.800000000000001</v>
      </c>
      <c r="H89" t="n">
        <v>0</v>
      </c>
      <c r="I89" t="n">
        <v>1</v>
      </c>
      <c r="J89" t="n">
        <v>2</v>
      </c>
      <c r="K89" t="n">
        <v>0</v>
      </c>
      <c r="L89" t="n">
        <v>0</v>
      </c>
      <c r="M89" t="n">
        <v>0</v>
      </c>
      <c r="N89" t="n">
        <v>0</v>
      </c>
      <c r="O89" t="n">
        <v>2</v>
      </c>
      <c r="P89" t="n">
        <v>0</v>
      </c>
      <c r="Q89" t="n">
        <v>3</v>
      </c>
      <c r="R89" s="2" t="inlineStr">
        <is>
          <t>Motaggsvamp
Orange taggsvamp
Dropptaggsvamp</t>
        </is>
      </c>
      <c r="S89">
        <f>HYPERLINK("https://klasma.github.io/Logging_2482/artfynd/A 41508-2021 artfynd.xlsx", "A 41508-2021")</f>
        <v/>
      </c>
      <c r="T89">
        <f>HYPERLINK("https://klasma.github.io/Logging_2482/kartor/A 41508-2021 karta.png", "A 41508-2021")</f>
        <v/>
      </c>
      <c r="V89">
        <f>HYPERLINK("https://klasma.github.io/Logging_2482/klagomål/A 41508-2021 FSC-klagomål.docx", "A 41508-2021")</f>
        <v/>
      </c>
      <c r="W89">
        <f>HYPERLINK("https://klasma.github.io/Logging_2482/klagomålsmail/A 41508-2021 FSC-klagomål mail.docx", "A 41508-2021")</f>
        <v/>
      </c>
      <c r="X89">
        <f>HYPERLINK("https://klasma.github.io/Logging_2482/tillsyn/A 41508-2021 tillsynsbegäran.docx", "A 41508-2021")</f>
        <v/>
      </c>
      <c r="Y89">
        <f>HYPERLINK("https://klasma.github.io/Logging_2482/tillsynsmail/A 41508-2021 tillsynsbegäran mail.docx", "A 41508-2021")</f>
        <v/>
      </c>
    </row>
    <row r="90" ht="15" customHeight="1">
      <c r="A90" t="inlineStr">
        <is>
          <t>A 41506-2021</t>
        </is>
      </c>
      <c r="B90" s="1" t="n">
        <v>44425</v>
      </c>
      <c r="C90" s="1" t="n">
        <v>45566</v>
      </c>
      <c r="D90" t="inlineStr">
        <is>
          <t>VÄSTERBOTTENS LÄN</t>
        </is>
      </c>
      <c r="E90" t="inlineStr">
        <is>
          <t>SKELLEFTEÅ</t>
        </is>
      </c>
      <c r="F90" t="inlineStr">
        <is>
          <t>SCA</t>
        </is>
      </c>
      <c r="G90" t="n">
        <v>4.2</v>
      </c>
      <c r="H90" t="n">
        <v>0</v>
      </c>
      <c r="I90" t="n">
        <v>1</v>
      </c>
      <c r="J90" t="n">
        <v>2</v>
      </c>
      <c r="K90" t="n">
        <v>0</v>
      </c>
      <c r="L90" t="n">
        <v>0</v>
      </c>
      <c r="M90" t="n">
        <v>0</v>
      </c>
      <c r="N90" t="n">
        <v>0</v>
      </c>
      <c r="O90" t="n">
        <v>2</v>
      </c>
      <c r="P90" t="n">
        <v>0</v>
      </c>
      <c r="Q90" t="n">
        <v>3</v>
      </c>
      <c r="R90" s="2" t="inlineStr">
        <is>
          <t>Rosenticka
Ullticka
Vedticka</t>
        </is>
      </c>
      <c r="S90">
        <f>HYPERLINK("https://klasma.github.io/Logging_2482/artfynd/A 41506-2021 artfynd.xlsx", "A 41506-2021")</f>
        <v/>
      </c>
      <c r="T90">
        <f>HYPERLINK("https://klasma.github.io/Logging_2482/kartor/A 41506-2021 karta.png", "A 41506-2021")</f>
        <v/>
      </c>
      <c r="V90">
        <f>HYPERLINK("https://klasma.github.io/Logging_2482/klagomål/A 41506-2021 FSC-klagomål.docx", "A 41506-2021")</f>
        <v/>
      </c>
      <c r="W90">
        <f>HYPERLINK("https://klasma.github.io/Logging_2482/klagomålsmail/A 41506-2021 FSC-klagomål mail.docx", "A 41506-2021")</f>
        <v/>
      </c>
      <c r="X90">
        <f>HYPERLINK("https://klasma.github.io/Logging_2482/tillsyn/A 41506-2021 tillsynsbegäran.docx", "A 41506-2021")</f>
        <v/>
      </c>
      <c r="Y90">
        <f>HYPERLINK("https://klasma.github.io/Logging_2482/tillsynsmail/A 41506-2021 tillsynsbegäran mail.docx", "A 41506-2021")</f>
        <v/>
      </c>
    </row>
    <row r="91" ht="15" customHeight="1">
      <c r="A91" t="inlineStr">
        <is>
          <t>A 62340-2021</t>
        </is>
      </c>
      <c r="B91" s="1" t="n">
        <v>44503</v>
      </c>
      <c r="C91" s="1" t="n">
        <v>45566</v>
      </c>
      <c r="D91" t="inlineStr">
        <is>
          <t>VÄSTERBOTTENS LÄN</t>
        </is>
      </c>
      <c r="E91" t="inlineStr">
        <is>
          <t>SKELLEFTEÅ</t>
        </is>
      </c>
      <c r="G91" t="n">
        <v>3.9</v>
      </c>
      <c r="H91" t="n">
        <v>0</v>
      </c>
      <c r="I91" t="n">
        <v>2</v>
      </c>
      <c r="J91" t="n">
        <v>1</v>
      </c>
      <c r="K91" t="n">
        <v>0</v>
      </c>
      <c r="L91" t="n">
        <v>0</v>
      </c>
      <c r="M91" t="n">
        <v>0</v>
      </c>
      <c r="N91" t="n">
        <v>0</v>
      </c>
      <c r="O91" t="n">
        <v>1</v>
      </c>
      <c r="P91" t="n">
        <v>0</v>
      </c>
      <c r="Q91" t="n">
        <v>3</v>
      </c>
      <c r="R91" s="2" t="inlineStr">
        <is>
          <t>Garnlav
Dropptaggsvamp
Vedticka</t>
        </is>
      </c>
      <c r="S91">
        <f>HYPERLINK("https://klasma.github.io/Logging_2482/artfynd/A 62340-2021 artfynd.xlsx", "A 62340-2021")</f>
        <v/>
      </c>
      <c r="T91">
        <f>HYPERLINK("https://klasma.github.io/Logging_2482/kartor/A 62340-2021 karta.png", "A 62340-2021")</f>
        <v/>
      </c>
      <c r="V91">
        <f>HYPERLINK("https://klasma.github.io/Logging_2482/klagomål/A 62340-2021 FSC-klagomål.docx", "A 62340-2021")</f>
        <v/>
      </c>
      <c r="W91">
        <f>HYPERLINK("https://klasma.github.io/Logging_2482/klagomålsmail/A 62340-2021 FSC-klagomål mail.docx", "A 62340-2021")</f>
        <v/>
      </c>
      <c r="X91">
        <f>HYPERLINK("https://klasma.github.io/Logging_2482/tillsyn/A 62340-2021 tillsynsbegäran.docx", "A 62340-2021")</f>
        <v/>
      </c>
      <c r="Y91">
        <f>HYPERLINK("https://klasma.github.io/Logging_2482/tillsynsmail/A 62340-2021 tillsynsbegäran mail.docx", "A 62340-2021")</f>
        <v/>
      </c>
    </row>
    <row r="92" ht="15" customHeight="1">
      <c r="A92" t="inlineStr">
        <is>
          <t>A 4245-2022</t>
        </is>
      </c>
      <c r="B92" s="1" t="n">
        <v>44588</v>
      </c>
      <c r="C92" s="1" t="n">
        <v>45566</v>
      </c>
      <c r="D92" t="inlineStr">
        <is>
          <t>VÄSTERBOTTENS LÄN</t>
        </is>
      </c>
      <c r="E92" t="inlineStr">
        <is>
          <t>SKELLEFTEÅ</t>
        </is>
      </c>
      <c r="G92" t="n">
        <v>0.2</v>
      </c>
      <c r="H92" t="n">
        <v>0</v>
      </c>
      <c r="I92" t="n">
        <v>0</v>
      </c>
      <c r="J92" t="n">
        <v>3</v>
      </c>
      <c r="K92" t="n">
        <v>0</v>
      </c>
      <c r="L92" t="n">
        <v>0</v>
      </c>
      <c r="M92" t="n">
        <v>0</v>
      </c>
      <c r="N92" t="n">
        <v>0</v>
      </c>
      <c r="O92" t="n">
        <v>3</v>
      </c>
      <c r="P92" t="n">
        <v>0</v>
      </c>
      <c r="Q92" t="n">
        <v>3</v>
      </c>
      <c r="R92" s="2" t="inlineStr">
        <is>
          <t>Garnlav
Granticka
Harticka</t>
        </is>
      </c>
      <c r="S92">
        <f>HYPERLINK("https://klasma.github.io/Logging_2482/artfynd/A 4245-2022 artfynd.xlsx", "A 4245-2022")</f>
        <v/>
      </c>
      <c r="T92">
        <f>HYPERLINK("https://klasma.github.io/Logging_2482/kartor/A 4245-2022 karta.png", "A 4245-2022")</f>
        <v/>
      </c>
      <c r="V92">
        <f>HYPERLINK("https://klasma.github.io/Logging_2482/klagomål/A 4245-2022 FSC-klagomål.docx", "A 4245-2022")</f>
        <v/>
      </c>
      <c r="W92">
        <f>HYPERLINK("https://klasma.github.io/Logging_2482/klagomålsmail/A 4245-2022 FSC-klagomål mail.docx", "A 4245-2022")</f>
        <v/>
      </c>
      <c r="X92">
        <f>HYPERLINK("https://klasma.github.io/Logging_2482/tillsyn/A 4245-2022 tillsynsbegäran.docx", "A 4245-2022")</f>
        <v/>
      </c>
      <c r="Y92">
        <f>HYPERLINK("https://klasma.github.io/Logging_2482/tillsynsmail/A 4245-2022 tillsynsbegäran mail.docx", "A 4245-2022")</f>
        <v/>
      </c>
    </row>
    <row r="93" ht="15" customHeight="1">
      <c r="A93" t="inlineStr">
        <is>
          <t>A 14498-2022</t>
        </is>
      </c>
      <c r="B93" s="1" t="n">
        <v>44655</v>
      </c>
      <c r="C93" s="1" t="n">
        <v>45566</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19803-2022</t>
        </is>
      </c>
      <c r="B94" s="1" t="n">
        <v>44694</v>
      </c>
      <c r="C94" s="1" t="n">
        <v>45566</v>
      </c>
      <c r="D94" t="inlineStr">
        <is>
          <t>VÄSTERBOTTENS LÄN</t>
        </is>
      </c>
      <c r="E94" t="inlineStr">
        <is>
          <t>SKELLEFTEÅ</t>
        </is>
      </c>
      <c r="F94" t="inlineStr">
        <is>
          <t>SCA</t>
        </is>
      </c>
      <c r="G94" t="n">
        <v>5.6</v>
      </c>
      <c r="H94" t="n">
        <v>1</v>
      </c>
      <c r="I94" t="n">
        <v>0</v>
      </c>
      <c r="J94" t="n">
        <v>3</v>
      </c>
      <c r="K94" t="n">
        <v>0</v>
      </c>
      <c r="L94" t="n">
        <v>0</v>
      </c>
      <c r="M94" t="n">
        <v>0</v>
      </c>
      <c r="N94" t="n">
        <v>0</v>
      </c>
      <c r="O94" t="n">
        <v>3</v>
      </c>
      <c r="P94" t="n">
        <v>0</v>
      </c>
      <c r="Q94" t="n">
        <v>3</v>
      </c>
      <c r="R94" s="2" t="inlineStr">
        <is>
          <t>Rosenticka
Spillkråka
Vitgrynig nållav</t>
        </is>
      </c>
      <c r="S94">
        <f>HYPERLINK("https://klasma.github.io/Logging_2482/artfynd/A 19803-2022 artfynd.xlsx", "A 19803-2022")</f>
        <v/>
      </c>
      <c r="T94">
        <f>HYPERLINK("https://klasma.github.io/Logging_2482/kartor/A 19803-2022 karta.png", "A 19803-2022")</f>
        <v/>
      </c>
      <c r="V94">
        <f>HYPERLINK("https://klasma.github.io/Logging_2482/klagomål/A 19803-2022 FSC-klagomål.docx", "A 19803-2022")</f>
        <v/>
      </c>
      <c r="W94">
        <f>HYPERLINK("https://klasma.github.io/Logging_2482/klagomålsmail/A 19803-2022 FSC-klagomål mail.docx", "A 19803-2022")</f>
        <v/>
      </c>
      <c r="X94">
        <f>HYPERLINK("https://klasma.github.io/Logging_2482/tillsyn/A 19803-2022 tillsynsbegäran.docx", "A 19803-2022")</f>
        <v/>
      </c>
      <c r="Y94">
        <f>HYPERLINK("https://klasma.github.io/Logging_2482/tillsynsmail/A 19803-2022 tillsynsbegäran mail.docx", "A 19803-2022")</f>
        <v/>
      </c>
      <c r="Z94">
        <f>HYPERLINK("https://klasma.github.io/Logging_2482/fåglar/A 19803-2022 prioriterade fågelarter.docx", "A 19803-2022")</f>
        <v/>
      </c>
    </row>
    <row r="95" ht="15" customHeight="1">
      <c r="A95" t="inlineStr">
        <is>
          <t>A 40987-2022</t>
        </is>
      </c>
      <c r="B95" s="1" t="n">
        <v>44823</v>
      </c>
      <c r="C95" s="1" t="n">
        <v>45566</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41412-2022</t>
        </is>
      </c>
      <c r="B96" s="1" t="n">
        <v>44826</v>
      </c>
      <c r="C96" s="1" t="n">
        <v>45566</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45566</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51945-2022</t>
        </is>
      </c>
      <c r="B98" s="1" t="n">
        <v>44872</v>
      </c>
      <c r="C98" s="1" t="n">
        <v>45566</v>
      </c>
      <c r="D98" t="inlineStr">
        <is>
          <t>VÄSTERBOTTENS LÄN</t>
        </is>
      </c>
      <c r="E98" t="inlineStr">
        <is>
          <t>SKELLEFTEÅ</t>
        </is>
      </c>
      <c r="F98" t="inlineStr">
        <is>
          <t>Holmen skog AB</t>
        </is>
      </c>
      <c r="G98" t="n">
        <v>7.1</v>
      </c>
      <c r="H98" t="n">
        <v>2</v>
      </c>
      <c r="I98" t="n">
        <v>1</v>
      </c>
      <c r="J98" t="n">
        <v>0</v>
      </c>
      <c r="K98" t="n">
        <v>0</v>
      </c>
      <c r="L98" t="n">
        <v>0</v>
      </c>
      <c r="M98" t="n">
        <v>0</v>
      </c>
      <c r="N98" t="n">
        <v>0</v>
      </c>
      <c r="O98" t="n">
        <v>0</v>
      </c>
      <c r="P98" t="n">
        <v>0</v>
      </c>
      <c r="Q98" t="n">
        <v>3</v>
      </c>
      <c r="R98" s="2" t="inlineStr">
        <is>
          <t>Trådticka
Lopplummer
Revlummer</t>
        </is>
      </c>
      <c r="S98">
        <f>HYPERLINK("https://klasma.github.io/Logging_2482/artfynd/A 51945-2022 artfynd.xlsx", "A 51945-2022")</f>
        <v/>
      </c>
      <c r="T98">
        <f>HYPERLINK("https://klasma.github.io/Logging_2482/kartor/A 51945-2022 karta.png", "A 51945-2022")</f>
        <v/>
      </c>
      <c r="V98">
        <f>HYPERLINK("https://klasma.github.io/Logging_2482/klagomål/A 51945-2022 FSC-klagomål.docx", "A 51945-2022")</f>
        <v/>
      </c>
      <c r="W98">
        <f>HYPERLINK("https://klasma.github.io/Logging_2482/klagomålsmail/A 51945-2022 FSC-klagomål mail.docx", "A 51945-2022")</f>
        <v/>
      </c>
      <c r="X98">
        <f>HYPERLINK("https://klasma.github.io/Logging_2482/tillsyn/A 51945-2022 tillsynsbegäran.docx", "A 51945-2022")</f>
        <v/>
      </c>
      <c r="Y98">
        <f>HYPERLINK("https://klasma.github.io/Logging_2482/tillsynsmail/A 51945-2022 tillsynsbegäran mail.docx", "A 51945-2022")</f>
        <v/>
      </c>
    </row>
    <row r="99" ht="15" customHeight="1">
      <c r="A99" t="inlineStr">
        <is>
          <t>A 35733-2023</t>
        </is>
      </c>
      <c r="B99" s="1" t="n">
        <v>45147</v>
      </c>
      <c r="C99" s="1" t="n">
        <v>45566</v>
      </c>
      <c r="D99" t="inlineStr">
        <is>
          <t>VÄSTERBOTTENS LÄN</t>
        </is>
      </c>
      <c r="E99" t="inlineStr">
        <is>
          <t>SKELLEFTEÅ</t>
        </is>
      </c>
      <c r="G99" t="n">
        <v>1.2</v>
      </c>
      <c r="H99" t="n">
        <v>0</v>
      </c>
      <c r="I99" t="n">
        <v>2</v>
      </c>
      <c r="J99" t="n">
        <v>1</v>
      </c>
      <c r="K99" t="n">
        <v>0</v>
      </c>
      <c r="L99" t="n">
        <v>0</v>
      </c>
      <c r="M99" t="n">
        <v>0</v>
      </c>
      <c r="N99" t="n">
        <v>0</v>
      </c>
      <c r="O99" t="n">
        <v>1</v>
      </c>
      <c r="P99" t="n">
        <v>0</v>
      </c>
      <c r="Q99" t="n">
        <v>3</v>
      </c>
      <c r="R99" s="2" t="inlineStr">
        <is>
          <t>Garnlav
Dropptaggsvamp
Skarp dropptaggsvamp</t>
        </is>
      </c>
      <c r="S99">
        <f>HYPERLINK("https://klasma.github.io/Logging_2482/artfynd/A 35733-2023 artfynd.xlsx", "A 35733-2023")</f>
        <v/>
      </c>
      <c r="T99">
        <f>HYPERLINK("https://klasma.github.io/Logging_2482/kartor/A 35733-2023 karta.png", "A 35733-2023")</f>
        <v/>
      </c>
      <c r="V99">
        <f>HYPERLINK("https://klasma.github.io/Logging_2482/klagomål/A 35733-2023 FSC-klagomål.docx", "A 35733-2023")</f>
        <v/>
      </c>
      <c r="W99">
        <f>HYPERLINK("https://klasma.github.io/Logging_2482/klagomålsmail/A 35733-2023 FSC-klagomål mail.docx", "A 35733-2023")</f>
        <v/>
      </c>
      <c r="X99">
        <f>HYPERLINK("https://klasma.github.io/Logging_2482/tillsyn/A 35733-2023 tillsynsbegäran.docx", "A 35733-2023")</f>
        <v/>
      </c>
      <c r="Y99">
        <f>HYPERLINK("https://klasma.github.io/Logging_2482/tillsynsmail/A 35733-2023 tillsynsbegäran mail.docx", "A 35733-2023")</f>
        <v/>
      </c>
    </row>
    <row r="100" ht="15" customHeight="1">
      <c r="A100" t="inlineStr">
        <is>
          <t>A 41099-2023</t>
        </is>
      </c>
      <c r="B100" s="1" t="n">
        <v>45173</v>
      </c>
      <c r="C100" s="1" t="n">
        <v>45566</v>
      </c>
      <c r="D100" t="inlineStr">
        <is>
          <t>VÄSTERBOTTENS LÄN</t>
        </is>
      </c>
      <c r="E100" t="inlineStr">
        <is>
          <t>SKELLEFTEÅ</t>
        </is>
      </c>
      <c r="F100" t="inlineStr">
        <is>
          <t>Holmen skog AB</t>
        </is>
      </c>
      <c r="G100" t="n">
        <v>7.3</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41099-2023 artfynd.xlsx", "A 41099-2023")</f>
        <v/>
      </c>
      <c r="T100">
        <f>HYPERLINK("https://klasma.github.io/Logging_2482/kartor/A 41099-2023 karta.png", "A 41099-2023")</f>
        <v/>
      </c>
      <c r="V100">
        <f>HYPERLINK("https://klasma.github.io/Logging_2482/klagomål/A 41099-2023 FSC-klagomål.docx", "A 41099-2023")</f>
        <v/>
      </c>
      <c r="W100">
        <f>HYPERLINK("https://klasma.github.io/Logging_2482/klagomålsmail/A 41099-2023 FSC-klagomål mail.docx", "A 41099-2023")</f>
        <v/>
      </c>
      <c r="X100">
        <f>HYPERLINK("https://klasma.github.io/Logging_2482/tillsyn/A 41099-2023 tillsynsbegäran.docx", "A 41099-2023")</f>
        <v/>
      </c>
      <c r="Y100">
        <f>HYPERLINK("https://klasma.github.io/Logging_2482/tillsynsmail/A 41099-2023 tillsynsbegäran mail.docx", "A 41099-2023")</f>
        <v/>
      </c>
    </row>
    <row r="101" ht="15" customHeight="1">
      <c r="A101" t="inlineStr">
        <is>
          <t>A 44152-2023</t>
        </is>
      </c>
      <c r="B101" s="1" t="n">
        <v>45188</v>
      </c>
      <c r="C101" s="1" t="n">
        <v>45566</v>
      </c>
      <c r="D101" t="inlineStr">
        <is>
          <t>VÄSTERBOTTENS LÄN</t>
        </is>
      </c>
      <c r="E101" t="inlineStr">
        <is>
          <t>SKELLEFTEÅ</t>
        </is>
      </c>
      <c r="F101" t="inlineStr">
        <is>
          <t>Holmen skog AB</t>
        </is>
      </c>
      <c r="G101" t="n">
        <v>9.199999999999999</v>
      </c>
      <c r="H101" t="n">
        <v>1</v>
      </c>
      <c r="I101" t="n">
        <v>0</v>
      </c>
      <c r="J101" t="n">
        <v>3</v>
      </c>
      <c r="K101" t="n">
        <v>0</v>
      </c>
      <c r="L101" t="n">
        <v>0</v>
      </c>
      <c r="M101" t="n">
        <v>0</v>
      </c>
      <c r="N101" t="n">
        <v>0</v>
      </c>
      <c r="O101" t="n">
        <v>3</v>
      </c>
      <c r="P101" t="n">
        <v>0</v>
      </c>
      <c r="Q101" t="n">
        <v>3</v>
      </c>
      <c r="R101" s="2" t="inlineStr">
        <is>
          <t>Gammelgransskål
Garnlav
Videsparv</t>
        </is>
      </c>
      <c r="S101">
        <f>HYPERLINK("https://klasma.github.io/Logging_2482/artfynd/A 44152-2023 artfynd.xlsx", "A 44152-2023")</f>
        <v/>
      </c>
      <c r="T101">
        <f>HYPERLINK("https://klasma.github.io/Logging_2482/kartor/A 44152-2023 karta.png", "A 44152-2023")</f>
        <v/>
      </c>
      <c r="V101">
        <f>HYPERLINK("https://klasma.github.io/Logging_2482/klagomål/A 44152-2023 FSC-klagomål.docx", "A 44152-2023")</f>
        <v/>
      </c>
      <c r="W101">
        <f>HYPERLINK("https://klasma.github.io/Logging_2482/klagomålsmail/A 44152-2023 FSC-klagomål mail.docx", "A 44152-2023")</f>
        <v/>
      </c>
      <c r="X101">
        <f>HYPERLINK("https://klasma.github.io/Logging_2482/tillsyn/A 44152-2023 tillsynsbegäran.docx", "A 44152-2023")</f>
        <v/>
      </c>
      <c r="Y101">
        <f>HYPERLINK("https://klasma.github.io/Logging_2482/tillsynsmail/A 44152-2023 tillsynsbegäran mail.docx", "A 44152-2023")</f>
        <v/>
      </c>
      <c r="Z101">
        <f>HYPERLINK("https://klasma.github.io/Logging_2482/fåglar/A 44152-2023 prioriterade fågelarter.docx", "A 44152-2023")</f>
        <v/>
      </c>
    </row>
    <row r="102" ht="15" customHeight="1">
      <c r="A102" t="inlineStr">
        <is>
          <t>A 56435-2023</t>
        </is>
      </c>
      <c r="B102" s="1" t="n">
        <v>45243</v>
      </c>
      <c r="C102" s="1" t="n">
        <v>45566</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58157-2023</t>
        </is>
      </c>
      <c r="B103" s="1" t="n">
        <v>45250</v>
      </c>
      <c r="C103" s="1" t="n">
        <v>45566</v>
      </c>
      <c r="D103" t="inlineStr">
        <is>
          <t>VÄSTERBOTTENS LÄN</t>
        </is>
      </c>
      <c r="E103" t="inlineStr">
        <is>
          <t>SKELLEFTEÅ</t>
        </is>
      </c>
      <c r="F103" t="inlineStr">
        <is>
          <t>Holmen skog AB</t>
        </is>
      </c>
      <c r="G103" t="n">
        <v>14.4</v>
      </c>
      <c r="H103" t="n">
        <v>0</v>
      </c>
      <c r="I103" t="n">
        <v>0</v>
      </c>
      <c r="J103" t="n">
        <v>3</v>
      </c>
      <c r="K103" t="n">
        <v>0</v>
      </c>
      <c r="L103" t="n">
        <v>0</v>
      </c>
      <c r="M103" t="n">
        <v>0</v>
      </c>
      <c r="N103" t="n">
        <v>0</v>
      </c>
      <c r="O103" t="n">
        <v>3</v>
      </c>
      <c r="P103" t="n">
        <v>0</v>
      </c>
      <c r="Q103" t="n">
        <v>3</v>
      </c>
      <c r="R103" s="2" t="inlineStr">
        <is>
          <t>Granticka
Motaggsvamp
Orange taggsvamp</t>
        </is>
      </c>
      <c r="S103">
        <f>HYPERLINK("https://klasma.github.io/Logging_2482/artfynd/A 58157-2023 artfynd.xlsx", "A 58157-2023")</f>
        <v/>
      </c>
      <c r="T103">
        <f>HYPERLINK("https://klasma.github.io/Logging_2482/kartor/A 58157-2023 karta.png", "A 58157-2023")</f>
        <v/>
      </c>
      <c r="V103">
        <f>HYPERLINK("https://klasma.github.io/Logging_2482/klagomål/A 58157-2023 FSC-klagomål.docx", "A 58157-2023")</f>
        <v/>
      </c>
      <c r="W103">
        <f>HYPERLINK("https://klasma.github.io/Logging_2482/klagomålsmail/A 58157-2023 FSC-klagomål mail.docx", "A 58157-2023")</f>
        <v/>
      </c>
      <c r="X103">
        <f>HYPERLINK("https://klasma.github.io/Logging_2482/tillsyn/A 58157-2023 tillsynsbegäran.docx", "A 58157-2023")</f>
        <v/>
      </c>
      <c r="Y103">
        <f>HYPERLINK("https://klasma.github.io/Logging_2482/tillsynsmail/A 58157-2023 tillsynsbegäran mail.docx", "A 58157-2023")</f>
        <v/>
      </c>
    </row>
    <row r="104" ht="15" customHeight="1">
      <c r="A104" t="inlineStr">
        <is>
          <t>A 62346-2023</t>
        </is>
      </c>
      <c r="B104" s="1" t="n">
        <v>45267</v>
      </c>
      <c r="C104" s="1" t="n">
        <v>45566</v>
      </c>
      <c r="D104" t="inlineStr">
        <is>
          <t>VÄSTERBOTTENS LÄN</t>
        </is>
      </c>
      <c r="E104" t="inlineStr">
        <is>
          <t>SKELLEFTEÅ</t>
        </is>
      </c>
      <c r="G104" t="n">
        <v>5.1</v>
      </c>
      <c r="H104" t="n">
        <v>0</v>
      </c>
      <c r="I104" t="n">
        <v>0</v>
      </c>
      <c r="J104" t="n">
        <v>3</v>
      </c>
      <c r="K104" t="n">
        <v>0</v>
      </c>
      <c r="L104" t="n">
        <v>0</v>
      </c>
      <c r="M104" t="n">
        <v>0</v>
      </c>
      <c r="N104" t="n">
        <v>0</v>
      </c>
      <c r="O104" t="n">
        <v>3</v>
      </c>
      <c r="P104" t="n">
        <v>0</v>
      </c>
      <c r="Q104" t="n">
        <v>3</v>
      </c>
      <c r="R104" s="2" t="inlineStr">
        <is>
          <t>Garnlav
Ullticka
Violettgrå tagellav</t>
        </is>
      </c>
      <c r="S104">
        <f>HYPERLINK("https://klasma.github.io/Logging_2482/artfynd/A 62346-2023 artfynd.xlsx", "A 62346-2023")</f>
        <v/>
      </c>
      <c r="T104">
        <f>HYPERLINK("https://klasma.github.io/Logging_2482/kartor/A 62346-2023 karta.png", "A 62346-2023")</f>
        <v/>
      </c>
      <c r="V104">
        <f>HYPERLINK("https://klasma.github.io/Logging_2482/klagomål/A 62346-2023 FSC-klagomål.docx", "A 62346-2023")</f>
        <v/>
      </c>
      <c r="W104">
        <f>HYPERLINK("https://klasma.github.io/Logging_2482/klagomålsmail/A 62346-2023 FSC-klagomål mail.docx", "A 62346-2023")</f>
        <v/>
      </c>
      <c r="X104">
        <f>HYPERLINK("https://klasma.github.io/Logging_2482/tillsyn/A 62346-2023 tillsynsbegäran.docx", "A 62346-2023")</f>
        <v/>
      </c>
      <c r="Y104">
        <f>HYPERLINK("https://klasma.github.io/Logging_2482/tillsynsmail/A 62346-2023 tillsynsbegäran mail.docx", "A 62346-2023")</f>
        <v/>
      </c>
    </row>
    <row r="105" ht="15" customHeight="1">
      <c r="A105" t="inlineStr">
        <is>
          <t>A 62595-2023</t>
        </is>
      </c>
      <c r="B105" s="1" t="n">
        <v>45267</v>
      </c>
      <c r="C105" s="1" t="n">
        <v>45566</v>
      </c>
      <c r="D105" t="inlineStr">
        <is>
          <t>VÄSTERBOTTENS LÄN</t>
        </is>
      </c>
      <c r="E105" t="inlineStr">
        <is>
          <t>SKELLEFTEÅ</t>
        </is>
      </c>
      <c r="G105" t="n">
        <v>4.6</v>
      </c>
      <c r="H105" t="n">
        <v>2</v>
      </c>
      <c r="I105" t="n">
        <v>1</v>
      </c>
      <c r="J105" t="n">
        <v>1</v>
      </c>
      <c r="K105" t="n">
        <v>0</v>
      </c>
      <c r="L105" t="n">
        <v>0</v>
      </c>
      <c r="M105" t="n">
        <v>0</v>
      </c>
      <c r="N105" t="n">
        <v>0</v>
      </c>
      <c r="O105" t="n">
        <v>1</v>
      </c>
      <c r="P105" t="n">
        <v>0</v>
      </c>
      <c r="Q105" t="n">
        <v>3</v>
      </c>
      <c r="R105" s="2" t="inlineStr">
        <is>
          <t>Spillkråka
Vedticka
Fläcknycklar</t>
        </is>
      </c>
      <c r="S105">
        <f>HYPERLINK("https://klasma.github.io/Logging_2482/artfynd/A 62595-2023 artfynd.xlsx", "A 62595-2023")</f>
        <v/>
      </c>
      <c r="T105">
        <f>HYPERLINK("https://klasma.github.io/Logging_2482/kartor/A 62595-2023 karta.png", "A 62595-2023")</f>
        <v/>
      </c>
      <c r="V105">
        <f>HYPERLINK("https://klasma.github.io/Logging_2482/klagomål/A 62595-2023 FSC-klagomål.docx", "A 62595-2023")</f>
        <v/>
      </c>
      <c r="W105">
        <f>HYPERLINK("https://klasma.github.io/Logging_2482/klagomålsmail/A 62595-2023 FSC-klagomål mail.docx", "A 62595-2023")</f>
        <v/>
      </c>
      <c r="X105">
        <f>HYPERLINK("https://klasma.github.io/Logging_2482/tillsyn/A 62595-2023 tillsynsbegäran.docx", "A 62595-2023")</f>
        <v/>
      </c>
      <c r="Y105">
        <f>HYPERLINK("https://klasma.github.io/Logging_2482/tillsynsmail/A 62595-2023 tillsynsbegäran mail.docx", "A 62595-2023")</f>
        <v/>
      </c>
      <c r="Z105">
        <f>HYPERLINK("https://klasma.github.io/Logging_2482/fåglar/A 62595-2023 prioriterade fågelarter.docx", "A 62595-2023")</f>
        <v/>
      </c>
    </row>
    <row r="106" ht="15" customHeight="1">
      <c r="A106" t="inlineStr">
        <is>
          <t>A 63289-2023</t>
        </is>
      </c>
      <c r="B106" s="1" t="n">
        <v>45273</v>
      </c>
      <c r="C106" s="1" t="n">
        <v>45566</v>
      </c>
      <c r="D106" t="inlineStr">
        <is>
          <t>VÄSTERBOTTENS LÄN</t>
        </is>
      </c>
      <c r="E106" t="inlineStr">
        <is>
          <t>SKELLEFTEÅ</t>
        </is>
      </c>
      <c r="G106" t="n">
        <v>2.7</v>
      </c>
      <c r="H106" t="n">
        <v>2</v>
      </c>
      <c r="I106" t="n">
        <v>1</v>
      </c>
      <c r="J106" t="n">
        <v>2</v>
      </c>
      <c r="K106" t="n">
        <v>0</v>
      </c>
      <c r="L106" t="n">
        <v>0</v>
      </c>
      <c r="M106" t="n">
        <v>0</v>
      </c>
      <c r="N106" t="n">
        <v>0</v>
      </c>
      <c r="O106" t="n">
        <v>2</v>
      </c>
      <c r="P106" t="n">
        <v>0</v>
      </c>
      <c r="Q106" t="n">
        <v>3</v>
      </c>
      <c r="R106" s="2" t="inlineStr">
        <is>
          <t>Talltita
Tretåig hackspett
Vedticka</t>
        </is>
      </c>
      <c r="S106">
        <f>HYPERLINK("https://klasma.github.io/Logging_2482/artfynd/A 63289-2023 artfynd.xlsx", "A 63289-2023")</f>
        <v/>
      </c>
      <c r="T106">
        <f>HYPERLINK("https://klasma.github.io/Logging_2482/kartor/A 63289-2023 karta.png", "A 63289-2023")</f>
        <v/>
      </c>
      <c r="V106">
        <f>HYPERLINK("https://klasma.github.io/Logging_2482/klagomål/A 63289-2023 FSC-klagomål.docx", "A 63289-2023")</f>
        <v/>
      </c>
      <c r="W106">
        <f>HYPERLINK("https://klasma.github.io/Logging_2482/klagomålsmail/A 63289-2023 FSC-klagomål mail.docx", "A 63289-2023")</f>
        <v/>
      </c>
      <c r="X106">
        <f>HYPERLINK("https://klasma.github.io/Logging_2482/tillsyn/A 63289-2023 tillsynsbegäran.docx", "A 63289-2023")</f>
        <v/>
      </c>
      <c r="Y106">
        <f>HYPERLINK("https://klasma.github.io/Logging_2482/tillsynsmail/A 63289-2023 tillsynsbegäran mail.docx", "A 63289-2023")</f>
        <v/>
      </c>
      <c r="Z106">
        <f>HYPERLINK("https://klasma.github.io/Logging_2482/fåglar/A 63289-2023 prioriterade fågelarter.docx", "A 63289-2023")</f>
        <v/>
      </c>
    </row>
    <row r="107" ht="15" customHeight="1">
      <c r="A107" t="inlineStr">
        <is>
          <t>A 64850-2023</t>
        </is>
      </c>
      <c r="B107" s="1" t="n">
        <v>45282</v>
      </c>
      <c r="C107" s="1" t="n">
        <v>45566</v>
      </c>
      <c r="D107" t="inlineStr">
        <is>
          <t>VÄSTERBOTTENS LÄN</t>
        </is>
      </c>
      <c r="E107" t="inlineStr">
        <is>
          <t>SKELLEFTEÅ</t>
        </is>
      </c>
      <c r="G107" t="n">
        <v>9.9</v>
      </c>
      <c r="H107" t="n">
        <v>0</v>
      </c>
      <c r="I107" t="n">
        <v>0</v>
      </c>
      <c r="J107" t="n">
        <v>3</v>
      </c>
      <c r="K107" t="n">
        <v>0</v>
      </c>
      <c r="L107" t="n">
        <v>0</v>
      </c>
      <c r="M107" t="n">
        <v>0</v>
      </c>
      <c r="N107" t="n">
        <v>0</v>
      </c>
      <c r="O107" t="n">
        <v>3</v>
      </c>
      <c r="P107" t="n">
        <v>0</v>
      </c>
      <c r="Q107" t="n">
        <v>3</v>
      </c>
      <c r="R107" s="2" t="inlineStr">
        <is>
          <t>Gammelgransskål
Garnlav
Ullticka</t>
        </is>
      </c>
      <c r="S107">
        <f>HYPERLINK("https://klasma.github.io/Logging_2482/artfynd/A 64850-2023 artfynd.xlsx", "A 64850-2023")</f>
        <v/>
      </c>
      <c r="T107">
        <f>HYPERLINK("https://klasma.github.io/Logging_2482/kartor/A 64850-2023 karta.png", "A 64850-2023")</f>
        <v/>
      </c>
      <c r="V107">
        <f>HYPERLINK("https://klasma.github.io/Logging_2482/klagomål/A 64850-2023 FSC-klagomål.docx", "A 64850-2023")</f>
        <v/>
      </c>
      <c r="W107">
        <f>HYPERLINK("https://klasma.github.io/Logging_2482/klagomålsmail/A 64850-2023 FSC-klagomål mail.docx", "A 64850-2023")</f>
        <v/>
      </c>
      <c r="X107">
        <f>HYPERLINK("https://klasma.github.io/Logging_2482/tillsyn/A 64850-2023 tillsynsbegäran.docx", "A 64850-2023")</f>
        <v/>
      </c>
      <c r="Y107">
        <f>HYPERLINK("https://klasma.github.io/Logging_2482/tillsynsmail/A 64850-2023 tillsynsbegäran mail.docx", "A 64850-2023")</f>
        <v/>
      </c>
    </row>
    <row r="108" ht="15" customHeight="1">
      <c r="A108" t="inlineStr">
        <is>
          <t>A 23750-2024</t>
        </is>
      </c>
      <c r="B108" s="1" t="n">
        <v>45455</v>
      </c>
      <c r="C108" s="1" t="n">
        <v>45566</v>
      </c>
      <c r="D108" t="inlineStr">
        <is>
          <t>VÄSTERBOTTENS LÄN</t>
        </is>
      </c>
      <c r="E108" t="inlineStr">
        <is>
          <t>SKELLEFTEÅ</t>
        </is>
      </c>
      <c r="G108" t="n">
        <v>2.8</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23750-2024 artfynd.xlsx", "A 23750-2024")</f>
        <v/>
      </c>
      <c r="T108">
        <f>HYPERLINK("https://klasma.github.io/Logging_2482/kartor/A 23750-2024 karta.png", "A 23750-2024")</f>
        <v/>
      </c>
      <c r="V108">
        <f>HYPERLINK("https://klasma.github.io/Logging_2482/klagomål/A 23750-2024 FSC-klagomål.docx", "A 23750-2024")</f>
        <v/>
      </c>
      <c r="W108">
        <f>HYPERLINK("https://klasma.github.io/Logging_2482/klagomålsmail/A 23750-2024 FSC-klagomål mail.docx", "A 23750-2024")</f>
        <v/>
      </c>
      <c r="X108">
        <f>HYPERLINK("https://klasma.github.io/Logging_2482/tillsyn/A 23750-2024 tillsynsbegäran.docx", "A 23750-2024")</f>
        <v/>
      </c>
      <c r="Y108">
        <f>HYPERLINK("https://klasma.github.io/Logging_2482/tillsynsmail/A 23750-2024 tillsynsbegäran mail.docx", "A 23750-2024")</f>
        <v/>
      </c>
    </row>
    <row r="109" ht="15" customHeight="1">
      <c r="A109" t="inlineStr">
        <is>
          <t>A 27290-2024</t>
        </is>
      </c>
      <c r="B109" s="1" t="n">
        <v>45472</v>
      </c>
      <c r="C109" s="1" t="n">
        <v>45566</v>
      </c>
      <c r="D109" t="inlineStr">
        <is>
          <t>VÄSTERBOTTENS LÄN</t>
        </is>
      </c>
      <c r="E109" t="inlineStr">
        <is>
          <t>SKELLEFTEÅ</t>
        </is>
      </c>
      <c r="G109" t="n">
        <v>2.6</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HYPERLINK("https://klasma.github.io/Logging_2482/artfynd/A 27290-2024 artfynd.xlsx", "A 27290-2024")</f>
        <v/>
      </c>
      <c r="T109">
        <f>HYPERLINK("https://klasma.github.io/Logging_2482/kartor/A 27290-2024 karta.png", "A 27290-2024")</f>
        <v/>
      </c>
      <c r="V109">
        <f>HYPERLINK("https://klasma.github.io/Logging_2482/klagomål/A 27290-2024 FSC-klagomål.docx", "A 27290-2024")</f>
        <v/>
      </c>
      <c r="W109">
        <f>HYPERLINK("https://klasma.github.io/Logging_2482/klagomålsmail/A 27290-2024 FSC-klagomål mail.docx", "A 27290-2024")</f>
        <v/>
      </c>
      <c r="X109">
        <f>HYPERLINK("https://klasma.github.io/Logging_2482/tillsyn/A 27290-2024 tillsynsbegäran.docx", "A 27290-2024")</f>
        <v/>
      </c>
      <c r="Y109">
        <f>HYPERLINK("https://klasma.github.io/Logging_2482/tillsynsmail/A 27290-2024 tillsynsbegäran mail.docx", "A 27290-2024")</f>
        <v/>
      </c>
    </row>
    <row r="110" ht="15" customHeight="1">
      <c r="A110" t="inlineStr">
        <is>
          <t>A 30534-2024</t>
        </is>
      </c>
      <c r="B110" s="1" t="n">
        <v>45492</v>
      </c>
      <c r="C110" s="1" t="n">
        <v>45566</v>
      </c>
      <c r="D110" t="inlineStr">
        <is>
          <t>VÄSTERBOTTENS LÄN</t>
        </is>
      </c>
      <c r="E110" t="inlineStr">
        <is>
          <t>SKELLEFTEÅ</t>
        </is>
      </c>
      <c r="F110" t="inlineStr">
        <is>
          <t>Holmen skog AB</t>
        </is>
      </c>
      <c r="G110" t="n">
        <v>6.5</v>
      </c>
      <c r="H110" t="n">
        <v>0</v>
      </c>
      <c r="I110" t="n">
        <v>2</v>
      </c>
      <c r="J110" t="n">
        <v>1</v>
      </c>
      <c r="K110" t="n">
        <v>0</v>
      </c>
      <c r="L110" t="n">
        <v>0</v>
      </c>
      <c r="M110" t="n">
        <v>0</v>
      </c>
      <c r="N110" t="n">
        <v>0</v>
      </c>
      <c r="O110" t="n">
        <v>1</v>
      </c>
      <c r="P110" t="n">
        <v>0</v>
      </c>
      <c r="Q110" t="n">
        <v>3</v>
      </c>
      <c r="R110" s="2" t="inlineStr">
        <is>
          <t>Garnlav
Dropptaggsvamp
Skinnlav</t>
        </is>
      </c>
      <c r="S110">
        <f>HYPERLINK("https://klasma.github.io/Logging_2482/artfynd/A 30534-2024 artfynd.xlsx", "A 30534-2024")</f>
        <v/>
      </c>
      <c r="T110">
        <f>HYPERLINK("https://klasma.github.io/Logging_2482/kartor/A 30534-2024 karta.png", "A 30534-2024")</f>
        <v/>
      </c>
      <c r="V110">
        <f>HYPERLINK("https://klasma.github.io/Logging_2482/klagomål/A 30534-2024 FSC-klagomål.docx", "A 30534-2024")</f>
        <v/>
      </c>
      <c r="W110">
        <f>HYPERLINK("https://klasma.github.io/Logging_2482/klagomålsmail/A 30534-2024 FSC-klagomål mail.docx", "A 30534-2024")</f>
        <v/>
      </c>
      <c r="X110">
        <f>HYPERLINK("https://klasma.github.io/Logging_2482/tillsyn/A 30534-2024 tillsynsbegäran.docx", "A 30534-2024")</f>
        <v/>
      </c>
      <c r="Y110">
        <f>HYPERLINK("https://klasma.github.io/Logging_2482/tillsynsmail/A 30534-2024 tillsynsbegäran mail.docx", "A 30534-2024")</f>
        <v/>
      </c>
    </row>
    <row r="111" ht="15" customHeight="1">
      <c r="A111" t="inlineStr">
        <is>
          <t>A 33858-2024</t>
        </is>
      </c>
      <c r="B111" s="1" t="n">
        <v>45520</v>
      </c>
      <c r="C111" s="1" t="n">
        <v>45566</v>
      </c>
      <c r="D111" t="inlineStr">
        <is>
          <t>VÄSTERBOTTENS LÄN</t>
        </is>
      </c>
      <c r="E111" t="inlineStr">
        <is>
          <t>SKELLEFTEÅ</t>
        </is>
      </c>
      <c r="F111" t="inlineStr">
        <is>
          <t>Holmen skog AB</t>
        </is>
      </c>
      <c r="G111" t="n">
        <v>1.5</v>
      </c>
      <c r="H111" t="n">
        <v>0</v>
      </c>
      <c r="I111" t="n">
        <v>1</v>
      </c>
      <c r="J111" t="n">
        <v>2</v>
      </c>
      <c r="K111" t="n">
        <v>0</v>
      </c>
      <c r="L111" t="n">
        <v>0</v>
      </c>
      <c r="M111" t="n">
        <v>0</v>
      </c>
      <c r="N111" t="n">
        <v>0</v>
      </c>
      <c r="O111" t="n">
        <v>2</v>
      </c>
      <c r="P111" t="n">
        <v>0</v>
      </c>
      <c r="Q111" t="n">
        <v>3</v>
      </c>
      <c r="R111" s="2" t="inlineStr">
        <is>
          <t>Gammelgransskål
Garnlav
Dropptaggsvamp</t>
        </is>
      </c>
      <c r="S111">
        <f>HYPERLINK("https://klasma.github.io/Logging_2482/artfynd/A 33858-2024 artfynd.xlsx", "A 33858-2024")</f>
        <v/>
      </c>
      <c r="T111">
        <f>HYPERLINK("https://klasma.github.io/Logging_2482/kartor/A 33858-2024 karta.png", "A 33858-2024")</f>
        <v/>
      </c>
      <c r="V111">
        <f>HYPERLINK("https://klasma.github.io/Logging_2482/klagomål/A 33858-2024 FSC-klagomål.docx", "A 33858-2024")</f>
        <v/>
      </c>
      <c r="W111">
        <f>HYPERLINK("https://klasma.github.io/Logging_2482/klagomålsmail/A 33858-2024 FSC-klagomål mail.docx", "A 33858-2024")</f>
        <v/>
      </c>
      <c r="X111">
        <f>HYPERLINK("https://klasma.github.io/Logging_2482/tillsyn/A 33858-2024 tillsynsbegäran.docx", "A 33858-2024")</f>
        <v/>
      </c>
      <c r="Y111">
        <f>HYPERLINK("https://klasma.github.io/Logging_2482/tillsynsmail/A 33858-2024 tillsynsbegäran mail.docx", "A 33858-2024")</f>
        <v/>
      </c>
    </row>
    <row r="112" ht="15" customHeight="1">
      <c r="A112" t="inlineStr">
        <is>
          <t>A 34667-2024</t>
        </is>
      </c>
      <c r="B112" s="1" t="n">
        <v>45526</v>
      </c>
      <c r="C112" s="1" t="n">
        <v>45566</v>
      </c>
      <c r="D112" t="inlineStr">
        <is>
          <t>VÄSTERBOTTENS LÄN</t>
        </is>
      </c>
      <c r="E112" t="inlineStr">
        <is>
          <t>SKELLEFTEÅ</t>
        </is>
      </c>
      <c r="F112" t="inlineStr">
        <is>
          <t>Holmen skog AB</t>
        </is>
      </c>
      <c r="G112" t="n">
        <v>28.9</v>
      </c>
      <c r="H112" t="n">
        <v>0</v>
      </c>
      <c r="I112" t="n">
        <v>1</v>
      </c>
      <c r="J112" t="n">
        <v>2</v>
      </c>
      <c r="K112" t="n">
        <v>0</v>
      </c>
      <c r="L112" t="n">
        <v>0</v>
      </c>
      <c r="M112" t="n">
        <v>0</v>
      </c>
      <c r="N112" t="n">
        <v>0</v>
      </c>
      <c r="O112" t="n">
        <v>2</v>
      </c>
      <c r="P112" t="n">
        <v>0</v>
      </c>
      <c r="Q112" t="n">
        <v>3</v>
      </c>
      <c r="R112" s="2" t="inlineStr">
        <is>
          <t>Orange taggsvamp
Svart taggsvamp
Dropptaggsvamp</t>
        </is>
      </c>
      <c r="S112">
        <f>HYPERLINK("https://klasma.github.io/Logging_2482/artfynd/A 34667-2024 artfynd.xlsx", "A 34667-2024")</f>
        <v/>
      </c>
      <c r="T112">
        <f>HYPERLINK("https://klasma.github.io/Logging_2482/kartor/A 34667-2024 karta.png", "A 34667-2024")</f>
        <v/>
      </c>
      <c r="V112">
        <f>HYPERLINK("https://klasma.github.io/Logging_2482/klagomål/A 34667-2024 FSC-klagomål.docx", "A 34667-2024")</f>
        <v/>
      </c>
      <c r="W112">
        <f>HYPERLINK("https://klasma.github.io/Logging_2482/klagomålsmail/A 34667-2024 FSC-klagomål mail.docx", "A 34667-2024")</f>
        <v/>
      </c>
      <c r="X112">
        <f>HYPERLINK("https://klasma.github.io/Logging_2482/tillsyn/A 34667-2024 tillsynsbegäran.docx", "A 34667-2024")</f>
        <v/>
      </c>
      <c r="Y112">
        <f>HYPERLINK("https://klasma.github.io/Logging_2482/tillsynsmail/A 34667-2024 tillsynsbegäran mail.docx", "A 34667-2024")</f>
        <v/>
      </c>
    </row>
    <row r="113" ht="15" customHeight="1">
      <c r="A113" t="inlineStr">
        <is>
          <t>A 18882-2019</t>
        </is>
      </c>
      <c r="B113" s="1" t="n">
        <v>43563</v>
      </c>
      <c r="C113" s="1" t="n">
        <v>45566</v>
      </c>
      <c r="D113" t="inlineStr">
        <is>
          <t>VÄSTERBOTTENS LÄN</t>
        </is>
      </c>
      <c r="E113" t="inlineStr">
        <is>
          <t>SKELLEFTEÅ</t>
        </is>
      </c>
      <c r="F113" t="inlineStr">
        <is>
          <t>Kommuner</t>
        </is>
      </c>
      <c r="G113" t="n">
        <v>33.1</v>
      </c>
      <c r="H113" t="n">
        <v>2</v>
      </c>
      <c r="I113" t="n">
        <v>1</v>
      </c>
      <c r="J113" t="n">
        <v>0</v>
      </c>
      <c r="K113" t="n">
        <v>0</v>
      </c>
      <c r="L113" t="n">
        <v>0</v>
      </c>
      <c r="M113" t="n">
        <v>0</v>
      </c>
      <c r="N113" t="n">
        <v>0</v>
      </c>
      <c r="O113" t="n">
        <v>0</v>
      </c>
      <c r="P113" t="n">
        <v>0</v>
      </c>
      <c r="Q113" t="n">
        <v>2</v>
      </c>
      <c r="R113" s="2" t="inlineStr">
        <is>
          <t>Plattlummer
Revlummer</t>
        </is>
      </c>
      <c r="S113">
        <f>HYPERLINK("https://klasma.github.io/Logging_2482/artfynd/A 18882-2019 artfynd.xlsx", "A 18882-2019")</f>
        <v/>
      </c>
      <c r="T113">
        <f>HYPERLINK("https://klasma.github.io/Logging_2482/kartor/A 18882-2019 karta.png", "A 18882-2019")</f>
        <v/>
      </c>
      <c r="V113">
        <f>HYPERLINK("https://klasma.github.io/Logging_2482/klagomål/A 18882-2019 FSC-klagomål.docx", "A 18882-2019")</f>
        <v/>
      </c>
      <c r="W113">
        <f>HYPERLINK("https://klasma.github.io/Logging_2482/klagomålsmail/A 18882-2019 FSC-klagomål mail.docx", "A 18882-2019")</f>
        <v/>
      </c>
      <c r="X113">
        <f>HYPERLINK("https://klasma.github.io/Logging_2482/tillsyn/A 18882-2019 tillsynsbegäran.docx", "A 18882-2019")</f>
        <v/>
      </c>
      <c r="Y113">
        <f>HYPERLINK("https://klasma.github.io/Logging_2482/tillsynsmail/A 18882-2019 tillsynsbegäran mail.docx", "A 18882-2019")</f>
        <v/>
      </c>
    </row>
    <row r="114" ht="15" customHeight="1">
      <c r="A114" t="inlineStr">
        <is>
          <t>A 29514-2019</t>
        </is>
      </c>
      <c r="B114" s="1" t="n">
        <v>43627</v>
      </c>
      <c r="C114" s="1" t="n">
        <v>45566</v>
      </c>
      <c r="D114" t="inlineStr">
        <is>
          <t>VÄSTERBOTTENS LÄN</t>
        </is>
      </c>
      <c r="E114" t="inlineStr">
        <is>
          <t>SKELLEFTEÅ</t>
        </is>
      </c>
      <c r="G114" t="n">
        <v>9.5</v>
      </c>
      <c r="H114" t="n">
        <v>1</v>
      </c>
      <c r="I114" t="n">
        <v>1</v>
      </c>
      <c r="J114" t="n">
        <v>1</v>
      </c>
      <c r="K114" t="n">
        <v>0</v>
      </c>
      <c r="L114" t="n">
        <v>0</v>
      </c>
      <c r="M114" t="n">
        <v>0</v>
      </c>
      <c r="N114" t="n">
        <v>0</v>
      </c>
      <c r="O114" t="n">
        <v>1</v>
      </c>
      <c r="P114" t="n">
        <v>0</v>
      </c>
      <c r="Q114" t="n">
        <v>2</v>
      </c>
      <c r="R114" s="2" t="inlineStr">
        <is>
          <t>Ullticka
Lappranunkel</t>
        </is>
      </c>
      <c r="S114">
        <f>HYPERLINK("https://klasma.github.io/Logging_2482/artfynd/A 29514-2019 artfynd.xlsx", "A 29514-2019")</f>
        <v/>
      </c>
      <c r="T114">
        <f>HYPERLINK("https://klasma.github.io/Logging_2482/kartor/A 29514-2019 karta.png", "A 29514-2019")</f>
        <v/>
      </c>
      <c r="V114">
        <f>HYPERLINK("https://klasma.github.io/Logging_2482/klagomål/A 29514-2019 FSC-klagomål.docx", "A 29514-2019")</f>
        <v/>
      </c>
      <c r="W114">
        <f>HYPERLINK("https://klasma.github.io/Logging_2482/klagomålsmail/A 29514-2019 FSC-klagomål mail.docx", "A 29514-2019")</f>
        <v/>
      </c>
      <c r="X114">
        <f>HYPERLINK("https://klasma.github.io/Logging_2482/tillsyn/A 29514-2019 tillsynsbegäran.docx", "A 29514-2019")</f>
        <v/>
      </c>
      <c r="Y114">
        <f>HYPERLINK("https://klasma.github.io/Logging_2482/tillsynsmail/A 29514-2019 tillsynsbegäran mail.docx", "A 29514-2019")</f>
        <v/>
      </c>
    </row>
    <row r="115" ht="15" customHeight="1">
      <c r="A115" t="inlineStr">
        <is>
          <t>A 35097-2019</t>
        </is>
      </c>
      <c r="B115" s="1" t="n">
        <v>43661</v>
      </c>
      <c r="C115" s="1" t="n">
        <v>45566</v>
      </c>
      <c r="D115" t="inlineStr">
        <is>
          <t>VÄSTERBOTTENS LÄN</t>
        </is>
      </c>
      <c r="E115" t="inlineStr">
        <is>
          <t>SKELLEFTEÅ</t>
        </is>
      </c>
      <c r="F115" t="inlineStr">
        <is>
          <t>Sveaskog</t>
        </is>
      </c>
      <c r="G115" t="n">
        <v>19.2</v>
      </c>
      <c r="H115" t="n">
        <v>0</v>
      </c>
      <c r="I115" t="n">
        <v>1</v>
      </c>
      <c r="J115" t="n">
        <v>1</v>
      </c>
      <c r="K115" t="n">
        <v>0</v>
      </c>
      <c r="L115" t="n">
        <v>0</v>
      </c>
      <c r="M115" t="n">
        <v>0</v>
      </c>
      <c r="N115" t="n">
        <v>0</v>
      </c>
      <c r="O115" t="n">
        <v>1</v>
      </c>
      <c r="P115" t="n">
        <v>0</v>
      </c>
      <c r="Q115" t="n">
        <v>2</v>
      </c>
      <c r="R115" s="2" t="inlineStr">
        <is>
          <t>Grönhjon
Bronshjon</t>
        </is>
      </c>
      <c r="S115">
        <f>HYPERLINK("https://klasma.github.io/Logging_2482/artfynd/A 35097-2019 artfynd.xlsx", "A 35097-2019")</f>
        <v/>
      </c>
      <c r="T115">
        <f>HYPERLINK("https://klasma.github.io/Logging_2482/kartor/A 35097-2019 karta.png", "A 35097-2019")</f>
        <v/>
      </c>
      <c r="V115">
        <f>HYPERLINK("https://klasma.github.io/Logging_2482/klagomål/A 35097-2019 FSC-klagomål.docx", "A 35097-2019")</f>
        <v/>
      </c>
      <c r="W115">
        <f>HYPERLINK("https://klasma.github.io/Logging_2482/klagomålsmail/A 35097-2019 FSC-klagomål mail.docx", "A 35097-2019")</f>
        <v/>
      </c>
      <c r="X115">
        <f>HYPERLINK("https://klasma.github.io/Logging_2482/tillsyn/A 35097-2019 tillsynsbegäran.docx", "A 35097-2019")</f>
        <v/>
      </c>
      <c r="Y115">
        <f>HYPERLINK("https://klasma.github.io/Logging_2482/tillsynsmail/A 35097-2019 tillsynsbegäran mail.docx", "A 35097-2019")</f>
        <v/>
      </c>
    </row>
    <row r="116" ht="15" customHeight="1">
      <c r="A116" t="inlineStr">
        <is>
          <t>A 46354-2019</t>
        </is>
      </c>
      <c r="B116" s="1" t="n">
        <v>43718</v>
      </c>
      <c r="C116" s="1" t="n">
        <v>45566</v>
      </c>
      <c r="D116" t="inlineStr">
        <is>
          <t>VÄSTERBOTTENS LÄN</t>
        </is>
      </c>
      <c r="E116" t="inlineStr">
        <is>
          <t>SKELLEFTEÅ</t>
        </is>
      </c>
      <c r="F116" t="inlineStr">
        <is>
          <t>SCA</t>
        </is>
      </c>
      <c r="G116" t="n">
        <v>5.5</v>
      </c>
      <c r="H116" t="n">
        <v>2</v>
      </c>
      <c r="I116" t="n">
        <v>0</v>
      </c>
      <c r="J116" t="n">
        <v>0</v>
      </c>
      <c r="K116" t="n">
        <v>0</v>
      </c>
      <c r="L116" t="n">
        <v>0</v>
      </c>
      <c r="M116" t="n">
        <v>0</v>
      </c>
      <c r="N116" t="n">
        <v>0</v>
      </c>
      <c r="O116" t="n">
        <v>0</v>
      </c>
      <c r="P116" t="n">
        <v>0</v>
      </c>
      <c r="Q116" t="n">
        <v>2</v>
      </c>
      <c r="R116" s="2" t="inlineStr">
        <is>
          <t>Vanlig groda
Revlummer</t>
        </is>
      </c>
      <c r="S116">
        <f>HYPERLINK("https://klasma.github.io/Logging_2482/artfynd/A 46354-2019 artfynd.xlsx", "A 46354-2019")</f>
        <v/>
      </c>
      <c r="T116">
        <f>HYPERLINK("https://klasma.github.io/Logging_2482/kartor/A 46354-2019 karta.png", "A 46354-2019")</f>
        <v/>
      </c>
      <c r="V116">
        <f>HYPERLINK("https://klasma.github.io/Logging_2482/klagomål/A 46354-2019 FSC-klagomål.docx", "A 46354-2019")</f>
        <v/>
      </c>
      <c r="W116">
        <f>HYPERLINK("https://klasma.github.io/Logging_2482/klagomålsmail/A 46354-2019 FSC-klagomål mail.docx", "A 46354-2019")</f>
        <v/>
      </c>
      <c r="X116">
        <f>HYPERLINK("https://klasma.github.io/Logging_2482/tillsyn/A 46354-2019 tillsynsbegäran.docx", "A 46354-2019")</f>
        <v/>
      </c>
      <c r="Y116">
        <f>HYPERLINK("https://klasma.github.io/Logging_2482/tillsynsmail/A 46354-2019 tillsynsbegäran mail.docx", "A 46354-2019")</f>
        <v/>
      </c>
    </row>
    <row r="117" ht="15" customHeight="1">
      <c r="A117" t="inlineStr">
        <is>
          <t>A 65623-2019</t>
        </is>
      </c>
      <c r="B117" s="1" t="n">
        <v>43804</v>
      </c>
      <c r="C117" s="1" t="n">
        <v>45566</v>
      </c>
      <c r="D117" t="inlineStr">
        <is>
          <t>VÄSTERBOTTENS LÄN</t>
        </is>
      </c>
      <c r="E117" t="inlineStr">
        <is>
          <t>SKELLEFTEÅ</t>
        </is>
      </c>
      <c r="G117" t="n">
        <v>1.2</v>
      </c>
      <c r="H117" t="n">
        <v>0</v>
      </c>
      <c r="I117" t="n">
        <v>1</v>
      </c>
      <c r="J117" t="n">
        <v>1</v>
      </c>
      <c r="K117" t="n">
        <v>0</v>
      </c>
      <c r="L117" t="n">
        <v>0</v>
      </c>
      <c r="M117" t="n">
        <v>0</v>
      </c>
      <c r="N117" t="n">
        <v>0</v>
      </c>
      <c r="O117" t="n">
        <v>1</v>
      </c>
      <c r="P117" t="n">
        <v>0</v>
      </c>
      <c r="Q117" t="n">
        <v>2</v>
      </c>
      <c r="R117" s="2" t="inlineStr">
        <is>
          <t>Granticka
Vedticka</t>
        </is>
      </c>
      <c r="S117">
        <f>HYPERLINK("https://klasma.github.io/Logging_2482/artfynd/A 65623-2019 artfynd.xlsx", "A 65623-2019")</f>
        <v/>
      </c>
      <c r="T117">
        <f>HYPERLINK("https://klasma.github.io/Logging_2482/kartor/A 65623-2019 karta.png", "A 65623-2019")</f>
        <v/>
      </c>
      <c r="V117">
        <f>HYPERLINK("https://klasma.github.io/Logging_2482/klagomål/A 65623-2019 FSC-klagomål.docx", "A 65623-2019")</f>
        <v/>
      </c>
      <c r="W117">
        <f>HYPERLINK("https://klasma.github.io/Logging_2482/klagomålsmail/A 65623-2019 FSC-klagomål mail.docx", "A 65623-2019")</f>
        <v/>
      </c>
      <c r="X117">
        <f>HYPERLINK("https://klasma.github.io/Logging_2482/tillsyn/A 65623-2019 tillsynsbegäran.docx", "A 65623-2019")</f>
        <v/>
      </c>
      <c r="Y117">
        <f>HYPERLINK("https://klasma.github.io/Logging_2482/tillsynsmail/A 65623-2019 tillsynsbegäran mail.docx", "A 65623-2019")</f>
        <v/>
      </c>
    </row>
    <row r="118" ht="15" customHeight="1">
      <c r="A118" t="inlineStr">
        <is>
          <t>A 40134-2020</t>
        </is>
      </c>
      <c r="B118" s="1" t="n">
        <v>44067</v>
      </c>
      <c r="C118" s="1" t="n">
        <v>45566</v>
      </c>
      <c r="D118" t="inlineStr">
        <is>
          <t>VÄSTERBOTTENS LÄN</t>
        </is>
      </c>
      <c r="E118" t="inlineStr">
        <is>
          <t>SKELLEFTEÅ</t>
        </is>
      </c>
      <c r="G118" t="n">
        <v>6.1</v>
      </c>
      <c r="H118" t="n">
        <v>0</v>
      </c>
      <c r="I118" t="n">
        <v>1</v>
      </c>
      <c r="J118" t="n">
        <v>0</v>
      </c>
      <c r="K118" t="n">
        <v>0</v>
      </c>
      <c r="L118" t="n">
        <v>1</v>
      </c>
      <c r="M118" t="n">
        <v>0</v>
      </c>
      <c r="N118" t="n">
        <v>0</v>
      </c>
      <c r="O118" t="n">
        <v>1</v>
      </c>
      <c r="P118" t="n">
        <v>1</v>
      </c>
      <c r="Q118" t="n">
        <v>2</v>
      </c>
      <c r="R118" s="2" t="inlineStr">
        <is>
          <t>Större svartbagge
Stekelbock</t>
        </is>
      </c>
      <c r="S118">
        <f>HYPERLINK("https://klasma.github.io/Logging_2482/artfynd/A 40134-2020 artfynd.xlsx", "A 40134-2020")</f>
        <v/>
      </c>
      <c r="T118">
        <f>HYPERLINK("https://klasma.github.io/Logging_2482/kartor/A 40134-2020 karta.png", "A 40134-2020")</f>
        <v/>
      </c>
      <c r="V118">
        <f>HYPERLINK("https://klasma.github.io/Logging_2482/klagomål/A 40134-2020 FSC-klagomål.docx", "A 40134-2020")</f>
        <v/>
      </c>
      <c r="W118">
        <f>HYPERLINK("https://klasma.github.io/Logging_2482/klagomålsmail/A 40134-2020 FSC-klagomål mail.docx", "A 40134-2020")</f>
        <v/>
      </c>
      <c r="X118">
        <f>HYPERLINK("https://klasma.github.io/Logging_2482/tillsyn/A 40134-2020 tillsynsbegäran.docx", "A 40134-2020")</f>
        <v/>
      </c>
      <c r="Y118">
        <f>HYPERLINK("https://klasma.github.io/Logging_2482/tillsynsmail/A 40134-2020 tillsynsbegäran mail.docx", "A 40134-2020")</f>
        <v/>
      </c>
    </row>
    <row r="119" ht="15" customHeight="1">
      <c r="A119" t="inlineStr">
        <is>
          <t>A 53541-2020</t>
        </is>
      </c>
      <c r="B119" s="1" t="n">
        <v>44124</v>
      </c>
      <c r="C119" s="1" t="n">
        <v>45566</v>
      </c>
      <c r="D119" t="inlineStr">
        <is>
          <t>VÄSTERBOTTENS LÄN</t>
        </is>
      </c>
      <c r="E119" t="inlineStr">
        <is>
          <t>SKELLEFTEÅ</t>
        </is>
      </c>
      <c r="F119" t="inlineStr">
        <is>
          <t>Sveaskog</t>
        </is>
      </c>
      <c r="G119" t="n">
        <v>4.4</v>
      </c>
      <c r="H119" t="n">
        <v>0</v>
      </c>
      <c r="I119" t="n">
        <v>1</v>
      </c>
      <c r="J119" t="n">
        <v>1</v>
      </c>
      <c r="K119" t="n">
        <v>0</v>
      </c>
      <c r="L119" t="n">
        <v>0</v>
      </c>
      <c r="M119" t="n">
        <v>0</v>
      </c>
      <c r="N119" t="n">
        <v>0</v>
      </c>
      <c r="O119" t="n">
        <v>1</v>
      </c>
      <c r="P119" t="n">
        <v>0</v>
      </c>
      <c r="Q119" t="n">
        <v>2</v>
      </c>
      <c r="R119" s="2" t="inlineStr">
        <is>
          <t>Motaggsvamp
Dropptaggsvamp</t>
        </is>
      </c>
      <c r="S119">
        <f>HYPERLINK("https://klasma.github.io/Logging_2482/artfynd/A 53541-2020 artfynd.xlsx", "A 53541-2020")</f>
        <v/>
      </c>
      <c r="T119">
        <f>HYPERLINK("https://klasma.github.io/Logging_2482/kartor/A 53541-2020 karta.png", "A 53541-2020")</f>
        <v/>
      </c>
      <c r="V119">
        <f>HYPERLINK("https://klasma.github.io/Logging_2482/klagomål/A 53541-2020 FSC-klagomål.docx", "A 53541-2020")</f>
        <v/>
      </c>
      <c r="W119">
        <f>HYPERLINK("https://klasma.github.io/Logging_2482/klagomålsmail/A 53541-2020 FSC-klagomål mail.docx", "A 53541-2020")</f>
        <v/>
      </c>
      <c r="X119">
        <f>HYPERLINK("https://klasma.github.io/Logging_2482/tillsyn/A 53541-2020 tillsynsbegäran.docx", "A 53541-2020")</f>
        <v/>
      </c>
      <c r="Y119">
        <f>HYPERLINK("https://klasma.github.io/Logging_2482/tillsynsmail/A 53541-2020 tillsynsbegäran mail.docx", "A 53541-2020")</f>
        <v/>
      </c>
    </row>
    <row r="120" ht="15" customHeight="1">
      <c r="A120" t="inlineStr">
        <is>
          <t>A 55809-2020</t>
        </is>
      </c>
      <c r="B120" s="1" t="n">
        <v>44132</v>
      </c>
      <c r="C120" s="1" t="n">
        <v>45566</v>
      </c>
      <c r="D120" t="inlineStr">
        <is>
          <t>VÄSTERBOTTENS LÄN</t>
        </is>
      </c>
      <c r="E120" t="inlineStr">
        <is>
          <t>SKELLEFTEÅ</t>
        </is>
      </c>
      <c r="F120" t="inlineStr">
        <is>
          <t>Sveaskog</t>
        </is>
      </c>
      <c r="G120" t="n">
        <v>9.9</v>
      </c>
      <c r="H120" t="n">
        <v>2</v>
      </c>
      <c r="I120" t="n">
        <v>0</v>
      </c>
      <c r="J120" t="n">
        <v>1</v>
      </c>
      <c r="K120" t="n">
        <v>0</v>
      </c>
      <c r="L120" t="n">
        <v>0</v>
      </c>
      <c r="M120" t="n">
        <v>0</v>
      </c>
      <c r="N120" t="n">
        <v>0</v>
      </c>
      <c r="O120" t="n">
        <v>1</v>
      </c>
      <c r="P120" t="n">
        <v>0</v>
      </c>
      <c r="Q120" t="n">
        <v>2</v>
      </c>
      <c r="R120" s="2" t="inlineStr">
        <is>
          <t>Nordfladdermus
Fläcknycklar</t>
        </is>
      </c>
      <c r="S120">
        <f>HYPERLINK("https://klasma.github.io/Logging_2482/artfynd/A 55809-2020 artfynd.xlsx", "A 55809-2020")</f>
        <v/>
      </c>
      <c r="T120">
        <f>HYPERLINK("https://klasma.github.io/Logging_2482/kartor/A 55809-2020 karta.png", "A 55809-2020")</f>
        <v/>
      </c>
      <c r="V120">
        <f>HYPERLINK("https://klasma.github.io/Logging_2482/klagomål/A 55809-2020 FSC-klagomål.docx", "A 55809-2020")</f>
        <v/>
      </c>
      <c r="W120">
        <f>HYPERLINK("https://klasma.github.io/Logging_2482/klagomålsmail/A 55809-2020 FSC-klagomål mail.docx", "A 55809-2020")</f>
        <v/>
      </c>
      <c r="X120">
        <f>HYPERLINK("https://klasma.github.io/Logging_2482/tillsyn/A 55809-2020 tillsynsbegäran.docx", "A 55809-2020")</f>
        <v/>
      </c>
      <c r="Y120">
        <f>HYPERLINK("https://klasma.github.io/Logging_2482/tillsynsmail/A 55809-2020 tillsynsbegäran mail.docx", "A 55809-2020")</f>
        <v/>
      </c>
    </row>
    <row r="121" ht="15" customHeight="1">
      <c r="A121" t="inlineStr">
        <is>
          <t>A 64203-2020</t>
        </is>
      </c>
      <c r="B121" s="1" t="n">
        <v>44167</v>
      </c>
      <c r="C121" s="1" t="n">
        <v>45566</v>
      </c>
      <c r="D121" t="inlineStr">
        <is>
          <t>VÄSTERBOTTENS LÄN</t>
        </is>
      </c>
      <c r="E121" t="inlineStr">
        <is>
          <t>SKELLEFTEÅ</t>
        </is>
      </c>
      <c r="G121" t="n">
        <v>9.800000000000001</v>
      </c>
      <c r="H121" t="n">
        <v>2</v>
      </c>
      <c r="I121" t="n">
        <v>0</v>
      </c>
      <c r="J121" t="n">
        <v>0</v>
      </c>
      <c r="K121" t="n">
        <v>0</v>
      </c>
      <c r="L121" t="n">
        <v>0</v>
      </c>
      <c r="M121" t="n">
        <v>0</v>
      </c>
      <c r="N121" t="n">
        <v>0</v>
      </c>
      <c r="O121" t="n">
        <v>0</v>
      </c>
      <c r="P121" t="n">
        <v>0</v>
      </c>
      <c r="Q121" t="n">
        <v>2</v>
      </c>
      <c r="R121" s="2" t="inlineStr">
        <is>
          <t>Brudsporre
Fläcknycklar</t>
        </is>
      </c>
      <c r="S121">
        <f>HYPERLINK("https://klasma.github.io/Logging_2482/artfynd/A 64203-2020 artfynd.xlsx", "A 64203-2020")</f>
        <v/>
      </c>
      <c r="T121">
        <f>HYPERLINK("https://klasma.github.io/Logging_2482/kartor/A 64203-2020 karta.png", "A 64203-2020")</f>
        <v/>
      </c>
      <c r="V121">
        <f>HYPERLINK("https://klasma.github.io/Logging_2482/klagomål/A 64203-2020 FSC-klagomål.docx", "A 64203-2020")</f>
        <v/>
      </c>
      <c r="W121">
        <f>HYPERLINK("https://klasma.github.io/Logging_2482/klagomålsmail/A 64203-2020 FSC-klagomål mail.docx", "A 64203-2020")</f>
        <v/>
      </c>
      <c r="X121">
        <f>HYPERLINK("https://klasma.github.io/Logging_2482/tillsyn/A 64203-2020 tillsynsbegäran.docx", "A 64203-2020")</f>
        <v/>
      </c>
      <c r="Y121">
        <f>HYPERLINK("https://klasma.github.io/Logging_2482/tillsynsmail/A 64203-2020 tillsynsbegäran mail.docx", "A 64203-2020")</f>
        <v/>
      </c>
    </row>
    <row r="122" ht="15" customHeight="1">
      <c r="A122" t="inlineStr">
        <is>
          <t>A 35733-2021</t>
        </is>
      </c>
      <c r="B122" s="1" t="n">
        <v>44385</v>
      </c>
      <c r="C122" s="1" t="n">
        <v>45566</v>
      </c>
      <c r="D122" t="inlineStr">
        <is>
          <t>VÄSTERBOTTENS LÄN</t>
        </is>
      </c>
      <c r="E122" t="inlineStr">
        <is>
          <t>SKELLEFTEÅ</t>
        </is>
      </c>
      <c r="G122" t="n">
        <v>0.9</v>
      </c>
      <c r="H122" t="n">
        <v>2</v>
      </c>
      <c r="I122" t="n">
        <v>0</v>
      </c>
      <c r="J122" t="n">
        <v>1</v>
      </c>
      <c r="K122" t="n">
        <v>0</v>
      </c>
      <c r="L122" t="n">
        <v>0</v>
      </c>
      <c r="M122" t="n">
        <v>0</v>
      </c>
      <c r="N122" t="n">
        <v>0</v>
      </c>
      <c r="O122" t="n">
        <v>1</v>
      </c>
      <c r="P122" t="n">
        <v>0</v>
      </c>
      <c r="Q122" t="n">
        <v>2</v>
      </c>
      <c r="R122" s="2" t="inlineStr">
        <is>
          <t>Spillkråka
Tjäder</t>
        </is>
      </c>
      <c r="S122">
        <f>HYPERLINK("https://klasma.github.io/Logging_2482/artfynd/A 35733-2021 artfynd.xlsx", "A 35733-2021")</f>
        <v/>
      </c>
      <c r="T122">
        <f>HYPERLINK("https://klasma.github.io/Logging_2482/kartor/A 35733-2021 karta.png", "A 35733-2021")</f>
        <v/>
      </c>
      <c r="V122">
        <f>HYPERLINK("https://klasma.github.io/Logging_2482/klagomål/A 35733-2021 FSC-klagomål.docx", "A 35733-2021")</f>
        <v/>
      </c>
      <c r="W122">
        <f>HYPERLINK("https://klasma.github.io/Logging_2482/klagomålsmail/A 35733-2021 FSC-klagomål mail.docx", "A 35733-2021")</f>
        <v/>
      </c>
      <c r="X122">
        <f>HYPERLINK("https://klasma.github.io/Logging_2482/tillsyn/A 35733-2021 tillsynsbegäran.docx", "A 35733-2021")</f>
        <v/>
      </c>
      <c r="Y122">
        <f>HYPERLINK("https://klasma.github.io/Logging_2482/tillsynsmail/A 35733-2021 tillsynsbegäran mail.docx", "A 35733-2021")</f>
        <v/>
      </c>
      <c r="Z122">
        <f>HYPERLINK("https://klasma.github.io/Logging_2482/fåglar/A 35733-2021 prioriterade fågelarter.docx", "A 35733-2021")</f>
        <v/>
      </c>
    </row>
    <row r="123" ht="15" customHeight="1">
      <c r="A123" t="inlineStr">
        <is>
          <t>A 35585-2021</t>
        </is>
      </c>
      <c r="B123" s="1" t="n">
        <v>44386</v>
      </c>
      <c r="C123" s="1" t="n">
        <v>45566</v>
      </c>
      <c r="D123" t="inlineStr">
        <is>
          <t>VÄSTERBOTTENS LÄN</t>
        </is>
      </c>
      <c r="E123" t="inlineStr">
        <is>
          <t>SKELLEFTEÅ</t>
        </is>
      </c>
      <c r="F123" t="inlineStr">
        <is>
          <t>Holmen skog AB</t>
        </is>
      </c>
      <c r="G123" t="n">
        <v>8.4</v>
      </c>
      <c r="H123" t="n">
        <v>0</v>
      </c>
      <c r="I123" t="n">
        <v>0</v>
      </c>
      <c r="J123" t="n">
        <v>2</v>
      </c>
      <c r="K123" t="n">
        <v>0</v>
      </c>
      <c r="L123" t="n">
        <v>0</v>
      </c>
      <c r="M123" t="n">
        <v>0</v>
      </c>
      <c r="N123" t="n">
        <v>0</v>
      </c>
      <c r="O123" t="n">
        <v>2</v>
      </c>
      <c r="P123" t="n">
        <v>0</v>
      </c>
      <c r="Q123" t="n">
        <v>2</v>
      </c>
      <c r="R123" s="2" t="inlineStr">
        <is>
          <t>Garnlav
Ullticka</t>
        </is>
      </c>
      <c r="S123">
        <f>HYPERLINK("https://klasma.github.io/Logging_2482/artfynd/A 35585-2021 artfynd.xlsx", "A 35585-2021")</f>
        <v/>
      </c>
      <c r="T123">
        <f>HYPERLINK("https://klasma.github.io/Logging_2482/kartor/A 35585-2021 karta.png", "A 35585-2021")</f>
        <v/>
      </c>
      <c r="V123">
        <f>HYPERLINK("https://klasma.github.io/Logging_2482/klagomål/A 35585-2021 FSC-klagomål.docx", "A 35585-2021")</f>
        <v/>
      </c>
      <c r="W123">
        <f>HYPERLINK("https://klasma.github.io/Logging_2482/klagomålsmail/A 35585-2021 FSC-klagomål mail.docx", "A 35585-2021")</f>
        <v/>
      </c>
      <c r="X123">
        <f>HYPERLINK("https://klasma.github.io/Logging_2482/tillsyn/A 35585-2021 tillsynsbegäran.docx", "A 35585-2021")</f>
        <v/>
      </c>
      <c r="Y123">
        <f>HYPERLINK("https://klasma.github.io/Logging_2482/tillsynsmail/A 35585-2021 tillsynsbegäran mail.docx", "A 35585-2021")</f>
        <v/>
      </c>
    </row>
    <row r="124" ht="15" customHeight="1">
      <c r="A124" t="inlineStr">
        <is>
          <t>A 58661-2021</t>
        </is>
      </c>
      <c r="B124" s="1" t="n">
        <v>44489</v>
      </c>
      <c r="C124" s="1" t="n">
        <v>45566</v>
      </c>
      <c r="D124" t="inlineStr">
        <is>
          <t>VÄSTERBOTTENS LÄN</t>
        </is>
      </c>
      <c r="E124" t="inlineStr">
        <is>
          <t>SKELLEFTEÅ</t>
        </is>
      </c>
      <c r="F124" t="inlineStr">
        <is>
          <t>Sveaskog</t>
        </is>
      </c>
      <c r="G124" t="n">
        <v>3.2</v>
      </c>
      <c r="H124" t="n">
        <v>0</v>
      </c>
      <c r="I124" t="n">
        <v>1</v>
      </c>
      <c r="J124" t="n">
        <v>1</v>
      </c>
      <c r="K124" t="n">
        <v>0</v>
      </c>
      <c r="L124" t="n">
        <v>0</v>
      </c>
      <c r="M124" t="n">
        <v>0</v>
      </c>
      <c r="N124" t="n">
        <v>0</v>
      </c>
      <c r="O124" t="n">
        <v>1</v>
      </c>
      <c r="P124" t="n">
        <v>0</v>
      </c>
      <c r="Q124" t="n">
        <v>2</v>
      </c>
      <c r="R124" s="2" t="inlineStr">
        <is>
          <t>Vedskivlav
Bronshjon</t>
        </is>
      </c>
      <c r="S124">
        <f>HYPERLINK("https://klasma.github.io/Logging_2482/artfynd/A 58661-2021 artfynd.xlsx", "A 58661-2021")</f>
        <v/>
      </c>
      <c r="T124">
        <f>HYPERLINK("https://klasma.github.io/Logging_2482/kartor/A 58661-2021 karta.png", "A 58661-2021")</f>
        <v/>
      </c>
      <c r="V124">
        <f>HYPERLINK("https://klasma.github.io/Logging_2482/klagomål/A 58661-2021 FSC-klagomål.docx", "A 58661-2021")</f>
        <v/>
      </c>
      <c r="W124">
        <f>HYPERLINK("https://klasma.github.io/Logging_2482/klagomålsmail/A 58661-2021 FSC-klagomål mail.docx", "A 58661-2021")</f>
        <v/>
      </c>
      <c r="X124">
        <f>HYPERLINK("https://klasma.github.io/Logging_2482/tillsyn/A 58661-2021 tillsynsbegäran.docx", "A 58661-2021")</f>
        <v/>
      </c>
      <c r="Y124">
        <f>HYPERLINK("https://klasma.github.io/Logging_2482/tillsynsmail/A 58661-2021 tillsynsbegäran mail.docx", "A 58661-2021")</f>
        <v/>
      </c>
    </row>
    <row r="125" ht="15" customHeight="1">
      <c r="A125" t="inlineStr">
        <is>
          <t>A 58885-2021</t>
        </is>
      </c>
      <c r="B125" s="1" t="n">
        <v>44489</v>
      </c>
      <c r="C125" s="1" t="n">
        <v>45566</v>
      </c>
      <c r="D125" t="inlineStr">
        <is>
          <t>VÄSTERBOTTENS LÄN</t>
        </is>
      </c>
      <c r="E125" t="inlineStr">
        <is>
          <t>SKELLEFTEÅ</t>
        </is>
      </c>
      <c r="F125" t="inlineStr">
        <is>
          <t>Sveaskog</t>
        </is>
      </c>
      <c r="G125" t="n">
        <v>13.7</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58885-2021 artfynd.xlsx", "A 58885-2021")</f>
        <v/>
      </c>
      <c r="T125">
        <f>HYPERLINK("https://klasma.github.io/Logging_2482/kartor/A 58885-2021 karta.png", "A 58885-2021")</f>
        <v/>
      </c>
      <c r="V125">
        <f>HYPERLINK("https://klasma.github.io/Logging_2482/klagomål/A 58885-2021 FSC-klagomål.docx", "A 58885-2021")</f>
        <v/>
      </c>
      <c r="W125">
        <f>HYPERLINK("https://klasma.github.io/Logging_2482/klagomålsmail/A 58885-2021 FSC-klagomål mail.docx", "A 58885-2021")</f>
        <v/>
      </c>
      <c r="X125">
        <f>HYPERLINK("https://klasma.github.io/Logging_2482/tillsyn/A 58885-2021 tillsynsbegäran.docx", "A 58885-2021")</f>
        <v/>
      </c>
      <c r="Y125">
        <f>HYPERLINK("https://klasma.github.io/Logging_2482/tillsynsmail/A 58885-2021 tillsynsbegäran mail.docx", "A 58885-2021")</f>
        <v/>
      </c>
    </row>
    <row r="126" ht="15" customHeight="1">
      <c r="A126" t="inlineStr">
        <is>
          <t>A 59706-2021</t>
        </is>
      </c>
      <c r="B126" s="1" t="n">
        <v>44494</v>
      </c>
      <c r="C126" s="1" t="n">
        <v>45566</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42694-2022</t>
        </is>
      </c>
      <c r="B127" s="1" t="n">
        <v>44831</v>
      </c>
      <c r="C127" s="1" t="n">
        <v>45566</v>
      </c>
      <c r="D127" t="inlineStr">
        <is>
          <t>VÄSTERBOTTENS LÄN</t>
        </is>
      </c>
      <c r="E127" t="inlineStr">
        <is>
          <t>SKELLEFTEÅ</t>
        </is>
      </c>
      <c r="G127" t="n">
        <v>5.6</v>
      </c>
      <c r="H127" t="n">
        <v>0</v>
      </c>
      <c r="I127" t="n">
        <v>1</v>
      </c>
      <c r="J127" t="n">
        <v>1</v>
      </c>
      <c r="K127" t="n">
        <v>0</v>
      </c>
      <c r="L127" t="n">
        <v>0</v>
      </c>
      <c r="M127" t="n">
        <v>0</v>
      </c>
      <c r="N127" t="n">
        <v>0</v>
      </c>
      <c r="O127" t="n">
        <v>1</v>
      </c>
      <c r="P127" t="n">
        <v>0</v>
      </c>
      <c r="Q127" t="n">
        <v>2</v>
      </c>
      <c r="R127" s="2" t="inlineStr">
        <is>
          <t>Granticka
Vedticka</t>
        </is>
      </c>
      <c r="S127">
        <f>HYPERLINK("https://klasma.github.io/Logging_2482/artfynd/A 42694-2022 artfynd.xlsx", "A 42694-2022")</f>
        <v/>
      </c>
      <c r="T127">
        <f>HYPERLINK("https://klasma.github.io/Logging_2482/kartor/A 42694-2022 karta.png", "A 42694-2022")</f>
        <v/>
      </c>
      <c r="V127">
        <f>HYPERLINK("https://klasma.github.io/Logging_2482/klagomål/A 42694-2022 FSC-klagomål.docx", "A 42694-2022")</f>
        <v/>
      </c>
      <c r="W127">
        <f>HYPERLINK("https://klasma.github.io/Logging_2482/klagomålsmail/A 42694-2022 FSC-klagomål mail.docx", "A 42694-2022")</f>
        <v/>
      </c>
      <c r="X127">
        <f>HYPERLINK("https://klasma.github.io/Logging_2482/tillsyn/A 42694-2022 tillsynsbegäran.docx", "A 42694-2022")</f>
        <v/>
      </c>
      <c r="Y127">
        <f>HYPERLINK("https://klasma.github.io/Logging_2482/tillsynsmail/A 42694-2022 tillsynsbegäran mail.docx", "A 42694-2022")</f>
        <v/>
      </c>
    </row>
    <row r="128" ht="15" customHeight="1">
      <c r="A128" t="inlineStr">
        <is>
          <t>A 49440-2022</t>
        </is>
      </c>
      <c r="B128" s="1" t="n">
        <v>44859</v>
      </c>
      <c r="C128" s="1" t="n">
        <v>45566</v>
      </c>
      <c r="D128" t="inlineStr">
        <is>
          <t>VÄSTERBOTTENS LÄN</t>
        </is>
      </c>
      <c r="E128" t="inlineStr">
        <is>
          <t>SKELLEFTEÅ</t>
        </is>
      </c>
      <c r="G128" t="n">
        <v>1.5</v>
      </c>
      <c r="H128" t="n">
        <v>0</v>
      </c>
      <c r="I128" t="n">
        <v>0</v>
      </c>
      <c r="J128" t="n">
        <v>2</v>
      </c>
      <c r="K128" t="n">
        <v>0</v>
      </c>
      <c r="L128" t="n">
        <v>0</v>
      </c>
      <c r="M128" t="n">
        <v>0</v>
      </c>
      <c r="N128" t="n">
        <v>0</v>
      </c>
      <c r="O128" t="n">
        <v>2</v>
      </c>
      <c r="P128" t="n">
        <v>0</v>
      </c>
      <c r="Q128" t="n">
        <v>2</v>
      </c>
      <c r="R128" s="2" t="inlineStr">
        <is>
          <t>Gränsticka
Ullticka</t>
        </is>
      </c>
      <c r="S128">
        <f>HYPERLINK("https://klasma.github.io/Logging_2482/artfynd/A 49440-2022 artfynd.xlsx", "A 49440-2022")</f>
        <v/>
      </c>
      <c r="T128">
        <f>HYPERLINK("https://klasma.github.io/Logging_2482/kartor/A 49440-2022 karta.png", "A 49440-2022")</f>
        <v/>
      </c>
      <c r="V128">
        <f>HYPERLINK("https://klasma.github.io/Logging_2482/klagomål/A 49440-2022 FSC-klagomål.docx", "A 49440-2022")</f>
        <v/>
      </c>
      <c r="W128">
        <f>HYPERLINK("https://klasma.github.io/Logging_2482/klagomålsmail/A 49440-2022 FSC-klagomål mail.docx", "A 49440-2022")</f>
        <v/>
      </c>
      <c r="X128">
        <f>HYPERLINK("https://klasma.github.io/Logging_2482/tillsyn/A 49440-2022 tillsynsbegäran.docx", "A 49440-2022")</f>
        <v/>
      </c>
      <c r="Y128">
        <f>HYPERLINK("https://klasma.github.io/Logging_2482/tillsynsmail/A 49440-2022 tillsynsbegäran mail.docx", "A 49440-2022")</f>
        <v/>
      </c>
    </row>
    <row r="129" ht="15" customHeight="1">
      <c r="A129" t="inlineStr">
        <is>
          <t>A 49578-2022</t>
        </is>
      </c>
      <c r="B129" s="1" t="n">
        <v>44862</v>
      </c>
      <c r="C129" s="1" t="n">
        <v>45566</v>
      </c>
      <c r="D129" t="inlineStr">
        <is>
          <t>VÄSTERBOTTENS LÄN</t>
        </is>
      </c>
      <c r="E129" t="inlineStr">
        <is>
          <t>SKELLEFTEÅ</t>
        </is>
      </c>
      <c r="F129" t="inlineStr">
        <is>
          <t>Holmen skog AB</t>
        </is>
      </c>
      <c r="G129" t="n">
        <v>7.6</v>
      </c>
      <c r="H129" t="n">
        <v>2</v>
      </c>
      <c r="I129" t="n">
        <v>0</v>
      </c>
      <c r="J129" t="n">
        <v>0</v>
      </c>
      <c r="K129" t="n">
        <v>0</v>
      </c>
      <c r="L129" t="n">
        <v>0</v>
      </c>
      <c r="M129" t="n">
        <v>0</v>
      </c>
      <c r="N129" t="n">
        <v>0</v>
      </c>
      <c r="O129" t="n">
        <v>0</v>
      </c>
      <c r="P129" t="n">
        <v>0</v>
      </c>
      <c r="Q129" t="n">
        <v>2</v>
      </c>
      <c r="R129" s="2" t="inlineStr">
        <is>
          <t>Orre
Tjäder</t>
        </is>
      </c>
      <c r="S129">
        <f>HYPERLINK("https://klasma.github.io/Logging_2482/artfynd/A 49578-2022 artfynd.xlsx", "A 49578-2022")</f>
        <v/>
      </c>
      <c r="T129">
        <f>HYPERLINK("https://klasma.github.io/Logging_2482/kartor/A 49578-2022 karta.png", "A 49578-2022")</f>
        <v/>
      </c>
      <c r="V129">
        <f>HYPERLINK("https://klasma.github.io/Logging_2482/klagomål/A 49578-2022 FSC-klagomål.docx", "A 49578-2022")</f>
        <v/>
      </c>
      <c r="W129">
        <f>HYPERLINK("https://klasma.github.io/Logging_2482/klagomålsmail/A 49578-2022 FSC-klagomål mail.docx", "A 49578-2022")</f>
        <v/>
      </c>
      <c r="X129">
        <f>HYPERLINK("https://klasma.github.io/Logging_2482/tillsyn/A 49578-2022 tillsynsbegäran.docx", "A 49578-2022")</f>
        <v/>
      </c>
      <c r="Y129">
        <f>HYPERLINK("https://klasma.github.io/Logging_2482/tillsynsmail/A 49578-2022 tillsynsbegäran mail.docx", "A 49578-2022")</f>
        <v/>
      </c>
      <c r="Z129">
        <f>HYPERLINK("https://klasma.github.io/Logging_2482/fåglar/A 49578-2022 prioriterade fågelarter.docx", "A 49578-2022")</f>
        <v/>
      </c>
    </row>
    <row r="130" ht="15" customHeight="1">
      <c r="A130" t="inlineStr">
        <is>
          <t>A 56157-2022</t>
        </is>
      </c>
      <c r="B130" s="1" t="n">
        <v>44889</v>
      </c>
      <c r="C130" s="1" t="n">
        <v>45566</v>
      </c>
      <c r="D130" t="inlineStr">
        <is>
          <t>VÄSTERBOTTENS LÄN</t>
        </is>
      </c>
      <c r="E130" t="inlineStr">
        <is>
          <t>SKELLEFTEÅ</t>
        </is>
      </c>
      <c r="G130" t="n">
        <v>3.9</v>
      </c>
      <c r="H130" t="n">
        <v>2</v>
      </c>
      <c r="I130" t="n">
        <v>0</v>
      </c>
      <c r="J130" t="n">
        <v>0</v>
      </c>
      <c r="K130" t="n">
        <v>0</v>
      </c>
      <c r="L130" t="n">
        <v>0</v>
      </c>
      <c r="M130" t="n">
        <v>0</v>
      </c>
      <c r="N130" t="n">
        <v>0</v>
      </c>
      <c r="O130" t="n">
        <v>0</v>
      </c>
      <c r="P130" t="n">
        <v>0</v>
      </c>
      <c r="Q130" t="n">
        <v>2</v>
      </c>
      <c r="R130" s="2" t="inlineStr">
        <is>
          <t>Fläcknycklar
Revlummer</t>
        </is>
      </c>
      <c r="S130">
        <f>HYPERLINK("https://klasma.github.io/Logging_2482/artfynd/A 56157-2022 artfynd.xlsx", "A 56157-2022")</f>
        <v/>
      </c>
      <c r="T130">
        <f>HYPERLINK("https://klasma.github.io/Logging_2482/kartor/A 56157-2022 karta.png", "A 56157-2022")</f>
        <v/>
      </c>
      <c r="V130">
        <f>HYPERLINK("https://klasma.github.io/Logging_2482/klagomål/A 56157-2022 FSC-klagomål.docx", "A 56157-2022")</f>
        <v/>
      </c>
      <c r="W130">
        <f>HYPERLINK("https://klasma.github.io/Logging_2482/klagomålsmail/A 56157-2022 FSC-klagomål mail.docx", "A 56157-2022")</f>
        <v/>
      </c>
      <c r="X130">
        <f>HYPERLINK("https://klasma.github.io/Logging_2482/tillsyn/A 56157-2022 tillsynsbegäran.docx", "A 56157-2022")</f>
        <v/>
      </c>
      <c r="Y130">
        <f>HYPERLINK("https://klasma.github.io/Logging_2482/tillsynsmail/A 56157-2022 tillsynsbegäran mail.docx", "A 56157-2022")</f>
        <v/>
      </c>
    </row>
    <row r="131" ht="15" customHeight="1">
      <c r="A131" t="inlineStr">
        <is>
          <t>A 787-2023</t>
        </is>
      </c>
      <c r="B131" s="1" t="n">
        <v>44931</v>
      </c>
      <c r="C131" s="1" t="n">
        <v>45566</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901-2023</t>
        </is>
      </c>
      <c r="B132" s="1" t="n">
        <v>44931</v>
      </c>
      <c r="C132" s="1" t="n">
        <v>45566</v>
      </c>
      <c r="D132" t="inlineStr">
        <is>
          <t>VÄSTERBOTTENS LÄN</t>
        </is>
      </c>
      <c r="E132" t="inlineStr">
        <is>
          <t>SKELLEFTEÅ</t>
        </is>
      </c>
      <c r="G132" t="n">
        <v>7.7</v>
      </c>
      <c r="H132" t="n">
        <v>0</v>
      </c>
      <c r="I132" t="n">
        <v>0</v>
      </c>
      <c r="J132" t="n">
        <v>2</v>
      </c>
      <c r="K132" t="n">
        <v>0</v>
      </c>
      <c r="L132" t="n">
        <v>0</v>
      </c>
      <c r="M132" t="n">
        <v>0</v>
      </c>
      <c r="N132" t="n">
        <v>0</v>
      </c>
      <c r="O132" t="n">
        <v>2</v>
      </c>
      <c r="P132" t="n">
        <v>0</v>
      </c>
      <c r="Q132" t="n">
        <v>2</v>
      </c>
      <c r="R132" s="2" t="inlineStr">
        <is>
          <t>Garnlav
Skogshare</t>
        </is>
      </c>
      <c r="S132">
        <f>HYPERLINK("https://klasma.github.io/Logging_2482/artfynd/A 901-2023 artfynd.xlsx", "A 901-2023")</f>
        <v/>
      </c>
      <c r="T132">
        <f>HYPERLINK("https://klasma.github.io/Logging_2482/kartor/A 901-2023 karta.png", "A 901-2023")</f>
        <v/>
      </c>
      <c r="V132">
        <f>HYPERLINK("https://klasma.github.io/Logging_2482/klagomål/A 901-2023 FSC-klagomål.docx", "A 901-2023")</f>
        <v/>
      </c>
      <c r="W132">
        <f>HYPERLINK("https://klasma.github.io/Logging_2482/klagomålsmail/A 901-2023 FSC-klagomål mail.docx", "A 901-2023")</f>
        <v/>
      </c>
      <c r="X132">
        <f>HYPERLINK("https://klasma.github.io/Logging_2482/tillsyn/A 901-2023 tillsynsbegäran.docx", "A 901-2023")</f>
        <v/>
      </c>
      <c r="Y132">
        <f>HYPERLINK("https://klasma.github.io/Logging_2482/tillsynsmail/A 901-2023 tillsynsbegäran mail.docx", "A 901-2023")</f>
        <v/>
      </c>
    </row>
    <row r="133" ht="15" customHeight="1">
      <c r="A133" t="inlineStr">
        <is>
          <t>A 11627-2023</t>
        </is>
      </c>
      <c r="B133" s="1" t="n">
        <v>44994</v>
      </c>
      <c r="C133" s="1" t="n">
        <v>45566</v>
      </c>
      <c r="D133" t="inlineStr">
        <is>
          <t>VÄSTERBOTTENS LÄN</t>
        </is>
      </c>
      <c r="E133" t="inlineStr">
        <is>
          <t>SKELLEFTEÅ</t>
        </is>
      </c>
      <c r="G133" t="n">
        <v>16.6</v>
      </c>
      <c r="H133" t="n">
        <v>1</v>
      </c>
      <c r="I133" t="n">
        <v>1</v>
      </c>
      <c r="J133" t="n">
        <v>0</v>
      </c>
      <c r="K133" t="n">
        <v>0</v>
      </c>
      <c r="L133" t="n">
        <v>0</v>
      </c>
      <c r="M133" t="n">
        <v>0</v>
      </c>
      <c r="N133" t="n">
        <v>0</v>
      </c>
      <c r="O133" t="n">
        <v>0</v>
      </c>
      <c r="P133" t="n">
        <v>0</v>
      </c>
      <c r="Q133" t="n">
        <v>2</v>
      </c>
      <c r="R133" s="2" t="inlineStr">
        <is>
          <t>Norrlandslav
Revlummer</t>
        </is>
      </c>
      <c r="S133">
        <f>HYPERLINK("https://klasma.github.io/Logging_2482/artfynd/A 11627-2023 artfynd.xlsx", "A 11627-2023")</f>
        <v/>
      </c>
      <c r="T133">
        <f>HYPERLINK("https://klasma.github.io/Logging_2482/kartor/A 11627-2023 karta.png", "A 11627-2023")</f>
        <v/>
      </c>
      <c r="V133">
        <f>HYPERLINK("https://klasma.github.io/Logging_2482/klagomål/A 11627-2023 FSC-klagomål.docx", "A 11627-2023")</f>
        <v/>
      </c>
      <c r="W133">
        <f>HYPERLINK("https://klasma.github.io/Logging_2482/klagomålsmail/A 11627-2023 FSC-klagomål mail.docx", "A 11627-2023")</f>
        <v/>
      </c>
      <c r="X133">
        <f>HYPERLINK("https://klasma.github.io/Logging_2482/tillsyn/A 11627-2023 tillsynsbegäran.docx", "A 11627-2023")</f>
        <v/>
      </c>
      <c r="Y133">
        <f>HYPERLINK("https://klasma.github.io/Logging_2482/tillsynsmail/A 11627-2023 tillsynsbegäran mail.docx", "A 11627-2023")</f>
        <v/>
      </c>
    </row>
    <row r="134" ht="15" customHeight="1">
      <c r="A134" t="inlineStr">
        <is>
          <t>A 29998-2023</t>
        </is>
      </c>
      <c r="B134" s="1" t="n">
        <v>45109</v>
      </c>
      <c r="C134" s="1" t="n">
        <v>45566</v>
      </c>
      <c r="D134" t="inlineStr">
        <is>
          <t>VÄSTERBOTTENS LÄN</t>
        </is>
      </c>
      <c r="E134" t="inlineStr">
        <is>
          <t>SKELLEFTEÅ</t>
        </is>
      </c>
      <c r="F134" t="inlineStr">
        <is>
          <t>Sveaskog</t>
        </is>
      </c>
      <c r="G134" t="n">
        <v>10.2</v>
      </c>
      <c r="H134" t="n">
        <v>0</v>
      </c>
      <c r="I134" t="n">
        <v>1</v>
      </c>
      <c r="J134" t="n">
        <v>1</v>
      </c>
      <c r="K134" t="n">
        <v>0</v>
      </c>
      <c r="L134" t="n">
        <v>0</v>
      </c>
      <c r="M134" t="n">
        <v>0</v>
      </c>
      <c r="N134" t="n">
        <v>0</v>
      </c>
      <c r="O134" t="n">
        <v>1</v>
      </c>
      <c r="P134" t="n">
        <v>0</v>
      </c>
      <c r="Q134" t="n">
        <v>2</v>
      </c>
      <c r="R134" s="2" t="inlineStr">
        <is>
          <t>Ullticka
Luddlav</t>
        </is>
      </c>
      <c r="S134">
        <f>HYPERLINK("https://klasma.github.io/Logging_2482/artfynd/A 29998-2023 artfynd.xlsx", "A 29998-2023")</f>
        <v/>
      </c>
      <c r="T134">
        <f>HYPERLINK("https://klasma.github.io/Logging_2482/kartor/A 29998-2023 karta.png", "A 29998-2023")</f>
        <v/>
      </c>
      <c r="V134">
        <f>HYPERLINK("https://klasma.github.io/Logging_2482/klagomål/A 29998-2023 FSC-klagomål.docx", "A 29998-2023")</f>
        <v/>
      </c>
      <c r="W134">
        <f>HYPERLINK("https://klasma.github.io/Logging_2482/klagomålsmail/A 29998-2023 FSC-klagomål mail.docx", "A 29998-2023")</f>
        <v/>
      </c>
      <c r="X134">
        <f>HYPERLINK("https://klasma.github.io/Logging_2482/tillsyn/A 29998-2023 tillsynsbegäran.docx", "A 29998-2023")</f>
        <v/>
      </c>
      <c r="Y134">
        <f>HYPERLINK("https://klasma.github.io/Logging_2482/tillsynsmail/A 29998-2023 tillsynsbegäran mail.docx", "A 29998-2023")</f>
        <v/>
      </c>
    </row>
    <row r="135" ht="15" customHeight="1">
      <c r="A135" t="inlineStr">
        <is>
          <t>A 35513-2023</t>
        </is>
      </c>
      <c r="B135" s="1" t="n">
        <v>45147</v>
      </c>
      <c r="C135" s="1" t="n">
        <v>45566</v>
      </c>
      <c r="D135" t="inlineStr">
        <is>
          <t>VÄSTERBOTTENS LÄN</t>
        </is>
      </c>
      <c r="E135" t="inlineStr">
        <is>
          <t>SKELLEFTEÅ</t>
        </is>
      </c>
      <c r="F135" t="inlineStr">
        <is>
          <t>Holmen skog AB</t>
        </is>
      </c>
      <c r="G135" t="n">
        <v>16.9</v>
      </c>
      <c r="H135" t="n">
        <v>0</v>
      </c>
      <c r="I135" t="n">
        <v>0</v>
      </c>
      <c r="J135" t="n">
        <v>2</v>
      </c>
      <c r="K135" t="n">
        <v>0</v>
      </c>
      <c r="L135" t="n">
        <v>0</v>
      </c>
      <c r="M135" t="n">
        <v>0</v>
      </c>
      <c r="N135" t="n">
        <v>0</v>
      </c>
      <c r="O135" t="n">
        <v>2</v>
      </c>
      <c r="P135" t="n">
        <v>0</v>
      </c>
      <c r="Q135" t="n">
        <v>2</v>
      </c>
      <c r="R135" s="2" t="inlineStr">
        <is>
          <t>Gultoppig fingersvamp
Orange taggsvamp</t>
        </is>
      </c>
      <c r="S135">
        <f>HYPERLINK("https://klasma.github.io/Logging_2482/artfynd/A 35513-2023 artfynd.xlsx", "A 35513-2023")</f>
        <v/>
      </c>
      <c r="T135">
        <f>HYPERLINK("https://klasma.github.io/Logging_2482/kartor/A 35513-2023 karta.png", "A 35513-2023")</f>
        <v/>
      </c>
      <c r="V135">
        <f>HYPERLINK("https://klasma.github.io/Logging_2482/klagomål/A 35513-2023 FSC-klagomål.docx", "A 35513-2023")</f>
        <v/>
      </c>
      <c r="W135">
        <f>HYPERLINK("https://klasma.github.io/Logging_2482/klagomålsmail/A 35513-2023 FSC-klagomål mail.docx", "A 35513-2023")</f>
        <v/>
      </c>
      <c r="X135">
        <f>HYPERLINK("https://klasma.github.io/Logging_2482/tillsyn/A 35513-2023 tillsynsbegäran.docx", "A 35513-2023")</f>
        <v/>
      </c>
      <c r="Y135">
        <f>HYPERLINK("https://klasma.github.io/Logging_2482/tillsynsmail/A 35513-2023 tillsynsbegäran mail.docx", "A 35513-2023")</f>
        <v/>
      </c>
    </row>
    <row r="136" ht="15" customHeight="1">
      <c r="A136" t="inlineStr">
        <is>
          <t>A 40742-2023</t>
        </is>
      </c>
      <c r="B136" s="1" t="n">
        <v>45170</v>
      </c>
      <c r="C136" s="1" t="n">
        <v>45566</v>
      </c>
      <c r="D136" t="inlineStr">
        <is>
          <t>VÄSTERBOTTENS LÄN</t>
        </is>
      </c>
      <c r="E136" t="inlineStr">
        <is>
          <t>SKELLEFTEÅ</t>
        </is>
      </c>
      <c r="F136" t="inlineStr">
        <is>
          <t>Sveaskog</t>
        </is>
      </c>
      <c r="G136" t="n">
        <v>13.6</v>
      </c>
      <c r="H136" t="n">
        <v>0</v>
      </c>
      <c r="I136" t="n">
        <v>1</v>
      </c>
      <c r="J136" t="n">
        <v>1</v>
      </c>
      <c r="K136" t="n">
        <v>0</v>
      </c>
      <c r="L136" t="n">
        <v>0</v>
      </c>
      <c r="M136" t="n">
        <v>0</v>
      </c>
      <c r="N136" t="n">
        <v>0</v>
      </c>
      <c r="O136" t="n">
        <v>1</v>
      </c>
      <c r="P136" t="n">
        <v>0</v>
      </c>
      <c r="Q136" t="n">
        <v>2</v>
      </c>
      <c r="R136" s="2" t="inlineStr">
        <is>
          <t>Kolflarnlav
Stuplav</t>
        </is>
      </c>
      <c r="S136">
        <f>HYPERLINK("https://klasma.github.io/Logging_2482/artfynd/A 40742-2023 artfynd.xlsx", "A 40742-2023")</f>
        <v/>
      </c>
      <c r="T136">
        <f>HYPERLINK("https://klasma.github.io/Logging_2482/kartor/A 40742-2023 karta.png", "A 40742-2023")</f>
        <v/>
      </c>
      <c r="V136">
        <f>HYPERLINK("https://klasma.github.io/Logging_2482/klagomål/A 40742-2023 FSC-klagomål.docx", "A 40742-2023")</f>
        <v/>
      </c>
      <c r="W136">
        <f>HYPERLINK("https://klasma.github.io/Logging_2482/klagomålsmail/A 40742-2023 FSC-klagomål mail.docx", "A 40742-2023")</f>
        <v/>
      </c>
      <c r="X136">
        <f>HYPERLINK("https://klasma.github.io/Logging_2482/tillsyn/A 40742-2023 tillsynsbegäran.docx", "A 40742-2023")</f>
        <v/>
      </c>
      <c r="Y136">
        <f>HYPERLINK("https://klasma.github.io/Logging_2482/tillsynsmail/A 40742-2023 tillsynsbegäran mail.docx", "A 40742-2023")</f>
        <v/>
      </c>
    </row>
    <row r="137" ht="15" customHeight="1">
      <c r="A137" t="inlineStr">
        <is>
          <t>A 43250-2023</t>
        </is>
      </c>
      <c r="B137" s="1" t="n">
        <v>45180</v>
      </c>
      <c r="C137" s="1" t="n">
        <v>45566</v>
      </c>
      <c r="D137" t="inlineStr">
        <is>
          <t>VÄSTERBOTTENS LÄN</t>
        </is>
      </c>
      <c r="E137" t="inlineStr">
        <is>
          <t>SKELLEFTEÅ</t>
        </is>
      </c>
      <c r="G137" t="n">
        <v>3.3</v>
      </c>
      <c r="H137" t="n">
        <v>1</v>
      </c>
      <c r="I137" t="n">
        <v>0</v>
      </c>
      <c r="J137" t="n">
        <v>1</v>
      </c>
      <c r="K137" t="n">
        <v>1</v>
      </c>
      <c r="L137" t="n">
        <v>0</v>
      </c>
      <c r="M137" t="n">
        <v>0</v>
      </c>
      <c r="N137" t="n">
        <v>0</v>
      </c>
      <c r="O137" t="n">
        <v>2</v>
      </c>
      <c r="P137" t="n">
        <v>1</v>
      </c>
      <c r="Q137" t="n">
        <v>2</v>
      </c>
      <c r="R137" s="2" t="inlineStr">
        <is>
          <t>Knärot
Gammelgransskål</t>
        </is>
      </c>
      <c r="S137">
        <f>HYPERLINK("https://klasma.github.io/Logging_2482/artfynd/A 43250-2023 artfynd.xlsx", "A 43250-2023")</f>
        <v/>
      </c>
      <c r="T137">
        <f>HYPERLINK("https://klasma.github.io/Logging_2482/kartor/A 43250-2023 karta.png", "A 43250-2023")</f>
        <v/>
      </c>
      <c r="U137">
        <f>HYPERLINK("https://klasma.github.io/Logging_2482/knärot/A 43250-2023 karta knärot.png", "A 43250-2023")</f>
        <v/>
      </c>
      <c r="V137">
        <f>HYPERLINK("https://klasma.github.io/Logging_2482/klagomål/A 43250-2023 FSC-klagomål.docx", "A 43250-2023")</f>
        <v/>
      </c>
      <c r="W137">
        <f>HYPERLINK("https://klasma.github.io/Logging_2482/klagomålsmail/A 43250-2023 FSC-klagomål mail.docx", "A 43250-2023")</f>
        <v/>
      </c>
      <c r="X137">
        <f>HYPERLINK("https://klasma.github.io/Logging_2482/tillsyn/A 43250-2023 tillsynsbegäran.docx", "A 43250-2023")</f>
        <v/>
      </c>
      <c r="Y137">
        <f>HYPERLINK("https://klasma.github.io/Logging_2482/tillsynsmail/A 43250-2023 tillsynsbegäran mail.docx", "A 43250-2023")</f>
        <v/>
      </c>
    </row>
    <row r="138" ht="15" customHeight="1">
      <c r="A138" t="inlineStr">
        <is>
          <t>A 42786-2023</t>
        </is>
      </c>
      <c r="B138" s="1" t="n">
        <v>45181</v>
      </c>
      <c r="C138" s="1" t="n">
        <v>45566</v>
      </c>
      <c r="D138" t="inlineStr">
        <is>
          <t>VÄSTERBOTTENS LÄN</t>
        </is>
      </c>
      <c r="E138" t="inlineStr">
        <is>
          <t>SKELLEFTEÅ</t>
        </is>
      </c>
      <c r="G138" t="n">
        <v>9.199999999999999</v>
      </c>
      <c r="H138" t="n">
        <v>0</v>
      </c>
      <c r="I138" t="n">
        <v>0</v>
      </c>
      <c r="J138" t="n">
        <v>2</v>
      </c>
      <c r="K138" t="n">
        <v>0</v>
      </c>
      <c r="L138" t="n">
        <v>0</v>
      </c>
      <c r="M138" t="n">
        <v>0</v>
      </c>
      <c r="N138" t="n">
        <v>0</v>
      </c>
      <c r="O138" t="n">
        <v>2</v>
      </c>
      <c r="P138" t="n">
        <v>0</v>
      </c>
      <c r="Q138" t="n">
        <v>2</v>
      </c>
      <c r="R138" s="2" t="inlineStr">
        <is>
          <t>Garnlav
Kärrängsfly</t>
        </is>
      </c>
      <c r="S138">
        <f>HYPERLINK("https://klasma.github.io/Logging_2482/artfynd/A 42786-2023 artfynd.xlsx", "A 42786-2023")</f>
        <v/>
      </c>
      <c r="T138">
        <f>HYPERLINK("https://klasma.github.io/Logging_2482/kartor/A 42786-2023 karta.png", "A 42786-2023")</f>
        <v/>
      </c>
      <c r="V138">
        <f>HYPERLINK("https://klasma.github.io/Logging_2482/klagomål/A 42786-2023 FSC-klagomål.docx", "A 42786-2023")</f>
        <v/>
      </c>
      <c r="W138">
        <f>HYPERLINK("https://klasma.github.io/Logging_2482/klagomålsmail/A 42786-2023 FSC-klagomål mail.docx", "A 42786-2023")</f>
        <v/>
      </c>
      <c r="X138">
        <f>HYPERLINK("https://klasma.github.io/Logging_2482/tillsyn/A 42786-2023 tillsynsbegäran.docx", "A 42786-2023")</f>
        <v/>
      </c>
      <c r="Y138">
        <f>HYPERLINK("https://klasma.github.io/Logging_2482/tillsynsmail/A 42786-2023 tillsynsbegäran mail.docx", "A 42786-2023")</f>
        <v/>
      </c>
    </row>
    <row r="139" ht="15" customHeight="1">
      <c r="A139" t="inlineStr">
        <is>
          <t>A 65013-2023</t>
        </is>
      </c>
      <c r="B139" s="1" t="n">
        <v>45287</v>
      </c>
      <c r="C139" s="1" t="n">
        <v>45566</v>
      </c>
      <c r="D139" t="inlineStr">
        <is>
          <t>VÄSTERBOTTENS LÄN</t>
        </is>
      </c>
      <c r="E139" t="inlineStr">
        <is>
          <t>SKELLEFTEÅ</t>
        </is>
      </c>
      <c r="G139" t="n">
        <v>7.7</v>
      </c>
      <c r="H139" t="n">
        <v>0</v>
      </c>
      <c r="I139" t="n">
        <v>0</v>
      </c>
      <c r="J139" t="n">
        <v>1</v>
      </c>
      <c r="K139" t="n">
        <v>1</v>
      </c>
      <c r="L139" t="n">
        <v>0</v>
      </c>
      <c r="M139" t="n">
        <v>0</v>
      </c>
      <c r="N139" t="n">
        <v>0</v>
      </c>
      <c r="O139" t="n">
        <v>2</v>
      </c>
      <c r="P139" t="n">
        <v>1</v>
      </c>
      <c r="Q139" t="n">
        <v>2</v>
      </c>
      <c r="R139" s="2" t="inlineStr">
        <is>
          <t>Smalfotad taggsvamp
Svartvit taggsvamp</t>
        </is>
      </c>
      <c r="S139">
        <f>HYPERLINK("https://klasma.github.io/Logging_2482/artfynd/A 65013-2023 artfynd.xlsx", "A 65013-2023")</f>
        <v/>
      </c>
      <c r="T139">
        <f>HYPERLINK("https://klasma.github.io/Logging_2482/kartor/A 65013-2023 karta.png", "A 65013-2023")</f>
        <v/>
      </c>
      <c r="V139">
        <f>HYPERLINK("https://klasma.github.io/Logging_2482/klagomål/A 65013-2023 FSC-klagomål.docx", "A 65013-2023")</f>
        <v/>
      </c>
      <c r="W139">
        <f>HYPERLINK("https://klasma.github.io/Logging_2482/klagomålsmail/A 65013-2023 FSC-klagomål mail.docx", "A 65013-2023")</f>
        <v/>
      </c>
      <c r="X139">
        <f>HYPERLINK("https://klasma.github.io/Logging_2482/tillsyn/A 65013-2023 tillsynsbegäran.docx", "A 65013-2023")</f>
        <v/>
      </c>
      <c r="Y139">
        <f>HYPERLINK("https://klasma.github.io/Logging_2482/tillsynsmail/A 65013-2023 tillsynsbegäran mail.docx", "A 65013-2023")</f>
        <v/>
      </c>
    </row>
    <row r="140" ht="15" customHeight="1">
      <c r="A140" t="inlineStr">
        <is>
          <t>A 1259-2024</t>
        </is>
      </c>
      <c r="B140" s="1" t="n">
        <v>45302</v>
      </c>
      <c r="C140" s="1" t="n">
        <v>45566</v>
      </c>
      <c r="D140" t="inlineStr">
        <is>
          <t>VÄSTERBOTTENS LÄN</t>
        </is>
      </c>
      <c r="E140" t="inlineStr">
        <is>
          <t>SKELLEFTEÅ</t>
        </is>
      </c>
      <c r="G140" t="n">
        <v>1.6</v>
      </c>
      <c r="H140" t="n">
        <v>0</v>
      </c>
      <c r="I140" t="n">
        <v>0</v>
      </c>
      <c r="J140" t="n">
        <v>2</v>
      </c>
      <c r="K140" t="n">
        <v>0</v>
      </c>
      <c r="L140" t="n">
        <v>0</v>
      </c>
      <c r="M140" t="n">
        <v>0</v>
      </c>
      <c r="N140" t="n">
        <v>0</v>
      </c>
      <c r="O140" t="n">
        <v>2</v>
      </c>
      <c r="P140" t="n">
        <v>0</v>
      </c>
      <c r="Q140" t="n">
        <v>2</v>
      </c>
      <c r="R140" s="2" t="inlineStr">
        <is>
          <t>Månlåsbräken
Nordlåsbräken</t>
        </is>
      </c>
      <c r="S140">
        <f>HYPERLINK("https://klasma.github.io/Logging_2482/artfynd/A 1259-2024 artfynd.xlsx", "A 1259-2024")</f>
        <v/>
      </c>
      <c r="T140">
        <f>HYPERLINK("https://klasma.github.io/Logging_2482/kartor/A 1259-2024 karta.png", "A 1259-2024")</f>
        <v/>
      </c>
      <c r="V140">
        <f>HYPERLINK("https://klasma.github.io/Logging_2482/klagomål/A 1259-2024 FSC-klagomål.docx", "A 1259-2024")</f>
        <v/>
      </c>
      <c r="W140">
        <f>HYPERLINK("https://klasma.github.io/Logging_2482/klagomålsmail/A 1259-2024 FSC-klagomål mail.docx", "A 1259-2024")</f>
        <v/>
      </c>
      <c r="X140">
        <f>HYPERLINK("https://klasma.github.io/Logging_2482/tillsyn/A 1259-2024 tillsynsbegäran.docx", "A 1259-2024")</f>
        <v/>
      </c>
      <c r="Y140">
        <f>HYPERLINK("https://klasma.github.io/Logging_2482/tillsynsmail/A 1259-2024 tillsynsbegäran mail.docx", "A 1259-2024")</f>
        <v/>
      </c>
    </row>
    <row r="141" ht="15" customHeight="1">
      <c r="A141" t="inlineStr">
        <is>
          <t>A 2056-2024</t>
        </is>
      </c>
      <c r="B141" s="1" t="n">
        <v>45308</v>
      </c>
      <c r="C141" s="1" t="n">
        <v>45566</v>
      </c>
      <c r="D141" t="inlineStr">
        <is>
          <t>VÄSTERBOTTENS LÄN</t>
        </is>
      </c>
      <c r="E141" t="inlineStr">
        <is>
          <t>SKELLEFTEÅ</t>
        </is>
      </c>
      <c r="G141" t="n">
        <v>1.6</v>
      </c>
      <c r="H141" t="n">
        <v>1</v>
      </c>
      <c r="I141" t="n">
        <v>0</v>
      </c>
      <c r="J141" t="n">
        <v>2</v>
      </c>
      <c r="K141" t="n">
        <v>0</v>
      </c>
      <c r="L141" t="n">
        <v>0</v>
      </c>
      <c r="M141" t="n">
        <v>0</v>
      </c>
      <c r="N141" t="n">
        <v>0</v>
      </c>
      <c r="O141" t="n">
        <v>2</v>
      </c>
      <c r="P141" t="n">
        <v>0</v>
      </c>
      <c r="Q141" t="n">
        <v>2</v>
      </c>
      <c r="R141" s="2" t="inlineStr">
        <is>
          <t>Järpe
Talltaggsvamp</t>
        </is>
      </c>
      <c r="S141">
        <f>HYPERLINK("https://klasma.github.io/Logging_2482/artfynd/A 2056-2024 artfynd.xlsx", "A 2056-2024")</f>
        <v/>
      </c>
      <c r="T141">
        <f>HYPERLINK("https://klasma.github.io/Logging_2482/kartor/A 2056-2024 karta.png", "A 2056-2024")</f>
        <v/>
      </c>
      <c r="V141">
        <f>HYPERLINK("https://klasma.github.io/Logging_2482/klagomål/A 2056-2024 FSC-klagomål.docx", "A 2056-2024")</f>
        <v/>
      </c>
      <c r="W141">
        <f>HYPERLINK("https://klasma.github.io/Logging_2482/klagomålsmail/A 2056-2024 FSC-klagomål mail.docx", "A 2056-2024")</f>
        <v/>
      </c>
      <c r="X141">
        <f>HYPERLINK("https://klasma.github.io/Logging_2482/tillsyn/A 2056-2024 tillsynsbegäran.docx", "A 2056-2024")</f>
        <v/>
      </c>
      <c r="Y141">
        <f>HYPERLINK("https://klasma.github.io/Logging_2482/tillsynsmail/A 2056-2024 tillsynsbegäran mail.docx", "A 2056-2024")</f>
        <v/>
      </c>
      <c r="Z141">
        <f>HYPERLINK("https://klasma.github.io/Logging_2482/fåglar/A 2056-2024 prioriterade fågelarter.docx", "A 2056-2024")</f>
        <v/>
      </c>
    </row>
    <row r="142" ht="15" customHeight="1">
      <c r="A142" t="inlineStr">
        <is>
          <t>A 36338-2024</t>
        </is>
      </c>
      <c r="B142" s="1" t="n">
        <v>45534</v>
      </c>
      <c r="C142" s="1" t="n">
        <v>45566</v>
      </c>
      <c r="D142" t="inlineStr">
        <is>
          <t>VÄSTERBOTTENS LÄN</t>
        </is>
      </c>
      <c r="E142" t="inlineStr">
        <is>
          <t>SKELLEFTEÅ</t>
        </is>
      </c>
      <c r="F142" t="inlineStr">
        <is>
          <t>SCA</t>
        </is>
      </c>
      <c r="G142" t="n">
        <v>1.1</v>
      </c>
      <c r="H142" t="n">
        <v>0</v>
      </c>
      <c r="I142" t="n">
        <v>0</v>
      </c>
      <c r="J142" t="n">
        <v>2</v>
      </c>
      <c r="K142" t="n">
        <v>0</v>
      </c>
      <c r="L142" t="n">
        <v>0</v>
      </c>
      <c r="M142" t="n">
        <v>0</v>
      </c>
      <c r="N142" t="n">
        <v>0</v>
      </c>
      <c r="O142" t="n">
        <v>2</v>
      </c>
      <c r="P142" t="n">
        <v>0</v>
      </c>
      <c r="Q142" t="n">
        <v>2</v>
      </c>
      <c r="R142" s="2" t="inlineStr">
        <is>
          <t>Rosenticka
Ullticka</t>
        </is>
      </c>
      <c r="S142">
        <f>HYPERLINK("https://klasma.github.io/Logging_2482/artfynd/A 36338-2024 artfynd.xlsx", "A 36338-2024")</f>
        <v/>
      </c>
      <c r="T142">
        <f>HYPERLINK("https://klasma.github.io/Logging_2482/kartor/A 36338-2024 karta.png", "A 36338-2024")</f>
        <v/>
      </c>
      <c r="V142">
        <f>HYPERLINK("https://klasma.github.io/Logging_2482/klagomål/A 36338-2024 FSC-klagomål.docx", "A 36338-2024")</f>
        <v/>
      </c>
      <c r="W142">
        <f>HYPERLINK("https://klasma.github.io/Logging_2482/klagomålsmail/A 36338-2024 FSC-klagomål mail.docx", "A 36338-2024")</f>
        <v/>
      </c>
      <c r="X142">
        <f>HYPERLINK("https://klasma.github.io/Logging_2482/tillsyn/A 36338-2024 tillsynsbegäran.docx", "A 36338-2024")</f>
        <v/>
      </c>
      <c r="Y142">
        <f>HYPERLINK("https://klasma.github.io/Logging_2482/tillsynsmail/A 36338-2024 tillsynsbegäran mail.docx", "A 36338-2024")</f>
        <v/>
      </c>
    </row>
    <row r="143" ht="15" customHeight="1">
      <c r="A143" t="inlineStr">
        <is>
          <t>A 39857-2024</t>
        </is>
      </c>
      <c r="B143" s="1" t="n">
        <v>45553</v>
      </c>
      <c r="C143" s="1" t="n">
        <v>45566</v>
      </c>
      <c r="D143" t="inlineStr">
        <is>
          <t>VÄSTERBOTTENS LÄN</t>
        </is>
      </c>
      <c r="E143" t="inlineStr">
        <is>
          <t>SKELLEFTEÅ</t>
        </is>
      </c>
      <c r="G143" t="n">
        <v>4.8</v>
      </c>
      <c r="H143" t="n">
        <v>0</v>
      </c>
      <c r="I143" t="n">
        <v>0</v>
      </c>
      <c r="J143" t="n">
        <v>2</v>
      </c>
      <c r="K143" t="n">
        <v>0</v>
      </c>
      <c r="L143" t="n">
        <v>0</v>
      </c>
      <c r="M143" t="n">
        <v>0</v>
      </c>
      <c r="N143" t="n">
        <v>0</v>
      </c>
      <c r="O143" t="n">
        <v>2</v>
      </c>
      <c r="P143" t="n">
        <v>0</v>
      </c>
      <c r="Q143" t="n">
        <v>2</v>
      </c>
      <c r="R143" s="2" t="inlineStr">
        <is>
          <t>Garnlav
Ullticka</t>
        </is>
      </c>
      <c r="S143">
        <f>HYPERLINK("https://klasma.github.io/Logging_2482/artfynd/A 39857-2024 artfynd.xlsx", "A 39857-2024")</f>
        <v/>
      </c>
      <c r="T143">
        <f>HYPERLINK("https://klasma.github.io/Logging_2482/kartor/A 39857-2024 karta.png",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20465-2019</t>
        </is>
      </c>
      <c r="B144" s="1" t="n">
        <v>43572</v>
      </c>
      <c r="C144" s="1" t="n">
        <v>45566</v>
      </c>
      <c r="D144" t="inlineStr">
        <is>
          <t>VÄSTERBOTTENS LÄN</t>
        </is>
      </c>
      <c r="E144" t="inlineStr">
        <is>
          <t>SKELLEFTEÅ</t>
        </is>
      </c>
      <c r="G144" t="n">
        <v>2.1</v>
      </c>
      <c r="H144" t="n">
        <v>0</v>
      </c>
      <c r="I144" t="n">
        <v>0</v>
      </c>
      <c r="J144" t="n">
        <v>1</v>
      </c>
      <c r="K144" t="n">
        <v>0</v>
      </c>
      <c r="L144" t="n">
        <v>0</v>
      </c>
      <c r="M144" t="n">
        <v>0</v>
      </c>
      <c r="N144" t="n">
        <v>0</v>
      </c>
      <c r="O144" t="n">
        <v>1</v>
      </c>
      <c r="P144" t="n">
        <v>0</v>
      </c>
      <c r="Q144" t="n">
        <v>1</v>
      </c>
      <c r="R144" s="2" t="inlineStr">
        <is>
          <t>Violettgrå tagellav</t>
        </is>
      </c>
      <c r="S144">
        <f>HYPERLINK("https://klasma.github.io/Logging_2482/artfynd/A 20465-2019 artfynd.xlsx", "A 20465-2019")</f>
        <v/>
      </c>
      <c r="T144">
        <f>HYPERLINK("https://klasma.github.io/Logging_2482/kartor/A 20465-2019 karta.png", "A 20465-2019")</f>
        <v/>
      </c>
      <c r="V144">
        <f>HYPERLINK("https://klasma.github.io/Logging_2482/klagomål/A 20465-2019 FSC-klagomål.docx", "A 20465-2019")</f>
        <v/>
      </c>
      <c r="W144">
        <f>HYPERLINK("https://klasma.github.io/Logging_2482/klagomålsmail/A 20465-2019 FSC-klagomål mail.docx", "A 20465-2019")</f>
        <v/>
      </c>
      <c r="X144">
        <f>HYPERLINK("https://klasma.github.io/Logging_2482/tillsyn/A 20465-2019 tillsynsbegäran.docx", "A 20465-2019")</f>
        <v/>
      </c>
      <c r="Y144">
        <f>HYPERLINK("https://klasma.github.io/Logging_2482/tillsynsmail/A 20465-2019 tillsynsbegäran mail.docx", "A 20465-2019")</f>
        <v/>
      </c>
    </row>
    <row r="145" ht="15" customHeight="1">
      <c r="A145" t="inlineStr">
        <is>
          <t>A 25651-2019</t>
        </is>
      </c>
      <c r="B145" s="1" t="n">
        <v>43602</v>
      </c>
      <c r="C145" s="1" t="n">
        <v>45566</v>
      </c>
      <c r="D145" t="inlineStr">
        <is>
          <t>VÄSTERBOTTENS LÄN</t>
        </is>
      </c>
      <c r="E145" t="inlineStr">
        <is>
          <t>SKELLEFTEÅ</t>
        </is>
      </c>
      <c r="G145" t="n">
        <v>16.9</v>
      </c>
      <c r="H145" t="n">
        <v>1</v>
      </c>
      <c r="I145" t="n">
        <v>0</v>
      </c>
      <c r="J145" t="n">
        <v>0</v>
      </c>
      <c r="K145" t="n">
        <v>0</v>
      </c>
      <c r="L145" t="n">
        <v>0</v>
      </c>
      <c r="M145" t="n">
        <v>0</v>
      </c>
      <c r="N145" t="n">
        <v>0</v>
      </c>
      <c r="O145" t="n">
        <v>0</v>
      </c>
      <c r="P145" t="n">
        <v>0</v>
      </c>
      <c r="Q145" t="n">
        <v>1</v>
      </c>
      <c r="R145" s="2" t="inlineStr">
        <is>
          <t>Fläcknycklar</t>
        </is>
      </c>
      <c r="S145">
        <f>HYPERLINK("https://klasma.github.io/Logging_2482/artfynd/A 25651-2019 artfynd.xlsx", "A 25651-2019")</f>
        <v/>
      </c>
      <c r="T145">
        <f>HYPERLINK("https://klasma.github.io/Logging_2482/kartor/A 25651-2019 karta.png", "A 25651-2019")</f>
        <v/>
      </c>
      <c r="V145">
        <f>HYPERLINK("https://klasma.github.io/Logging_2482/klagomål/A 25651-2019 FSC-klagomål.docx", "A 25651-2019")</f>
        <v/>
      </c>
      <c r="W145">
        <f>HYPERLINK("https://klasma.github.io/Logging_2482/klagomålsmail/A 25651-2019 FSC-klagomål mail.docx", "A 25651-2019")</f>
        <v/>
      </c>
      <c r="X145">
        <f>HYPERLINK("https://klasma.github.io/Logging_2482/tillsyn/A 25651-2019 tillsynsbegäran.docx", "A 25651-2019")</f>
        <v/>
      </c>
      <c r="Y145">
        <f>HYPERLINK("https://klasma.github.io/Logging_2482/tillsynsmail/A 25651-2019 tillsynsbegäran mail.docx", "A 25651-2019")</f>
        <v/>
      </c>
    </row>
    <row r="146" ht="15" customHeight="1">
      <c r="A146" t="inlineStr">
        <is>
          <t>A 49035-2019</t>
        </is>
      </c>
      <c r="B146" s="1" t="n">
        <v>43731</v>
      </c>
      <c r="C146" s="1" t="n">
        <v>45566</v>
      </c>
      <c r="D146" t="inlineStr">
        <is>
          <t>VÄSTERBOTTENS LÄN</t>
        </is>
      </c>
      <c r="E146" t="inlineStr">
        <is>
          <t>SKELLEFTEÅ</t>
        </is>
      </c>
      <c r="F146" t="inlineStr">
        <is>
          <t>Kommuner</t>
        </is>
      </c>
      <c r="G146" t="n">
        <v>1.4</v>
      </c>
      <c r="H146" t="n">
        <v>1</v>
      </c>
      <c r="I146" t="n">
        <v>0</v>
      </c>
      <c r="J146" t="n">
        <v>0</v>
      </c>
      <c r="K146" t="n">
        <v>0</v>
      </c>
      <c r="L146" t="n">
        <v>0</v>
      </c>
      <c r="M146" t="n">
        <v>0</v>
      </c>
      <c r="N146" t="n">
        <v>0</v>
      </c>
      <c r="O146" t="n">
        <v>0</v>
      </c>
      <c r="P146" t="n">
        <v>0</v>
      </c>
      <c r="Q146" t="n">
        <v>1</v>
      </c>
      <c r="R146" s="2" t="inlineStr">
        <is>
          <t>Huggorm</t>
        </is>
      </c>
      <c r="S146">
        <f>HYPERLINK("https://klasma.github.io/Logging_2482/artfynd/A 49035-2019 artfynd.xlsx", "A 49035-2019")</f>
        <v/>
      </c>
      <c r="T146">
        <f>HYPERLINK("https://klasma.github.io/Logging_2482/kartor/A 49035-2019 karta.png", "A 49035-2019")</f>
        <v/>
      </c>
      <c r="V146">
        <f>HYPERLINK("https://klasma.github.io/Logging_2482/klagomål/A 49035-2019 FSC-klagomål.docx", "A 49035-2019")</f>
        <v/>
      </c>
      <c r="W146">
        <f>HYPERLINK("https://klasma.github.io/Logging_2482/klagomålsmail/A 49035-2019 FSC-klagomål mail.docx", "A 49035-2019")</f>
        <v/>
      </c>
      <c r="X146">
        <f>HYPERLINK("https://klasma.github.io/Logging_2482/tillsyn/A 49035-2019 tillsynsbegäran.docx", "A 49035-2019")</f>
        <v/>
      </c>
      <c r="Y146">
        <f>HYPERLINK("https://klasma.github.io/Logging_2482/tillsynsmail/A 49035-2019 tillsynsbegäran mail.docx", "A 49035-2019")</f>
        <v/>
      </c>
    </row>
    <row r="147" ht="15" customHeight="1">
      <c r="A147" t="inlineStr">
        <is>
          <t>A 51461-2019</t>
        </is>
      </c>
      <c r="B147" s="1" t="n">
        <v>43740</v>
      </c>
      <c r="C147" s="1" t="n">
        <v>45566</v>
      </c>
      <c r="D147" t="inlineStr">
        <is>
          <t>VÄSTERBOTTENS LÄN</t>
        </is>
      </c>
      <c r="E147" t="inlineStr">
        <is>
          <t>SKELLEFTEÅ</t>
        </is>
      </c>
      <c r="F147" t="inlineStr">
        <is>
          <t>Sveaskog</t>
        </is>
      </c>
      <c r="G147" t="n">
        <v>12.2</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51461-2019 artfynd.xlsx", "A 51461-2019")</f>
        <v/>
      </c>
      <c r="T147">
        <f>HYPERLINK("https://klasma.github.io/Logging_2482/kartor/A 51461-2019 karta.png", "A 51461-2019")</f>
        <v/>
      </c>
      <c r="V147">
        <f>HYPERLINK("https://klasma.github.io/Logging_2482/klagomål/A 51461-2019 FSC-klagomål.docx", "A 51461-2019")</f>
        <v/>
      </c>
      <c r="W147">
        <f>HYPERLINK("https://klasma.github.io/Logging_2482/klagomålsmail/A 51461-2019 FSC-klagomål mail.docx", "A 51461-2019")</f>
        <v/>
      </c>
      <c r="X147">
        <f>HYPERLINK("https://klasma.github.io/Logging_2482/tillsyn/A 51461-2019 tillsynsbegäran.docx", "A 51461-2019")</f>
        <v/>
      </c>
      <c r="Y147">
        <f>HYPERLINK("https://klasma.github.io/Logging_2482/tillsynsmail/A 51461-2019 tillsynsbegäran mail.docx", "A 51461-2019")</f>
        <v/>
      </c>
    </row>
    <row r="148" ht="15" customHeight="1">
      <c r="A148" t="inlineStr">
        <is>
          <t>A 63709-2019</t>
        </is>
      </c>
      <c r="B148" s="1" t="n">
        <v>43795</v>
      </c>
      <c r="C148" s="1" t="n">
        <v>45566</v>
      </c>
      <c r="D148" t="inlineStr">
        <is>
          <t>VÄSTERBOTTENS LÄN</t>
        </is>
      </c>
      <c r="E148" t="inlineStr">
        <is>
          <t>SKELLEFTEÅ</t>
        </is>
      </c>
      <c r="F148" t="inlineStr">
        <is>
          <t>Sveaskog</t>
        </is>
      </c>
      <c r="G148" t="n">
        <v>39.7</v>
      </c>
      <c r="H148" t="n">
        <v>1</v>
      </c>
      <c r="I148" t="n">
        <v>0</v>
      </c>
      <c r="J148" t="n">
        <v>0</v>
      </c>
      <c r="K148" t="n">
        <v>0</v>
      </c>
      <c r="L148" t="n">
        <v>0</v>
      </c>
      <c r="M148" t="n">
        <v>0</v>
      </c>
      <c r="N148" t="n">
        <v>0</v>
      </c>
      <c r="O148" t="n">
        <v>0</v>
      </c>
      <c r="P148" t="n">
        <v>0</v>
      </c>
      <c r="Q148" t="n">
        <v>1</v>
      </c>
      <c r="R148" s="2" t="inlineStr">
        <is>
          <t>Fläcknycklar</t>
        </is>
      </c>
      <c r="S148">
        <f>HYPERLINK("https://klasma.github.io/Logging_2482/artfynd/A 63709-2019 artfynd.xlsx", "A 63709-2019")</f>
        <v/>
      </c>
      <c r="T148">
        <f>HYPERLINK("https://klasma.github.io/Logging_2482/kartor/A 63709-2019 karta.png", "A 63709-2019")</f>
        <v/>
      </c>
      <c r="V148">
        <f>HYPERLINK("https://klasma.github.io/Logging_2482/klagomål/A 63709-2019 FSC-klagomål.docx", "A 63709-2019")</f>
        <v/>
      </c>
      <c r="W148">
        <f>HYPERLINK("https://klasma.github.io/Logging_2482/klagomålsmail/A 63709-2019 FSC-klagomål mail.docx", "A 63709-2019")</f>
        <v/>
      </c>
      <c r="X148">
        <f>HYPERLINK("https://klasma.github.io/Logging_2482/tillsyn/A 63709-2019 tillsynsbegäran.docx", "A 63709-2019")</f>
        <v/>
      </c>
      <c r="Y148">
        <f>HYPERLINK("https://klasma.github.io/Logging_2482/tillsynsmail/A 63709-2019 tillsynsbegäran mail.docx", "A 63709-2019")</f>
        <v/>
      </c>
    </row>
    <row r="149" ht="15" customHeight="1">
      <c r="A149" t="inlineStr">
        <is>
          <t>A 43180-2020</t>
        </is>
      </c>
      <c r="B149" s="1" t="n">
        <v>44076</v>
      </c>
      <c r="C149" s="1" t="n">
        <v>45566</v>
      </c>
      <c r="D149" t="inlineStr">
        <is>
          <t>VÄSTERBOTTENS LÄN</t>
        </is>
      </c>
      <c r="E149" t="inlineStr">
        <is>
          <t>SKELLEFTEÅ</t>
        </is>
      </c>
      <c r="G149" t="n">
        <v>0.6</v>
      </c>
      <c r="H149" t="n">
        <v>0</v>
      </c>
      <c r="I149" t="n">
        <v>0</v>
      </c>
      <c r="J149" t="n">
        <v>1</v>
      </c>
      <c r="K149" t="n">
        <v>0</v>
      </c>
      <c r="L149" t="n">
        <v>0</v>
      </c>
      <c r="M149" t="n">
        <v>0</v>
      </c>
      <c r="N149" t="n">
        <v>0</v>
      </c>
      <c r="O149" t="n">
        <v>1</v>
      </c>
      <c r="P149" t="n">
        <v>0</v>
      </c>
      <c r="Q149" t="n">
        <v>1</v>
      </c>
      <c r="R149" s="2" t="inlineStr">
        <is>
          <t>Garnlav</t>
        </is>
      </c>
      <c r="S149">
        <f>HYPERLINK("https://klasma.github.io/Logging_2482/artfynd/A 43180-2020 artfynd.xlsx", "A 43180-2020")</f>
        <v/>
      </c>
      <c r="T149">
        <f>HYPERLINK("https://klasma.github.io/Logging_2482/kartor/A 43180-2020 karta.png", "A 43180-2020")</f>
        <v/>
      </c>
      <c r="V149">
        <f>HYPERLINK("https://klasma.github.io/Logging_2482/klagomål/A 43180-2020 FSC-klagomål.docx", "A 43180-2020")</f>
        <v/>
      </c>
      <c r="W149">
        <f>HYPERLINK("https://klasma.github.io/Logging_2482/klagomålsmail/A 43180-2020 FSC-klagomål mail.docx", "A 43180-2020")</f>
        <v/>
      </c>
      <c r="X149">
        <f>HYPERLINK("https://klasma.github.io/Logging_2482/tillsyn/A 43180-2020 tillsynsbegäran.docx", "A 43180-2020")</f>
        <v/>
      </c>
      <c r="Y149">
        <f>HYPERLINK("https://klasma.github.io/Logging_2482/tillsynsmail/A 43180-2020 tillsynsbegäran mail.docx", "A 43180-2020")</f>
        <v/>
      </c>
    </row>
    <row r="150" ht="15" customHeight="1">
      <c r="A150" t="inlineStr">
        <is>
          <t>A 42794-2020</t>
        </is>
      </c>
      <c r="B150" s="1" t="n">
        <v>44078</v>
      </c>
      <c r="C150" s="1" t="n">
        <v>45566</v>
      </c>
      <c r="D150" t="inlineStr">
        <is>
          <t>VÄSTERBOTTENS LÄN</t>
        </is>
      </c>
      <c r="E150" t="inlineStr">
        <is>
          <t>SKELLEFTEÅ</t>
        </is>
      </c>
      <c r="F150" t="inlineStr">
        <is>
          <t>Kommuner</t>
        </is>
      </c>
      <c r="G150" t="n">
        <v>3.4</v>
      </c>
      <c r="H150" t="n">
        <v>0</v>
      </c>
      <c r="I150" t="n">
        <v>0</v>
      </c>
      <c r="J150" t="n">
        <v>1</v>
      </c>
      <c r="K150" t="n">
        <v>0</v>
      </c>
      <c r="L150" t="n">
        <v>0</v>
      </c>
      <c r="M150" t="n">
        <v>0</v>
      </c>
      <c r="N150" t="n">
        <v>0</v>
      </c>
      <c r="O150" t="n">
        <v>1</v>
      </c>
      <c r="P150" t="n">
        <v>0</v>
      </c>
      <c r="Q150" t="n">
        <v>1</v>
      </c>
      <c r="R150" s="2" t="inlineStr">
        <is>
          <t>Motaggsvamp</t>
        </is>
      </c>
      <c r="S150">
        <f>HYPERLINK("https://klasma.github.io/Logging_2482/artfynd/A 42794-2020 artfynd.xlsx", "A 42794-2020")</f>
        <v/>
      </c>
      <c r="T150">
        <f>HYPERLINK("https://klasma.github.io/Logging_2482/kartor/A 42794-2020 karta.png", "A 42794-2020")</f>
        <v/>
      </c>
      <c r="V150">
        <f>HYPERLINK("https://klasma.github.io/Logging_2482/klagomål/A 42794-2020 FSC-klagomål.docx", "A 42794-2020")</f>
        <v/>
      </c>
      <c r="W150">
        <f>HYPERLINK("https://klasma.github.io/Logging_2482/klagomålsmail/A 42794-2020 FSC-klagomål mail.docx", "A 42794-2020")</f>
        <v/>
      </c>
      <c r="X150">
        <f>HYPERLINK("https://klasma.github.io/Logging_2482/tillsyn/A 42794-2020 tillsynsbegäran.docx", "A 42794-2020")</f>
        <v/>
      </c>
      <c r="Y150">
        <f>HYPERLINK("https://klasma.github.io/Logging_2482/tillsynsmail/A 42794-2020 tillsynsbegäran mail.docx", "A 42794-2020")</f>
        <v/>
      </c>
    </row>
    <row r="151" ht="15" customHeight="1">
      <c r="A151" t="inlineStr">
        <is>
          <t>A 43297-2020</t>
        </is>
      </c>
      <c r="B151" s="1" t="n">
        <v>44081</v>
      </c>
      <c r="C151" s="1" t="n">
        <v>45566</v>
      </c>
      <c r="D151" t="inlineStr">
        <is>
          <t>VÄSTERBOTTENS LÄN</t>
        </is>
      </c>
      <c r="E151" t="inlineStr">
        <is>
          <t>SKELLEFTEÅ</t>
        </is>
      </c>
      <c r="F151" t="inlineStr">
        <is>
          <t>Sveaskog</t>
        </is>
      </c>
      <c r="G151" t="n">
        <v>6</v>
      </c>
      <c r="H151" t="n">
        <v>0</v>
      </c>
      <c r="I151" t="n">
        <v>1</v>
      </c>
      <c r="J151" t="n">
        <v>0</v>
      </c>
      <c r="K151" t="n">
        <v>0</v>
      </c>
      <c r="L151" t="n">
        <v>0</v>
      </c>
      <c r="M151" t="n">
        <v>0</v>
      </c>
      <c r="N151" t="n">
        <v>0</v>
      </c>
      <c r="O151" t="n">
        <v>0</v>
      </c>
      <c r="P151" t="n">
        <v>0</v>
      </c>
      <c r="Q151" t="n">
        <v>1</v>
      </c>
      <c r="R151" s="2" t="inlineStr">
        <is>
          <t>Vedticka</t>
        </is>
      </c>
      <c r="S151">
        <f>HYPERLINK("https://klasma.github.io/Logging_2482/artfynd/A 43297-2020 artfynd.xlsx", "A 43297-2020")</f>
        <v/>
      </c>
      <c r="T151">
        <f>HYPERLINK("https://klasma.github.io/Logging_2482/kartor/A 43297-2020 karta.png", "A 43297-2020")</f>
        <v/>
      </c>
      <c r="V151">
        <f>HYPERLINK("https://klasma.github.io/Logging_2482/klagomål/A 43297-2020 FSC-klagomål.docx", "A 43297-2020")</f>
        <v/>
      </c>
      <c r="W151">
        <f>HYPERLINK("https://klasma.github.io/Logging_2482/klagomålsmail/A 43297-2020 FSC-klagomål mail.docx", "A 43297-2020")</f>
        <v/>
      </c>
      <c r="X151">
        <f>HYPERLINK("https://klasma.github.io/Logging_2482/tillsyn/A 43297-2020 tillsynsbegäran.docx", "A 43297-2020")</f>
        <v/>
      </c>
      <c r="Y151">
        <f>HYPERLINK("https://klasma.github.io/Logging_2482/tillsynsmail/A 43297-2020 tillsynsbegäran mail.docx", "A 43297-2020")</f>
        <v/>
      </c>
    </row>
    <row r="152" ht="15" customHeight="1">
      <c r="A152" t="inlineStr">
        <is>
          <t>A 43303-2020</t>
        </is>
      </c>
      <c r="B152" s="1" t="n">
        <v>44081</v>
      </c>
      <c r="C152" s="1" t="n">
        <v>45566</v>
      </c>
      <c r="D152" t="inlineStr">
        <is>
          <t>VÄSTERBOTTENS LÄN</t>
        </is>
      </c>
      <c r="E152" t="inlineStr">
        <is>
          <t>SKELLEFTEÅ</t>
        </is>
      </c>
      <c r="F152" t="inlineStr">
        <is>
          <t>Sveaskog</t>
        </is>
      </c>
      <c r="G152" t="n">
        <v>2.8</v>
      </c>
      <c r="H152" t="n">
        <v>0</v>
      </c>
      <c r="I152" t="n">
        <v>1</v>
      </c>
      <c r="J152" t="n">
        <v>0</v>
      </c>
      <c r="K152" t="n">
        <v>0</v>
      </c>
      <c r="L152" t="n">
        <v>0</v>
      </c>
      <c r="M152" t="n">
        <v>0</v>
      </c>
      <c r="N152" t="n">
        <v>0</v>
      </c>
      <c r="O152" t="n">
        <v>0</v>
      </c>
      <c r="P152" t="n">
        <v>0</v>
      </c>
      <c r="Q152" t="n">
        <v>1</v>
      </c>
      <c r="R152" s="2" t="inlineStr">
        <is>
          <t>Stuplav</t>
        </is>
      </c>
      <c r="S152">
        <f>HYPERLINK("https://klasma.github.io/Logging_2482/artfynd/A 43303-2020 artfynd.xlsx", "A 43303-2020")</f>
        <v/>
      </c>
      <c r="T152">
        <f>HYPERLINK("https://klasma.github.io/Logging_2482/kartor/A 43303-2020 karta.png", "A 43303-2020")</f>
        <v/>
      </c>
      <c r="V152">
        <f>HYPERLINK("https://klasma.github.io/Logging_2482/klagomål/A 43303-2020 FSC-klagomål.docx", "A 43303-2020")</f>
        <v/>
      </c>
      <c r="W152">
        <f>HYPERLINK("https://klasma.github.io/Logging_2482/klagomålsmail/A 43303-2020 FSC-klagomål mail.docx", "A 43303-2020")</f>
        <v/>
      </c>
      <c r="X152">
        <f>HYPERLINK("https://klasma.github.io/Logging_2482/tillsyn/A 43303-2020 tillsynsbegäran.docx", "A 43303-2020")</f>
        <v/>
      </c>
      <c r="Y152">
        <f>HYPERLINK("https://klasma.github.io/Logging_2482/tillsynsmail/A 43303-2020 tillsynsbegäran mail.docx", "A 43303-2020")</f>
        <v/>
      </c>
    </row>
    <row r="153" ht="15" customHeight="1">
      <c r="A153" t="inlineStr">
        <is>
          <t>A 55810-2020</t>
        </is>
      </c>
      <c r="B153" s="1" t="n">
        <v>44132</v>
      </c>
      <c r="C153" s="1" t="n">
        <v>45566</v>
      </c>
      <c r="D153" t="inlineStr">
        <is>
          <t>VÄSTERBOTTENS LÄN</t>
        </is>
      </c>
      <c r="E153" t="inlineStr">
        <is>
          <t>SKELLEFTEÅ</t>
        </is>
      </c>
      <c r="F153" t="inlineStr">
        <is>
          <t>Sveaskog</t>
        </is>
      </c>
      <c r="G153" t="n">
        <v>20.1</v>
      </c>
      <c r="H153" t="n">
        <v>1</v>
      </c>
      <c r="I153" t="n">
        <v>0</v>
      </c>
      <c r="J153" t="n">
        <v>0</v>
      </c>
      <c r="K153" t="n">
        <v>0</v>
      </c>
      <c r="L153" t="n">
        <v>0</v>
      </c>
      <c r="M153" t="n">
        <v>0</v>
      </c>
      <c r="N153" t="n">
        <v>0</v>
      </c>
      <c r="O153" t="n">
        <v>0</v>
      </c>
      <c r="P153" t="n">
        <v>0</v>
      </c>
      <c r="Q153" t="n">
        <v>1</v>
      </c>
      <c r="R153" s="2" t="inlineStr">
        <is>
          <t>Fläcknycklar</t>
        </is>
      </c>
      <c r="S153">
        <f>HYPERLINK("https://klasma.github.io/Logging_2482/artfynd/A 55810-2020 artfynd.xlsx", "A 55810-2020")</f>
        <v/>
      </c>
      <c r="T153">
        <f>HYPERLINK("https://klasma.github.io/Logging_2482/kartor/A 55810-2020 karta.png", "A 55810-2020")</f>
        <v/>
      </c>
      <c r="V153">
        <f>HYPERLINK("https://klasma.github.io/Logging_2482/klagomål/A 55810-2020 FSC-klagomål.docx", "A 55810-2020")</f>
        <v/>
      </c>
      <c r="W153">
        <f>HYPERLINK("https://klasma.github.io/Logging_2482/klagomålsmail/A 55810-2020 FSC-klagomål mail.docx", "A 55810-2020")</f>
        <v/>
      </c>
      <c r="X153">
        <f>HYPERLINK("https://klasma.github.io/Logging_2482/tillsyn/A 55810-2020 tillsynsbegäran.docx", "A 55810-2020")</f>
        <v/>
      </c>
      <c r="Y153">
        <f>HYPERLINK("https://klasma.github.io/Logging_2482/tillsynsmail/A 55810-2020 tillsynsbegäran mail.docx", "A 55810-2020")</f>
        <v/>
      </c>
    </row>
    <row r="154" ht="15" customHeight="1">
      <c r="A154" t="inlineStr">
        <is>
          <t>A 32964-2021</t>
        </is>
      </c>
      <c r="B154" s="1" t="n">
        <v>44376</v>
      </c>
      <c r="C154" s="1" t="n">
        <v>45566</v>
      </c>
      <c r="D154" t="inlineStr">
        <is>
          <t>VÄSTERBOTTENS LÄN</t>
        </is>
      </c>
      <c r="E154" t="inlineStr">
        <is>
          <t>SKELLEFTEÅ</t>
        </is>
      </c>
      <c r="G154" t="n">
        <v>16</v>
      </c>
      <c r="H154" t="n">
        <v>0</v>
      </c>
      <c r="I154" t="n">
        <v>0</v>
      </c>
      <c r="J154" t="n">
        <v>1</v>
      </c>
      <c r="K154" t="n">
        <v>0</v>
      </c>
      <c r="L154" t="n">
        <v>0</v>
      </c>
      <c r="M154" t="n">
        <v>0</v>
      </c>
      <c r="N154" t="n">
        <v>0</v>
      </c>
      <c r="O154" t="n">
        <v>1</v>
      </c>
      <c r="P154" t="n">
        <v>0</v>
      </c>
      <c r="Q154" t="n">
        <v>1</v>
      </c>
      <c r="R154" s="2" t="inlineStr">
        <is>
          <t>Kådvaxskinn</t>
        </is>
      </c>
      <c r="S154">
        <f>HYPERLINK("https://klasma.github.io/Logging_2482/artfynd/A 32964-2021 artfynd.xlsx", "A 32964-2021")</f>
        <v/>
      </c>
      <c r="T154">
        <f>HYPERLINK("https://klasma.github.io/Logging_2482/kartor/A 32964-2021 karta.png", "A 32964-2021")</f>
        <v/>
      </c>
      <c r="V154">
        <f>HYPERLINK("https://klasma.github.io/Logging_2482/klagomål/A 32964-2021 FSC-klagomål.docx", "A 32964-2021")</f>
        <v/>
      </c>
      <c r="W154">
        <f>HYPERLINK("https://klasma.github.io/Logging_2482/klagomålsmail/A 32964-2021 FSC-klagomål mail.docx", "A 32964-2021")</f>
        <v/>
      </c>
      <c r="X154">
        <f>HYPERLINK("https://klasma.github.io/Logging_2482/tillsyn/A 32964-2021 tillsynsbegäran.docx", "A 32964-2021")</f>
        <v/>
      </c>
      <c r="Y154">
        <f>HYPERLINK("https://klasma.github.io/Logging_2482/tillsynsmail/A 32964-2021 tillsynsbegäran mail.docx", "A 32964-2021")</f>
        <v/>
      </c>
    </row>
    <row r="155" ht="15" customHeight="1">
      <c r="A155" t="inlineStr">
        <is>
          <t>A 35047-2021</t>
        </is>
      </c>
      <c r="B155" s="1" t="n">
        <v>44384</v>
      </c>
      <c r="C155" s="1" t="n">
        <v>45566</v>
      </c>
      <c r="D155" t="inlineStr">
        <is>
          <t>VÄSTERBOTTENS LÄN</t>
        </is>
      </c>
      <c r="E155" t="inlineStr">
        <is>
          <t>SKELLEFTEÅ</t>
        </is>
      </c>
      <c r="G155" t="n">
        <v>3.1</v>
      </c>
      <c r="H155" t="n">
        <v>0</v>
      </c>
      <c r="I155" t="n">
        <v>0</v>
      </c>
      <c r="J155" t="n">
        <v>1</v>
      </c>
      <c r="K155" t="n">
        <v>0</v>
      </c>
      <c r="L155" t="n">
        <v>0</v>
      </c>
      <c r="M155" t="n">
        <v>0</v>
      </c>
      <c r="N155" t="n">
        <v>0</v>
      </c>
      <c r="O155" t="n">
        <v>1</v>
      </c>
      <c r="P155" t="n">
        <v>0</v>
      </c>
      <c r="Q155" t="n">
        <v>1</v>
      </c>
      <c r="R155" s="2" t="inlineStr">
        <is>
          <t>Garnlav</t>
        </is>
      </c>
      <c r="S155">
        <f>HYPERLINK("https://klasma.github.io/Logging_2482/artfynd/A 35047-2021 artfynd.xlsx", "A 35047-2021")</f>
        <v/>
      </c>
      <c r="T155">
        <f>HYPERLINK("https://klasma.github.io/Logging_2482/kartor/A 35047-2021 karta.png", "A 35047-2021")</f>
        <v/>
      </c>
      <c r="V155">
        <f>HYPERLINK("https://klasma.github.io/Logging_2482/klagomål/A 35047-2021 FSC-klagomål.docx", "A 35047-2021")</f>
        <v/>
      </c>
      <c r="W155">
        <f>HYPERLINK("https://klasma.github.io/Logging_2482/klagomålsmail/A 35047-2021 FSC-klagomål mail.docx", "A 35047-2021")</f>
        <v/>
      </c>
      <c r="X155">
        <f>HYPERLINK("https://klasma.github.io/Logging_2482/tillsyn/A 35047-2021 tillsynsbegäran.docx", "A 35047-2021")</f>
        <v/>
      </c>
      <c r="Y155">
        <f>HYPERLINK("https://klasma.github.io/Logging_2482/tillsynsmail/A 35047-2021 tillsynsbegäran mail.docx", "A 35047-2021")</f>
        <v/>
      </c>
    </row>
    <row r="156" ht="15" customHeight="1">
      <c r="A156" t="inlineStr">
        <is>
          <t>A 35625-2021</t>
        </is>
      </c>
      <c r="B156" s="1" t="n">
        <v>44386</v>
      </c>
      <c r="C156" s="1" t="n">
        <v>45566</v>
      </c>
      <c r="D156" t="inlineStr">
        <is>
          <t>VÄSTERBOTTENS LÄN</t>
        </is>
      </c>
      <c r="E156" t="inlineStr">
        <is>
          <t>SKELLEFTEÅ</t>
        </is>
      </c>
      <c r="F156" t="inlineStr">
        <is>
          <t>Holmen skog AB</t>
        </is>
      </c>
      <c r="G156" t="n">
        <v>3.5</v>
      </c>
      <c r="H156" t="n">
        <v>0</v>
      </c>
      <c r="I156" t="n">
        <v>1</v>
      </c>
      <c r="J156" t="n">
        <v>0</v>
      </c>
      <c r="K156" t="n">
        <v>0</v>
      </c>
      <c r="L156" t="n">
        <v>0</v>
      </c>
      <c r="M156" t="n">
        <v>0</v>
      </c>
      <c r="N156" t="n">
        <v>0</v>
      </c>
      <c r="O156" t="n">
        <v>0</v>
      </c>
      <c r="P156" t="n">
        <v>0</v>
      </c>
      <c r="Q156" t="n">
        <v>1</v>
      </c>
      <c r="R156" s="2" t="inlineStr">
        <is>
          <t>Vedticka</t>
        </is>
      </c>
      <c r="S156">
        <f>HYPERLINK("https://klasma.github.io/Logging_2482/artfynd/A 35625-2021 artfynd.xlsx", "A 35625-2021")</f>
        <v/>
      </c>
      <c r="T156">
        <f>HYPERLINK("https://klasma.github.io/Logging_2482/kartor/A 35625-2021 karta.png", "A 35625-2021")</f>
        <v/>
      </c>
      <c r="V156">
        <f>HYPERLINK("https://klasma.github.io/Logging_2482/klagomål/A 35625-2021 FSC-klagomål.docx", "A 35625-2021")</f>
        <v/>
      </c>
      <c r="W156">
        <f>HYPERLINK("https://klasma.github.io/Logging_2482/klagomålsmail/A 35625-2021 FSC-klagomål mail.docx", "A 35625-2021")</f>
        <v/>
      </c>
      <c r="X156">
        <f>HYPERLINK("https://klasma.github.io/Logging_2482/tillsyn/A 35625-2021 tillsynsbegäran.docx", "A 35625-2021")</f>
        <v/>
      </c>
      <c r="Y156">
        <f>HYPERLINK("https://klasma.github.io/Logging_2482/tillsynsmail/A 35625-2021 tillsynsbegäran mail.docx", "A 35625-2021")</f>
        <v/>
      </c>
    </row>
    <row r="157" ht="15" customHeight="1">
      <c r="A157" t="inlineStr">
        <is>
          <t>A 39946-2021</t>
        </is>
      </c>
      <c r="B157" s="1" t="n">
        <v>44417</v>
      </c>
      <c r="C157" s="1" t="n">
        <v>45566</v>
      </c>
      <c r="D157" t="inlineStr">
        <is>
          <t>VÄSTERBOTTENS LÄN</t>
        </is>
      </c>
      <c r="E157" t="inlineStr">
        <is>
          <t>SKELLEFTEÅ</t>
        </is>
      </c>
      <c r="F157" t="inlineStr">
        <is>
          <t>SCA</t>
        </is>
      </c>
      <c r="G157" t="n">
        <v>3.4</v>
      </c>
      <c r="H157" t="n">
        <v>1</v>
      </c>
      <c r="I157" t="n">
        <v>0</v>
      </c>
      <c r="J157" t="n">
        <v>0</v>
      </c>
      <c r="K157" t="n">
        <v>0</v>
      </c>
      <c r="L157" t="n">
        <v>0</v>
      </c>
      <c r="M157" t="n">
        <v>0</v>
      </c>
      <c r="N157" t="n">
        <v>0</v>
      </c>
      <c r="O157" t="n">
        <v>0</v>
      </c>
      <c r="P157" t="n">
        <v>0</v>
      </c>
      <c r="Q157" t="n">
        <v>1</v>
      </c>
      <c r="R157" s="2" t="inlineStr">
        <is>
          <t>Fläcknycklar</t>
        </is>
      </c>
      <c r="S157">
        <f>HYPERLINK("https://klasma.github.io/Logging_2482/artfynd/A 39946-2021 artfynd.xlsx", "A 39946-2021")</f>
        <v/>
      </c>
      <c r="T157">
        <f>HYPERLINK("https://klasma.github.io/Logging_2482/kartor/A 39946-2021 karta.png", "A 39946-2021")</f>
        <v/>
      </c>
      <c r="V157">
        <f>HYPERLINK("https://klasma.github.io/Logging_2482/klagomål/A 39946-2021 FSC-klagomål.docx", "A 39946-2021")</f>
        <v/>
      </c>
      <c r="W157">
        <f>HYPERLINK("https://klasma.github.io/Logging_2482/klagomålsmail/A 39946-2021 FSC-klagomål mail.docx", "A 39946-2021")</f>
        <v/>
      </c>
      <c r="X157">
        <f>HYPERLINK("https://klasma.github.io/Logging_2482/tillsyn/A 39946-2021 tillsynsbegäran.docx", "A 39946-2021")</f>
        <v/>
      </c>
      <c r="Y157">
        <f>HYPERLINK("https://klasma.github.io/Logging_2482/tillsynsmail/A 39946-2021 tillsynsbegäran mail.docx", "A 39946-2021")</f>
        <v/>
      </c>
    </row>
    <row r="158" ht="15" customHeight="1">
      <c r="A158" t="inlineStr">
        <is>
          <t>A 58766-2021</t>
        </is>
      </c>
      <c r="B158" s="1" t="n">
        <v>44489</v>
      </c>
      <c r="C158" s="1" t="n">
        <v>45566</v>
      </c>
      <c r="D158" t="inlineStr">
        <is>
          <t>VÄSTERBOTTENS LÄN</t>
        </is>
      </c>
      <c r="E158" t="inlineStr">
        <is>
          <t>SKELLEFTEÅ</t>
        </is>
      </c>
      <c r="G158" t="n">
        <v>5.5</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58766-2021 artfynd.xlsx", "A 58766-2021")</f>
        <v/>
      </c>
      <c r="T158">
        <f>HYPERLINK("https://klasma.github.io/Logging_2482/kartor/A 58766-2021 karta.png", "A 58766-2021")</f>
        <v/>
      </c>
      <c r="V158">
        <f>HYPERLINK("https://klasma.github.io/Logging_2482/klagomål/A 58766-2021 FSC-klagomål.docx", "A 58766-2021")</f>
        <v/>
      </c>
      <c r="W158">
        <f>HYPERLINK("https://klasma.github.io/Logging_2482/klagomålsmail/A 58766-2021 FSC-klagomål mail.docx", "A 58766-2021")</f>
        <v/>
      </c>
      <c r="X158">
        <f>HYPERLINK("https://klasma.github.io/Logging_2482/tillsyn/A 58766-2021 tillsynsbegäran.docx", "A 58766-2021")</f>
        <v/>
      </c>
      <c r="Y158">
        <f>HYPERLINK("https://klasma.github.io/Logging_2482/tillsynsmail/A 58766-2021 tillsynsbegäran mail.docx", "A 58766-2021")</f>
        <v/>
      </c>
    </row>
    <row r="159" ht="15" customHeight="1">
      <c r="A159" t="inlineStr">
        <is>
          <t>A 61658-2021</t>
        </is>
      </c>
      <c r="B159" s="1" t="n">
        <v>44501</v>
      </c>
      <c r="C159" s="1" t="n">
        <v>45566</v>
      </c>
      <c r="D159" t="inlineStr">
        <is>
          <t>VÄSTERBOTTENS LÄN</t>
        </is>
      </c>
      <c r="E159" t="inlineStr">
        <is>
          <t>SKELLEFTEÅ</t>
        </is>
      </c>
      <c r="F159" t="inlineStr">
        <is>
          <t>Sveaskog</t>
        </is>
      </c>
      <c r="G159" t="n">
        <v>16.3</v>
      </c>
      <c r="H159" t="n">
        <v>1</v>
      </c>
      <c r="I159" t="n">
        <v>0</v>
      </c>
      <c r="J159" t="n">
        <v>0</v>
      </c>
      <c r="K159" t="n">
        <v>0</v>
      </c>
      <c r="L159" t="n">
        <v>0</v>
      </c>
      <c r="M159" t="n">
        <v>0</v>
      </c>
      <c r="N159" t="n">
        <v>0</v>
      </c>
      <c r="O159" t="n">
        <v>0</v>
      </c>
      <c r="P159" t="n">
        <v>0</v>
      </c>
      <c r="Q159" t="n">
        <v>1</v>
      </c>
      <c r="R159" s="2" t="inlineStr">
        <is>
          <t>Revlummer</t>
        </is>
      </c>
      <c r="S159">
        <f>HYPERLINK("https://klasma.github.io/Logging_2482/artfynd/A 61658-2021 artfynd.xlsx", "A 61658-2021")</f>
        <v/>
      </c>
      <c r="T159">
        <f>HYPERLINK("https://klasma.github.io/Logging_2482/kartor/A 61658-2021 karta.png", "A 61658-2021")</f>
        <v/>
      </c>
      <c r="V159">
        <f>HYPERLINK("https://klasma.github.io/Logging_2482/klagomål/A 61658-2021 FSC-klagomål.docx", "A 61658-2021")</f>
        <v/>
      </c>
      <c r="W159">
        <f>HYPERLINK("https://klasma.github.io/Logging_2482/klagomålsmail/A 61658-2021 FSC-klagomål mail.docx", "A 61658-2021")</f>
        <v/>
      </c>
      <c r="X159">
        <f>HYPERLINK("https://klasma.github.io/Logging_2482/tillsyn/A 61658-2021 tillsynsbegäran.docx", "A 61658-2021")</f>
        <v/>
      </c>
      <c r="Y159">
        <f>HYPERLINK("https://klasma.github.io/Logging_2482/tillsynsmail/A 61658-2021 tillsynsbegäran mail.docx", "A 61658-2021")</f>
        <v/>
      </c>
    </row>
    <row r="160" ht="15" customHeight="1">
      <c r="A160" t="inlineStr">
        <is>
          <t>A 62436-2021</t>
        </is>
      </c>
      <c r="B160" s="1" t="n">
        <v>44503</v>
      </c>
      <c r="C160" s="1" t="n">
        <v>45566</v>
      </c>
      <c r="D160" t="inlineStr">
        <is>
          <t>VÄSTERBOTTENS LÄN</t>
        </is>
      </c>
      <c r="E160" t="inlineStr">
        <is>
          <t>SKELLEFTEÅ</t>
        </is>
      </c>
      <c r="F160" t="inlineStr">
        <is>
          <t>Holmen skog AB</t>
        </is>
      </c>
      <c r="G160" t="n">
        <v>19.5</v>
      </c>
      <c r="H160" t="n">
        <v>0</v>
      </c>
      <c r="I160" t="n">
        <v>0</v>
      </c>
      <c r="J160" t="n">
        <v>1</v>
      </c>
      <c r="K160" t="n">
        <v>0</v>
      </c>
      <c r="L160" t="n">
        <v>0</v>
      </c>
      <c r="M160" t="n">
        <v>0</v>
      </c>
      <c r="N160" t="n">
        <v>0</v>
      </c>
      <c r="O160" t="n">
        <v>1</v>
      </c>
      <c r="P160" t="n">
        <v>0</v>
      </c>
      <c r="Q160" t="n">
        <v>1</v>
      </c>
      <c r="R160" s="2" t="inlineStr">
        <is>
          <t>Lunglav</t>
        </is>
      </c>
      <c r="S160">
        <f>HYPERLINK("https://klasma.github.io/Logging_2482/artfynd/A 62436-2021 artfynd.xlsx", "A 62436-2021")</f>
        <v/>
      </c>
      <c r="T160">
        <f>HYPERLINK("https://klasma.github.io/Logging_2482/kartor/A 62436-2021 karta.png", "A 62436-2021")</f>
        <v/>
      </c>
      <c r="V160">
        <f>HYPERLINK("https://klasma.github.io/Logging_2482/klagomål/A 62436-2021 FSC-klagomål.docx", "A 62436-2021")</f>
        <v/>
      </c>
      <c r="W160">
        <f>HYPERLINK("https://klasma.github.io/Logging_2482/klagomålsmail/A 62436-2021 FSC-klagomål mail.docx", "A 62436-2021")</f>
        <v/>
      </c>
      <c r="X160">
        <f>HYPERLINK("https://klasma.github.io/Logging_2482/tillsyn/A 62436-2021 tillsynsbegäran.docx", "A 62436-2021")</f>
        <v/>
      </c>
      <c r="Y160">
        <f>HYPERLINK("https://klasma.github.io/Logging_2482/tillsynsmail/A 62436-2021 tillsynsbegäran mail.docx", "A 62436-2021")</f>
        <v/>
      </c>
    </row>
    <row r="161" ht="15" customHeight="1">
      <c r="A161" t="inlineStr">
        <is>
          <t>A 70868-2021</t>
        </is>
      </c>
      <c r="B161" s="1" t="n">
        <v>44536</v>
      </c>
      <c r="C161" s="1" t="n">
        <v>45566</v>
      </c>
      <c r="D161" t="inlineStr">
        <is>
          <t>VÄSTERBOTTENS LÄN</t>
        </is>
      </c>
      <c r="E161" t="inlineStr">
        <is>
          <t>SKELLEFTEÅ</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HYPERLINK("https://klasma.github.io/Logging_2482/artfynd/A 70868-2021 artfynd.xlsx", "A 70868-2021")</f>
        <v/>
      </c>
      <c r="T161">
        <f>HYPERLINK("https://klasma.github.io/Logging_2482/kartor/A 70868-2021 karta.png", "A 70868-2021")</f>
        <v/>
      </c>
      <c r="V161">
        <f>HYPERLINK("https://klasma.github.io/Logging_2482/klagomål/A 70868-2021 FSC-klagomål.docx", "A 70868-2021")</f>
        <v/>
      </c>
      <c r="W161">
        <f>HYPERLINK("https://klasma.github.io/Logging_2482/klagomålsmail/A 70868-2021 FSC-klagomål mail.docx", "A 70868-2021")</f>
        <v/>
      </c>
      <c r="X161">
        <f>HYPERLINK("https://klasma.github.io/Logging_2482/tillsyn/A 70868-2021 tillsynsbegäran.docx", "A 70868-2021")</f>
        <v/>
      </c>
      <c r="Y161">
        <f>HYPERLINK("https://klasma.github.io/Logging_2482/tillsynsmail/A 70868-2021 tillsynsbegäran mail.docx", "A 70868-2021")</f>
        <v/>
      </c>
    </row>
    <row r="162" ht="15" customHeight="1">
      <c r="A162" t="inlineStr">
        <is>
          <t>A 72939-2021</t>
        </is>
      </c>
      <c r="B162" s="1" t="n">
        <v>44547</v>
      </c>
      <c r="C162" s="1" t="n">
        <v>45566</v>
      </c>
      <c r="D162" t="inlineStr">
        <is>
          <t>VÄSTERBOTTENS LÄN</t>
        </is>
      </c>
      <c r="E162" t="inlineStr">
        <is>
          <t>SKELLEFTEÅ</t>
        </is>
      </c>
      <c r="G162" t="n">
        <v>14.8</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72939-2021 artfynd.xlsx", "A 72939-2021")</f>
        <v/>
      </c>
      <c r="T162">
        <f>HYPERLINK("https://klasma.github.io/Logging_2482/kartor/A 72939-2021 karta.png", "A 72939-2021")</f>
        <v/>
      </c>
      <c r="V162">
        <f>HYPERLINK("https://klasma.github.io/Logging_2482/klagomål/A 72939-2021 FSC-klagomål.docx", "A 72939-2021")</f>
        <v/>
      </c>
      <c r="W162">
        <f>HYPERLINK("https://klasma.github.io/Logging_2482/klagomålsmail/A 72939-2021 FSC-klagomål mail.docx", "A 72939-2021")</f>
        <v/>
      </c>
      <c r="X162">
        <f>HYPERLINK("https://klasma.github.io/Logging_2482/tillsyn/A 72939-2021 tillsynsbegäran.docx", "A 72939-2021")</f>
        <v/>
      </c>
      <c r="Y162">
        <f>HYPERLINK("https://klasma.github.io/Logging_2482/tillsynsmail/A 72939-2021 tillsynsbegäran mail.docx", "A 72939-2021")</f>
        <v/>
      </c>
    </row>
    <row r="163" ht="15" customHeight="1">
      <c r="A163" t="inlineStr">
        <is>
          <t>A 12963-2022</t>
        </is>
      </c>
      <c r="B163" s="1" t="n">
        <v>44642</v>
      </c>
      <c r="C163" s="1" t="n">
        <v>45566</v>
      </c>
      <c r="D163" t="inlineStr">
        <is>
          <t>VÄSTERBOTTENS LÄN</t>
        </is>
      </c>
      <c r="E163" t="inlineStr">
        <is>
          <t>SKELLEFTEÅ</t>
        </is>
      </c>
      <c r="G163" t="n">
        <v>4.3</v>
      </c>
      <c r="H163" t="n">
        <v>1</v>
      </c>
      <c r="I163" t="n">
        <v>0</v>
      </c>
      <c r="J163" t="n">
        <v>1</v>
      </c>
      <c r="K163" t="n">
        <v>0</v>
      </c>
      <c r="L163" t="n">
        <v>0</v>
      </c>
      <c r="M163" t="n">
        <v>0</v>
      </c>
      <c r="N163" t="n">
        <v>0</v>
      </c>
      <c r="O163" t="n">
        <v>1</v>
      </c>
      <c r="P163" t="n">
        <v>0</v>
      </c>
      <c r="Q163" t="n">
        <v>1</v>
      </c>
      <c r="R163" s="2" t="inlineStr">
        <is>
          <t>Duvhök</t>
        </is>
      </c>
      <c r="S163">
        <f>HYPERLINK("https://klasma.github.io/Logging_2482/artfynd/A 12963-2022 artfynd.xlsx", "A 12963-2022")</f>
        <v/>
      </c>
      <c r="T163">
        <f>HYPERLINK("https://klasma.github.io/Logging_2482/kartor/A 12963-2022 karta.png", "A 12963-2022")</f>
        <v/>
      </c>
      <c r="V163">
        <f>HYPERLINK("https://klasma.github.io/Logging_2482/klagomål/A 12963-2022 FSC-klagomål.docx", "A 12963-2022")</f>
        <v/>
      </c>
      <c r="W163">
        <f>HYPERLINK("https://klasma.github.io/Logging_2482/klagomålsmail/A 12963-2022 FSC-klagomål mail.docx", "A 12963-2022")</f>
        <v/>
      </c>
      <c r="X163">
        <f>HYPERLINK("https://klasma.github.io/Logging_2482/tillsyn/A 12963-2022 tillsynsbegäran.docx", "A 12963-2022")</f>
        <v/>
      </c>
      <c r="Y163">
        <f>HYPERLINK("https://klasma.github.io/Logging_2482/tillsynsmail/A 12963-2022 tillsynsbegäran mail.docx", "A 12963-2022")</f>
        <v/>
      </c>
      <c r="Z163">
        <f>HYPERLINK("https://klasma.github.io/Logging_2482/fåglar/A 12963-2022 prioriterade fågelarter.docx", "A 12963-2022")</f>
        <v/>
      </c>
    </row>
    <row r="164" ht="15" customHeight="1">
      <c r="A164" t="inlineStr">
        <is>
          <t>A 14277-2022</t>
        </is>
      </c>
      <c r="B164" s="1" t="n">
        <v>44651</v>
      </c>
      <c r="C164" s="1" t="n">
        <v>45566</v>
      </c>
      <c r="D164" t="inlineStr">
        <is>
          <t>VÄSTERBOTTENS LÄN</t>
        </is>
      </c>
      <c r="E164" t="inlineStr">
        <is>
          <t>SKELLEFTEÅ</t>
        </is>
      </c>
      <c r="G164" t="n">
        <v>7.4</v>
      </c>
      <c r="H164" t="n">
        <v>1</v>
      </c>
      <c r="I164" t="n">
        <v>0</v>
      </c>
      <c r="J164" t="n">
        <v>0</v>
      </c>
      <c r="K164" t="n">
        <v>0</v>
      </c>
      <c r="L164" t="n">
        <v>0</v>
      </c>
      <c r="M164" t="n">
        <v>0</v>
      </c>
      <c r="N164" t="n">
        <v>0</v>
      </c>
      <c r="O164" t="n">
        <v>0</v>
      </c>
      <c r="P164" t="n">
        <v>0</v>
      </c>
      <c r="Q164" t="n">
        <v>1</v>
      </c>
      <c r="R164" s="2" t="inlineStr">
        <is>
          <t>Fläcknycklar</t>
        </is>
      </c>
      <c r="S164">
        <f>HYPERLINK("https://klasma.github.io/Logging_2482/artfynd/A 14277-2022 artfynd.xlsx", "A 14277-2022")</f>
        <v/>
      </c>
      <c r="T164">
        <f>HYPERLINK("https://klasma.github.io/Logging_2482/kartor/A 14277-2022 karta.png", "A 14277-2022")</f>
        <v/>
      </c>
      <c r="V164">
        <f>HYPERLINK("https://klasma.github.io/Logging_2482/klagomål/A 14277-2022 FSC-klagomål.docx", "A 14277-2022")</f>
        <v/>
      </c>
      <c r="W164">
        <f>HYPERLINK("https://klasma.github.io/Logging_2482/klagomålsmail/A 14277-2022 FSC-klagomål mail.docx", "A 14277-2022")</f>
        <v/>
      </c>
      <c r="X164">
        <f>HYPERLINK("https://klasma.github.io/Logging_2482/tillsyn/A 14277-2022 tillsynsbegäran.docx", "A 14277-2022")</f>
        <v/>
      </c>
      <c r="Y164">
        <f>HYPERLINK("https://klasma.github.io/Logging_2482/tillsynsmail/A 14277-2022 tillsynsbegäran mail.docx", "A 14277-2022")</f>
        <v/>
      </c>
    </row>
    <row r="165" ht="15" customHeight="1">
      <c r="A165" t="inlineStr">
        <is>
          <t>A 17336-2022</t>
        </is>
      </c>
      <c r="B165" s="1" t="n">
        <v>44678</v>
      </c>
      <c r="C165" s="1" t="n">
        <v>45566</v>
      </c>
      <c r="D165" t="inlineStr">
        <is>
          <t>VÄSTERBOTTENS LÄN</t>
        </is>
      </c>
      <c r="E165" t="inlineStr">
        <is>
          <t>SKELLEFTEÅ</t>
        </is>
      </c>
      <c r="G165" t="n">
        <v>0.5</v>
      </c>
      <c r="H165" t="n">
        <v>0</v>
      </c>
      <c r="I165" t="n">
        <v>0</v>
      </c>
      <c r="J165" t="n">
        <v>1</v>
      </c>
      <c r="K165" t="n">
        <v>0</v>
      </c>
      <c r="L165" t="n">
        <v>0</v>
      </c>
      <c r="M165" t="n">
        <v>0</v>
      </c>
      <c r="N165" t="n">
        <v>0</v>
      </c>
      <c r="O165" t="n">
        <v>1</v>
      </c>
      <c r="P165" t="n">
        <v>0</v>
      </c>
      <c r="Q165" t="n">
        <v>1</v>
      </c>
      <c r="R165" s="2" t="inlineStr">
        <is>
          <t>Doftskinn</t>
        </is>
      </c>
      <c r="S165">
        <f>HYPERLINK("https://klasma.github.io/Logging_2482/artfynd/A 17336-2022 artfynd.xlsx", "A 17336-2022")</f>
        <v/>
      </c>
      <c r="T165">
        <f>HYPERLINK("https://klasma.github.io/Logging_2482/kartor/A 17336-2022 karta.png", "A 17336-2022")</f>
        <v/>
      </c>
      <c r="V165">
        <f>HYPERLINK("https://klasma.github.io/Logging_2482/klagomål/A 17336-2022 FSC-klagomål.docx", "A 17336-2022")</f>
        <v/>
      </c>
      <c r="W165">
        <f>HYPERLINK("https://klasma.github.io/Logging_2482/klagomålsmail/A 17336-2022 FSC-klagomål mail.docx", "A 17336-2022")</f>
        <v/>
      </c>
      <c r="X165">
        <f>HYPERLINK("https://klasma.github.io/Logging_2482/tillsyn/A 17336-2022 tillsynsbegäran.docx", "A 17336-2022")</f>
        <v/>
      </c>
      <c r="Y165">
        <f>HYPERLINK("https://klasma.github.io/Logging_2482/tillsynsmail/A 17336-2022 tillsynsbegäran mail.docx", "A 17336-2022")</f>
        <v/>
      </c>
    </row>
    <row r="166" ht="15" customHeight="1">
      <c r="A166" t="inlineStr">
        <is>
          <t>A 24885-2022</t>
        </is>
      </c>
      <c r="B166" s="1" t="n">
        <v>44728</v>
      </c>
      <c r="C166" s="1" t="n">
        <v>45566</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45566</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42674-2022</t>
        </is>
      </c>
      <c r="B168" s="1" t="n">
        <v>44831</v>
      </c>
      <c r="C168" s="1" t="n">
        <v>45566</v>
      </c>
      <c r="D168" t="inlineStr">
        <is>
          <t>VÄSTERBOTTENS LÄN</t>
        </is>
      </c>
      <c r="E168" t="inlineStr">
        <is>
          <t>SKELLEFTEÅ</t>
        </is>
      </c>
      <c r="G168" t="n">
        <v>4.4</v>
      </c>
      <c r="H168" t="n">
        <v>0</v>
      </c>
      <c r="I168" t="n">
        <v>0</v>
      </c>
      <c r="J168" t="n">
        <v>1</v>
      </c>
      <c r="K168" t="n">
        <v>0</v>
      </c>
      <c r="L168" t="n">
        <v>0</v>
      </c>
      <c r="M168" t="n">
        <v>0</v>
      </c>
      <c r="N168" t="n">
        <v>0</v>
      </c>
      <c r="O168" t="n">
        <v>1</v>
      </c>
      <c r="P168" t="n">
        <v>0</v>
      </c>
      <c r="Q168" t="n">
        <v>1</v>
      </c>
      <c r="R168" s="2" t="inlineStr">
        <is>
          <t>Granticka</t>
        </is>
      </c>
      <c r="S168">
        <f>HYPERLINK("https://klasma.github.io/Logging_2482/artfynd/A 42674-2022 artfynd.xlsx", "A 42674-2022")</f>
        <v/>
      </c>
      <c r="T168">
        <f>HYPERLINK("https://klasma.github.io/Logging_2482/kartor/A 42674-2022 karta.png", "A 42674-2022")</f>
        <v/>
      </c>
      <c r="V168">
        <f>HYPERLINK("https://klasma.github.io/Logging_2482/klagomål/A 42674-2022 FSC-klagomål.docx", "A 42674-2022")</f>
        <v/>
      </c>
      <c r="W168">
        <f>HYPERLINK("https://klasma.github.io/Logging_2482/klagomålsmail/A 42674-2022 FSC-klagomål mail.docx", "A 42674-2022")</f>
        <v/>
      </c>
      <c r="X168">
        <f>HYPERLINK("https://klasma.github.io/Logging_2482/tillsyn/A 42674-2022 tillsynsbegäran.docx", "A 42674-2022")</f>
        <v/>
      </c>
      <c r="Y168">
        <f>HYPERLINK("https://klasma.github.io/Logging_2482/tillsynsmail/A 42674-2022 tillsynsbegäran mail.docx", "A 42674-2022")</f>
        <v/>
      </c>
    </row>
    <row r="169" ht="15" customHeight="1">
      <c r="A169" t="inlineStr">
        <is>
          <t>A 47963-2022</t>
        </is>
      </c>
      <c r="B169" s="1" t="n">
        <v>44855</v>
      </c>
      <c r="C169" s="1" t="n">
        <v>45566</v>
      </c>
      <c r="D169" t="inlineStr">
        <is>
          <t>VÄSTERBOTTENS LÄN</t>
        </is>
      </c>
      <c r="E169" t="inlineStr">
        <is>
          <t>SKELLEFTEÅ</t>
        </is>
      </c>
      <c r="F169" t="inlineStr">
        <is>
          <t>Holmen skog AB</t>
        </is>
      </c>
      <c r="G169" t="n">
        <v>18.7</v>
      </c>
      <c r="H169" t="n">
        <v>0</v>
      </c>
      <c r="I169" t="n">
        <v>1</v>
      </c>
      <c r="J169" t="n">
        <v>0</v>
      </c>
      <c r="K169" t="n">
        <v>0</v>
      </c>
      <c r="L169" t="n">
        <v>0</v>
      </c>
      <c r="M169" t="n">
        <v>0</v>
      </c>
      <c r="N169" t="n">
        <v>0</v>
      </c>
      <c r="O169" t="n">
        <v>0</v>
      </c>
      <c r="P169" t="n">
        <v>0</v>
      </c>
      <c r="Q169" t="n">
        <v>1</v>
      </c>
      <c r="R169" s="2" t="inlineStr">
        <is>
          <t>Skinnlav</t>
        </is>
      </c>
      <c r="S169">
        <f>HYPERLINK("https://klasma.github.io/Logging_2482/artfynd/A 47963-2022 artfynd.xlsx", "A 47963-2022")</f>
        <v/>
      </c>
      <c r="T169">
        <f>HYPERLINK("https://klasma.github.io/Logging_2482/kartor/A 47963-2022 karta.png", "A 47963-2022")</f>
        <v/>
      </c>
      <c r="V169">
        <f>HYPERLINK("https://klasma.github.io/Logging_2482/klagomål/A 47963-2022 FSC-klagomål.docx", "A 47963-2022")</f>
        <v/>
      </c>
      <c r="W169">
        <f>HYPERLINK("https://klasma.github.io/Logging_2482/klagomålsmail/A 47963-2022 FSC-klagomål mail.docx", "A 47963-2022")</f>
        <v/>
      </c>
      <c r="X169">
        <f>HYPERLINK("https://klasma.github.io/Logging_2482/tillsyn/A 47963-2022 tillsynsbegäran.docx", "A 47963-2022")</f>
        <v/>
      </c>
      <c r="Y169">
        <f>HYPERLINK("https://klasma.github.io/Logging_2482/tillsynsmail/A 47963-2022 tillsynsbegäran mail.docx", "A 47963-2022")</f>
        <v/>
      </c>
    </row>
    <row r="170" ht="15" customHeight="1">
      <c r="A170" t="inlineStr">
        <is>
          <t>A 49588-2022</t>
        </is>
      </c>
      <c r="B170" s="1" t="n">
        <v>44862</v>
      </c>
      <c r="C170" s="1" t="n">
        <v>45566</v>
      </c>
      <c r="D170" t="inlineStr">
        <is>
          <t>VÄSTERBOTTENS LÄN</t>
        </is>
      </c>
      <c r="E170" t="inlineStr">
        <is>
          <t>SKELLEFTEÅ</t>
        </is>
      </c>
      <c r="F170" t="inlineStr">
        <is>
          <t>Holmen skog AB</t>
        </is>
      </c>
      <c r="G170" t="n">
        <v>6.1</v>
      </c>
      <c r="H170" t="n">
        <v>0</v>
      </c>
      <c r="I170" t="n">
        <v>0</v>
      </c>
      <c r="J170" t="n">
        <v>1</v>
      </c>
      <c r="K170" t="n">
        <v>0</v>
      </c>
      <c r="L170" t="n">
        <v>0</v>
      </c>
      <c r="M170" t="n">
        <v>0</v>
      </c>
      <c r="N170" t="n">
        <v>0</v>
      </c>
      <c r="O170" t="n">
        <v>1</v>
      </c>
      <c r="P170" t="n">
        <v>0</v>
      </c>
      <c r="Q170" t="n">
        <v>1</v>
      </c>
      <c r="R170" s="2" t="inlineStr">
        <is>
          <t>Lunglav</t>
        </is>
      </c>
      <c r="S170">
        <f>HYPERLINK("https://klasma.github.io/Logging_2482/artfynd/A 49588-2022 artfynd.xlsx", "A 49588-2022")</f>
        <v/>
      </c>
      <c r="T170">
        <f>HYPERLINK("https://klasma.github.io/Logging_2482/kartor/A 49588-2022 karta.png", "A 49588-2022")</f>
        <v/>
      </c>
      <c r="V170">
        <f>HYPERLINK("https://klasma.github.io/Logging_2482/klagomål/A 49588-2022 FSC-klagomål.docx", "A 49588-2022")</f>
        <v/>
      </c>
      <c r="W170">
        <f>HYPERLINK("https://klasma.github.io/Logging_2482/klagomålsmail/A 49588-2022 FSC-klagomål mail.docx", "A 49588-2022")</f>
        <v/>
      </c>
      <c r="X170">
        <f>HYPERLINK("https://klasma.github.io/Logging_2482/tillsyn/A 49588-2022 tillsynsbegäran.docx", "A 49588-2022")</f>
        <v/>
      </c>
      <c r="Y170">
        <f>HYPERLINK("https://klasma.github.io/Logging_2482/tillsynsmail/A 49588-2022 tillsynsbegäran mail.docx", "A 49588-2022")</f>
        <v/>
      </c>
    </row>
    <row r="171" ht="15" customHeight="1">
      <c r="A171" t="inlineStr">
        <is>
          <t>A 49842-2022</t>
        </is>
      </c>
      <c r="B171" s="1" t="n">
        <v>44862</v>
      </c>
      <c r="C171" s="1" t="n">
        <v>45566</v>
      </c>
      <c r="D171" t="inlineStr">
        <is>
          <t>VÄSTERBOTTENS LÄN</t>
        </is>
      </c>
      <c r="E171" t="inlineStr">
        <is>
          <t>SKELLEFTEÅ</t>
        </is>
      </c>
      <c r="G171" t="n">
        <v>7</v>
      </c>
      <c r="H171" t="n">
        <v>0</v>
      </c>
      <c r="I171" t="n">
        <v>0</v>
      </c>
      <c r="J171" t="n">
        <v>1</v>
      </c>
      <c r="K171" t="n">
        <v>0</v>
      </c>
      <c r="L171" t="n">
        <v>0</v>
      </c>
      <c r="M171" t="n">
        <v>0</v>
      </c>
      <c r="N171" t="n">
        <v>0</v>
      </c>
      <c r="O171" t="n">
        <v>1</v>
      </c>
      <c r="P171" t="n">
        <v>0</v>
      </c>
      <c r="Q171" t="n">
        <v>1</v>
      </c>
      <c r="R171" s="2" t="inlineStr">
        <is>
          <t>Blå taggsvamp</t>
        </is>
      </c>
      <c r="S171">
        <f>HYPERLINK("https://klasma.github.io/Logging_2482/artfynd/A 49842-2022 artfynd.xlsx", "A 49842-2022")</f>
        <v/>
      </c>
      <c r="T171">
        <f>HYPERLINK("https://klasma.github.io/Logging_2482/kartor/A 49842-2022 karta.png", "A 49842-2022")</f>
        <v/>
      </c>
      <c r="V171">
        <f>HYPERLINK("https://klasma.github.io/Logging_2482/klagomål/A 49842-2022 FSC-klagomål.docx", "A 49842-2022")</f>
        <v/>
      </c>
      <c r="W171">
        <f>HYPERLINK("https://klasma.github.io/Logging_2482/klagomålsmail/A 49842-2022 FSC-klagomål mail.docx", "A 49842-2022")</f>
        <v/>
      </c>
      <c r="X171">
        <f>HYPERLINK("https://klasma.github.io/Logging_2482/tillsyn/A 49842-2022 tillsynsbegäran.docx", "A 49842-2022")</f>
        <v/>
      </c>
      <c r="Y171">
        <f>HYPERLINK("https://klasma.github.io/Logging_2482/tillsynsmail/A 49842-2022 tillsynsbegäran mail.docx", "A 49842-2022")</f>
        <v/>
      </c>
    </row>
    <row r="172" ht="15" customHeight="1">
      <c r="A172" t="inlineStr">
        <is>
          <t>A 53071-2022</t>
        </is>
      </c>
      <c r="B172" s="1" t="n">
        <v>44873</v>
      </c>
      <c r="C172" s="1" t="n">
        <v>45566</v>
      </c>
      <c r="D172" t="inlineStr">
        <is>
          <t>VÄSTERBOTTENS LÄN</t>
        </is>
      </c>
      <c r="E172" t="inlineStr">
        <is>
          <t>SKELLEFTEÅ</t>
        </is>
      </c>
      <c r="G172" t="n">
        <v>10.6</v>
      </c>
      <c r="H172" t="n">
        <v>0</v>
      </c>
      <c r="I172" t="n">
        <v>0</v>
      </c>
      <c r="J172" t="n">
        <v>1</v>
      </c>
      <c r="K172" t="n">
        <v>0</v>
      </c>
      <c r="L172" t="n">
        <v>0</v>
      </c>
      <c r="M172" t="n">
        <v>0</v>
      </c>
      <c r="N172" t="n">
        <v>0</v>
      </c>
      <c r="O172" t="n">
        <v>1</v>
      </c>
      <c r="P172" t="n">
        <v>0</v>
      </c>
      <c r="Q172" t="n">
        <v>1</v>
      </c>
      <c r="R172" s="2" t="inlineStr">
        <is>
          <t>Granticka</t>
        </is>
      </c>
      <c r="S172">
        <f>HYPERLINK("https://klasma.github.io/Logging_2482/artfynd/A 53071-2022 artfynd.xlsx", "A 53071-2022")</f>
        <v/>
      </c>
      <c r="T172">
        <f>HYPERLINK("https://klasma.github.io/Logging_2482/kartor/A 53071-2022 karta.png", "A 53071-2022")</f>
        <v/>
      </c>
      <c r="V172">
        <f>HYPERLINK("https://klasma.github.io/Logging_2482/klagomål/A 53071-2022 FSC-klagomål.docx", "A 53071-2022")</f>
        <v/>
      </c>
      <c r="W172">
        <f>HYPERLINK("https://klasma.github.io/Logging_2482/klagomålsmail/A 53071-2022 FSC-klagomål mail.docx", "A 53071-2022")</f>
        <v/>
      </c>
      <c r="X172">
        <f>HYPERLINK("https://klasma.github.io/Logging_2482/tillsyn/A 53071-2022 tillsynsbegäran.docx", "A 53071-2022")</f>
        <v/>
      </c>
      <c r="Y172">
        <f>HYPERLINK("https://klasma.github.io/Logging_2482/tillsynsmail/A 53071-2022 tillsynsbegäran mail.docx", "A 53071-2022")</f>
        <v/>
      </c>
    </row>
    <row r="173" ht="15" customHeight="1">
      <c r="A173" t="inlineStr">
        <is>
          <t>A 53137-2022</t>
        </is>
      </c>
      <c r="B173" s="1" t="n">
        <v>44876</v>
      </c>
      <c r="C173" s="1" t="n">
        <v>45566</v>
      </c>
      <c r="D173" t="inlineStr">
        <is>
          <t>VÄSTERBOTTENS LÄN</t>
        </is>
      </c>
      <c r="E173" t="inlineStr">
        <is>
          <t>SKELLEFTEÅ</t>
        </is>
      </c>
      <c r="F173" t="inlineStr">
        <is>
          <t>Holmen skog AB</t>
        </is>
      </c>
      <c r="G173" t="n">
        <v>7.5</v>
      </c>
      <c r="H173" t="n">
        <v>0</v>
      </c>
      <c r="I173" t="n">
        <v>0</v>
      </c>
      <c r="J173" t="n">
        <v>1</v>
      </c>
      <c r="K173" t="n">
        <v>0</v>
      </c>
      <c r="L173" t="n">
        <v>0</v>
      </c>
      <c r="M173" t="n">
        <v>0</v>
      </c>
      <c r="N173" t="n">
        <v>0</v>
      </c>
      <c r="O173" t="n">
        <v>1</v>
      </c>
      <c r="P173" t="n">
        <v>0</v>
      </c>
      <c r="Q173" t="n">
        <v>1</v>
      </c>
      <c r="R173" s="2" t="inlineStr">
        <is>
          <t>Garnlav</t>
        </is>
      </c>
      <c r="S173">
        <f>HYPERLINK("https://klasma.github.io/Logging_2482/artfynd/A 53137-2022 artfynd.xlsx", "A 53137-2022")</f>
        <v/>
      </c>
      <c r="T173">
        <f>HYPERLINK("https://klasma.github.io/Logging_2482/kartor/A 53137-2022 karta.png", "A 53137-2022")</f>
        <v/>
      </c>
      <c r="V173">
        <f>HYPERLINK("https://klasma.github.io/Logging_2482/klagomål/A 53137-2022 FSC-klagomål.docx", "A 53137-2022")</f>
        <v/>
      </c>
      <c r="W173">
        <f>HYPERLINK("https://klasma.github.io/Logging_2482/klagomålsmail/A 53137-2022 FSC-klagomål mail.docx", "A 53137-2022")</f>
        <v/>
      </c>
      <c r="X173">
        <f>HYPERLINK("https://klasma.github.io/Logging_2482/tillsyn/A 53137-2022 tillsynsbegäran.docx", "A 53137-2022")</f>
        <v/>
      </c>
      <c r="Y173">
        <f>HYPERLINK("https://klasma.github.io/Logging_2482/tillsynsmail/A 53137-2022 tillsynsbegäran mail.docx", "A 53137-2022")</f>
        <v/>
      </c>
    </row>
    <row r="174" ht="15" customHeight="1">
      <c r="A174" t="inlineStr">
        <is>
          <t>A 54058-2022</t>
        </is>
      </c>
      <c r="B174" s="1" t="n">
        <v>44881</v>
      </c>
      <c r="C174" s="1" t="n">
        <v>45566</v>
      </c>
      <c r="D174" t="inlineStr">
        <is>
          <t>VÄSTERBOTTENS LÄN</t>
        </is>
      </c>
      <c r="E174" t="inlineStr">
        <is>
          <t>SKELLEFTEÅ</t>
        </is>
      </c>
      <c r="F174" t="inlineStr">
        <is>
          <t>Sveaskog</t>
        </is>
      </c>
      <c r="G174" t="n">
        <v>1.2</v>
      </c>
      <c r="H174" t="n">
        <v>0</v>
      </c>
      <c r="I174" t="n">
        <v>1</v>
      </c>
      <c r="J174" t="n">
        <v>0</v>
      </c>
      <c r="K174" t="n">
        <v>0</v>
      </c>
      <c r="L174" t="n">
        <v>0</v>
      </c>
      <c r="M174" t="n">
        <v>0</v>
      </c>
      <c r="N174" t="n">
        <v>0</v>
      </c>
      <c r="O174" t="n">
        <v>0</v>
      </c>
      <c r="P174" t="n">
        <v>0</v>
      </c>
      <c r="Q174" t="n">
        <v>1</v>
      </c>
      <c r="R174" s="2" t="inlineStr">
        <is>
          <t>Luddlav</t>
        </is>
      </c>
      <c r="S174">
        <f>HYPERLINK("https://klasma.github.io/Logging_2482/artfynd/A 54058-2022 artfynd.xlsx", "A 54058-2022")</f>
        <v/>
      </c>
      <c r="T174">
        <f>HYPERLINK("https://klasma.github.io/Logging_2482/kartor/A 54058-2022 karta.png", "A 54058-2022")</f>
        <v/>
      </c>
      <c r="V174">
        <f>HYPERLINK("https://klasma.github.io/Logging_2482/klagomål/A 54058-2022 FSC-klagomål.docx", "A 54058-2022")</f>
        <v/>
      </c>
      <c r="W174">
        <f>HYPERLINK("https://klasma.github.io/Logging_2482/klagomålsmail/A 54058-2022 FSC-klagomål mail.docx", "A 54058-2022")</f>
        <v/>
      </c>
      <c r="X174">
        <f>HYPERLINK("https://klasma.github.io/Logging_2482/tillsyn/A 54058-2022 tillsynsbegäran.docx", "A 54058-2022")</f>
        <v/>
      </c>
      <c r="Y174">
        <f>HYPERLINK("https://klasma.github.io/Logging_2482/tillsynsmail/A 54058-2022 tillsynsbegäran mail.docx", "A 54058-2022")</f>
        <v/>
      </c>
    </row>
    <row r="175" ht="15" customHeight="1">
      <c r="A175" t="inlineStr">
        <is>
          <t>A 58306-2022</t>
        </is>
      </c>
      <c r="B175" s="1" t="n">
        <v>44901</v>
      </c>
      <c r="C175" s="1" t="n">
        <v>45566</v>
      </c>
      <c r="D175" t="inlineStr">
        <is>
          <t>VÄSTERBOTTENS LÄN</t>
        </is>
      </c>
      <c r="E175" t="inlineStr">
        <is>
          <t>SKELLEFTEÅ</t>
        </is>
      </c>
      <c r="F175" t="inlineStr">
        <is>
          <t>Sveaskog</t>
        </is>
      </c>
      <c r="G175" t="n">
        <v>10.8</v>
      </c>
      <c r="H175" t="n">
        <v>0</v>
      </c>
      <c r="I175" t="n">
        <v>0</v>
      </c>
      <c r="J175" t="n">
        <v>1</v>
      </c>
      <c r="K175" t="n">
        <v>0</v>
      </c>
      <c r="L175" t="n">
        <v>0</v>
      </c>
      <c r="M175" t="n">
        <v>0</v>
      </c>
      <c r="N175" t="n">
        <v>0</v>
      </c>
      <c r="O175" t="n">
        <v>1</v>
      </c>
      <c r="P175" t="n">
        <v>0</v>
      </c>
      <c r="Q175" t="n">
        <v>1</v>
      </c>
      <c r="R175" s="2" t="inlineStr">
        <is>
          <t>Lunglav</t>
        </is>
      </c>
      <c r="S175">
        <f>HYPERLINK("https://klasma.github.io/Logging_2482/artfynd/A 58306-2022 artfynd.xlsx", "A 58306-2022")</f>
        <v/>
      </c>
      <c r="T175">
        <f>HYPERLINK("https://klasma.github.io/Logging_2482/kartor/A 58306-2022 karta.png", "A 58306-2022")</f>
        <v/>
      </c>
      <c r="V175">
        <f>HYPERLINK("https://klasma.github.io/Logging_2482/klagomål/A 58306-2022 FSC-klagomål.docx", "A 58306-2022")</f>
        <v/>
      </c>
      <c r="W175">
        <f>HYPERLINK("https://klasma.github.io/Logging_2482/klagomålsmail/A 58306-2022 FSC-klagomål mail.docx", "A 58306-2022")</f>
        <v/>
      </c>
      <c r="X175">
        <f>HYPERLINK("https://klasma.github.io/Logging_2482/tillsyn/A 58306-2022 tillsynsbegäran.docx", "A 58306-2022")</f>
        <v/>
      </c>
      <c r="Y175">
        <f>HYPERLINK("https://klasma.github.io/Logging_2482/tillsynsmail/A 58306-2022 tillsynsbegäran mail.docx", "A 58306-2022")</f>
        <v/>
      </c>
    </row>
    <row r="176" ht="15" customHeight="1">
      <c r="A176" t="inlineStr">
        <is>
          <t>A 60231-2022</t>
        </is>
      </c>
      <c r="B176" s="1" t="n">
        <v>44910</v>
      </c>
      <c r="C176" s="1" t="n">
        <v>45566</v>
      </c>
      <c r="D176" t="inlineStr">
        <is>
          <t>VÄSTERBOTTENS LÄN</t>
        </is>
      </c>
      <c r="E176" t="inlineStr">
        <is>
          <t>SKELLEFTEÅ</t>
        </is>
      </c>
      <c r="F176" t="inlineStr">
        <is>
          <t>Holmen skog AB</t>
        </is>
      </c>
      <c r="G176" t="n">
        <v>6.4</v>
      </c>
      <c r="H176" t="n">
        <v>1</v>
      </c>
      <c r="I176" t="n">
        <v>0</v>
      </c>
      <c r="J176" t="n">
        <v>0</v>
      </c>
      <c r="K176" t="n">
        <v>0</v>
      </c>
      <c r="L176" t="n">
        <v>0</v>
      </c>
      <c r="M176" t="n">
        <v>0</v>
      </c>
      <c r="N176" t="n">
        <v>0</v>
      </c>
      <c r="O176" t="n">
        <v>0</v>
      </c>
      <c r="P176" t="n">
        <v>0</v>
      </c>
      <c r="Q176" t="n">
        <v>1</v>
      </c>
      <c r="R176" s="2" t="inlineStr">
        <is>
          <t>Fläcknycklar</t>
        </is>
      </c>
      <c r="S176">
        <f>HYPERLINK("https://klasma.github.io/Logging_2482/artfynd/A 60231-2022 artfynd.xlsx", "A 60231-2022")</f>
        <v/>
      </c>
      <c r="T176">
        <f>HYPERLINK("https://klasma.github.io/Logging_2482/kartor/A 60231-2022 karta.png", "A 60231-2022")</f>
        <v/>
      </c>
      <c r="V176">
        <f>HYPERLINK("https://klasma.github.io/Logging_2482/klagomål/A 60231-2022 FSC-klagomål.docx", "A 60231-2022")</f>
        <v/>
      </c>
      <c r="W176">
        <f>HYPERLINK("https://klasma.github.io/Logging_2482/klagomålsmail/A 60231-2022 FSC-klagomål mail.docx", "A 60231-2022")</f>
        <v/>
      </c>
      <c r="X176">
        <f>HYPERLINK("https://klasma.github.io/Logging_2482/tillsyn/A 60231-2022 tillsynsbegäran.docx", "A 60231-2022")</f>
        <v/>
      </c>
      <c r="Y176">
        <f>HYPERLINK("https://klasma.github.io/Logging_2482/tillsynsmail/A 60231-2022 tillsynsbegäran mail.docx", "A 60231-2022")</f>
        <v/>
      </c>
    </row>
    <row r="177" ht="15" customHeight="1">
      <c r="A177" t="inlineStr">
        <is>
          <t>A 60586-2022</t>
        </is>
      </c>
      <c r="B177" s="1" t="n">
        <v>44911</v>
      </c>
      <c r="C177" s="1" t="n">
        <v>45566</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Garnlav</t>
        </is>
      </c>
      <c r="S177">
        <f>HYPERLINK("https://klasma.github.io/Logging_2482/artfynd/A 60586-2022 artfynd.xlsx", "A 60586-2022")</f>
        <v/>
      </c>
      <c r="T177">
        <f>HYPERLINK("https://klasma.github.io/Logging_2482/kartor/A 60586-2022 karta.png", "A 60586-2022")</f>
        <v/>
      </c>
      <c r="V177">
        <f>HYPERLINK("https://klasma.github.io/Logging_2482/klagomål/A 60586-2022 FSC-klagomål.docx", "A 60586-2022")</f>
        <v/>
      </c>
      <c r="W177">
        <f>HYPERLINK("https://klasma.github.io/Logging_2482/klagomålsmail/A 60586-2022 FSC-klagomål mail.docx", "A 60586-2022")</f>
        <v/>
      </c>
      <c r="X177">
        <f>HYPERLINK("https://klasma.github.io/Logging_2482/tillsyn/A 60586-2022 tillsynsbegäran.docx", "A 60586-2022")</f>
        <v/>
      </c>
      <c r="Y177">
        <f>HYPERLINK("https://klasma.github.io/Logging_2482/tillsynsmail/A 60586-2022 tillsynsbegäran mail.docx", "A 60586-2022")</f>
        <v/>
      </c>
    </row>
    <row r="178" ht="15" customHeight="1">
      <c r="A178" t="inlineStr">
        <is>
          <t>A 609-2023</t>
        </is>
      </c>
      <c r="B178" s="1" t="n">
        <v>44928</v>
      </c>
      <c r="C178" s="1" t="n">
        <v>45566</v>
      </c>
      <c r="D178" t="inlineStr">
        <is>
          <t>VÄSTERBOTTENS LÄN</t>
        </is>
      </c>
      <c r="E178" t="inlineStr">
        <is>
          <t>SKELLEFTEÅ</t>
        </is>
      </c>
      <c r="G178" t="n">
        <v>20.1</v>
      </c>
      <c r="H178" t="n">
        <v>0</v>
      </c>
      <c r="I178" t="n">
        <v>0</v>
      </c>
      <c r="J178" t="n">
        <v>1</v>
      </c>
      <c r="K178" t="n">
        <v>0</v>
      </c>
      <c r="L178" t="n">
        <v>0</v>
      </c>
      <c r="M178" t="n">
        <v>0</v>
      </c>
      <c r="N178" t="n">
        <v>0</v>
      </c>
      <c r="O178" t="n">
        <v>1</v>
      </c>
      <c r="P178" t="n">
        <v>0</v>
      </c>
      <c r="Q178" t="n">
        <v>1</v>
      </c>
      <c r="R178" s="2" t="inlineStr">
        <is>
          <t>Granticka</t>
        </is>
      </c>
      <c r="S178">
        <f>HYPERLINK("https://klasma.github.io/Logging_2482/artfynd/A 609-2023 artfynd.xlsx", "A 609-2023")</f>
        <v/>
      </c>
      <c r="T178">
        <f>HYPERLINK("https://klasma.github.io/Logging_2482/kartor/A 609-2023 karta.png", "A 609-2023")</f>
        <v/>
      </c>
      <c r="V178">
        <f>HYPERLINK("https://klasma.github.io/Logging_2482/klagomål/A 609-2023 FSC-klagomål.docx", "A 609-2023")</f>
        <v/>
      </c>
      <c r="W178">
        <f>HYPERLINK("https://klasma.github.io/Logging_2482/klagomålsmail/A 609-2023 FSC-klagomål mail.docx", "A 609-2023")</f>
        <v/>
      </c>
      <c r="X178">
        <f>HYPERLINK("https://klasma.github.io/Logging_2482/tillsyn/A 609-2023 tillsynsbegäran.docx", "A 609-2023")</f>
        <v/>
      </c>
      <c r="Y178">
        <f>HYPERLINK("https://klasma.github.io/Logging_2482/tillsynsmail/A 609-2023 tillsynsbegäran mail.docx", "A 609-2023")</f>
        <v/>
      </c>
    </row>
    <row r="179" ht="15" customHeight="1">
      <c r="A179" t="inlineStr">
        <is>
          <t>A 1533-2023</t>
        </is>
      </c>
      <c r="B179" s="1" t="n">
        <v>44935</v>
      </c>
      <c r="C179" s="1" t="n">
        <v>45566</v>
      </c>
      <c r="D179" t="inlineStr">
        <is>
          <t>VÄSTERBOTTENS LÄN</t>
        </is>
      </c>
      <c r="E179" t="inlineStr">
        <is>
          <t>SKELLEFTEÅ</t>
        </is>
      </c>
      <c r="G179" t="n">
        <v>6.1</v>
      </c>
      <c r="H179" t="n">
        <v>0</v>
      </c>
      <c r="I179" t="n">
        <v>0</v>
      </c>
      <c r="J179" t="n">
        <v>1</v>
      </c>
      <c r="K179" t="n">
        <v>0</v>
      </c>
      <c r="L179" t="n">
        <v>0</v>
      </c>
      <c r="M179" t="n">
        <v>0</v>
      </c>
      <c r="N179" t="n">
        <v>0</v>
      </c>
      <c r="O179" t="n">
        <v>1</v>
      </c>
      <c r="P179" t="n">
        <v>0</v>
      </c>
      <c r="Q179" t="n">
        <v>1</v>
      </c>
      <c r="R179" s="2" t="inlineStr">
        <is>
          <t>Garnlav</t>
        </is>
      </c>
      <c r="S179">
        <f>HYPERLINK("https://klasma.github.io/Logging_2482/artfynd/A 1533-2023 artfynd.xlsx", "A 1533-2023")</f>
        <v/>
      </c>
      <c r="T179">
        <f>HYPERLINK("https://klasma.github.io/Logging_2482/kartor/A 1533-2023 karta.png", "A 1533-2023")</f>
        <v/>
      </c>
      <c r="V179">
        <f>HYPERLINK("https://klasma.github.io/Logging_2482/klagomål/A 1533-2023 FSC-klagomål.docx", "A 1533-2023")</f>
        <v/>
      </c>
      <c r="W179">
        <f>HYPERLINK("https://klasma.github.io/Logging_2482/klagomålsmail/A 1533-2023 FSC-klagomål mail.docx", "A 1533-2023")</f>
        <v/>
      </c>
      <c r="X179">
        <f>HYPERLINK("https://klasma.github.io/Logging_2482/tillsyn/A 1533-2023 tillsynsbegäran.docx", "A 1533-2023")</f>
        <v/>
      </c>
      <c r="Y179">
        <f>HYPERLINK("https://klasma.github.io/Logging_2482/tillsynsmail/A 1533-2023 tillsynsbegäran mail.docx", "A 1533-2023")</f>
        <v/>
      </c>
    </row>
    <row r="180" ht="15" customHeight="1">
      <c r="A180" t="inlineStr">
        <is>
          <t>A 9652-2023</t>
        </is>
      </c>
      <c r="B180" s="1" t="n">
        <v>44978</v>
      </c>
      <c r="C180" s="1" t="n">
        <v>45566</v>
      </c>
      <c r="D180" t="inlineStr">
        <is>
          <t>VÄSTERBOTTENS LÄN</t>
        </is>
      </c>
      <c r="E180" t="inlineStr">
        <is>
          <t>SKELLEFTEÅ</t>
        </is>
      </c>
      <c r="G180" t="n">
        <v>1.3</v>
      </c>
      <c r="H180" t="n">
        <v>0</v>
      </c>
      <c r="I180" t="n">
        <v>0</v>
      </c>
      <c r="J180" t="n">
        <v>1</v>
      </c>
      <c r="K180" t="n">
        <v>0</v>
      </c>
      <c r="L180" t="n">
        <v>0</v>
      </c>
      <c r="M180" t="n">
        <v>0</v>
      </c>
      <c r="N180" t="n">
        <v>0</v>
      </c>
      <c r="O180" t="n">
        <v>1</v>
      </c>
      <c r="P180" t="n">
        <v>0</v>
      </c>
      <c r="Q180" t="n">
        <v>1</v>
      </c>
      <c r="R180" s="2" t="inlineStr">
        <is>
          <t>Ullticka</t>
        </is>
      </c>
      <c r="S180">
        <f>HYPERLINK("https://klasma.github.io/Logging_2482/artfynd/A 9652-2023 artfynd.xlsx", "A 9652-2023")</f>
        <v/>
      </c>
      <c r="T180">
        <f>HYPERLINK("https://klasma.github.io/Logging_2482/kartor/A 9652-2023 karta.png", "A 9652-2023")</f>
        <v/>
      </c>
      <c r="V180">
        <f>HYPERLINK("https://klasma.github.io/Logging_2482/klagomål/A 9652-2023 FSC-klagomål.docx", "A 9652-2023")</f>
        <v/>
      </c>
      <c r="W180">
        <f>HYPERLINK("https://klasma.github.io/Logging_2482/klagomålsmail/A 9652-2023 FSC-klagomål mail.docx", "A 9652-2023")</f>
        <v/>
      </c>
      <c r="X180">
        <f>HYPERLINK("https://klasma.github.io/Logging_2482/tillsyn/A 9652-2023 tillsynsbegäran.docx", "A 9652-2023")</f>
        <v/>
      </c>
      <c r="Y180">
        <f>HYPERLINK("https://klasma.github.io/Logging_2482/tillsynsmail/A 9652-2023 tillsynsbegäran mail.docx", "A 9652-2023")</f>
        <v/>
      </c>
    </row>
    <row r="181" ht="15" customHeight="1">
      <c r="A181" t="inlineStr">
        <is>
          <t>A 10069-2023</t>
        </is>
      </c>
      <c r="B181" s="1" t="n">
        <v>44985</v>
      </c>
      <c r="C181" s="1" t="n">
        <v>45566</v>
      </c>
      <c r="D181" t="inlineStr">
        <is>
          <t>VÄSTERBOTTENS LÄN</t>
        </is>
      </c>
      <c r="E181" t="inlineStr">
        <is>
          <t>SKELLEFTEÅ</t>
        </is>
      </c>
      <c r="G181" t="n">
        <v>11.9</v>
      </c>
      <c r="H181" t="n">
        <v>1</v>
      </c>
      <c r="I181" t="n">
        <v>0</v>
      </c>
      <c r="J181" t="n">
        <v>0</v>
      </c>
      <c r="K181" t="n">
        <v>1</v>
      </c>
      <c r="L181" t="n">
        <v>0</v>
      </c>
      <c r="M181" t="n">
        <v>0</v>
      </c>
      <c r="N181" t="n">
        <v>0</v>
      </c>
      <c r="O181" t="n">
        <v>1</v>
      </c>
      <c r="P181" t="n">
        <v>1</v>
      </c>
      <c r="Q181" t="n">
        <v>1</v>
      </c>
      <c r="R181" s="2" t="inlineStr">
        <is>
          <t>Knärot</t>
        </is>
      </c>
      <c r="S181">
        <f>HYPERLINK("https://klasma.github.io/Logging_2482/artfynd/A 10069-2023 artfynd.xlsx", "A 10069-2023")</f>
        <v/>
      </c>
      <c r="T181">
        <f>HYPERLINK("https://klasma.github.io/Logging_2482/kartor/A 10069-2023 karta.png", "A 10069-2023")</f>
        <v/>
      </c>
      <c r="U181">
        <f>HYPERLINK("https://klasma.github.io/Logging_2482/knärot/A 10069-2023 karta knärot.png", "A 10069-2023")</f>
        <v/>
      </c>
      <c r="V181">
        <f>HYPERLINK("https://klasma.github.io/Logging_2482/klagomål/A 10069-2023 FSC-klagomål.docx", "A 10069-2023")</f>
        <v/>
      </c>
      <c r="W181">
        <f>HYPERLINK("https://klasma.github.io/Logging_2482/klagomålsmail/A 10069-2023 FSC-klagomål mail.docx", "A 10069-2023")</f>
        <v/>
      </c>
      <c r="X181">
        <f>HYPERLINK("https://klasma.github.io/Logging_2482/tillsyn/A 10069-2023 tillsynsbegäran.docx", "A 10069-2023")</f>
        <v/>
      </c>
      <c r="Y181">
        <f>HYPERLINK("https://klasma.github.io/Logging_2482/tillsynsmail/A 10069-2023 tillsynsbegäran mail.docx", "A 10069-2023")</f>
        <v/>
      </c>
    </row>
    <row r="182" ht="15" customHeight="1">
      <c r="A182" t="inlineStr">
        <is>
          <t>A 11891-2023</t>
        </is>
      </c>
      <c r="B182" s="1" t="n">
        <v>44994</v>
      </c>
      <c r="C182" s="1" t="n">
        <v>45566</v>
      </c>
      <c r="D182" t="inlineStr">
        <is>
          <t>VÄSTERBOTTENS LÄN</t>
        </is>
      </c>
      <c r="E182" t="inlineStr">
        <is>
          <t>SKELLEFTEÅ</t>
        </is>
      </c>
      <c r="G182" t="n">
        <v>10.5</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11891-2023 artfynd.xlsx", "A 11891-2023")</f>
        <v/>
      </c>
      <c r="T182">
        <f>HYPERLINK("https://klasma.github.io/Logging_2482/kartor/A 11891-2023 karta.png", "A 11891-2023")</f>
        <v/>
      </c>
      <c r="V182">
        <f>HYPERLINK("https://klasma.github.io/Logging_2482/klagomål/A 11891-2023 FSC-klagomål.docx", "A 11891-2023")</f>
        <v/>
      </c>
      <c r="W182">
        <f>HYPERLINK("https://klasma.github.io/Logging_2482/klagomålsmail/A 11891-2023 FSC-klagomål mail.docx", "A 11891-2023")</f>
        <v/>
      </c>
      <c r="X182">
        <f>HYPERLINK("https://klasma.github.io/Logging_2482/tillsyn/A 11891-2023 tillsynsbegäran.docx", "A 11891-2023")</f>
        <v/>
      </c>
      <c r="Y182">
        <f>HYPERLINK("https://klasma.github.io/Logging_2482/tillsynsmail/A 11891-2023 tillsynsbegäran mail.docx", "A 11891-2023")</f>
        <v/>
      </c>
    </row>
    <row r="183" ht="15" customHeight="1">
      <c r="A183" t="inlineStr">
        <is>
          <t>A 27358-2023</t>
        </is>
      </c>
      <c r="B183" s="1" t="n">
        <v>45096</v>
      </c>
      <c r="C183" s="1" t="n">
        <v>45566</v>
      </c>
      <c r="D183" t="inlineStr">
        <is>
          <t>VÄSTERBOTTENS LÄN</t>
        </is>
      </c>
      <c r="E183" t="inlineStr">
        <is>
          <t>SKELLEFTEÅ</t>
        </is>
      </c>
      <c r="G183" t="n">
        <v>5</v>
      </c>
      <c r="H183" t="n">
        <v>1</v>
      </c>
      <c r="I183" t="n">
        <v>0</v>
      </c>
      <c r="J183" t="n">
        <v>0</v>
      </c>
      <c r="K183" t="n">
        <v>1</v>
      </c>
      <c r="L183" t="n">
        <v>0</v>
      </c>
      <c r="M183" t="n">
        <v>0</v>
      </c>
      <c r="N183" t="n">
        <v>0</v>
      </c>
      <c r="O183" t="n">
        <v>1</v>
      </c>
      <c r="P183" t="n">
        <v>1</v>
      </c>
      <c r="Q183" t="n">
        <v>1</v>
      </c>
      <c r="R183" s="2" t="inlineStr">
        <is>
          <t>Knärot</t>
        </is>
      </c>
      <c r="S183">
        <f>HYPERLINK("https://klasma.github.io/Logging_2482/artfynd/A 27358-2023 artfynd.xlsx", "A 27358-2023")</f>
        <v/>
      </c>
      <c r="T183">
        <f>HYPERLINK("https://klasma.github.io/Logging_2482/kartor/A 27358-2023 karta.png", "A 27358-2023")</f>
        <v/>
      </c>
      <c r="U183">
        <f>HYPERLINK("https://klasma.github.io/Logging_2482/knärot/A 27358-2023 karta knärot.png", "A 27358-2023")</f>
        <v/>
      </c>
      <c r="V183">
        <f>HYPERLINK("https://klasma.github.io/Logging_2482/klagomål/A 27358-2023 FSC-klagomål.docx", "A 27358-2023")</f>
        <v/>
      </c>
      <c r="W183">
        <f>HYPERLINK("https://klasma.github.io/Logging_2482/klagomålsmail/A 27358-2023 FSC-klagomål mail.docx", "A 27358-2023")</f>
        <v/>
      </c>
      <c r="X183">
        <f>HYPERLINK("https://klasma.github.io/Logging_2482/tillsyn/A 27358-2023 tillsynsbegäran.docx", "A 27358-2023")</f>
        <v/>
      </c>
      <c r="Y183">
        <f>HYPERLINK("https://klasma.github.io/Logging_2482/tillsynsmail/A 27358-2023 tillsynsbegäran mail.docx", "A 27358-2023")</f>
        <v/>
      </c>
    </row>
    <row r="184" ht="15" customHeight="1">
      <c r="A184" t="inlineStr">
        <is>
          <t>A 28448-2023</t>
        </is>
      </c>
      <c r="B184" s="1" t="n">
        <v>45103</v>
      </c>
      <c r="C184" s="1" t="n">
        <v>45566</v>
      </c>
      <c r="D184" t="inlineStr">
        <is>
          <t>VÄSTERBOTTENS LÄN</t>
        </is>
      </c>
      <c r="E184" t="inlineStr">
        <is>
          <t>SKELLEFTEÅ</t>
        </is>
      </c>
      <c r="F184" t="inlineStr">
        <is>
          <t>Kyrkan</t>
        </is>
      </c>
      <c r="G184" t="n">
        <v>9.4</v>
      </c>
      <c r="H184" t="n">
        <v>0</v>
      </c>
      <c r="I184" t="n">
        <v>0</v>
      </c>
      <c r="J184" t="n">
        <v>1</v>
      </c>
      <c r="K184" t="n">
        <v>0</v>
      </c>
      <c r="L184" t="n">
        <v>0</v>
      </c>
      <c r="M184" t="n">
        <v>0</v>
      </c>
      <c r="N184" t="n">
        <v>0</v>
      </c>
      <c r="O184" t="n">
        <v>1</v>
      </c>
      <c r="P184" t="n">
        <v>0</v>
      </c>
      <c r="Q184" t="n">
        <v>1</v>
      </c>
      <c r="R184" s="2" t="inlineStr">
        <is>
          <t>Tallriska</t>
        </is>
      </c>
      <c r="S184">
        <f>HYPERLINK("https://klasma.github.io/Logging_2482/artfynd/A 28448-2023 artfynd.xlsx", "A 28448-2023")</f>
        <v/>
      </c>
      <c r="T184">
        <f>HYPERLINK("https://klasma.github.io/Logging_2482/kartor/A 28448-2023 karta.png", "A 28448-2023")</f>
        <v/>
      </c>
      <c r="V184">
        <f>HYPERLINK("https://klasma.github.io/Logging_2482/klagomål/A 28448-2023 FSC-klagomål.docx", "A 28448-2023")</f>
        <v/>
      </c>
      <c r="W184">
        <f>HYPERLINK("https://klasma.github.io/Logging_2482/klagomålsmail/A 28448-2023 FSC-klagomål mail.docx", "A 28448-2023")</f>
        <v/>
      </c>
      <c r="X184">
        <f>HYPERLINK("https://klasma.github.io/Logging_2482/tillsyn/A 28448-2023 tillsynsbegäran.docx", "A 28448-2023")</f>
        <v/>
      </c>
      <c r="Y184">
        <f>HYPERLINK("https://klasma.github.io/Logging_2482/tillsynsmail/A 28448-2023 tillsynsbegäran mail.docx", "A 28448-2023")</f>
        <v/>
      </c>
    </row>
    <row r="185" ht="15" customHeight="1">
      <c r="A185" t="inlineStr">
        <is>
          <t>A 30703-2023</t>
        </is>
      </c>
      <c r="B185" s="1" t="n">
        <v>45112</v>
      </c>
      <c r="C185" s="1" t="n">
        <v>45566</v>
      </c>
      <c r="D185" t="inlineStr">
        <is>
          <t>VÄSTERBOTTENS LÄN</t>
        </is>
      </c>
      <c r="E185" t="inlineStr">
        <is>
          <t>SKELLEFTEÅ</t>
        </is>
      </c>
      <c r="F185" t="inlineStr">
        <is>
          <t>Sveaskog</t>
        </is>
      </c>
      <c r="G185" t="n">
        <v>10.9</v>
      </c>
      <c r="H185" t="n">
        <v>1</v>
      </c>
      <c r="I185" t="n">
        <v>0</v>
      </c>
      <c r="J185" t="n">
        <v>0</v>
      </c>
      <c r="K185" t="n">
        <v>0</v>
      </c>
      <c r="L185" t="n">
        <v>0</v>
      </c>
      <c r="M185" t="n">
        <v>0</v>
      </c>
      <c r="N185" t="n">
        <v>0</v>
      </c>
      <c r="O185" t="n">
        <v>0</v>
      </c>
      <c r="P185" t="n">
        <v>0</v>
      </c>
      <c r="Q185" t="n">
        <v>1</v>
      </c>
      <c r="R185" s="2" t="inlineStr">
        <is>
          <t>Fläcknycklar</t>
        </is>
      </c>
      <c r="S185">
        <f>HYPERLINK("https://klasma.github.io/Logging_2482/artfynd/A 30703-2023 artfynd.xlsx", "A 30703-2023")</f>
        <v/>
      </c>
      <c r="T185">
        <f>HYPERLINK("https://klasma.github.io/Logging_2482/kartor/A 30703-2023 karta.png", "A 30703-2023")</f>
        <v/>
      </c>
      <c r="V185">
        <f>HYPERLINK("https://klasma.github.io/Logging_2482/klagomål/A 30703-2023 FSC-klagomål.docx", "A 30703-2023")</f>
        <v/>
      </c>
      <c r="W185">
        <f>HYPERLINK("https://klasma.github.io/Logging_2482/klagomålsmail/A 30703-2023 FSC-klagomål mail.docx", "A 30703-2023")</f>
        <v/>
      </c>
      <c r="X185">
        <f>HYPERLINK("https://klasma.github.io/Logging_2482/tillsyn/A 30703-2023 tillsynsbegäran.docx", "A 30703-2023")</f>
        <v/>
      </c>
      <c r="Y185">
        <f>HYPERLINK("https://klasma.github.io/Logging_2482/tillsynsmail/A 30703-2023 tillsynsbegäran mail.docx", "A 30703-2023")</f>
        <v/>
      </c>
    </row>
    <row r="186" ht="15" customHeight="1">
      <c r="A186" t="inlineStr">
        <is>
          <t>A 32566-2023</t>
        </is>
      </c>
      <c r="B186" s="1" t="n">
        <v>45121</v>
      </c>
      <c r="C186" s="1" t="n">
        <v>45566</v>
      </c>
      <c r="D186" t="inlineStr">
        <is>
          <t>VÄSTERBOTTENS LÄN</t>
        </is>
      </c>
      <c r="E186" t="inlineStr">
        <is>
          <t>SKELLEFTEÅ</t>
        </is>
      </c>
      <c r="F186" t="inlineStr">
        <is>
          <t>Holmen skog AB</t>
        </is>
      </c>
      <c r="G186" t="n">
        <v>13</v>
      </c>
      <c r="H186" t="n">
        <v>1</v>
      </c>
      <c r="I186" t="n">
        <v>0</v>
      </c>
      <c r="J186" t="n">
        <v>0</v>
      </c>
      <c r="K186" t="n">
        <v>0</v>
      </c>
      <c r="L186" t="n">
        <v>0</v>
      </c>
      <c r="M186" t="n">
        <v>0</v>
      </c>
      <c r="N186" t="n">
        <v>0</v>
      </c>
      <c r="O186" t="n">
        <v>0</v>
      </c>
      <c r="P186" t="n">
        <v>0</v>
      </c>
      <c r="Q186" t="n">
        <v>1</v>
      </c>
      <c r="R186" s="2" t="inlineStr">
        <is>
          <t>Revlummer</t>
        </is>
      </c>
      <c r="S186">
        <f>HYPERLINK("https://klasma.github.io/Logging_2482/artfynd/A 32566-2023 artfynd.xlsx", "A 32566-2023")</f>
        <v/>
      </c>
      <c r="T186">
        <f>HYPERLINK("https://klasma.github.io/Logging_2482/kartor/A 32566-2023 karta.png", "A 32566-2023")</f>
        <v/>
      </c>
      <c r="V186">
        <f>HYPERLINK("https://klasma.github.io/Logging_2482/klagomål/A 32566-2023 FSC-klagomål.docx", "A 32566-2023")</f>
        <v/>
      </c>
      <c r="W186">
        <f>HYPERLINK("https://klasma.github.io/Logging_2482/klagomålsmail/A 32566-2023 FSC-klagomål mail.docx", "A 32566-2023")</f>
        <v/>
      </c>
      <c r="X186">
        <f>HYPERLINK("https://klasma.github.io/Logging_2482/tillsyn/A 32566-2023 tillsynsbegäran.docx", "A 32566-2023")</f>
        <v/>
      </c>
      <c r="Y186">
        <f>HYPERLINK("https://klasma.github.io/Logging_2482/tillsynsmail/A 32566-2023 tillsynsbegäran mail.docx", "A 32566-2023")</f>
        <v/>
      </c>
    </row>
    <row r="187" ht="15" customHeight="1">
      <c r="A187" t="inlineStr">
        <is>
          <t>A 36628-2023</t>
        </is>
      </c>
      <c r="B187" s="1" t="n">
        <v>45153</v>
      </c>
      <c r="C187" s="1" t="n">
        <v>45566</v>
      </c>
      <c r="D187" t="inlineStr">
        <is>
          <t>VÄSTERBOTTENS LÄN</t>
        </is>
      </c>
      <c r="E187" t="inlineStr">
        <is>
          <t>SKELLEFTEÅ</t>
        </is>
      </c>
      <c r="F187" t="inlineStr">
        <is>
          <t>Holmen skog AB</t>
        </is>
      </c>
      <c r="G187" t="n">
        <v>4.6</v>
      </c>
      <c r="H187" t="n">
        <v>0</v>
      </c>
      <c r="I187" t="n">
        <v>0</v>
      </c>
      <c r="J187" t="n">
        <v>1</v>
      </c>
      <c r="K187" t="n">
        <v>0</v>
      </c>
      <c r="L187" t="n">
        <v>0</v>
      </c>
      <c r="M187" t="n">
        <v>0</v>
      </c>
      <c r="N187" t="n">
        <v>0</v>
      </c>
      <c r="O187" t="n">
        <v>1</v>
      </c>
      <c r="P187" t="n">
        <v>0</v>
      </c>
      <c r="Q187" t="n">
        <v>1</v>
      </c>
      <c r="R187" s="2" t="inlineStr">
        <is>
          <t>Gultoppig fingersvamp</t>
        </is>
      </c>
      <c r="S187">
        <f>HYPERLINK("https://klasma.github.io/Logging_2482/artfynd/A 36628-2023 artfynd.xlsx", "A 36628-2023")</f>
        <v/>
      </c>
      <c r="T187">
        <f>HYPERLINK("https://klasma.github.io/Logging_2482/kartor/A 36628-2023 karta.png", "A 36628-2023")</f>
        <v/>
      </c>
      <c r="V187">
        <f>HYPERLINK("https://klasma.github.io/Logging_2482/klagomål/A 36628-2023 FSC-klagomål.docx", "A 36628-2023")</f>
        <v/>
      </c>
      <c r="W187">
        <f>HYPERLINK("https://klasma.github.io/Logging_2482/klagomålsmail/A 36628-2023 FSC-klagomål mail.docx", "A 36628-2023")</f>
        <v/>
      </c>
      <c r="X187">
        <f>HYPERLINK("https://klasma.github.io/Logging_2482/tillsyn/A 36628-2023 tillsynsbegäran.docx", "A 36628-2023")</f>
        <v/>
      </c>
      <c r="Y187">
        <f>HYPERLINK("https://klasma.github.io/Logging_2482/tillsynsmail/A 36628-2023 tillsynsbegäran mail.docx", "A 36628-2023")</f>
        <v/>
      </c>
    </row>
    <row r="188" ht="15" customHeight="1">
      <c r="A188" t="inlineStr">
        <is>
          <t>A 38455-2023</t>
        </is>
      </c>
      <c r="B188" s="1" t="n">
        <v>45162</v>
      </c>
      <c r="C188" s="1" t="n">
        <v>45566</v>
      </c>
      <c r="D188" t="inlineStr">
        <is>
          <t>VÄSTERBOTTENS LÄN</t>
        </is>
      </c>
      <c r="E188" t="inlineStr">
        <is>
          <t>SKELLEFTEÅ</t>
        </is>
      </c>
      <c r="G188" t="n">
        <v>10.4</v>
      </c>
      <c r="H188" t="n">
        <v>0</v>
      </c>
      <c r="I188" t="n">
        <v>1</v>
      </c>
      <c r="J188" t="n">
        <v>0</v>
      </c>
      <c r="K188" t="n">
        <v>0</v>
      </c>
      <c r="L188" t="n">
        <v>0</v>
      </c>
      <c r="M188" t="n">
        <v>0</v>
      </c>
      <c r="N188" t="n">
        <v>0</v>
      </c>
      <c r="O188" t="n">
        <v>0</v>
      </c>
      <c r="P188" t="n">
        <v>0</v>
      </c>
      <c r="Q188" t="n">
        <v>1</v>
      </c>
      <c r="R188" s="2" t="inlineStr">
        <is>
          <t>Bårdlav</t>
        </is>
      </c>
      <c r="S188">
        <f>HYPERLINK("https://klasma.github.io/Logging_2482/artfynd/A 38455-2023 artfynd.xlsx", "A 38455-2023")</f>
        <v/>
      </c>
      <c r="T188">
        <f>HYPERLINK("https://klasma.github.io/Logging_2482/kartor/A 38455-2023 karta.png", "A 38455-2023")</f>
        <v/>
      </c>
      <c r="V188">
        <f>HYPERLINK("https://klasma.github.io/Logging_2482/klagomål/A 38455-2023 FSC-klagomål.docx", "A 38455-2023")</f>
        <v/>
      </c>
      <c r="W188">
        <f>HYPERLINK("https://klasma.github.io/Logging_2482/klagomålsmail/A 38455-2023 FSC-klagomål mail.docx", "A 38455-2023")</f>
        <v/>
      </c>
      <c r="X188">
        <f>HYPERLINK("https://klasma.github.io/Logging_2482/tillsyn/A 38455-2023 tillsynsbegäran.docx", "A 38455-2023")</f>
        <v/>
      </c>
      <c r="Y188">
        <f>HYPERLINK("https://klasma.github.io/Logging_2482/tillsynsmail/A 38455-2023 tillsynsbegäran mail.docx", "A 38455-2023")</f>
        <v/>
      </c>
    </row>
    <row r="189" ht="15" customHeight="1">
      <c r="A189" t="inlineStr">
        <is>
          <t>A 41087-2023</t>
        </is>
      </c>
      <c r="B189" s="1" t="n">
        <v>45173</v>
      </c>
      <c r="C189" s="1" t="n">
        <v>45566</v>
      </c>
      <c r="D189" t="inlineStr">
        <is>
          <t>VÄSTERBOTTENS LÄN</t>
        </is>
      </c>
      <c r="E189" t="inlineStr">
        <is>
          <t>SKELLEFTEÅ</t>
        </is>
      </c>
      <c r="F189" t="inlineStr">
        <is>
          <t>Holmen skog AB</t>
        </is>
      </c>
      <c r="G189" t="n">
        <v>10</v>
      </c>
      <c r="H189" t="n">
        <v>0</v>
      </c>
      <c r="I189" t="n">
        <v>0</v>
      </c>
      <c r="J189" t="n">
        <v>0</v>
      </c>
      <c r="K189" t="n">
        <v>0</v>
      </c>
      <c r="L189" t="n">
        <v>1</v>
      </c>
      <c r="M189" t="n">
        <v>0</v>
      </c>
      <c r="N189" t="n">
        <v>0</v>
      </c>
      <c r="O189" t="n">
        <v>1</v>
      </c>
      <c r="P189" t="n">
        <v>1</v>
      </c>
      <c r="Q189" t="n">
        <v>1</v>
      </c>
      <c r="R189" s="2" t="inlineStr">
        <is>
          <t>Flodpärlmussla</t>
        </is>
      </c>
      <c r="S189">
        <f>HYPERLINK("https://klasma.github.io/Logging_2482/artfynd/A 41087-2023 artfynd.xlsx", "A 41087-2023")</f>
        <v/>
      </c>
      <c r="T189">
        <f>HYPERLINK("https://klasma.github.io/Logging_2482/kartor/A 41087-2023 karta.png", "A 41087-2023")</f>
        <v/>
      </c>
      <c r="V189">
        <f>HYPERLINK("https://klasma.github.io/Logging_2482/klagomål/A 41087-2023 FSC-klagomål.docx", "A 41087-2023")</f>
        <v/>
      </c>
      <c r="W189">
        <f>HYPERLINK("https://klasma.github.io/Logging_2482/klagomålsmail/A 41087-2023 FSC-klagomål mail.docx", "A 41087-2023")</f>
        <v/>
      </c>
      <c r="X189">
        <f>HYPERLINK("https://klasma.github.io/Logging_2482/tillsyn/A 41087-2023 tillsynsbegäran.docx", "A 41087-2023")</f>
        <v/>
      </c>
      <c r="Y189">
        <f>HYPERLINK("https://klasma.github.io/Logging_2482/tillsynsmail/A 41087-2023 tillsynsbegäran mail.docx", "A 41087-2023")</f>
        <v/>
      </c>
    </row>
    <row r="190" ht="15" customHeight="1">
      <c r="A190" t="inlineStr">
        <is>
          <t>A 41055-2023</t>
        </is>
      </c>
      <c r="B190" s="1" t="n">
        <v>45173</v>
      </c>
      <c r="C190" s="1" t="n">
        <v>45566</v>
      </c>
      <c r="D190" t="inlineStr">
        <is>
          <t>VÄSTERBOTTENS LÄN</t>
        </is>
      </c>
      <c r="E190" t="inlineStr">
        <is>
          <t>SKELLEFTEÅ</t>
        </is>
      </c>
      <c r="F190" t="inlineStr">
        <is>
          <t>Holmen skog AB</t>
        </is>
      </c>
      <c r="G190" t="n">
        <v>4.4</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41055-2023 artfynd.xlsx", "A 41055-2023")</f>
        <v/>
      </c>
      <c r="T190">
        <f>HYPERLINK("https://klasma.github.io/Logging_2482/kartor/A 41055-2023 karta.png", "A 41055-2023")</f>
        <v/>
      </c>
      <c r="V190">
        <f>HYPERLINK("https://klasma.github.io/Logging_2482/klagomål/A 41055-2023 FSC-klagomål.docx", "A 41055-2023")</f>
        <v/>
      </c>
      <c r="W190">
        <f>HYPERLINK("https://klasma.github.io/Logging_2482/klagomålsmail/A 41055-2023 FSC-klagomål mail.docx", "A 41055-2023")</f>
        <v/>
      </c>
      <c r="X190">
        <f>HYPERLINK("https://klasma.github.io/Logging_2482/tillsyn/A 41055-2023 tillsynsbegäran.docx", "A 41055-2023")</f>
        <v/>
      </c>
      <c r="Y190">
        <f>HYPERLINK("https://klasma.github.io/Logging_2482/tillsynsmail/A 41055-2023 tillsynsbegäran mail.docx", "A 41055-2023")</f>
        <v/>
      </c>
    </row>
    <row r="191" ht="15" customHeight="1">
      <c r="A191" t="inlineStr">
        <is>
          <t>A 47056-2023</t>
        </is>
      </c>
      <c r="B191" s="1" t="n">
        <v>45201</v>
      </c>
      <c r="C191" s="1" t="n">
        <v>45566</v>
      </c>
      <c r="D191" t="inlineStr">
        <is>
          <t>VÄSTERBOTTENS LÄN</t>
        </is>
      </c>
      <c r="E191" t="inlineStr">
        <is>
          <t>SKELLEFTEÅ</t>
        </is>
      </c>
      <c r="F191" t="inlineStr">
        <is>
          <t>Sveaskog</t>
        </is>
      </c>
      <c r="G191" t="n">
        <v>10.6</v>
      </c>
      <c r="H191" t="n">
        <v>0</v>
      </c>
      <c r="I191" t="n">
        <v>0</v>
      </c>
      <c r="J191" t="n">
        <v>1</v>
      </c>
      <c r="K191" t="n">
        <v>0</v>
      </c>
      <c r="L191" t="n">
        <v>0</v>
      </c>
      <c r="M191" t="n">
        <v>0</v>
      </c>
      <c r="N191" t="n">
        <v>0</v>
      </c>
      <c r="O191" t="n">
        <v>1</v>
      </c>
      <c r="P191" t="n">
        <v>0</v>
      </c>
      <c r="Q191" t="n">
        <v>1</v>
      </c>
      <c r="R191" s="2" t="inlineStr">
        <is>
          <t>Ullticka</t>
        </is>
      </c>
      <c r="S191">
        <f>HYPERLINK("https://klasma.github.io/Logging_2482/artfynd/A 47056-2023 artfynd.xlsx", "A 47056-2023")</f>
        <v/>
      </c>
      <c r="T191">
        <f>HYPERLINK("https://klasma.github.io/Logging_2482/kartor/A 47056-2023 karta.png", "A 47056-2023")</f>
        <v/>
      </c>
      <c r="V191">
        <f>HYPERLINK("https://klasma.github.io/Logging_2482/klagomål/A 47056-2023 FSC-klagomål.docx", "A 47056-2023")</f>
        <v/>
      </c>
      <c r="W191">
        <f>HYPERLINK("https://klasma.github.io/Logging_2482/klagomålsmail/A 47056-2023 FSC-klagomål mail.docx", "A 47056-2023")</f>
        <v/>
      </c>
      <c r="X191">
        <f>HYPERLINK("https://klasma.github.io/Logging_2482/tillsyn/A 47056-2023 tillsynsbegäran.docx", "A 47056-2023")</f>
        <v/>
      </c>
      <c r="Y191">
        <f>HYPERLINK("https://klasma.github.io/Logging_2482/tillsynsmail/A 47056-2023 tillsynsbegäran mail.docx", "A 47056-2023")</f>
        <v/>
      </c>
    </row>
    <row r="192" ht="15" customHeight="1">
      <c r="A192" t="inlineStr">
        <is>
          <t>A 49322-2023</t>
        </is>
      </c>
      <c r="B192" s="1" t="n">
        <v>45211</v>
      </c>
      <c r="C192" s="1" t="n">
        <v>45566</v>
      </c>
      <c r="D192" t="inlineStr">
        <is>
          <t>VÄSTERBOTTENS LÄN</t>
        </is>
      </c>
      <c r="E192" t="inlineStr">
        <is>
          <t>SKELLEFTEÅ</t>
        </is>
      </c>
      <c r="G192" t="n">
        <v>24.9</v>
      </c>
      <c r="H192" t="n">
        <v>1</v>
      </c>
      <c r="I192" t="n">
        <v>0</v>
      </c>
      <c r="J192" t="n">
        <v>1</v>
      </c>
      <c r="K192" t="n">
        <v>0</v>
      </c>
      <c r="L192" t="n">
        <v>0</v>
      </c>
      <c r="M192" t="n">
        <v>0</v>
      </c>
      <c r="N192" t="n">
        <v>0</v>
      </c>
      <c r="O192" t="n">
        <v>1</v>
      </c>
      <c r="P192" t="n">
        <v>0</v>
      </c>
      <c r="Q192" t="n">
        <v>1</v>
      </c>
      <c r="R192" s="2" t="inlineStr">
        <is>
          <t>Spillkråka</t>
        </is>
      </c>
      <c r="S192">
        <f>HYPERLINK("https://klasma.github.io/Logging_2482/artfynd/A 49322-2023 artfynd.xlsx", "A 49322-2023")</f>
        <v/>
      </c>
      <c r="T192">
        <f>HYPERLINK("https://klasma.github.io/Logging_2482/kartor/A 49322-2023 karta.png", "A 49322-2023")</f>
        <v/>
      </c>
      <c r="U192">
        <f>HYPERLINK("https://klasma.github.io/Logging_2482/knärot/A 49322-2023 karta knärot.png", "A 49322-2023")</f>
        <v/>
      </c>
      <c r="V192">
        <f>HYPERLINK("https://klasma.github.io/Logging_2482/klagomål/A 49322-2023 FSC-klagomål.docx", "A 49322-2023")</f>
        <v/>
      </c>
      <c r="W192">
        <f>HYPERLINK("https://klasma.github.io/Logging_2482/klagomålsmail/A 49322-2023 FSC-klagomål mail.docx", "A 49322-2023")</f>
        <v/>
      </c>
      <c r="X192">
        <f>HYPERLINK("https://klasma.github.io/Logging_2482/tillsyn/A 49322-2023 tillsynsbegäran.docx", "A 49322-2023")</f>
        <v/>
      </c>
      <c r="Y192">
        <f>HYPERLINK("https://klasma.github.io/Logging_2482/tillsynsmail/A 49322-2023 tillsynsbegäran mail.docx", "A 49322-2023")</f>
        <v/>
      </c>
      <c r="Z192">
        <f>HYPERLINK("https://klasma.github.io/Logging_2482/fåglar/A 49322-2023 prioriterade fågelarter.docx", "A 49322-2023")</f>
        <v/>
      </c>
    </row>
    <row r="193" ht="15" customHeight="1">
      <c r="A193" t="inlineStr">
        <is>
          <t>A 52484-2023</t>
        </is>
      </c>
      <c r="B193" s="1" t="n">
        <v>45225</v>
      </c>
      <c r="C193" s="1" t="n">
        <v>45566</v>
      </c>
      <c r="D193" t="inlineStr">
        <is>
          <t>VÄSTERBOTTENS LÄN</t>
        </is>
      </c>
      <c r="E193" t="inlineStr">
        <is>
          <t>SKELLEFTEÅ</t>
        </is>
      </c>
      <c r="G193" t="n">
        <v>2.4</v>
      </c>
      <c r="H193" t="n">
        <v>1</v>
      </c>
      <c r="I193" t="n">
        <v>0</v>
      </c>
      <c r="J193" t="n">
        <v>1</v>
      </c>
      <c r="K193" t="n">
        <v>0</v>
      </c>
      <c r="L193" t="n">
        <v>0</v>
      </c>
      <c r="M193" t="n">
        <v>0</v>
      </c>
      <c r="N193" t="n">
        <v>0</v>
      </c>
      <c r="O193" t="n">
        <v>1</v>
      </c>
      <c r="P193" t="n">
        <v>0</v>
      </c>
      <c r="Q193" t="n">
        <v>1</v>
      </c>
      <c r="R193" s="2" t="inlineStr">
        <is>
          <t>Pilgrimsfalk</t>
        </is>
      </c>
      <c r="S193">
        <f>HYPERLINK("https://klasma.github.io/Logging_2482/artfynd/A 52484-2023 artfynd.xlsx", "A 52484-2023")</f>
        <v/>
      </c>
      <c r="T193">
        <f>HYPERLINK("https://klasma.github.io/Logging_2482/kartor/A 52484-2023 karta.png", "A 52484-2023")</f>
        <v/>
      </c>
      <c r="V193">
        <f>HYPERLINK("https://klasma.github.io/Logging_2482/klagomål/A 52484-2023 FSC-klagomål.docx", "A 52484-2023")</f>
        <v/>
      </c>
      <c r="W193">
        <f>HYPERLINK("https://klasma.github.io/Logging_2482/klagomålsmail/A 52484-2023 FSC-klagomål mail.docx", "A 52484-2023")</f>
        <v/>
      </c>
      <c r="X193">
        <f>HYPERLINK("https://klasma.github.io/Logging_2482/tillsyn/A 52484-2023 tillsynsbegäran.docx", "A 52484-2023")</f>
        <v/>
      </c>
      <c r="Y193">
        <f>HYPERLINK("https://klasma.github.io/Logging_2482/tillsynsmail/A 52484-2023 tillsynsbegäran mail.docx", "A 52484-2023")</f>
        <v/>
      </c>
      <c r="Z193">
        <f>HYPERLINK("https://klasma.github.io/Logging_2482/fåglar/A 52484-2023 prioriterade fågelarter.docx", "A 52484-2023")</f>
        <v/>
      </c>
    </row>
    <row r="194" ht="15" customHeight="1">
      <c r="A194" t="inlineStr">
        <is>
          <t>A 54488-2023</t>
        </is>
      </c>
      <c r="B194" s="1" t="n">
        <v>45226</v>
      </c>
      <c r="C194" s="1" t="n">
        <v>45566</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HYPERLINK("https://klasma.github.io/Logging_2482/artfynd/A 54488-2023 artfynd.xlsx", "A 54488-2023")</f>
        <v/>
      </c>
      <c r="T194">
        <f>HYPERLINK("https://klasma.github.io/Logging_2482/kartor/A 54488-2023 karta.png", "A 54488-2023")</f>
        <v/>
      </c>
      <c r="V194">
        <f>HYPERLINK("https://klasma.github.io/Logging_2482/klagomål/A 54488-2023 FSC-klagomål.docx", "A 54488-2023")</f>
        <v/>
      </c>
      <c r="W194">
        <f>HYPERLINK("https://klasma.github.io/Logging_2482/klagomålsmail/A 54488-2023 FSC-klagomål mail.docx", "A 54488-2023")</f>
        <v/>
      </c>
      <c r="X194">
        <f>HYPERLINK("https://klasma.github.io/Logging_2482/tillsyn/A 54488-2023 tillsynsbegäran.docx", "A 54488-2023")</f>
        <v/>
      </c>
      <c r="Y194">
        <f>HYPERLINK("https://klasma.github.io/Logging_2482/tillsynsmail/A 54488-2023 tillsynsbegäran mail.docx", "A 54488-2023")</f>
        <v/>
      </c>
    </row>
    <row r="195" ht="15" customHeight="1">
      <c r="A195" t="inlineStr">
        <is>
          <t>A 55839-2023</t>
        </is>
      </c>
      <c r="B195" s="1" t="n">
        <v>45239</v>
      </c>
      <c r="C195" s="1" t="n">
        <v>45566</v>
      </c>
      <c r="D195" t="inlineStr">
        <is>
          <t>VÄSTERBOTTENS LÄN</t>
        </is>
      </c>
      <c r="E195" t="inlineStr">
        <is>
          <t>SKELLEFTEÅ</t>
        </is>
      </c>
      <c r="F195" t="inlineStr">
        <is>
          <t>Kommuner</t>
        </is>
      </c>
      <c r="G195" t="n">
        <v>0.8</v>
      </c>
      <c r="H195" t="n">
        <v>1</v>
      </c>
      <c r="I195" t="n">
        <v>1</v>
      </c>
      <c r="J195" t="n">
        <v>0</v>
      </c>
      <c r="K195" t="n">
        <v>0</v>
      </c>
      <c r="L195" t="n">
        <v>0</v>
      </c>
      <c r="M195" t="n">
        <v>0</v>
      </c>
      <c r="N195" t="n">
        <v>0</v>
      </c>
      <c r="O195" t="n">
        <v>0</v>
      </c>
      <c r="P195" t="n">
        <v>0</v>
      </c>
      <c r="Q195" t="n">
        <v>1</v>
      </c>
      <c r="R195" s="2" t="inlineStr">
        <is>
          <t>Plattlummer</t>
        </is>
      </c>
      <c r="S195">
        <f>HYPERLINK("https://klasma.github.io/Logging_2482/artfynd/A 55839-2023 artfynd.xlsx", "A 55839-2023")</f>
        <v/>
      </c>
      <c r="T195">
        <f>HYPERLINK("https://klasma.github.io/Logging_2482/kartor/A 55839-2023 karta.png", "A 55839-2023")</f>
        <v/>
      </c>
      <c r="V195">
        <f>HYPERLINK("https://klasma.github.io/Logging_2482/klagomål/A 55839-2023 FSC-klagomål.docx", "A 55839-2023")</f>
        <v/>
      </c>
      <c r="W195">
        <f>HYPERLINK("https://klasma.github.io/Logging_2482/klagomålsmail/A 55839-2023 FSC-klagomål mail.docx", "A 55839-2023")</f>
        <v/>
      </c>
      <c r="X195">
        <f>HYPERLINK("https://klasma.github.io/Logging_2482/tillsyn/A 55839-2023 tillsynsbegäran.docx", "A 55839-2023")</f>
        <v/>
      </c>
      <c r="Y195">
        <f>HYPERLINK("https://klasma.github.io/Logging_2482/tillsynsmail/A 55839-2023 tillsynsbegäran mail.docx", "A 55839-2023")</f>
        <v/>
      </c>
    </row>
    <row r="196" ht="15" customHeight="1">
      <c r="A196" t="inlineStr">
        <is>
          <t>A 65012-2023</t>
        </is>
      </c>
      <c r="B196" s="1" t="n">
        <v>45287</v>
      </c>
      <c r="C196" s="1" t="n">
        <v>45566</v>
      </c>
      <c r="D196" t="inlineStr">
        <is>
          <t>VÄSTERBOTTENS LÄN</t>
        </is>
      </c>
      <c r="E196" t="inlineStr">
        <is>
          <t>SKELLEFTEÅ</t>
        </is>
      </c>
      <c r="G196" t="n">
        <v>2.2</v>
      </c>
      <c r="H196" t="n">
        <v>1</v>
      </c>
      <c r="I196" t="n">
        <v>0</v>
      </c>
      <c r="J196" t="n">
        <v>1</v>
      </c>
      <c r="K196" t="n">
        <v>0</v>
      </c>
      <c r="L196" t="n">
        <v>0</v>
      </c>
      <c r="M196" t="n">
        <v>0</v>
      </c>
      <c r="N196" t="n">
        <v>0</v>
      </c>
      <c r="O196" t="n">
        <v>1</v>
      </c>
      <c r="P196" t="n">
        <v>0</v>
      </c>
      <c r="Q196" t="n">
        <v>1</v>
      </c>
      <c r="R196" s="2" t="inlineStr">
        <is>
          <t>Tretåig hackspett</t>
        </is>
      </c>
      <c r="S196">
        <f>HYPERLINK("https://klasma.github.io/Logging_2482/artfynd/A 65012-2023 artfynd.xlsx", "A 65012-2023")</f>
        <v/>
      </c>
      <c r="T196">
        <f>HYPERLINK("https://klasma.github.io/Logging_2482/kartor/A 65012-2023 karta.png", "A 65012-2023")</f>
        <v/>
      </c>
      <c r="V196">
        <f>HYPERLINK("https://klasma.github.io/Logging_2482/klagomål/A 65012-2023 FSC-klagomål.docx", "A 65012-2023")</f>
        <v/>
      </c>
      <c r="W196">
        <f>HYPERLINK("https://klasma.github.io/Logging_2482/klagomålsmail/A 65012-2023 FSC-klagomål mail.docx", "A 65012-2023")</f>
        <v/>
      </c>
      <c r="X196">
        <f>HYPERLINK("https://klasma.github.io/Logging_2482/tillsyn/A 65012-2023 tillsynsbegäran.docx", "A 65012-2023")</f>
        <v/>
      </c>
      <c r="Y196">
        <f>HYPERLINK("https://klasma.github.io/Logging_2482/tillsynsmail/A 65012-2023 tillsynsbegäran mail.docx", "A 65012-2023")</f>
        <v/>
      </c>
      <c r="Z196">
        <f>HYPERLINK("https://klasma.github.io/Logging_2482/fåglar/A 65012-2023 prioriterade fågelarter.docx", "A 65012-2023")</f>
        <v/>
      </c>
    </row>
    <row r="197" ht="15" customHeight="1">
      <c r="A197" t="inlineStr">
        <is>
          <t>A 488-2024</t>
        </is>
      </c>
      <c r="B197" s="1" t="n">
        <v>45298</v>
      </c>
      <c r="C197" s="1" t="n">
        <v>45566</v>
      </c>
      <c r="D197" t="inlineStr">
        <is>
          <t>VÄSTERBOTTENS LÄN</t>
        </is>
      </c>
      <c r="E197" t="inlineStr">
        <is>
          <t>SKELLEFTEÅ</t>
        </is>
      </c>
      <c r="G197" t="n">
        <v>3.6</v>
      </c>
      <c r="H197" t="n">
        <v>1</v>
      </c>
      <c r="I197" t="n">
        <v>0</v>
      </c>
      <c r="J197" t="n">
        <v>1</v>
      </c>
      <c r="K197" t="n">
        <v>0</v>
      </c>
      <c r="L197" t="n">
        <v>0</v>
      </c>
      <c r="M197" t="n">
        <v>0</v>
      </c>
      <c r="N197" t="n">
        <v>0</v>
      </c>
      <c r="O197" t="n">
        <v>1</v>
      </c>
      <c r="P197" t="n">
        <v>0</v>
      </c>
      <c r="Q197" t="n">
        <v>1</v>
      </c>
      <c r="R197" s="2" t="inlineStr">
        <is>
          <t>Spillkråka</t>
        </is>
      </c>
      <c r="S197">
        <f>HYPERLINK("https://klasma.github.io/Logging_2482/artfynd/A 488-2024 artfynd.xlsx", "A 488-2024")</f>
        <v/>
      </c>
      <c r="T197">
        <f>HYPERLINK("https://klasma.github.io/Logging_2482/kartor/A 488-2024 karta.png", "A 488-2024")</f>
        <v/>
      </c>
      <c r="V197">
        <f>HYPERLINK("https://klasma.github.io/Logging_2482/klagomål/A 488-2024 FSC-klagomål.docx", "A 488-2024")</f>
        <v/>
      </c>
      <c r="W197">
        <f>HYPERLINK("https://klasma.github.io/Logging_2482/klagomålsmail/A 488-2024 FSC-klagomål mail.docx", "A 488-2024")</f>
        <v/>
      </c>
      <c r="X197">
        <f>HYPERLINK("https://klasma.github.io/Logging_2482/tillsyn/A 488-2024 tillsynsbegäran.docx", "A 488-2024")</f>
        <v/>
      </c>
      <c r="Y197">
        <f>HYPERLINK("https://klasma.github.io/Logging_2482/tillsynsmail/A 488-2024 tillsynsbegäran mail.docx", "A 488-2024")</f>
        <v/>
      </c>
      <c r="Z197">
        <f>HYPERLINK("https://klasma.github.io/Logging_2482/fåglar/A 488-2024 prioriterade fågelarter.docx", "A 488-2024")</f>
        <v/>
      </c>
    </row>
    <row r="198" ht="15" customHeight="1">
      <c r="A198" t="inlineStr">
        <is>
          <t>A 3939-2024</t>
        </is>
      </c>
      <c r="B198" s="1" t="n">
        <v>45322</v>
      </c>
      <c r="C198" s="1" t="n">
        <v>45566</v>
      </c>
      <c r="D198" t="inlineStr">
        <is>
          <t>VÄSTERBOTTENS LÄN</t>
        </is>
      </c>
      <c r="E198" t="inlineStr">
        <is>
          <t>SKELLEFTEÅ</t>
        </is>
      </c>
      <c r="G198" t="n">
        <v>1.9</v>
      </c>
      <c r="H198" t="n">
        <v>0</v>
      </c>
      <c r="I198" t="n">
        <v>1</v>
      </c>
      <c r="J198" t="n">
        <v>0</v>
      </c>
      <c r="K198" t="n">
        <v>0</v>
      </c>
      <c r="L198" t="n">
        <v>0</v>
      </c>
      <c r="M198" t="n">
        <v>0</v>
      </c>
      <c r="N198" t="n">
        <v>0</v>
      </c>
      <c r="O198" t="n">
        <v>0</v>
      </c>
      <c r="P198" t="n">
        <v>0</v>
      </c>
      <c r="Q198" t="n">
        <v>1</v>
      </c>
      <c r="R198" s="2" t="inlineStr">
        <is>
          <t>Ögonpyrola</t>
        </is>
      </c>
      <c r="S198">
        <f>HYPERLINK("https://klasma.github.io/Logging_2482/artfynd/A 3939-2024 artfynd.xlsx", "A 3939-2024")</f>
        <v/>
      </c>
      <c r="T198">
        <f>HYPERLINK("https://klasma.github.io/Logging_2482/kartor/A 3939-2024 karta.png", "A 3939-2024")</f>
        <v/>
      </c>
      <c r="V198">
        <f>HYPERLINK("https://klasma.github.io/Logging_2482/klagomål/A 3939-2024 FSC-klagomål.docx", "A 3939-2024")</f>
        <v/>
      </c>
      <c r="W198">
        <f>HYPERLINK("https://klasma.github.io/Logging_2482/klagomålsmail/A 3939-2024 FSC-klagomål mail.docx", "A 3939-2024")</f>
        <v/>
      </c>
      <c r="X198">
        <f>HYPERLINK("https://klasma.github.io/Logging_2482/tillsyn/A 3939-2024 tillsynsbegäran.docx", "A 3939-2024")</f>
        <v/>
      </c>
      <c r="Y198">
        <f>HYPERLINK("https://klasma.github.io/Logging_2482/tillsynsmail/A 3939-2024 tillsynsbegäran mail.docx", "A 3939-2024")</f>
        <v/>
      </c>
    </row>
    <row r="199" ht="15" customHeight="1">
      <c r="A199" t="inlineStr">
        <is>
          <t>A 11533-2024</t>
        </is>
      </c>
      <c r="B199" s="1" t="n">
        <v>45372</v>
      </c>
      <c r="C199" s="1" t="n">
        <v>45566</v>
      </c>
      <c r="D199" t="inlineStr">
        <is>
          <t>VÄSTERBOTTENS LÄN</t>
        </is>
      </c>
      <c r="E199" t="inlineStr">
        <is>
          <t>SKELLEFTEÅ</t>
        </is>
      </c>
      <c r="G199" t="n">
        <v>7.6</v>
      </c>
      <c r="H199" t="n">
        <v>0</v>
      </c>
      <c r="I199" t="n">
        <v>0</v>
      </c>
      <c r="J199" t="n">
        <v>1</v>
      </c>
      <c r="K199" t="n">
        <v>0</v>
      </c>
      <c r="L199" t="n">
        <v>0</v>
      </c>
      <c r="M199" t="n">
        <v>0</v>
      </c>
      <c r="N199" t="n">
        <v>0</v>
      </c>
      <c r="O199" t="n">
        <v>1</v>
      </c>
      <c r="P199" t="n">
        <v>0</v>
      </c>
      <c r="Q199" t="n">
        <v>1</v>
      </c>
      <c r="R199" s="2" t="inlineStr">
        <is>
          <t>Garnlav</t>
        </is>
      </c>
      <c r="S199">
        <f>HYPERLINK("https://klasma.github.io/Logging_2482/artfynd/A 11533-2024 artfynd.xlsx", "A 11533-2024")</f>
        <v/>
      </c>
      <c r="T199">
        <f>HYPERLINK("https://klasma.github.io/Logging_2482/kartor/A 11533-2024 karta.png", "A 11533-2024")</f>
        <v/>
      </c>
      <c r="V199">
        <f>HYPERLINK("https://klasma.github.io/Logging_2482/klagomål/A 11533-2024 FSC-klagomål.docx", "A 11533-2024")</f>
        <v/>
      </c>
      <c r="W199">
        <f>HYPERLINK("https://klasma.github.io/Logging_2482/klagomålsmail/A 11533-2024 FSC-klagomål mail.docx", "A 11533-2024")</f>
        <v/>
      </c>
      <c r="X199">
        <f>HYPERLINK("https://klasma.github.io/Logging_2482/tillsyn/A 11533-2024 tillsynsbegäran.docx", "A 11533-2024")</f>
        <v/>
      </c>
      <c r="Y199">
        <f>HYPERLINK("https://klasma.github.io/Logging_2482/tillsynsmail/A 11533-2024 tillsynsbegäran mail.docx", "A 11533-2024")</f>
        <v/>
      </c>
    </row>
    <row r="200" ht="15" customHeight="1">
      <c r="A200" t="inlineStr">
        <is>
          <t>A 14439-2024</t>
        </is>
      </c>
      <c r="B200" s="1" t="n">
        <v>45394</v>
      </c>
      <c r="C200" s="1" t="n">
        <v>45566</v>
      </c>
      <c r="D200" t="inlineStr">
        <is>
          <t>VÄSTERBOTTENS LÄN</t>
        </is>
      </c>
      <c r="E200" t="inlineStr">
        <is>
          <t>SKELLEFTEÅ</t>
        </is>
      </c>
      <c r="G200" t="n">
        <v>9.199999999999999</v>
      </c>
      <c r="H200" t="n">
        <v>0</v>
      </c>
      <c r="I200" t="n">
        <v>0</v>
      </c>
      <c r="J200" t="n">
        <v>1</v>
      </c>
      <c r="K200" t="n">
        <v>0</v>
      </c>
      <c r="L200" t="n">
        <v>0</v>
      </c>
      <c r="M200" t="n">
        <v>0</v>
      </c>
      <c r="N200" t="n">
        <v>0</v>
      </c>
      <c r="O200" t="n">
        <v>1</v>
      </c>
      <c r="P200" t="n">
        <v>0</v>
      </c>
      <c r="Q200" t="n">
        <v>1</v>
      </c>
      <c r="R200" s="2" t="inlineStr">
        <is>
          <t>Garnlav</t>
        </is>
      </c>
      <c r="S200">
        <f>HYPERLINK("https://klasma.github.io/Logging_2482/artfynd/A 14439-2024 artfynd.xlsx", "A 14439-2024")</f>
        <v/>
      </c>
      <c r="T200">
        <f>HYPERLINK("https://klasma.github.io/Logging_2482/kartor/A 14439-2024 karta.png", "A 14439-2024")</f>
        <v/>
      </c>
      <c r="V200">
        <f>HYPERLINK("https://klasma.github.io/Logging_2482/klagomål/A 14439-2024 FSC-klagomål.docx", "A 14439-2024")</f>
        <v/>
      </c>
      <c r="W200">
        <f>HYPERLINK("https://klasma.github.io/Logging_2482/klagomålsmail/A 14439-2024 FSC-klagomål mail.docx", "A 14439-2024")</f>
        <v/>
      </c>
      <c r="X200">
        <f>HYPERLINK("https://klasma.github.io/Logging_2482/tillsyn/A 14439-2024 tillsynsbegäran.docx", "A 14439-2024")</f>
        <v/>
      </c>
      <c r="Y200">
        <f>HYPERLINK("https://klasma.github.io/Logging_2482/tillsynsmail/A 14439-2024 tillsynsbegäran mail.docx", "A 14439-2024")</f>
        <v/>
      </c>
    </row>
    <row r="201" ht="15" customHeight="1">
      <c r="A201" t="inlineStr">
        <is>
          <t>A 14641-2024</t>
        </is>
      </c>
      <c r="B201" s="1" t="n">
        <v>45397</v>
      </c>
      <c r="C201" s="1" t="n">
        <v>45566</v>
      </c>
      <c r="D201" t="inlineStr">
        <is>
          <t>VÄSTERBOTTENS LÄN</t>
        </is>
      </c>
      <c r="E201" t="inlineStr">
        <is>
          <t>SKELLEFTEÅ</t>
        </is>
      </c>
      <c r="G201" t="n">
        <v>0.5</v>
      </c>
      <c r="H201" t="n">
        <v>1</v>
      </c>
      <c r="I201" t="n">
        <v>0</v>
      </c>
      <c r="J201" t="n">
        <v>0</v>
      </c>
      <c r="K201" t="n">
        <v>1</v>
      </c>
      <c r="L201" t="n">
        <v>0</v>
      </c>
      <c r="M201" t="n">
        <v>0</v>
      </c>
      <c r="N201" t="n">
        <v>0</v>
      </c>
      <c r="O201" t="n">
        <v>1</v>
      </c>
      <c r="P201" t="n">
        <v>1</v>
      </c>
      <c r="Q201" t="n">
        <v>1</v>
      </c>
      <c r="R201" s="2" t="inlineStr">
        <is>
          <t>Knärot</t>
        </is>
      </c>
      <c r="S201">
        <f>HYPERLINK("https://klasma.github.io/Logging_2482/artfynd/A 14641-2024 artfynd.xlsx", "A 14641-2024")</f>
        <v/>
      </c>
      <c r="T201">
        <f>HYPERLINK("https://klasma.github.io/Logging_2482/kartor/A 14641-2024 karta.png", "A 14641-2024")</f>
        <v/>
      </c>
      <c r="U201">
        <f>HYPERLINK("https://klasma.github.io/Logging_2482/knärot/A 14641-2024 karta knärot.png", "A 14641-2024")</f>
        <v/>
      </c>
      <c r="V201">
        <f>HYPERLINK("https://klasma.github.io/Logging_2482/klagomål/A 14641-2024 FSC-klagomål.docx", "A 14641-2024")</f>
        <v/>
      </c>
      <c r="W201">
        <f>HYPERLINK("https://klasma.github.io/Logging_2482/klagomålsmail/A 14641-2024 FSC-klagomål mail.docx", "A 14641-2024")</f>
        <v/>
      </c>
      <c r="X201">
        <f>HYPERLINK("https://klasma.github.io/Logging_2482/tillsyn/A 14641-2024 tillsynsbegäran.docx", "A 14641-2024")</f>
        <v/>
      </c>
      <c r="Y201">
        <f>HYPERLINK("https://klasma.github.io/Logging_2482/tillsynsmail/A 14641-2024 tillsynsbegäran mail.docx", "A 14641-2024")</f>
        <v/>
      </c>
    </row>
    <row r="202" ht="15" customHeight="1">
      <c r="A202" t="inlineStr">
        <is>
          <t>A 15134-2024</t>
        </is>
      </c>
      <c r="B202" s="1" t="n">
        <v>45399</v>
      </c>
      <c r="C202" s="1" t="n">
        <v>45566</v>
      </c>
      <c r="D202" t="inlineStr">
        <is>
          <t>VÄSTERBOTTENS LÄN</t>
        </is>
      </c>
      <c r="E202" t="inlineStr">
        <is>
          <t>SKELLEFTEÅ</t>
        </is>
      </c>
      <c r="G202" t="n">
        <v>11.1</v>
      </c>
      <c r="H202" t="n">
        <v>0</v>
      </c>
      <c r="I202" t="n">
        <v>0</v>
      </c>
      <c r="J202" t="n">
        <v>1</v>
      </c>
      <c r="K202" t="n">
        <v>0</v>
      </c>
      <c r="L202" t="n">
        <v>0</v>
      </c>
      <c r="M202" t="n">
        <v>0</v>
      </c>
      <c r="N202" t="n">
        <v>0</v>
      </c>
      <c r="O202" t="n">
        <v>1</v>
      </c>
      <c r="P202" t="n">
        <v>0</v>
      </c>
      <c r="Q202" t="n">
        <v>1</v>
      </c>
      <c r="R202" s="2" t="inlineStr">
        <is>
          <t>Granticka</t>
        </is>
      </c>
      <c r="S202">
        <f>HYPERLINK("https://klasma.github.io/Logging_2482/artfynd/A 15134-2024 artfynd.xlsx", "A 15134-2024")</f>
        <v/>
      </c>
      <c r="T202">
        <f>HYPERLINK("https://klasma.github.io/Logging_2482/kartor/A 15134-2024 karta.png", "A 15134-2024")</f>
        <v/>
      </c>
      <c r="V202">
        <f>HYPERLINK("https://klasma.github.io/Logging_2482/klagomål/A 15134-2024 FSC-klagomål.docx", "A 15134-2024")</f>
        <v/>
      </c>
      <c r="W202">
        <f>HYPERLINK("https://klasma.github.io/Logging_2482/klagomålsmail/A 15134-2024 FSC-klagomål mail.docx", "A 15134-2024")</f>
        <v/>
      </c>
      <c r="X202">
        <f>HYPERLINK("https://klasma.github.io/Logging_2482/tillsyn/A 15134-2024 tillsynsbegäran.docx", "A 15134-2024")</f>
        <v/>
      </c>
      <c r="Y202">
        <f>HYPERLINK("https://klasma.github.io/Logging_2482/tillsynsmail/A 15134-2024 tillsynsbegäran mail.docx", "A 15134-2024")</f>
        <v/>
      </c>
    </row>
    <row r="203" ht="15" customHeight="1">
      <c r="A203" t="inlineStr">
        <is>
          <t>A 20311-2024</t>
        </is>
      </c>
      <c r="B203" s="1" t="n">
        <v>45435</v>
      </c>
      <c r="C203" s="1" t="n">
        <v>45566</v>
      </c>
      <c r="D203" t="inlineStr">
        <is>
          <t>VÄSTERBOTTENS LÄN</t>
        </is>
      </c>
      <c r="E203" t="inlineStr">
        <is>
          <t>SKELLEFTEÅ</t>
        </is>
      </c>
      <c r="G203" t="n">
        <v>17.3</v>
      </c>
      <c r="H203" t="n">
        <v>0</v>
      </c>
      <c r="I203" t="n">
        <v>1</v>
      </c>
      <c r="J203" t="n">
        <v>0</v>
      </c>
      <c r="K203" t="n">
        <v>0</v>
      </c>
      <c r="L203" t="n">
        <v>0</v>
      </c>
      <c r="M203" t="n">
        <v>0</v>
      </c>
      <c r="N203" t="n">
        <v>0</v>
      </c>
      <c r="O203" t="n">
        <v>0</v>
      </c>
      <c r="P203" t="n">
        <v>0</v>
      </c>
      <c r="Q203" t="n">
        <v>1</v>
      </c>
      <c r="R203" s="2" t="inlineStr">
        <is>
          <t>Sotriska</t>
        </is>
      </c>
      <c r="S203">
        <f>HYPERLINK("https://klasma.github.io/Logging_2482/artfynd/A 20311-2024 artfynd.xlsx", "A 20311-2024")</f>
        <v/>
      </c>
      <c r="T203">
        <f>HYPERLINK("https://klasma.github.io/Logging_2482/kartor/A 20311-2024 karta.png", "A 20311-2024")</f>
        <v/>
      </c>
      <c r="V203">
        <f>HYPERLINK("https://klasma.github.io/Logging_2482/klagomål/A 20311-2024 FSC-klagomål.docx", "A 20311-2024")</f>
        <v/>
      </c>
      <c r="W203">
        <f>HYPERLINK("https://klasma.github.io/Logging_2482/klagomålsmail/A 20311-2024 FSC-klagomål mail.docx", "A 20311-2024")</f>
        <v/>
      </c>
      <c r="X203">
        <f>HYPERLINK("https://klasma.github.io/Logging_2482/tillsyn/A 20311-2024 tillsynsbegäran.docx", "A 20311-2024")</f>
        <v/>
      </c>
      <c r="Y203">
        <f>HYPERLINK("https://klasma.github.io/Logging_2482/tillsynsmail/A 20311-2024 tillsynsbegäran mail.docx", "A 20311-2024")</f>
        <v/>
      </c>
    </row>
    <row r="204" ht="15" customHeight="1">
      <c r="A204" t="inlineStr">
        <is>
          <t>A 23512-2024</t>
        </is>
      </c>
      <c r="B204" s="1" t="n">
        <v>45453</v>
      </c>
      <c r="C204" s="1" t="n">
        <v>45566</v>
      </c>
      <c r="D204" t="inlineStr">
        <is>
          <t>VÄSTERBOTTENS LÄN</t>
        </is>
      </c>
      <c r="E204" t="inlineStr">
        <is>
          <t>SKELLEFTEÅ</t>
        </is>
      </c>
      <c r="F204" t="inlineStr">
        <is>
          <t>Sveaskog</t>
        </is>
      </c>
      <c r="G204" t="n">
        <v>14.9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23512-2024 artfynd.xlsx", "A 23512-2024")</f>
        <v/>
      </c>
      <c r="T204">
        <f>HYPERLINK("https://klasma.github.io/Logging_2482/kartor/A 23512-2024 karta.png", "A 23512-2024")</f>
        <v/>
      </c>
      <c r="V204">
        <f>HYPERLINK("https://klasma.github.io/Logging_2482/klagomål/A 23512-2024 FSC-klagomål.docx", "A 23512-2024")</f>
        <v/>
      </c>
      <c r="W204">
        <f>HYPERLINK("https://klasma.github.io/Logging_2482/klagomålsmail/A 23512-2024 FSC-klagomål mail.docx", "A 23512-2024")</f>
        <v/>
      </c>
      <c r="X204">
        <f>HYPERLINK("https://klasma.github.io/Logging_2482/tillsyn/A 23512-2024 tillsynsbegäran.docx", "A 23512-2024")</f>
        <v/>
      </c>
      <c r="Y204">
        <f>HYPERLINK("https://klasma.github.io/Logging_2482/tillsynsmail/A 23512-2024 tillsynsbegäran mail.docx", "A 23512-2024")</f>
        <v/>
      </c>
    </row>
    <row r="205" ht="15" customHeight="1">
      <c r="A205" t="inlineStr">
        <is>
          <t>A 23721-2024</t>
        </is>
      </c>
      <c r="B205" s="1" t="n">
        <v>45454</v>
      </c>
      <c r="C205" s="1" t="n">
        <v>45566</v>
      </c>
      <c r="D205" t="inlineStr">
        <is>
          <t>VÄSTERBOTTENS LÄN</t>
        </is>
      </c>
      <c r="E205" t="inlineStr">
        <is>
          <t>SKELLEFTEÅ</t>
        </is>
      </c>
      <c r="G205" t="n">
        <v>14.8</v>
      </c>
      <c r="H205" t="n">
        <v>0</v>
      </c>
      <c r="I205" t="n">
        <v>0</v>
      </c>
      <c r="J205" t="n">
        <v>1</v>
      </c>
      <c r="K205" t="n">
        <v>0</v>
      </c>
      <c r="L205" t="n">
        <v>0</v>
      </c>
      <c r="M205" t="n">
        <v>0</v>
      </c>
      <c r="N205" t="n">
        <v>0</v>
      </c>
      <c r="O205" t="n">
        <v>1</v>
      </c>
      <c r="P205" t="n">
        <v>0</v>
      </c>
      <c r="Q205" t="n">
        <v>1</v>
      </c>
      <c r="R205" s="2" t="inlineStr">
        <is>
          <t>Orange taggsvamp</t>
        </is>
      </c>
      <c r="S205">
        <f>HYPERLINK("https://klasma.github.io/Logging_2482/artfynd/A 23721-2024 artfynd.xlsx", "A 23721-2024")</f>
        <v/>
      </c>
      <c r="T205">
        <f>HYPERLINK("https://klasma.github.io/Logging_2482/kartor/A 23721-2024 karta.png", "A 23721-2024")</f>
        <v/>
      </c>
      <c r="V205">
        <f>HYPERLINK("https://klasma.github.io/Logging_2482/klagomål/A 23721-2024 FSC-klagomål.docx", "A 23721-2024")</f>
        <v/>
      </c>
      <c r="W205">
        <f>HYPERLINK("https://klasma.github.io/Logging_2482/klagomålsmail/A 23721-2024 FSC-klagomål mail.docx", "A 23721-2024")</f>
        <v/>
      </c>
      <c r="X205">
        <f>HYPERLINK("https://klasma.github.io/Logging_2482/tillsyn/A 23721-2024 tillsynsbegäran.docx", "A 23721-2024")</f>
        <v/>
      </c>
      <c r="Y205">
        <f>HYPERLINK("https://klasma.github.io/Logging_2482/tillsynsmail/A 23721-2024 tillsynsbegäran mail.docx", "A 23721-2024")</f>
        <v/>
      </c>
    </row>
    <row r="206" ht="15" customHeight="1">
      <c r="A206" t="inlineStr">
        <is>
          <t>A 30528-2024</t>
        </is>
      </c>
      <c r="B206" s="1" t="n">
        <v>45492</v>
      </c>
      <c r="C206" s="1" t="n">
        <v>45566</v>
      </c>
      <c r="D206" t="inlineStr">
        <is>
          <t>VÄSTERBOTTENS LÄN</t>
        </is>
      </c>
      <c r="E206" t="inlineStr">
        <is>
          <t>SKELLEFTEÅ</t>
        </is>
      </c>
      <c r="F206" t="inlineStr">
        <is>
          <t>Holmen skog AB</t>
        </is>
      </c>
      <c r="G206" t="n">
        <v>9</v>
      </c>
      <c r="H206" t="n">
        <v>0</v>
      </c>
      <c r="I206" t="n">
        <v>0</v>
      </c>
      <c r="J206" t="n">
        <v>1</v>
      </c>
      <c r="K206" t="n">
        <v>0</v>
      </c>
      <c r="L206" t="n">
        <v>0</v>
      </c>
      <c r="M206" t="n">
        <v>0</v>
      </c>
      <c r="N206" t="n">
        <v>0</v>
      </c>
      <c r="O206" t="n">
        <v>1</v>
      </c>
      <c r="P206" t="n">
        <v>0</v>
      </c>
      <c r="Q206" t="n">
        <v>1</v>
      </c>
      <c r="R206" s="2" t="inlineStr">
        <is>
          <t>Lunglav</t>
        </is>
      </c>
      <c r="S206">
        <f>HYPERLINK("https://klasma.github.io/Logging_2482/artfynd/A 30528-2024 artfynd.xlsx", "A 30528-2024")</f>
        <v/>
      </c>
      <c r="T206">
        <f>HYPERLINK("https://klasma.github.io/Logging_2482/kartor/A 30528-2024 karta.png", "A 30528-2024")</f>
        <v/>
      </c>
      <c r="V206">
        <f>HYPERLINK("https://klasma.github.io/Logging_2482/klagomål/A 30528-2024 FSC-klagomål.docx", "A 30528-2024")</f>
        <v/>
      </c>
      <c r="W206">
        <f>HYPERLINK("https://klasma.github.io/Logging_2482/klagomålsmail/A 30528-2024 FSC-klagomål mail.docx", "A 30528-2024")</f>
        <v/>
      </c>
      <c r="X206">
        <f>HYPERLINK("https://klasma.github.io/Logging_2482/tillsyn/A 30528-2024 tillsynsbegäran.docx", "A 30528-2024")</f>
        <v/>
      </c>
      <c r="Y206">
        <f>HYPERLINK("https://klasma.github.io/Logging_2482/tillsynsmail/A 30528-2024 tillsynsbegäran mail.docx", "A 30528-2024")</f>
        <v/>
      </c>
    </row>
    <row r="207" ht="15" customHeight="1">
      <c r="A207" t="inlineStr">
        <is>
          <t>A 31156-2024</t>
        </is>
      </c>
      <c r="B207" s="1" t="n">
        <v>45503</v>
      </c>
      <c r="C207" s="1" t="n">
        <v>45566</v>
      </c>
      <c r="D207" t="inlineStr">
        <is>
          <t>VÄSTERBOTTENS LÄN</t>
        </is>
      </c>
      <c r="E207" t="inlineStr">
        <is>
          <t>SKELLEFTEÅ</t>
        </is>
      </c>
      <c r="F207" t="inlineStr">
        <is>
          <t>Holmen skog AB</t>
        </is>
      </c>
      <c r="G207" t="n">
        <v>7.2</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31156-2024 artfynd.xlsx", "A 31156-2024")</f>
        <v/>
      </c>
      <c r="T207">
        <f>HYPERLINK("https://klasma.github.io/Logging_2482/kartor/A 31156-2024 karta.png", "A 31156-2024")</f>
        <v/>
      </c>
      <c r="V207">
        <f>HYPERLINK("https://klasma.github.io/Logging_2482/klagomål/A 31156-2024 FSC-klagomål.docx", "A 31156-2024")</f>
        <v/>
      </c>
      <c r="W207">
        <f>HYPERLINK("https://klasma.github.io/Logging_2482/klagomålsmail/A 31156-2024 FSC-klagomål mail.docx", "A 31156-2024")</f>
        <v/>
      </c>
      <c r="X207">
        <f>HYPERLINK("https://klasma.github.io/Logging_2482/tillsyn/A 31156-2024 tillsynsbegäran.docx", "A 31156-2024")</f>
        <v/>
      </c>
      <c r="Y207">
        <f>HYPERLINK("https://klasma.github.io/Logging_2482/tillsynsmail/A 31156-2024 tillsynsbegäran mail.docx", "A 31156-2024")</f>
        <v/>
      </c>
    </row>
    <row r="208" ht="15" customHeight="1">
      <c r="A208" t="inlineStr">
        <is>
          <t>A 33402-2024</t>
        </is>
      </c>
      <c r="B208" s="1" t="n">
        <v>45519</v>
      </c>
      <c r="C208" s="1" t="n">
        <v>45566</v>
      </c>
      <c r="D208" t="inlineStr">
        <is>
          <t>VÄSTERBOTTENS LÄN</t>
        </is>
      </c>
      <c r="E208" t="inlineStr">
        <is>
          <t>SKELLEFTEÅ</t>
        </is>
      </c>
      <c r="G208" t="n">
        <v>6.3</v>
      </c>
      <c r="H208" t="n">
        <v>0</v>
      </c>
      <c r="I208" t="n">
        <v>0</v>
      </c>
      <c r="J208" t="n">
        <v>1</v>
      </c>
      <c r="K208" t="n">
        <v>0</v>
      </c>
      <c r="L208" t="n">
        <v>0</v>
      </c>
      <c r="M208" t="n">
        <v>0</v>
      </c>
      <c r="N208" t="n">
        <v>0</v>
      </c>
      <c r="O208" t="n">
        <v>1</v>
      </c>
      <c r="P208" t="n">
        <v>0</v>
      </c>
      <c r="Q208" t="n">
        <v>1</v>
      </c>
      <c r="R208" s="2" t="inlineStr">
        <is>
          <t>Gammelgransskål</t>
        </is>
      </c>
      <c r="S208">
        <f>HYPERLINK("https://klasma.github.io/Logging_2482/artfynd/A 33402-2024 artfynd.xlsx", "A 33402-2024")</f>
        <v/>
      </c>
      <c r="T208">
        <f>HYPERLINK("https://klasma.github.io/Logging_2482/kartor/A 33402-2024 karta.png", "A 33402-2024")</f>
        <v/>
      </c>
      <c r="V208">
        <f>HYPERLINK("https://klasma.github.io/Logging_2482/klagomål/A 33402-2024 FSC-klagomål.docx", "A 33402-2024")</f>
        <v/>
      </c>
      <c r="W208">
        <f>HYPERLINK("https://klasma.github.io/Logging_2482/klagomålsmail/A 33402-2024 FSC-klagomål mail.docx", "A 33402-2024")</f>
        <v/>
      </c>
      <c r="X208">
        <f>HYPERLINK("https://klasma.github.io/Logging_2482/tillsyn/A 33402-2024 tillsynsbegäran.docx", "A 33402-2024")</f>
        <v/>
      </c>
      <c r="Y208">
        <f>HYPERLINK("https://klasma.github.io/Logging_2482/tillsynsmail/A 33402-2024 tillsynsbegäran mail.docx", "A 33402-2024")</f>
        <v/>
      </c>
    </row>
    <row r="209" ht="15" customHeight="1">
      <c r="A209" t="inlineStr">
        <is>
          <t>A 18072-2019</t>
        </is>
      </c>
      <c r="B209" s="1" t="n">
        <v>43557</v>
      </c>
      <c r="C209" s="1" t="n">
        <v>45566</v>
      </c>
      <c r="D209" t="inlineStr">
        <is>
          <t>VÄSTERBOTTENS LÄN</t>
        </is>
      </c>
      <c r="E209" t="inlineStr">
        <is>
          <t>SKELLEFTEÅ</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18271-2019</t>
        </is>
      </c>
      <c r="B210" s="1" t="n">
        <v>43557</v>
      </c>
      <c r="C210" s="1" t="n">
        <v>45566</v>
      </c>
      <c r="D210" t="inlineStr">
        <is>
          <t>VÄSTERBOTTENS LÄN</t>
        </is>
      </c>
      <c r="E210" t="inlineStr">
        <is>
          <t>SKELLEFTEÅ</t>
        </is>
      </c>
      <c r="G210" t="n">
        <v>0.4</v>
      </c>
      <c r="H210" t="n">
        <v>0</v>
      </c>
      <c r="I210" t="n">
        <v>0</v>
      </c>
      <c r="J210" t="n">
        <v>0</v>
      </c>
      <c r="K210" t="n">
        <v>0</v>
      </c>
      <c r="L210" t="n">
        <v>0</v>
      </c>
      <c r="M210" t="n">
        <v>0</v>
      </c>
      <c r="N210" t="n">
        <v>0</v>
      </c>
      <c r="O210" t="n">
        <v>0</v>
      </c>
      <c r="P210" t="n">
        <v>0</v>
      </c>
      <c r="Q210" t="n">
        <v>0</v>
      </c>
      <c r="R210" s="2" t="inlineStr"/>
    </row>
    <row r="211" ht="15" customHeight="1">
      <c r="A211" t="inlineStr">
        <is>
          <t>A 18073-2019</t>
        </is>
      </c>
      <c r="B211" s="1" t="n">
        <v>43557</v>
      </c>
      <c r="C211" s="1" t="n">
        <v>45566</v>
      </c>
      <c r="D211" t="inlineStr">
        <is>
          <t>VÄSTERBOTTENS LÄN</t>
        </is>
      </c>
      <c r="E211" t="inlineStr">
        <is>
          <t>SKELLEFTEÅ</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18201-2019</t>
        </is>
      </c>
      <c r="B212" s="1" t="n">
        <v>43558</v>
      </c>
      <c r="C212" s="1" t="n">
        <v>45566</v>
      </c>
      <c r="D212" t="inlineStr">
        <is>
          <t>VÄSTERBOTTENS LÄN</t>
        </is>
      </c>
      <c r="E212" t="inlineStr">
        <is>
          <t>SKELLEFTEÅ</t>
        </is>
      </c>
      <c r="G212" t="n">
        <v>2.5</v>
      </c>
      <c r="H212" t="n">
        <v>0</v>
      </c>
      <c r="I212" t="n">
        <v>0</v>
      </c>
      <c r="J212" t="n">
        <v>0</v>
      </c>
      <c r="K212" t="n">
        <v>0</v>
      </c>
      <c r="L212" t="n">
        <v>0</v>
      </c>
      <c r="M212" t="n">
        <v>0</v>
      </c>
      <c r="N212" t="n">
        <v>0</v>
      </c>
      <c r="O212" t="n">
        <v>0</v>
      </c>
      <c r="P212" t="n">
        <v>0</v>
      </c>
      <c r="Q212" t="n">
        <v>0</v>
      </c>
      <c r="R212" s="2" t="inlineStr"/>
    </row>
    <row r="213" ht="15" customHeight="1">
      <c r="A213" t="inlineStr">
        <is>
          <t>A 18202-2019</t>
        </is>
      </c>
      <c r="B213" s="1" t="n">
        <v>43558</v>
      </c>
      <c r="C213" s="1" t="n">
        <v>45566</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18137-2019</t>
        </is>
      </c>
      <c r="B214" s="1" t="n">
        <v>43558</v>
      </c>
      <c r="C214" s="1" t="n">
        <v>45566</v>
      </c>
      <c r="D214" t="inlineStr">
        <is>
          <t>VÄSTERBOTTENS LÄN</t>
        </is>
      </c>
      <c r="E214" t="inlineStr">
        <is>
          <t>SKELLEFTEÅ</t>
        </is>
      </c>
      <c r="G214" t="n">
        <v>10</v>
      </c>
      <c r="H214" t="n">
        <v>0</v>
      </c>
      <c r="I214" t="n">
        <v>0</v>
      </c>
      <c r="J214" t="n">
        <v>0</v>
      </c>
      <c r="K214" t="n">
        <v>0</v>
      </c>
      <c r="L214" t="n">
        <v>0</v>
      </c>
      <c r="M214" t="n">
        <v>0</v>
      </c>
      <c r="N214" t="n">
        <v>0</v>
      </c>
      <c r="O214" t="n">
        <v>0</v>
      </c>
      <c r="P214" t="n">
        <v>0</v>
      </c>
      <c r="Q214" t="n">
        <v>0</v>
      </c>
      <c r="R214" s="2" t="inlineStr"/>
    </row>
    <row r="215" ht="15" customHeight="1">
      <c r="A215" t="inlineStr">
        <is>
          <t>A 18714-2019</t>
        </is>
      </c>
      <c r="B215" s="1" t="n">
        <v>43560</v>
      </c>
      <c r="C215" s="1" t="n">
        <v>45566</v>
      </c>
      <c r="D215" t="inlineStr">
        <is>
          <t>VÄSTERBOTTENS LÄN</t>
        </is>
      </c>
      <c r="E215" t="inlineStr">
        <is>
          <t>SKELLEFTEÅ</t>
        </is>
      </c>
      <c r="G215" t="n">
        <v>1.6</v>
      </c>
      <c r="H215" t="n">
        <v>0</v>
      </c>
      <c r="I215" t="n">
        <v>0</v>
      </c>
      <c r="J215" t="n">
        <v>0</v>
      </c>
      <c r="K215" t="n">
        <v>0</v>
      </c>
      <c r="L215" t="n">
        <v>0</v>
      </c>
      <c r="M215" t="n">
        <v>0</v>
      </c>
      <c r="N215" t="n">
        <v>0</v>
      </c>
      <c r="O215" t="n">
        <v>0</v>
      </c>
      <c r="P215" t="n">
        <v>0</v>
      </c>
      <c r="Q215" t="n">
        <v>0</v>
      </c>
      <c r="R215" s="2" t="inlineStr"/>
    </row>
    <row r="216" ht="15" customHeight="1">
      <c r="A216" t="inlineStr">
        <is>
          <t>A 18712-2019</t>
        </is>
      </c>
      <c r="B216" s="1" t="n">
        <v>43560</v>
      </c>
      <c r="C216" s="1" t="n">
        <v>45566</v>
      </c>
      <c r="D216" t="inlineStr">
        <is>
          <t>VÄSTERBOTTENS LÄN</t>
        </is>
      </c>
      <c r="E216" t="inlineStr">
        <is>
          <t>SKELLEFTEÅ</t>
        </is>
      </c>
      <c r="F216" t="inlineStr">
        <is>
          <t>Övriga Aktiebolag</t>
        </is>
      </c>
      <c r="G216" t="n">
        <v>2.2</v>
      </c>
      <c r="H216" t="n">
        <v>0</v>
      </c>
      <c r="I216" t="n">
        <v>0</v>
      </c>
      <c r="J216" t="n">
        <v>0</v>
      </c>
      <c r="K216" t="n">
        <v>0</v>
      </c>
      <c r="L216" t="n">
        <v>0</v>
      </c>
      <c r="M216" t="n">
        <v>0</v>
      </c>
      <c r="N216" t="n">
        <v>0</v>
      </c>
      <c r="O216" t="n">
        <v>0</v>
      </c>
      <c r="P216" t="n">
        <v>0</v>
      </c>
      <c r="Q216" t="n">
        <v>0</v>
      </c>
      <c r="R216" s="2" t="inlineStr"/>
    </row>
    <row r="217" ht="15" customHeight="1">
      <c r="A217" t="inlineStr">
        <is>
          <t>A 19101-2019</t>
        </is>
      </c>
      <c r="B217" s="1" t="n">
        <v>43563</v>
      </c>
      <c r="C217" s="1" t="n">
        <v>45566</v>
      </c>
      <c r="D217" t="inlineStr">
        <is>
          <t>VÄSTERBOTTENS LÄN</t>
        </is>
      </c>
      <c r="E217" t="inlineStr">
        <is>
          <t>SKELLEFTEÅ</t>
        </is>
      </c>
      <c r="G217" t="n">
        <v>0.5</v>
      </c>
      <c r="H217" t="n">
        <v>0</v>
      </c>
      <c r="I217" t="n">
        <v>0</v>
      </c>
      <c r="J217" t="n">
        <v>0</v>
      </c>
      <c r="K217" t="n">
        <v>0</v>
      </c>
      <c r="L217" t="n">
        <v>0</v>
      </c>
      <c r="M217" t="n">
        <v>0</v>
      </c>
      <c r="N217" t="n">
        <v>0</v>
      </c>
      <c r="O217" t="n">
        <v>0</v>
      </c>
      <c r="P217" t="n">
        <v>0</v>
      </c>
      <c r="Q217" t="n">
        <v>0</v>
      </c>
      <c r="R217" s="2" t="inlineStr"/>
    </row>
    <row r="218" ht="15" customHeight="1">
      <c r="A218" t="inlineStr">
        <is>
          <t>A 19059-2019</t>
        </is>
      </c>
      <c r="B218" s="1" t="n">
        <v>43563</v>
      </c>
      <c r="C218" s="1" t="n">
        <v>45566</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19382-2019</t>
        </is>
      </c>
      <c r="B219" s="1" t="n">
        <v>43565</v>
      </c>
      <c r="C219" s="1" t="n">
        <v>45566</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19530-2019</t>
        </is>
      </c>
      <c r="B220" s="1" t="n">
        <v>43565</v>
      </c>
      <c r="C220" s="1" t="n">
        <v>45566</v>
      </c>
      <c r="D220" t="inlineStr">
        <is>
          <t>VÄSTERBOTTENS LÄN</t>
        </is>
      </c>
      <c r="E220" t="inlineStr">
        <is>
          <t>SKELLEFTEÅ</t>
        </is>
      </c>
      <c r="G220" t="n">
        <v>8</v>
      </c>
      <c r="H220" t="n">
        <v>0</v>
      </c>
      <c r="I220" t="n">
        <v>0</v>
      </c>
      <c r="J220" t="n">
        <v>0</v>
      </c>
      <c r="K220" t="n">
        <v>0</v>
      </c>
      <c r="L220" t="n">
        <v>0</v>
      </c>
      <c r="M220" t="n">
        <v>0</v>
      </c>
      <c r="N220" t="n">
        <v>0</v>
      </c>
      <c r="O220" t="n">
        <v>0</v>
      </c>
      <c r="P220" t="n">
        <v>0</v>
      </c>
      <c r="Q220" t="n">
        <v>0</v>
      </c>
      <c r="R220" s="2" t="inlineStr"/>
    </row>
    <row r="221" ht="15" customHeight="1">
      <c r="A221" t="inlineStr">
        <is>
          <t>A 20163-2019</t>
        </is>
      </c>
      <c r="B221" s="1" t="n">
        <v>43567</v>
      </c>
      <c r="C221" s="1" t="n">
        <v>45566</v>
      </c>
      <c r="D221" t="inlineStr">
        <is>
          <t>VÄSTERBOTTENS LÄN</t>
        </is>
      </c>
      <c r="E221" t="inlineStr">
        <is>
          <t>SKELLEFTEÅ</t>
        </is>
      </c>
      <c r="G221" t="n">
        <v>1.3</v>
      </c>
      <c r="H221" t="n">
        <v>0</v>
      </c>
      <c r="I221" t="n">
        <v>0</v>
      </c>
      <c r="J221" t="n">
        <v>0</v>
      </c>
      <c r="K221" t="n">
        <v>0</v>
      </c>
      <c r="L221" t="n">
        <v>0</v>
      </c>
      <c r="M221" t="n">
        <v>0</v>
      </c>
      <c r="N221" t="n">
        <v>0</v>
      </c>
      <c r="O221" t="n">
        <v>0</v>
      </c>
      <c r="P221" t="n">
        <v>0</v>
      </c>
      <c r="Q221" t="n">
        <v>0</v>
      </c>
      <c r="R221" s="2" t="inlineStr"/>
    </row>
    <row r="222" ht="15" customHeight="1">
      <c r="A222" t="inlineStr">
        <is>
          <t>A 20428-2019</t>
        </is>
      </c>
      <c r="B222" s="1" t="n">
        <v>43571</v>
      </c>
      <c r="C222" s="1" t="n">
        <v>45566</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20584-2019</t>
        </is>
      </c>
      <c r="B223" s="1" t="n">
        <v>43572</v>
      </c>
      <c r="C223" s="1" t="n">
        <v>45566</v>
      </c>
      <c r="D223" t="inlineStr">
        <is>
          <t>VÄSTERBOTTENS LÄN</t>
        </is>
      </c>
      <c r="E223" t="inlineStr">
        <is>
          <t>SKELLEFTEÅ</t>
        </is>
      </c>
      <c r="F223" t="inlineStr">
        <is>
          <t>Kommuner</t>
        </is>
      </c>
      <c r="G223" t="n">
        <v>6.3</v>
      </c>
      <c r="H223" t="n">
        <v>0</v>
      </c>
      <c r="I223" t="n">
        <v>0</v>
      </c>
      <c r="J223" t="n">
        <v>0</v>
      </c>
      <c r="K223" t="n">
        <v>0</v>
      </c>
      <c r="L223" t="n">
        <v>0</v>
      </c>
      <c r="M223" t="n">
        <v>0</v>
      </c>
      <c r="N223" t="n">
        <v>0</v>
      </c>
      <c r="O223" t="n">
        <v>0</v>
      </c>
      <c r="P223" t="n">
        <v>0</v>
      </c>
      <c r="Q223" t="n">
        <v>0</v>
      </c>
      <c r="R223" s="2" t="inlineStr"/>
    </row>
    <row r="224" ht="15" customHeight="1">
      <c r="A224" t="inlineStr">
        <is>
          <t>A 20668-2019</t>
        </is>
      </c>
      <c r="B224" s="1" t="n">
        <v>43572</v>
      </c>
      <c r="C224" s="1" t="n">
        <v>45566</v>
      </c>
      <c r="D224" t="inlineStr">
        <is>
          <t>VÄSTERBOTTENS LÄN</t>
        </is>
      </c>
      <c r="E224" t="inlineStr">
        <is>
          <t>SKELLEFTEÅ</t>
        </is>
      </c>
      <c r="G224" t="n">
        <v>1</v>
      </c>
      <c r="H224" t="n">
        <v>0</v>
      </c>
      <c r="I224" t="n">
        <v>0</v>
      </c>
      <c r="J224" t="n">
        <v>0</v>
      </c>
      <c r="K224" t="n">
        <v>0</v>
      </c>
      <c r="L224" t="n">
        <v>0</v>
      </c>
      <c r="M224" t="n">
        <v>0</v>
      </c>
      <c r="N224" t="n">
        <v>0</v>
      </c>
      <c r="O224" t="n">
        <v>0</v>
      </c>
      <c r="P224" t="n">
        <v>0</v>
      </c>
      <c r="Q224" t="n">
        <v>0</v>
      </c>
      <c r="R224" s="2" t="inlineStr"/>
    </row>
    <row r="225" ht="15" customHeight="1">
      <c r="A225" t="inlineStr">
        <is>
          <t>A 21553-2019</t>
        </is>
      </c>
      <c r="B225" s="1" t="n">
        <v>43580</v>
      </c>
      <c r="C225" s="1" t="n">
        <v>45566</v>
      </c>
      <c r="D225" t="inlineStr">
        <is>
          <t>VÄSTERBOTTENS LÄN</t>
        </is>
      </c>
      <c r="E225" t="inlineStr">
        <is>
          <t>SKELLEFTEÅ</t>
        </is>
      </c>
      <c r="G225" t="n">
        <v>1.4</v>
      </c>
      <c r="H225" t="n">
        <v>0</v>
      </c>
      <c r="I225" t="n">
        <v>0</v>
      </c>
      <c r="J225" t="n">
        <v>0</v>
      </c>
      <c r="K225" t="n">
        <v>0</v>
      </c>
      <c r="L225" t="n">
        <v>0</v>
      </c>
      <c r="M225" t="n">
        <v>0</v>
      </c>
      <c r="N225" t="n">
        <v>0</v>
      </c>
      <c r="O225" t="n">
        <v>0</v>
      </c>
      <c r="P225" t="n">
        <v>0</v>
      </c>
      <c r="Q225" t="n">
        <v>0</v>
      </c>
      <c r="R225" s="2" t="inlineStr"/>
    </row>
    <row r="226" ht="15" customHeight="1">
      <c r="A226" t="inlineStr">
        <is>
          <t>A 21583-2019</t>
        </is>
      </c>
      <c r="B226" s="1" t="n">
        <v>43580</v>
      </c>
      <c r="C226" s="1" t="n">
        <v>45566</v>
      </c>
      <c r="D226" t="inlineStr">
        <is>
          <t>VÄSTERBOTTENS LÄN</t>
        </is>
      </c>
      <c r="E226" t="inlineStr">
        <is>
          <t>SKELLEFTEÅ</t>
        </is>
      </c>
      <c r="G226" t="n">
        <v>3.4</v>
      </c>
      <c r="H226" t="n">
        <v>0</v>
      </c>
      <c r="I226" t="n">
        <v>0</v>
      </c>
      <c r="J226" t="n">
        <v>0</v>
      </c>
      <c r="K226" t="n">
        <v>0</v>
      </c>
      <c r="L226" t="n">
        <v>0</v>
      </c>
      <c r="M226" t="n">
        <v>0</v>
      </c>
      <c r="N226" t="n">
        <v>0</v>
      </c>
      <c r="O226" t="n">
        <v>0</v>
      </c>
      <c r="P226" t="n">
        <v>0</v>
      </c>
      <c r="Q226" t="n">
        <v>0</v>
      </c>
      <c r="R226" s="2" t="inlineStr"/>
    </row>
    <row r="227" ht="15" customHeight="1">
      <c r="A227" t="inlineStr">
        <is>
          <t>A 22580-2019</t>
        </is>
      </c>
      <c r="B227" s="1" t="n">
        <v>43587</v>
      </c>
      <c r="C227" s="1" t="n">
        <v>45566</v>
      </c>
      <c r="D227" t="inlineStr">
        <is>
          <t>VÄSTERBOTTENS LÄN</t>
        </is>
      </c>
      <c r="E227" t="inlineStr">
        <is>
          <t>SKELLEFTEÅ</t>
        </is>
      </c>
      <c r="G227" t="n">
        <v>3</v>
      </c>
      <c r="H227" t="n">
        <v>0</v>
      </c>
      <c r="I227" t="n">
        <v>0</v>
      </c>
      <c r="J227" t="n">
        <v>0</v>
      </c>
      <c r="K227" t="n">
        <v>0</v>
      </c>
      <c r="L227" t="n">
        <v>0</v>
      </c>
      <c r="M227" t="n">
        <v>0</v>
      </c>
      <c r="N227" t="n">
        <v>0</v>
      </c>
      <c r="O227" t="n">
        <v>0</v>
      </c>
      <c r="P227" t="n">
        <v>0</v>
      </c>
      <c r="Q227" t="n">
        <v>0</v>
      </c>
      <c r="R227" s="2" t="inlineStr"/>
    </row>
    <row r="228" ht="15" customHeight="1">
      <c r="A228" t="inlineStr">
        <is>
          <t>A 23436-2019</t>
        </is>
      </c>
      <c r="B228" s="1" t="n">
        <v>43592</v>
      </c>
      <c r="C228" s="1" t="n">
        <v>45566</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23396-2019</t>
        </is>
      </c>
      <c r="B229" s="1" t="n">
        <v>43592</v>
      </c>
      <c r="C229" s="1" t="n">
        <v>45566</v>
      </c>
      <c r="D229" t="inlineStr">
        <is>
          <t>VÄSTERBOTTENS LÄN</t>
        </is>
      </c>
      <c r="E229" t="inlineStr">
        <is>
          <t>SKELLEFTEÅ</t>
        </is>
      </c>
      <c r="G229" t="n">
        <v>5.1</v>
      </c>
      <c r="H229" t="n">
        <v>0</v>
      </c>
      <c r="I229" t="n">
        <v>0</v>
      </c>
      <c r="J229" t="n">
        <v>0</v>
      </c>
      <c r="K229" t="n">
        <v>0</v>
      </c>
      <c r="L229" t="n">
        <v>0</v>
      </c>
      <c r="M229" t="n">
        <v>0</v>
      </c>
      <c r="N229" t="n">
        <v>0</v>
      </c>
      <c r="O229" t="n">
        <v>0</v>
      </c>
      <c r="P229" t="n">
        <v>0</v>
      </c>
      <c r="Q229" t="n">
        <v>0</v>
      </c>
      <c r="R229" s="2" t="inlineStr"/>
    </row>
    <row r="230" ht="15" customHeight="1">
      <c r="A230" t="inlineStr">
        <is>
          <t>A 24063-2019</t>
        </is>
      </c>
      <c r="B230" s="1" t="n">
        <v>43598</v>
      </c>
      <c r="C230" s="1" t="n">
        <v>45566</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24164-2019</t>
        </is>
      </c>
      <c r="B231" s="1" t="n">
        <v>43598</v>
      </c>
      <c r="C231" s="1" t="n">
        <v>45566</v>
      </c>
      <c r="D231" t="inlineStr">
        <is>
          <t>VÄSTERBOTTENS LÄN</t>
        </is>
      </c>
      <c r="E231" t="inlineStr">
        <is>
          <t>SKELLEFTEÅ</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24210-2019</t>
        </is>
      </c>
      <c r="B232" s="1" t="n">
        <v>43599</v>
      </c>
      <c r="C232" s="1" t="n">
        <v>45566</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26115-2019</t>
        </is>
      </c>
      <c r="B233" s="1" t="n">
        <v>43605</v>
      </c>
      <c r="C233" s="1" t="n">
        <v>45566</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26174-2019</t>
        </is>
      </c>
      <c r="B234" s="1" t="n">
        <v>43605</v>
      </c>
      <c r="C234" s="1" t="n">
        <v>45566</v>
      </c>
      <c r="D234" t="inlineStr">
        <is>
          <t>VÄSTERBOTTENS LÄN</t>
        </is>
      </c>
      <c r="E234" t="inlineStr">
        <is>
          <t>SKELLEFTEÅ</t>
        </is>
      </c>
      <c r="G234" t="n">
        <v>4.3</v>
      </c>
      <c r="H234" t="n">
        <v>0</v>
      </c>
      <c r="I234" t="n">
        <v>0</v>
      </c>
      <c r="J234" t="n">
        <v>0</v>
      </c>
      <c r="K234" t="n">
        <v>0</v>
      </c>
      <c r="L234" t="n">
        <v>0</v>
      </c>
      <c r="M234" t="n">
        <v>0</v>
      </c>
      <c r="N234" t="n">
        <v>0</v>
      </c>
      <c r="O234" t="n">
        <v>0</v>
      </c>
      <c r="P234" t="n">
        <v>0</v>
      </c>
      <c r="Q234" t="n">
        <v>0</v>
      </c>
      <c r="R234" s="2" t="inlineStr"/>
    </row>
    <row r="235" ht="15" customHeight="1">
      <c r="A235" t="inlineStr">
        <is>
          <t>A 26039-2019</t>
        </is>
      </c>
      <c r="B235" s="1" t="n">
        <v>43609</v>
      </c>
      <c r="C235" s="1" t="n">
        <v>45566</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26148-2019</t>
        </is>
      </c>
      <c r="B236" s="1" t="n">
        <v>43609</v>
      </c>
      <c r="C236" s="1" t="n">
        <v>45566</v>
      </c>
      <c r="D236" t="inlineStr">
        <is>
          <t>VÄSTERBOTTENS LÄN</t>
        </is>
      </c>
      <c r="E236" t="inlineStr">
        <is>
          <t>SKELLEFTEÅ</t>
        </is>
      </c>
      <c r="G236" t="n">
        <v>4.5</v>
      </c>
      <c r="H236" t="n">
        <v>0</v>
      </c>
      <c r="I236" t="n">
        <v>0</v>
      </c>
      <c r="J236" t="n">
        <v>0</v>
      </c>
      <c r="K236" t="n">
        <v>0</v>
      </c>
      <c r="L236" t="n">
        <v>0</v>
      </c>
      <c r="M236" t="n">
        <v>0</v>
      </c>
      <c r="N236" t="n">
        <v>0</v>
      </c>
      <c r="O236" t="n">
        <v>0</v>
      </c>
      <c r="P236" t="n">
        <v>0</v>
      </c>
      <c r="Q236" t="n">
        <v>0</v>
      </c>
      <c r="R236" s="2" t="inlineStr"/>
    </row>
    <row r="237" ht="15" customHeight="1">
      <c r="A237" t="inlineStr">
        <is>
          <t>A 26180-2019</t>
        </is>
      </c>
      <c r="B237" s="1" t="n">
        <v>43609</v>
      </c>
      <c r="C237" s="1" t="n">
        <v>45566</v>
      </c>
      <c r="D237" t="inlineStr">
        <is>
          <t>VÄSTERBOTTENS LÄN</t>
        </is>
      </c>
      <c r="E237" t="inlineStr">
        <is>
          <t>SKELLEFTEÅ</t>
        </is>
      </c>
      <c r="G237" t="n">
        <v>6</v>
      </c>
      <c r="H237" t="n">
        <v>0</v>
      </c>
      <c r="I237" t="n">
        <v>0</v>
      </c>
      <c r="J237" t="n">
        <v>0</v>
      </c>
      <c r="K237" t="n">
        <v>0</v>
      </c>
      <c r="L237" t="n">
        <v>0</v>
      </c>
      <c r="M237" t="n">
        <v>0</v>
      </c>
      <c r="N237" t="n">
        <v>0</v>
      </c>
      <c r="O237" t="n">
        <v>0</v>
      </c>
      <c r="P237" t="n">
        <v>0</v>
      </c>
      <c r="Q237" t="n">
        <v>0</v>
      </c>
      <c r="R237" s="2" t="inlineStr"/>
    </row>
    <row r="238" ht="15" customHeight="1">
      <c r="A238" t="inlineStr">
        <is>
          <t>A 26075-2019</t>
        </is>
      </c>
      <c r="B238" s="1" t="n">
        <v>43609</v>
      </c>
      <c r="C238" s="1" t="n">
        <v>45566</v>
      </c>
      <c r="D238" t="inlineStr">
        <is>
          <t>VÄSTERBOTTENS LÄN</t>
        </is>
      </c>
      <c r="E238" t="inlineStr">
        <is>
          <t>SKELLEFTEÅ</t>
        </is>
      </c>
      <c r="G238" t="n">
        <v>1.4</v>
      </c>
      <c r="H238" t="n">
        <v>0</v>
      </c>
      <c r="I238" t="n">
        <v>0</v>
      </c>
      <c r="J238" t="n">
        <v>0</v>
      </c>
      <c r="K238" t="n">
        <v>0</v>
      </c>
      <c r="L238" t="n">
        <v>0</v>
      </c>
      <c r="M238" t="n">
        <v>0</v>
      </c>
      <c r="N238" t="n">
        <v>0</v>
      </c>
      <c r="O238" t="n">
        <v>0</v>
      </c>
      <c r="P238" t="n">
        <v>0</v>
      </c>
      <c r="Q238" t="n">
        <v>0</v>
      </c>
      <c r="R238" s="2" t="inlineStr"/>
    </row>
    <row r="239" ht="15" customHeight="1">
      <c r="A239" t="inlineStr">
        <is>
          <t>A 26859-2019</t>
        </is>
      </c>
      <c r="B239" s="1" t="n">
        <v>43613</v>
      </c>
      <c r="C239" s="1" t="n">
        <v>45566</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28114-2019</t>
        </is>
      </c>
      <c r="B240" s="1" t="n">
        <v>43613</v>
      </c>
      <c r="C240" s="1" t="n">
        <v>45566</v>
      </c>
      <c r="D240" t="inlineStr">
        <is>
          <t>VÄSTERBOTTENS LÄN</t>
        </is>
      </c>
      <c r="E240" t="inlineStr">
        <is>
          <t>SKELLEFTEÅ</t>
        </is>
      </c>
      <c r="G240" t="n">
        <v>4.4</v>
      </c>
      <c r="H240" t="n">
        <v>0</v>
      </c>
      <c r="I240" t="n">
        <v>0</v>
      </c>
      <c r="J240" t="n">
        <v>0</v>
      </c>
      <c r="K240" t="n">
        <v>0</v>
      </c>
      <c r="L240" t="n">
        <v>0</v>
      </c>
      <c r="M240" t="n">
        <v>0</v>
      </c>
      <c r="N240" t="n">
        <v>0</v>
      </c>
      <c r="O240" t="n">
        <v>0</v>
      </c>
      <c r="P240" t="n">
        <v>0</v>
      </c>
      <c r="Q240" t="n">
        <v>0</v>
      </c>
      <c r="R240" s="2" t="inlineStr"/>
    </row>
    <row r="241" ht="15" customHeight="1">
      <c r="A241" t="inlineStr">
        <is>
          <t>A 26907-2019</t>
        </is>
      </c>
      <c r="B241" s="1" t="n">
        <v>43613</v>
      </c>
      <c r="C241" s="1" t="n">
        <v>45566</v>
      </c>
      <c r="D241" t="inlineStr">
        <is>
          <t>VÄSTERBOTTENS LÄN</t>
        </is>
      </c>
      <c r="E241" t="inlineStr">
        <is>
          <t>SKELLEFTEÅ</t>
        </is>
      </c>
      <c r="G241" t="n">
        <v>0.3</v>
      </c>
      <c r="H241" t="n">
        <v>0</v>
      </c>
      <c r="I241" t="n">
        <v>0</v>
      </c>
      <c r="J241" t="n">
        <v>0</v>
      </c>
      <c r="K241" t="n">
        <v>0</v>
      </c>
      <c r="L241" t="n">
        <v>0</v>
      </c>
      <c r="M241" t="n">
        <v>0</v>
      </c>
      <c r="N241" t="n">
        <v>0</v>
      </c>
      <c r="O241" t="n">
        <v>0</v>
      </c>
      <c r="P241" t="n">
        <v>0</v>
      </c>
      <c r="Q241" t="n">
        <v>0</v>
      </c>
      <c r="R241" s="2" t="inlineStr"/>
    </row>
    <row r="242" ht="15" customHeight="1">
      <c r="A242" t="inlineStr">
        <is>
          <t>A 28920-2019</t>
        </is>
      </c>
      <c r="B242" s="1" t="n">
        <v>43619</v>
      </c>
      <c r="C242" s="1" t="n">
        <v>45566</v>
      </c>
      <c r="D242" t="inlineStr">
        <is>
          <t>VÄSTERBOTTENS LÄN</t>
        </is>
      </c>
      <c r="E242" t="inlineStr">
        <is>
          <t>SKELLEFTEÅ</t>
        </is>
      </c>
      <c r="G242" t="n">
        <v>8.1</v>
      </c>
      <c r="H242" t="n">
        <v>0</v>
      </c>
      <c r="I242" t="n">
        <v>0</v>
      </c>
      <c r="J242" t="n">
        <v>0</v>
      </c>
      <c r="K242" t="n">
        <v>0</v>
      </c>
      <c r="L242" t="n">
        <v>0</v>
      </c>
      <c r="M242" t="n">
        <v>0</v>
      </c>
      <c r="N242" t="n">
        <v>0</v>
      </c>
      <c r="O242" t="n">
        <v>0</v>
      </c>
      <c r="P242" t="n">
        <v>0</v>
      </c>
      <c r="Q242" t="n">
        <v>0</v>
      </c>
      <c r="R242" s="2" t="inlineStr"/>
    </row>
    <row r="243" ht="15" customHeight="1">
      <c r="A243" t="inlineStr">
        <is>
          <t>A 28983-2019</t>
        </is>
      </c>
      <c r="B243" s="1" t="n">
        <v>43620</v>
      </c>
      <c r="C243" s="1" t="n">
        <v>45566</v>
      </c>
      <c r="D243" t="inlineStr">
        <is>
          <t>VÄSTERBOTTENS LÄN</t>
        </is>
      </c>
      <c r="E243" t="inlineStr">
        <is>
          <t>SKELLEFTEÅ</t>
        </is>
      </c>
      <c r="G243" t="n">
        <v>5.2</v>
      </c>
      <c r="H243" t="n">
        <v>0</v>
      </c>
      <c r="I243" t="n">
        <v>0</v>
      </c>
      <c r="J243" t="n">
        <v>0</v>
      </c>
      <c r="K243" t="n">
        <v>0</v>
      </c>
      <c r="L243" t="n">
        <v>0</v>
      </c>
      <c r="M243" t="n">
        <v>0</v>
      </c>
      <c r="N243" t="n">
        <v>0</v>
      </c>
      <c r="O243" t="n">
        <v>0</v>
      </c>
      <c r="P243" t="n">
        <v>0</v>
      </c>
      <c r="Q243" t="n">
        <v>0</v>
      </c>
      <c r="R243" s="2" t="inlineStr"/>
    </row>
    <row r="244" ht="15" customHeight="1">
      <c r="A244" t="inlineStr">
        <is>
          <t>A 29034-2019</t>
        </is>
      </c>
      <c r="B244" s="1" t="n">
        <v>43620</v>
      </c>
      <c r="C244" s="1" t="n">
        <v>45566</v>
      </c>
      <c r="D244" t="inlineStr">
        <is>
          <t>VÄSTERBOTTENS LÄN</t>
        </is>
      </c>
      <c r="E244" t="inlineStr">
        <is>
          <t>SKELLEFTEÅ</t>
        </is>
      </c>
      <c r="G244" t="n">
        <v>5.9</v>
      </c>
      <c r="H244" t="n">
        <v>0</v>
      </c>
      <c r="I244" t="n">
        <v>0</v>
      </c>
      <c r="J244" t="n">
        <v>0</v>
      </c>
      <c r="K244" t="n">
        <v>0</v>
      </c>
      <c r="L244" t="n">
        <v>0</v>
      </c>
      <c r="M244" t="n">
        <v>0</v>
      </c>
      <c r="N244" t="n">
        <v>0</v>
      </c>
      <c r="O244" t="n">
        <v>0</v>
      </c>
      <c r="P244" t="n">
        <v>0</v>
      </c>
      <c r="Q244" t="n">
        <v>0</v>
      </c>
      <c r="R244" s="2" t="inlineStr"/>
    </row>
    <row r="245" ht="15" customHeight="1">
      <c r="A245" t="inlineStr">
        <is>
          <t>A 28979-2019</t>
        </is>
      </c>
      <c r="B245" s="1" t="n">
        <v>43620</v>
      </c>
      <c r="C245" s="1" t="n">
        <v>45566</v>
      </c>
      <c r="D245" t="inlineStr">
        <is>
          <t>VÄSTERBOTTENS LÄN</t>
        </is>
      </c>
      <c r="E245" t="inlineStr">
        <is>
          <t>SKELLEFTEÅ</t>
        </is>
      </c>
      <c r="G245" t="n">
        <v>4.6</v>
      </c>
      <c r="H245" t="n">
        <v>0</v>
      </c>
      <c r="I245" t="n">
        <v>0</v>
      </c>
      <c r="J245" t="n">
        <v>0</v>
      </c>
      <c r="K245" t="n">
        <v>0</v>
      </c>
      <c r="L245" t="n">
        <v>0</v>
      </c>
      <c r="M245" t="n">
        <v>0</v>
      </c>
      <c r="N245" t="n">
        <v>0</v>
      </c>
      <c r="O245" t="n">
        <v>0</v>
      </c>
      <c r="P245" t="n">
        <v>0</v>
      </c>
      <c r="Q245" t="n">
        <v>0</v>
      </c>
      <c r="R245" s="2" t="inlineStr"/>
    </row>
    <row r="246" ht="15" customHeight="1">
      <c r="A246" t="inlineStr">
        <is>
          <t>A 28211-2019</t>
        </is>
      </c>
      <c r="B246" s="1" t="n">
        <v>43621</v>
      </c>
      <c r="C246" s="1" t="n">
        <v>45566</v>
      </c>
      <c r="D246" t="inlineStr">
        <is>
          <t>VÄSTERBOTTENS LÄN</t>
        </is>
      </c>
      <c r="E246" t="inlineStr">
        <is>
          <t>SKELLEFTEÅ</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28612-2019</t>
        </is>
      </c>
      <c r="B247" s="1" t="n">
        <v>43626</v>
      </c>
      <c r="C247" s="1" t="n">
        <v>45566</v>
      </c>
      <c r="D247" t="inlineStr">
        <is>
          <t>VÄSTERBOTTENS LÄN</t>
        </is>
      </c>
      <c r="E247" t="inlineStr">
        <is>
          <t>SKELLEFTEÅ</t>
        </is>
      </c>
      <c r="G247" t="n">
        <v>6.7</v>
      </c>
      <c r="H247" t="n">
        <v>0</v>
      </c>
      <c r="I247" t="n">
        <v>0</v>
      </c>
      <c r="J247" t="n">
        <v>0</v>
      </c>
      <c r="K247" t="n">
        <v>0</v>
      </c>
      <c r="L247" t="n">
        <v>0</v>
      </c>
      <c r="M247" t="n">
        <v>0</v>
      </c>
      <c r="N247" t="n">
        <v>0</v>
      </c>
      <c r="O247" t="n">
        <v>0</v>
      </c>
      <c r="P247" t="n">
        <v>0</v>
      </c>
      <c r="Q247" t="n">
        <v>0</v>
      </c>
      <c r="R247" s="2" t="inlineStr"/>
    </row>
    <row r="248" ht="15" customHeight="1">
      <c r="A248" t="inlineStr">
        <is>
          <t>A 28777-2019</t>
        </is>
      </c>
      <c r="B248" s="1" t="n">
        <v>43627</v>
      </c>
      <c r="C248" s="1" t="n">
        <v>45566</v>
      </c>
      <c r="D248" t="inlineStr">
        <is>
          <t>VÄSTERBOTTENS LÄN</t>
        </is>
      </c>
      <c r="E248" t="inlineStr">
        <is>
          <t>SKELLEFTEÅ</t>
        </is>
      </c>
      <c r="G248" t="n">
        <v>5</v>
      </c>
      <c r="H248" t="n">
        <v>0</v>
      </c>
      <c r="I248" t="n">
        <v>0</v>
      </c>
      <c r="J248" t="n">
        <v>0</v>
      </c>
      <c r="K248" t="n">
        <v>0</v>
      </c>
      <c r="L248" t="n">
        <v>0</v>
      </c>
      <c r="M248" t="n">
        <v>0</v>
      </c>
      <c r="N248" t="n">
        <v>0</v>
      </c>
      <c r="O248" t="n">
        <v>0</v>
      </c>
      <c r="P248" t="n">
        <v>0</v>
      </c>
      <c r="Q248" t="n">
        <v>0</v>
      </c>
      <c r="R248" s="2" t="inlineStr"/>
    </row>
    <row r="249" ht="15" customHeight="1">
      <c r="A249" t="inlineStr">
        <is>
          <t>A 29053-2019</t>
        </is>
      </c>
      <c r="B249" s="1" t="n">
        <v>43628</v>
      </c>
      <c r="C249" s="1" t="n">
        <v>45566</v>
      </c>
      <c r="D249" t="inlineStr">
        <is>
          <t>VÄSTERBOTTENS LÄN</t>
        </is>
      </c>
      <c r="E249" t="inlineStr">
        <is>
          <t>SKELLEFTEÅ</t>
        </is>
      </c>
      <c r="G249" t="n">
        <v>8.6</v>
      </c>
      <c r="H249" t="n">
        <v>0</v>
      </c>
      <c r="I249" t="n">
        <v>0</v>
      </c>
      <c r="J249" t="n">
        <v>0</v>
      </c>
      <c r="K249" t="n">
        <v>0</v>
      </c>
      <c r="L249" t="n">
        <v>0</v>
      </c>
      <c r="M249" t="n">
        <v>0</v>
      </c>
      <c r="N249" t="n">
        <v>0</v>
      </c>
      <c r="O249" t="n">
        <v>0</v>
      </c>
      <c r="P249" t="n">
        <v>0</v>
      </c>
      <c r="Q249" t="n">
        <v>0</v>
      </c>
      <c r="R249" s="2" t="inlineStr"/>
    </row>
    <row r="250" ht="15" customHeight="1">
      <c r="A250" t="inlineStr">
        <is>
          <t>A 29321-2019</t>
        </is>
      </c>
      <c r="B250" s="1" t="n">
        <v>43629</v>
      </c>
      <c r="C250" s="1" t="n">
        <v>45566</v>
      </c>
      <c r="D250" t="inlineStr">
        <is>
          <t>VÄSTERBOTTENS LÄN</t>
        </is>
      </c>
      <c r="E250" t="inlineStr">
        <is>
          <t>SKELLEFTEÅ</t>
        </is>
      </c>
      <c r="F250" t="inlineStr">
        <is>
          <t>Holmen skog AB</t>
        </is>
      </c>
      <c r="G250" t="n">
        <v>12.6</v>
      </c>
      <c r="H250" t="n">
        <v>0</v>
      </c>
      <c r="I250" t="n">
        <v>0</v>
      </c>
      <c r="J250" t="n">
        <v>0</v>
      </c>
      <c r="K250" t="n">
        <v>0</v>
      </c>
      <c r="L250" t="n">
        <v>0</v>
      </c>
      <c r="M250" t="n">
        <v>0</v>
      </c>
      <c r="N250" t="n">
        <v>0</v>
      </c>
      <c r="O250" t="n">
        <v>0</v>
      </c>
      <c r="P250" t="n">
        <v>0</v>
      </c>
      <c r="Q250" t="n">
        <v>0</v>
      </c>
      <c r="R250" s="2" t="inlineStr"/>
    </row>
    <row r="251" ht="15" customHeight="1">
      <c r="A251" t="inlineStr">
        <is>
          <t>A 29383-2019</t>
        </is>
      </c>
      <c r="B251" s="1" t="n">
        <v>43629</v>
      </c>
      <c r="C251" s="1" t="n">
        <v>45566</v>
      </c>
      <c r="D251" t="inlineStr">
        <is>
          <t>VÄSTERBOTTENS LÄN</t>
        </is>
      </c>
      <c r="E251" t="inlineStr">
        <is>
          <t>SKELLEFTEÅ</t>
        </is>
      </c>
      <c r="F251" t="inlineStr">
        <is>
          <t>Holmen skog AB</t>
        </is>
      </c>
      <c r="G251" t="n">
        <v>6.5</v>
      </c>
      <c r="H251" t="n">
        <v>0</v>
      </c>
      <c r="I251" t="n">
        <v>0</v>
      </c>
      <c r="J251" t="n">
        <v>0</v>
      </c>
      <c r="K251" t="n">
        <v>0</v>
      </c>
      <c r="L251" t="n">
        <v>0</v>
      </c>
      <c r="M251" t="n">
        <v>0</v>
      </c>
      <c r="N251" t="n">
        <v>0</v>
      </c>
      <c r="O251" t="n">
        <v>0</v>
      </c>
      <c r="P251" t="n">
        <v>0</v>
      </c>
      <c r="Q251" t="n">
        <v>0</v>
      </c>
      <c r="R251" s="2" t="inlineStr"/>
    </row>
    <row r="252" ht="15" customHeight="1">
      <c r="A252" t="inlineStr">
        <is>
          <t>A 30559-2019</t>
        </is>
      </c>
      <c r="B252" s="1" t="n">
        <v>43634</v>
      </c>
      <c r="C252" s="1" t="n">
        <v>45566</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30452-2019</t>
        </is>
      </c>
      <c r="B253" s="1" t="n">
        <v>43635</v>
      </c>
      <c r="C253" s="1" t="n">
        <v>45566</v>
      </c>
      <c r="D253" t="inlineStr">
        <is>
          <t>VÄSTERBOTTENS LÄN</t>
        </is>
      </c>
      <c r="E253" t="inlineStr">
        <is>
          <t>SKELLEFTEÅ</t>
        </is>
      </c>
      <c r="G253" t="n">
        <v>1.1</v>
      </c>
      <c r="H253" t="n">
        <v>0</v>
      </c>
      <c r="I253" t="n">
        <v>0</v>
      </c>
      <c r="J253" t="n">
        <v>0</v>
      </c>
      <c r="K253" t="n">
        <v>0</v>
      </c>
      <c r="L253" t="n">
        <v>0</v>
      </c>
      <c r="M253" t="n">
        <v>0</v>
      </c>
      <c r="N253" t="n">
        <v>0</v>
      </c>
      <c r="O253" t="n">
        <v>0</v>
      </c>
      <c r="P253" t="n">
        <v>0</v>
      </c>
      <c r="Q253" t="n">
        <v>0</v>
      </c>
      <c r="R253" s="2" t="inlineStr"/>
    </row>
    <row r="254" ht="15" customHeight="1">
      <c r="A254" t="inlineStr">
        <is>
          <t>A 30754-2019</t>
        </is>
      </c>
      <c r="B254" s="1" t="n">
        <v>43636</v>
      </c>
      <c r="C254" s="1" t="n">
        <v>45566</v>
      </c>
      <c r="D254" t="inlineStr">
        <is>
          <t>VÄSTERBOTTENS LÄN</t>
        </is>
      </c>
      <c r="E254" t="inlineStr">
        <is>
          <t>SKELLEFTEÅ</t>
        </is>
      </c>
      <c r="F254" t="inlineStr">
        <is>
          <t>Holmen skog AB</t>
        </is>
      </c>
      <c r="G254" t="n">
        <v>9.4</v>
      </c>
      <c r="H254" t="n">
        <v>0</v>
      </c>
      <c r="I254" t="n">
        <v>0</v>
      </c>
      <c r="J254" t="n">
        <v>0</v>
      </c>
      <c r="K254" t="n">
        <v>0</v>
      </c>
      <c r="L254" t="n">
        <v>0</v>
      </c>
      <c r="M254" t="n">
        <v>0</v>
      </c>
      <c r="N254" t="n">
        <v>0</v>
      </c>
      <c r="O254" t="n">
        <v>0</v>
      </c>
      <c r="P254" t="n">
        <v>0</v>
      </c>
      <c r="Q254" t="n">
        <v>0</v>
      </c>
      <c r="R254" s="2" t="inlineStr"/>
    </row>
    <row r="255" ht="15" customHeight="1">
      <c r="A255" t="inlineStr">
        <is>
          <t>A 30804-2019</t>
        </is>
      </c>
      <c r="B255" s="1" t="n">
        <v>43636</v>
      </c>
      <c r="C255" s="1" t="n">
        <v>45566</v>
      </c>
      <c r="D255" t="inlineStr">
        <is>
          <t>VÄSTERBOTTENS LÄN</t>
        </is>
      </c>
      <c r="E255" t="inlineStr">
        <is>
          <t>SKELLEFTEÅ</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31012-2019</t>
        </is>
      </c>
      <c r="B256" s="1" t="n">
        <v>43640</v>
      </c>
      <c r="C256" s="1" t="n">
        <v>45566</v>
      </c>
      <c r="D256" t="inlineStr">
        <is>
          <t>VÄSTERBOTTENS LÄN</t>
        </is>
      </c>
      <c r="E256" t="inlineStr">
        <is>
          <t>SKELLEFTEÅ</t>
        </is>
      </c>
      <c r="F256" t="inlineStr">
        <is>
          <t>Holmen skog AB</t>
        </is>
      </c>
      <c r="G256" t="n">
        <v>6.3</v>
      </c>
      <c r="H256" t="n">
        <v>0</v>
      </c>
      <c r="I256" t="n">
        <v>0</v>
      </c>
      <c r="J256" t="n">
        <v>0</v>
      </c>
      <c r="K256" t="n">
        <v>0</v>
      </c>
      <c r="L256" t="n">
        <v>0</v>
      </c>
      <c r="M256" t="n">
        <v>0</v>
      </c>
      <c r="N256" t="n">
        <v>0</v>
      </c>
      <c r="O256" t="n">
        <v>0</v>
      </c>
      <c r="P256" t="n">
        <v>0</v>
      </c>
      <c r="Q256" t="n">
        <v>0</v>
      </c>
      <c r="R256" s="2" t="inlineStr"/>
      <c r="U256">
        <f>HYPERLINK("https://klasma.github.io/Logging_2482/knärot/A 31012-2019 karta knärot.png", "A 31012-2019")</f>
        <v/>
      </c>
      <c r="V256">
        <f>HYPERLINK("https://klasma.github.io/Logging_2482/klagomål/A 31012-2019 FSC-klagomål.docx", "A 31012-2019")</f>
        <v/>
      </c>
      <c r="W256">
        <f>HYPERLINK("https://klasma.github.io/Logging_2482/klagomålsmail/A 31012-2019 FSC-klagomål mail.docx", "A 31012-2019")</f>
        <v/>
      </c>
      <c r="X256">
        <f>HYPERLINK("https://klasma.github.io/Logging_2482/tillsyn/A 31012-2019 tillsynsbegäran.docx", "A 31012-2019")</f>
        <v/>
      </c>
      <c r="Y256">
        <f>HYPERLINK("https://klasma.github.io/Logging_2482/tillsynsmail/A 31012-2019 tillsynsbegäran mail.docx", "A 31012-2019")</f>
        <v/>
      </c>
    </row>
    <row r="257" ht="15" customHeight="1">
      <c r="A257" t="inlineStr">
        <is>
          <t>A 31500-2019</t>
        </is>
      </c>
      <c r="B257" s="1" t="n">
        <v>43641</v>
      </c>
      <c r="C257" s="1" t="n">
        <v>45566</v>
      </c>
      <c r="D257" t="inlineStr">
        <is>
          <t>VÄSTERBOTTENS LÄN</t>
        </is>
      </c>
      <c r="E257" t="inlineStr">
        <is>
          <t>SKELLEFTEÅ</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31322-2019</t>
        </is>
      </c>
      <c r="B258" s="1" t="n">
        <v>43641</v>
      </c>
      <c r="C258" s="1" t="n">
        <v>45566</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31629-2019</t>
        </is>
      </c>
      <c r="B259" s="1" t="n">
        <v>43642</v>
      </c>
      <c r="C259" s="1" t="n">
        <v>45566</v>
      </c>
      <c r="D259" t="inlineStr">
        <is>
          <t>VÄSTERBOTTENS LÄN</t>
        </is>
      </c>
      <c r="E259" t="inlineStr">
        <is>
          <t>SKELLEFTEÅ</t>
        </is>
      </c>
      <c r="F259" t="inlineStr">
        <is>
          <t>Holmen skog AB</t>
        </is>
      </c>
      <c r="G259" t="n">
        <v>6.6</v>
      </c>
      <c r="H259" t="n">
        <v>0</v>
      </c>
      <c r="I259" t="n">
        <v>0</v>
      </c>
      <c r="J259" t="n">
        <v>0</v>
      </c>
      <c r="K259" t="n">
        <v>0</v>
      </c>
      <c r="L259" t="n">
        <v>0</v>
      </c>
      <c r="M259" t="n">
        <v>0</v>
      </c>
      <c r="N259" t="n">
        <v>0</v>
      </c>
      <c r="O259" t="n">
        <v>0</v>
      </c>
      <c r="P259" t="n">
        <v>0</v>
      </c>
      <c r="Q259" t="n">
        <v>0</v>
      </c>
      <c r="R259" s="2" t="inlineStr"/>
    </row>
    <row r="260" ht="15" customHeight="1">
      <c r="A260" t="inlineStr">
        <is>
          <t>A 32239-2019</t>
        </is>
      </c>
      <c r="B260" s="1" t="n">
        <v>43644</v>
      </c>
      <c r="C260" s="1" t="n">
        <v>45566</v>
      </c>
      <c r="D260" t="inlineStr">
        <is>
          <t>VÄSTERBOTTENS LÄN</t>
        </is>
      </c>
      <c r="E260" t="inlineStr">
        <is>
          <t>SKELLEFTEÅ</t>
        </is>
      </c>
      <c r="F260" t="inlineStr">
        <is>
          <t>Kyrkan</t>
        </is>
      </c>
      <c r="G260" t="n">
        <v>5.2</v>
      </c>
      <c r="H260" t="n">
        <v>0</v>
      </c>
      <c r="I260" t="n">
        <v>0</v>
      </c>
      <c r="J260" t="n">
        <v>0</v>
      </c>
      <c r="K260" t="n">
        <v>0</v>
      </c>
      <c r="L260" t="n">
        <v>0</v>
      </c>
      <c r="M260" t="n">
        <v>0</v>
      </c>
      <c r="N260" t="n">
        <v>0</v>
      </c>
      <c r="O260" t="n">
        <v>0</v>
      </c>
      <c r="P260" t="n">
        <v>0</v>
      </c>
      <c r="Q260" t="n">
        <v>0</v>
      </c>
      <c r="R260" s="2" t="inlineStr"/>
    </row>
    <row r="261" ht="15" customHeight="1">
      <c r="A261" t="inlineStr">
        <is>
          <t>A 32343-2019</t>
        </is>
      </c>
      <c r="B261" s="1" t="n">
        <v>43644</v>
      </c>
      <c r="C261" s="1" t="n">
        <v>45566</v>
      </c>
      <c r="D261" t="inlineStr">
        <is>
          <t>VÄSTERBOTTENS LÄN</t>
        </is>
      </c>
      <c r="E261" t="inlineStr">
        <is>
          <t>SKELLEFTEÅ</t>
        </is>
      </c>
      <c r="F261" t="inlineStr">
        <is>
          <t>Holmen skog AB</t>
        </is>
      </c>
      <c r="G261" t="n">
        <v>12.8</v>
      </c>
      <c r="H261" t="n">
        <v>0</v>
      </c>
      <c r="I261" t="n">
        <v>0</v>
      </c>
      <c r="J261" t="n">
        <v>0</v>
      </c>
      <c r="K261" t="n">
        <v>0</v>
      </c>
      <c r="L261" t="n">
        <v>0</v>
      </c>
      <c r="M261" t="n">
        <v>0</v>
      </c>
      <c r="N261" t="n">
        <v>0</v>
      </c>
      <c r="O261" t="n">
        <v>0</v>
      </c>
      <c r="P261" t="n">
        <v>0</v>
      </c>
      <c r="Q261" t="n">
        <v>0</v>
      </c>
      <c r="R261" s="2" t="inlineStr"/>
    </row>
    <row r="262" ht="15" customHeight="1">
      <c r="A262" t="inlineStr">
        <is>
          <t>A 32606-2019</t>
        </is>
      </c>
      <c r="B262" s="1" t="n">
        <v>43647</v>
      </c>
      <c r="C262" s="1" t="n">
        <v>45566</v>
      </c>
      <c r="D262" t="inlineStr">
        <is>
          <t>VÄSTERBOTTENS LÄN</t>
        </is>
      </c>
      <c r="E262" t="inlineStr">
        <is>
          <t>SKELLEFTEÅ</t>
        </is>
      </c>
      <c r="F262" t="inlineStr">
        <is>
          <t>Holmen skog AB</t>
        </is>
      </c>
      <c r="G262" t="n">
        <v>7.3</v>
      </c>
      <c r="H262" t="n">
        <v>0</v>
      </c>
      <c r="I262" t="n">
        <v>0</v>
      </c>
      <c r="J262" t="n">
        <v>0</v>
      </c>
      <c r="K262" t="n">
        <v>0</v>
      </c>
      <c r="L262" t="n">
        <v>0</v>
      </c>
      <c r="M262" t="n">
        <v>0</v>
      </c>
      <c r="N262" t="n">
        <v>0</v>
      </c>
      <c r="O262" t="n">
        <v>0</v>
      </c>
      <c r="P262" t="n">
        <v>0</v>
      </c>
      <c r="Q262" t="n">
        <v>0</v>
      </c>
      <c r="R262" s="2" t="inlineStr"/>
    </row>
    <row r="263" ht="15" customHeight="1">
      <c r="A263" t="inlineStr">
        <is>
          <t>A 34575-2019</t>
        </is>
      </c>
      <c r="B263" s="1" t="n">
        <v>43647</v>
      </c>
      <c r="C263" s="1" t="n">
        <v>45566</v>
      </c>
      <c r="D263" t="inlineStr">
        <is>
          <t>VÄSTERBOTTENS LÄN</t>
        </is>
      </c>
      <c r="E263" t="inlineStr">
        <is>
          <t>SKELLEFTEÅ</t>
        </is>
      </c>
      <c r="G263" t="n">
        <v>1.8</v>
      </c>
      <c r="H263" t="n">
        <v>0</v>
      </c>
      <c r="I263" t="n">
        <v>0</v>
      </c>
      <c r="J263" t="n">
        <v>0</v>
      </c>
      <c r="K263" t="n">
        <v>0</v>
      </c>
      <c r="L263" t="n">
        <v>0</v>
      </c>
      <c r="M263" t="n">
        <v>0</v>
      </c>
      <c r="N263" t="n">
        <v>0</v>
      </c>
      <c r="O263" t="n">
        <v>0</v>
      </c>
      <c r="P263" t="n">
        <v>0</v>
      </c>
      <c r="Q263" t="n">
        <v>0</v>
      </c>
      <c r="R263" s="2" t="inlineStr"/>
    </row>
    <row r="264" ht="15" customHeight="1">
      <c r="A264" t="inlineStr">
        <is>
          <t>A 34645-2019</t>
        </is>
      </c>
      <c r="B264" s="1" t="n">
        <v>43647</v>
      </c>
      <c r="C264" s="1" t="n">
        <v>45566</v>
      </c>
      <c r="D264" t="inlineStr">
        <is>
          <t>VÄSTERBOTTENS LÄN</t>
        </is>
      </c>
      <c r="E264" t="inlineStr">
        <is>
          <t>SKELLEFTEÅ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32679-2019</t>
        </is>
      </c>
      <c r="B265" s="1" t="n">
        <v>43647</v>
      </c>
      <c r="C265" s="1" t="n">
        <v>45566</v>
      </c>
      <c r="D265" t="inlineStr">
        <is>
          <t>VÄSTERBOTTENS LÄN</t>
        </is>
      </c>
      <c r="E265" t="inlineStr">
        <is>
          <t>SKELLEFTEÅ</t>
        </is>
      </c>
      <c r="G265" t="n">
        <v>1.2</v>
      </c>
      <c r="H265" t="n">
        <v>0</v>
      </c>
      <c r="I265" t="n">
        <v>0</v>
      </c>
      <c r="J265" t="n">
        <v>0</v>
      </c>
      <c r="K265" t="n">
        <v>0</v>
      </c>
      <c r="L265" t="n">
        <v>0</v>
      </c>
      <c r="M265" t="n">
        <v>0</v>
      </c>
      <c r="N265" t="n">
        <v>0</v>
      </c>
      <c r="O265" t="n">
        <v>0</v>
      </c>
      <c r="P265" t="n">
        <v>0</v>
      </c>
      <c r="Q265" t="n">
        <v>0</v>
      </c>
      <c r="R265" s="2" t="inlineStr"/>
    </row>
    <row r="266" ht="15" customHeight="1">
      <c r="A266" t="inlineStr">
        <is>
          <t>A 34627-2019</t>
        </is>
      </c>
      <c r="B266" s="1" t="n">
        <v>43647</v>
      </c>
      <c r="C266" s="1" t="n">
        <v>45566</v>
      </c>
      <c r="D266" t="inlineStr">
        <is>
          <t>VÄSTERBOTTENS LÄN</t>
        </is>
      </c>
      <c r="E266" t="inlineStr">
        <is>
          <t>SKELLEFTEÅ</t>
        </is>
      </c>
      <c r="G266" t="n">
        <v>11.6</v>
      </c>
      <c r="H266" t="n">
        <v>0</v>
      </c>
      <c r="I266" t="n">
        <v>0</v>
      </c>
      <c r="J266" t="n">
        <v>0</v>
      </c>
      <c r="K266" t="n">
        <v>0</v>
      </c>
      <c r="L266" t="n">
        <v>0</v>
      </c>
      <c r="M266" t="n">
        <v>0</v>
      </c>
      <c r="N266" t="n">
        <v>0</v>
      </c>
      <c r="O266" t="n">
        <v>0</v>
      </c>
      <c r="P266" t="n">
        <v>0</v>
      </c>
      <c r="Q266" t="n">
        <v>0</v>
      </c>
      <c r="R266" s="2" t="inlineStr"/>
    </row>
    <row r="267" ht="15" customHeight="1">
      <c r="A267" t="inlineStr">
        <is>
          <t>A 32772-2019</t>
        </is>
      </c>
      <c r="B267" s="1" t="n">
        <v>43648</v>
      </c>
      <c r="C267" s="1" t="n">
        <v>45566</v>
      </c>
      <c r="D267" t="inlineStr">
        <is>
          <t>VÄSTERBOTTENS LÄN</t>
        </is>
      </c>
      <c r="E267" t="inlineStr">
        <is>
          <t>SKELLEFTEÅ</t>
        </is>
      </c>
      <c r="G267" t="n">
        <v>2.3</v>
      </c>
      <c r="H267" t="n">
        <v>0</v>
      </c>
      <c r="I267" t="n">
        <v>0</v>
      </c>
      <c r="J267" t="n">
        <v>0</v>
      </c>
      <c r="K267" t="n">
        <v>0</v>
      </c>
      <c r="L267" t="n">
        <v>0</v>
      </c>
      <c r="M267" t="n">
        <v>0</v>
      </c>
      <c r="N267" t="n">
        <v>0</v>
      </c>
      <c r="O267" t="n">
        <v>0</v>
      </c>
      <c r="P267" t="n">
        <v>0</v>
      </c>
      <c r="Q267" t="n">
        <v>0</v>
      </c>
      <c r="R267" s="2" t="inlineStr"/>
    </row>
    <row r="268" ht="15" customHeight="1">
      <c r="A268" t="inlineStr">
        <is>
          <t>A 32866-2019</t>
        </is>
      </c>
      <c r="B268" s="1" t="n">
        <v>43648</v>
      </c>
      <c r="C268" s="1" t="n">
        <v>45566</v>
      </c>
      <c r="D268" t="inlineStr">
        <is>
          <t>VÄSTERBOTTENS LÄN</t>
        </is>
      </c>
      <c r="E268" t="inlineStr">
        <is>
          <t>SKELLEFTEÅ</t>
        </is>
      </c>
      <c r="G268" t="n">
        <v>5.7</v>
      </c>
      <c r="H268" t="n">
        <v>0</v>
      </c>
      <c r="I268" t="n">
        <v>0</v>
      </c>
      <c r="J268" t="n">
        <v>0</v>
      </c>
      <c r="K268" t="n">
        <v>0</v>
      </c>
      <c r="L268" t="n">
        <v>0</v>
      </c>
      <c r="M268" t="n">
        <v>0</v>
      </c>
      <c r="N268" t="n">
        <v>0</v>
      </c>
      <c r="O268" t="n">
        <v>0</v>
      </c>
      <c r="P268" t="n">
        <v>0</v>
      </c>
      <c r="Q268" t="n">
        <v>0</v>
      </c>
      <c r="R268" s="2" t="inlineStr"/>
    </row>
    <row r="269" ht="15" customHeight="1">
      <c r="A269" t="inlineStr">
        <is>
          <t>A 34685-2019</t>
        </is>
      </c>
      <c r="B269" s="1" t="n">
        <v>43648</v>
      </c>
      <c r="C269" s="1" t="n">
        <v>45566</v>
      </c>
      <c r="D269" t="inlineStr">
        <is>
          <t>VÄSTERBOTTENS LÄN</t>
        </is>
      </c>
      <c r="E269" t="inlineStr">
        <is>
          <t>SKELLEFTEÅ</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33063-2019</t>
        </is>
      </c>
      <c r="B270" s="1" t="n">
        <v>43649</v>
      </c>
      <c r="C270" s="1" t="n">
        <v>45566</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33058-2019</t>
        </is>
      </c>
      <c r="B271" s="1" t="n">
        <v>43649</v>
      </c>
      <c r="C271" s="1" t="n">
        <v>45566</v>
      </c>
      <c r="D271" t="inlineStr">
        <is>
          <t>VÄSTERBOTTENS LÄN</t>
        </is>
      </c>
      <c r="E271" t="inlineStr">
        <is>
          <t>SKELLEFTEÅ</t>
        </is>
      </c>
      <c r="G271" t="n">
        <v>2.7</v>
      </c>
      <c r="H271" t="n">
        <v>0</v>
      </c>
      <c r="I271" t="n">
        <v>0</v>
      </c>
      <c r="J271" t="n">
        <v>0</v>
      </c>
      <c r="K271" t="n">
        <v>0</v>
      </c>
      <c r="L271" t="n">
        <v>0</v>
      </c>
      <c r="M271" t="n">
        <v>0</v>
      </c>
      <c r="N271" t="n">
        <v>0</v>
      </c>
      <c r="O271" t="n">
        <v>0</v>
      </c>
      <c r="P271" t="n">
        <v>0</v>
      </c>
      <c r="Q271" t="n">
        <v>0</v>
      </c>
      <c r="R271" s="2" t="inlineStr"/>
    </row>
    <row r="272" ht="15" customHeight="1">
      <c r="A272" t="inlineStr">
        <is>
          <t>A 34894-2019</t>
        </is>
      </c>
      <c r="B272" s="1" t="n">
        <v>43649</v>
      </c>
      <c r="C272" s="1" t="n">
        <v>45566</v>
      </c>
      <c r="D272" t="inlineStr">
        <is>
          <t>VÄSTERBOTTENS LÄN</t>
        </is>
      </c>
      <c r="E272" t="inlineStr">
        <is>
          <t>SKELLEFTEÅ</t>
        </is>
      </c>
      <c r="G272" t="n">
        <v>20.4</v>
      </c>
      <c r="H272" t="n">
        <v>0</v>
      </c>
      <c r="I272" t="n">
        <v>0</v>
      </c>
      <c r="J272" t="n">
        <v>0</v>
      </c>
      <c r="K272" t="n">
        <v>0</v>
      </c>
      <c r="L272" t="n">
        <v>0</v>
      </c>
      <c r="M272" t="n">
        <v>0</v>
      </c>
      <c r="N272" t="n">
        <v>0</v>
      </c>
      <c r="O272" t="n">
        <v>0</v>
      </c>
      <c r="P272" t="n">
        <v>0</v>
      </c>
      <c r="Q272" t="n">
        <v>0</v>
      </c>
      <c r="R272" s="2" t="inlineStr"/>
    </row>
    <row r="273" ht="15" customHeight="1">
      <c r="A273" t="inlineStr">
        <is>
          <t>A 33193-2019</t>
        </is>
      </c>
      <c r="B273" s="1" t="n">
        <v>43649</v>
      </c>
      <c r="C273" s="1" t="n">
        <v>45566</v>
      </c>
      <c r="D273" t="inlineStr">
        <is>
          <t>VÄSTERBOTTENS LÄN</t>
        </is>
      </c>
      <c r="E273" t="inlineStr">
        <is>
          <t>SKELLEFTEÅ</t>
        </is>
      </c>
      <c r="G273" t="n">
        <v>3.1</v>
      </c>
      <c r="H273" t="n">
        <v>0</v>
      </c>
      <c r="I273" t="n">
        <v>0</v>
      </c>
      <c r="J273" t="n">
        <v>0</v>
      </c>
      <c r="K273" t="n">
        <v>0</v>
      </c>
      <c r="L273" t="n">
        <v>0</v>
      </c>
      <c r="M273" t="n">
        <v>0</v>
      </c>
      <c r="N273" t="n">
        <v>0</v>
      </c>
      <c r="O273" t="n">
        <v>0</v>
      </c>
      <c r="P273" t="n">
        <v>0</v>
      </c>
      <c r="Q273" t="n">
        <v>0</v>
      </c>
      <c r="R273" s="2" t="inlineStr"/>
    </row>
    <row r="274" ht="15" customHeight="1">
      <c r="A274" t="inlineStr">
        <is>
          <t>A 34906-2019</t>
        </is>
      </c>
      <c r="B274" s="1" t="n">
        <v>43649</v>
      </c>
      <c r="C274" s="1" t="n">
        <v>45566</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35229-2019</t>
        </is>
      </c>
      <c r="B275" s="1" t="n">
        <v>43650</v>
      </c>
      <c r="C275" s="1" t="n">
        <v>45566</v>
      </c>
      <c r="D275" t="inlineStr">
        <is>
          <t>VÄSTERBOTTENS LÄN</t>
        </is>
      </c>
      <c r="E275" t="inlineStr">
        <is>
          <t>SKELLEFTEÅ</t>
        </is>
      </c>
      <c r="G275" t="n">
        <v>1.2</v>
      </c>
      <c r="H275" t="n">
        <v>0</v>
      </c>
      <c r="I275" t="n">
        <v>0</v>
      </c>
      <c r="J275" t="n">
        <v>0</v>
      </c>
      <c r="K275" t="n">
        <v>0</v>
      </c>
      <c r="L275" t="n">
        <v>0</v>
      </c>
      <c r="M275" t="n">
        <v>0</v>
      </c>
      <c r="N275" t="n">
        <v>0</v>
      </c>
      <c r="O275" t="n">
        <v>0</v>
      </c>
      <c r="P275" t="n">
        <v>0</v>
      </c>
      <c r="Q275" t="n">
        <v>0</v>
      </c>
      <c r="R275" s="2" t="inlineStr"/>
    </row>
    <row r="276" ht="15" customHeight="1">
      <c r="A276" t="inlineStr">
        <is>
          <t>A 35445-2019</t>
        </is>
      </c>
      <c r="B276" s="1" t="n">
        <v>43651</v>
      </c>
      <c r="C276" s="1" t="n">
        <v>45566</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35452-2019</t>
        </is>
      </c>
      <c r="B277" s="1" t="n">
        <v>43651</v>
      </c>
      <c r="C277" s="1" t="n">
        <v>45566</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33888-2019</t>
        </is>
      </c>
      <c r="B278" s="1" t="n">
        <v>43653</v>
      </c>
      <c r="C278" s="1" t="n">
        <v>45566</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34089-2019</t>
        </is>
      </c>
      <c r="B279" s="1" t="n">
        <v>43654</v>
      </c>
      <c r="C279" s="1" t="n">
        <v>45566</v>
      </c>
      <c r="D279" t="inlineStr">
        <is>
          <t>VÄSTERBOTTENS LÄN</t>
        </is>
      </c>
      <c r="E279" t="inlineStr">
        <is>
          <t>SKELLEFTEÅ</t>
        </is>
      </c>
      <c r="F279" t="inlineStr">
        <is>
          <t>Holmen skog AB</t>
        </is>
      </c>
      <c r="G279" t="n">
        <v>20.9</v>
      </c>
      <c r="H279" t="n">
        <v>0</v>
      </c>
      <c r="I279" t="n">
        <v>0</v>
      </c>
      <c r="J279" t="n">
        <v>0</v>
      </c>
      <c r="K279" t="n">
        <v>0</v>
      </c>
      <c r="L279" t="n">
        <v>0</v>
      </c>
      <c r="M279" t="n">
        <v>0</v>
      </c>
      <c r="N279" t="n">
        <v>0</v>
      </c>
      <c r="O279" t="n">
        <v>0</v>
      </c>
      <c r="P279" t="n">
        <v>0</v>
      </c>
      <c r="Q279" t="n">
        <v>0</v>
      </c>
      <c r="R279" s="2" t="inlineStr"/>
    </row>
    <row r="280" ht="15" customHeight="1">
      <c r="A280" t="inlineStr">
        <is>
          <t>A 34253-2019</t>
        </is>
      </c>
      <c r="B280" s="1" t="n">
        <v>43655</v>
      </c>
      <c r="C280" s="1" t="n">
        <v>45566</v>
      </c>
      <c r="D280" t="inlineStr">
        <is>
          <t>VÄSTERBOTTENS LÄN</t>
        </is>
      </c>
      <c r="E280" t="inlineStr">
        <is>
          <t>SKELLEFTEÅ</t>
        </is>
      </c>
      <c r="F280" t="inlineStr">
        <is>
          <t>Holmen skog AB</t>
        </is>
      </c>
      <c r="G280" t="n">
        <v>18.9</v>
      </c>
      <c r="H280" t="n">
        <v>0</v>
      </c>
      <c r="I280" t="n">
        <v>0</v>
      </c>
      <c r="J280" t="n">
        <v>0</v>
      </c>
      <c r="K280" t="n">
        <v>0</v>
      </c>
      <c r="L280" t="n">
        <v>0</v>
      </c>
      <c r="M280" t="n">
        <v>0</v>
      </c>
      <c r="N280" t="n">
        <v>0</v>
      </c>
      <c r="O280" t="n">
        <v>0</v>
      </c>
      <c r="P280" t="n">
        <v>0</v>
      </c>
      <c r="Q280" t="n">
        <v>0</v>
      </c>
      <c r="R280" s="2" t="inlineStr"/>
    </row>
    <row r="281" ht="15" customHeight="1">
      <c r="A281" t="inlineStr">
        <is>
          <t>A 34939-2019</t>
        </is>
      </c>
      <c r="B281" s="1" t="n">
        <v>43658</v>
      </c>
      <c r="C281" s="1" t="n">
        <v>45566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34997-2019</t>
        </is>
      </c>
      <c r="B282" s="1" t="n">
        <v>43660</v>
      </c>
      <c r="C282" s="1" t="n">
        <v>45566</v>
      </c>
      <c r="D282" t="inlineStr">
        <is>
          <t>VÄSTERBOTTENS LÄN</t>
        </is>
      </c>
      <c r="E282" t="inlineStr">
        <is>
          <t>SKELLEFTEÅ</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35084-2019</t>
        </is>
      </c>
      <c r="B283" s="1" t="n">
        <v>43661</v>
      </c>
      <c r="C283" s="1" t="n">
        <v>45566</v>
      </c>
      <c r="D283" t="inlineStr">
        <is>
          <t>VÄSTERBOTTENS LÄN</t>
        </is>
      </c>
      <c r="E283" t="inlineStr">
        <is>
          <t>SKELLEFTEÅ</t>
        </is>
      </c>
      <c r="F283" t="inlineStr">
        <is>
          <t>Sveaskog</t>
        </is>
      </c>
      <c r="G283" t="n">
        <v>8.4</v>
      </c>
      <c r="H283" t="n">
        <v>0</v>
      </c>
      <c r="I283" t="n">
        <v>0</v>
      </c>
      <c r="J283" t="n">
        <v>0</v>
      </c>
      <c r="K283" t="n">
        <v>0</v>
      </c>
      <c r="L283" t="n">
        <v>0</v>
      </c>
      <c r="M283" t="n">
        <v>0</v>
      </c>
      <c r="N283" t="n">
        <v>0</v>
      </c>
      <c r="O283" t="n">
        <v>0</v>
      </c>
      <c r="P283" t="n">
        <v>0</v>
      </c>
      <c r="Q283" t="n">
        <v>0</v>
      </c>
      <c r="R283" s="2" t="inlineStr"/>
    </row>
    <row r="284" ht="15" customHeight="1">
      <c r="A284" t="inlineStr">
        <is>
          <t>A 35075-2019</t>
        </is>
      </c>
      <c r="B284" s="1" t="n">
        <v>43661</v>
      </c>
      <c r="C284" s="1" t="n">
        <v>45566</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35104-2019</t>
        </is>
      </c>
      <c r="B285" s="1" t="n">
        <v>43661</v>
      </c>
      <c r="C285" s="1" t="n">
        <v>45566</v>
      </c>
      <c r="D285" t="inlineStr">
        <is>
          <t>VÄSTERBOTTENS LÄN</t>
        </is>
      </c>
      <c r="E285" t="inlineStr">
        <is>
          <t>SKELLEFTEÅ</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35120-2019</t>
        </is>
      </c>
      <c r="B286" s="1" t="n">
        <v>43661</v>
      </c>
      <c r="C286" s="1" t="n">
        <v>45566</v>
      </c>
      <c r="D286" t="inlineStr">
        <is>
          <t>VÄSTERBOTTENS LÄN</t>
        </is>
      </c>
      <c r="E286" t="inlineStr">
        <is>
          <t>SKELLEFTEÅ</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35073-2019</t>
        </is>
      </c>
      <c r="B287" s="1" t="n">
        <v>43661</v>
      </c>
      <c r="C287" s="1" t="n">
        <v>45566</v>
      </c>
      <c r="D287" t="inlineStr">
        <is>
          <t>VÄSTERBOTTENS LÄN</t>
        </is>
      </c>
      <c r="E287" t="inlineStr">
        <is>
          <t>SKELLEFTEÅ</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35080-2019</t>
        </is>
      </c>
      <c r="B288" s="1" t="n">
        <v>43661</v>
      </c>
      <c r="C288" s="1" t="n">
        <v>45566</v>
      </c>
      <c r="D288" t="inlineStr">
        <is>
          <t>VÄSTERBOTTENS LÄN</t>
        </is>
      </c>
      <c r="E288" t="inlineStr">
        <is>
          <t>SKELLEFTEÅ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35121-2019</t>
        </is>
      </c>
      <c r="B289" s="1" t="n">
        <v>43661</v>
      </c>
      <c r="C289" s="1" t="n">
        <v>45566</v>
      </c>
      <c r="D289" t="inlineStr">
        <is>
          <t>VÄSTERBOTTENS LÄN</t>
        </is>
      </c>
      <c r="E289" t="inlineStr">
        <is>
          <t>SKELLEFTEÅ</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35024-2019</t>
        </is>
      </c>
      <c r="B290" s="1" t="n">
        <v>43661</v>
      </c>
      <c r="C290" s="1" t="n">
        <v>45566</v>
      </c>
      <c r="D290" t="inlineStr">
        <is>
          <t>VÄSTERBOTTENS LÄN</t>
        </is>
      </c>
      <c r="E290" t="inlineStr">
        <is>
          <t>SKELLEFTEÅ</t>
        </is>
      </c>
      <c r="G290" t="n">
        <v>5.3</v>
      </c>
      <c r="H290" t="n">
        <v>0</v>
      </c>
      <c r="I290" t="n">
        <v>0</v>
      </c>
      <c r="J290" t="n">
        <v>0</v>
      </c>
      <c r="K290" t="n">
        <v>0</v>
      </c>
      <c r="L290" t="n">
        <v>0</v>
      </c>
      <c r="M290" t="n">
        <v>0</v>
      </c>
      <c r="N290" t="n">
        <v>0</v>
      </c>
      <c r="O290" t="n">
        <v>0</v>
      </c>
      <c r="P290" t="n">
        <v>0</v>
      </c>
      <c r="Q290" t="n">
        <v>0</v>
      </c>
      <c r="R290" s="2" t="inlineStr"/>
    </row>
    <row r="291" ht="15" customHeight="1">
      <c r="A291" t="inlineStr">
        <is>
          <t>A 35363-2019</t>
        </is>
      </c>
      <c r="B291" s="1" t="n">
        <v>43663</v>
      </c>
      <c r="C291" s="1" t="n">
        <v>45566</v>
      </c>
      <c r="D291" t="inlineStr">
        <is>
          <t>VÄSTERBOTTENS LÄN</t>
        </is>
      </c>
      <c r="E291" t="inlineStr">
        <is>
          <t>SKELLEFTEÅ</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35786-2019</t>
        </is>
      </c>
      <c r="B292" s="1" t="n">
        <v>43665</v>
      </c>
      <c r="C292" s="1" t="n">
        <v>45566</v>
      </c>
      <c r="D292" t="inlineStr">
        <is>
          <t>VÄSTERBOTTENS LÄN</t>
        </is>
      </c>
      <c r="E292" t="inlineStr">
        <is>
          <t>SKELLEFTEÅ</t>
        </is>
      </c>
      <c r="F292" t="inlineStr">
        <is>
          <t>Holmen skog AB</t>
        </is>
      </c>
      <c r="G292" t="n">
        <v>1.4</v>
      </c>
      <c r="H292" t="n">
        <v>0</v>
      </c>
      <c r="I292" t="n">
        <v>0</v>
      </c>
      <c r="J292" t="n">
        <v>0</v>
      </c>
      <c r="K292" t="n">
        <v>0</v>
      </c>
      <c r="L292" t="n">
        <v>0</v>
      </c>
      <c r="M292" t="n">
        <v>0</v>
      </c>
      <c r="N292" t="n">
        <v>0</v>
      </c>
      <c r="O292" t="n">
        <v>0</v>
      </c>
      <c r="P292" t="n">
        <v>0</v>
      </c>
      <c r="Q292" t="n">
        <v>0</v>
      </c>
      <c r="R292" s="2" t="inlineStr"/>
    </row>
    <row r="293" ht="15" customHeight="1">
      <c r="A293" t="inlineStr">
        <is>
          <t>A 36996-2019</t>
        </is>
      </c>
      <c r="B293" s="1" t="n">
        <v>43676</v>
      </c>
      <c r="C293" s="1" t="n">
        <v>45566</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38674-2019</t>
        </is>
      </c>
      <c r="B294" s="1" t="n">
        <v>43684</v>
      </c>
      <c r="C294" s="1" t="n">
        <v>45566</v>
      </c>
      <c r="D294" t="inlineStr">
        <is>
          <t>VÄSTERBOTTENS LÄN</t>
        </is>
      </c>
      <c r="E294" t="inlineStr">
        <is>
          <t>SKELLEFTEÅ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38797-2019</t>
        </is>
      </c>
      <c r="B295" s="1" t="n">
        <v>43688</v>
      </c>
      <c r="C295" s="1" t="n">
        <v>45566</v>
      </c>
      <c r="D295" t="inlineStr">
        <is>
          <t>VÄSTERBOTTENS LÄN</t>
        </is>
      </c>
      <c r="E295" t="inlineStr">
        <is>
          <t>SKELLEFTEÅ</t>
        </is>
      </c>
      <c r="G295" t="n">
        <v>2.1</v>
      </c>
      <c r="H295" t="n">
        <v>0</v>
      </c>
      <c r="I295" t="n">
        <v>0</v>
      </c>
      <c r="J295" t="n">
        <v>0</v>
      </c>
      <c r="K295" t="n">
        <v>0</v>
      </c>
      <c r="L295" t="n">
        <v>0</v>
      </c>
      <c r="M295" t="n">
        <v>0</v>
      </c>
      <c r="N295" t="n">
        <v>0</v>
      </c>
      <c r="O295" t="n">
        <v>0</v>
      </c>
      <c r="P295" t="n">
        <v>0</v>
      </c>
      <c r="Q295" t="n">
        <v>0</v>
      </c>
      <c r="R295" s="2" t="inlineStr"/>
    </row>
    <row r="296" ht="15" customHeight="1">
      <c r="A296" t="inlineStr">
        <is>
          <t>A 39106-2019</t>
        </is>
      </c>
      <c r="B296" s="1" t="n">
        <v>43689</v>
      </c>
      <c r="C296" s="1" t="n">
        <v>45566</v>
      </c>
      <c r="D296" t="inlineStr">
        <is>
          <t>VÄSTERBOTTENS LÄN</t>
        </is>
      </c>
      <c r="E296" t="inlineStr">
        <is>
          <t>SKELLEFTEÅ</t>
        </is>
      </c>
      <c r="F296" t="inlineStr">
        <is>
          <t>Holmen skog AB</t>
        </is>
      </c>
      <c r="G296" t="n">
        <v>5.6</v>
      </c>
      <c r="H296" t="n">
        <v>0</v>
      </c>
      <c r="I296" t="n">
        <v>0</v>
      </c>
      <c r="J296" t="n">
        <v>0</v>
      </c>
      <c r="K296" t="n">
        <v>0</v>
      </c>
      <c r="L296" t="n">
        <v>0</v>
      </c>
      <c r="M296" t="n">
        <v>0</v>
      </c>
      <c r="N296" t="n">
        <v>0</v>
      </c>
      <c r="O296" t="n">
        <v>0</v>
      </c>
      <c r="P296" t="n">
        <v>0</v>
      </c>
      <c r="Q296" t="n">
        <v>0</v>
      </c>
      <c r="R296" s="2" t="inlineStr"/>
    </row>
    <row r="297" ht="15" customHeight="1">
      <c r="A297" t="inlineStr">
        <is>
          <t>A 38973-2019</t>
        </is>
      </c>
      <c r="B297" s="1" t="n">
        <v>43689</v>
      </c>
      <c r="C297" s="1" t="n">
        <v>45566</v>
      </c>
      <c r="D297" t="inlineStr">
        <is>
          <t>VÄSTERBOTTENS LÄN</t>
        </is>
      </c>
      <c r="E297" t="inlineStr">
        <is>
          <t>SKELLEFTEÅ</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40562-2019</t>
        </is>
      </c>
      <c r="B298" s="1" t="n">
        <v>43696</v>
      </c>
      <c r="C298" s="1" t="n">
        <v>45566</v>
      </c>
      <c r="D298" t="inlineStr">
        <is>
          <t>VÄSTERBOTTENS LÄN</t>
        </is>
      </c>
      <c r="E298" t="inlineStr">
        <is>
          <t>SKELLEFTEÅ</t>
        </is>
      </c>
      <c r="F298" t="inlineStr">
        <is>
          <t>Holmen skog AB</t>
        </is>
      </c>
      <c r="G298" t="n">
        <v>1.9</v>
      </c>
      <c r="H298" t="n">
        <v>0</v>
      </c>
      <c r="I298" t="n">
        <v>0</v>
      </c>
      <c r="J298" t="n">
        <v>0</v>
      </c>
      <c r="K298" t="n">
        <v>0</v>
      </c>
      <c r="L298" t="n">
        <v>0</v>
      </c>
      <c r="M298" t="n">
        <v>0</v>
      </c>
      <c r="N298" t="n">
        <v>0</v>
      </c>
      <c r="O298" t="n">
        <v>0</v>
      </c>
      <c r="P298" t="n">
        <v>0</v>
      </c>
      <c r="Q298" t="n">
        <v>0</v>
      </c>
      <c r="R298" s="2" t="inlineStr"/>
    </row>
    <row r="299" ht="15" customHeight="1">
      <c r="A299" t="inlineStr">
        <is>
          <t>A 41585-2019</t>
        </is>
      </c>
      <c r="B299" s="1" t="n">
        <v>43696</v>
      </c>
      <c r="C299" s="1" t="n">
        <v>45566</v>
      </c>
      <c r="D299" t="inlineStr">
        <is>
          <t>VÄSTERBOTTENS LÄN</t>
        </is>
      </c>
      <c r="E299" t="inlineStr">
        <is>
          <t>SKELLEFTEÅ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41648-2019</t>
        </is>
      </c>
      <c r="B300" s="1" t="n">
        <v>43696</v>
      </c>
      <c r="C300" s="1" t="n">
        <v>45566</v>
      </c>
      <c r="D300" t="inlineStr">
        <is>
          <t>VÄSTERBOTTENS LÄN</t>
        </is>
      </c>
      <c r="E300" t="inlineStr">
        <is>
          <t>SKELLEFTEÅ</t>
        </is>
      </c>
      <c r="G300" t="n">
        <v>2.9</v>
      </c>
      <c r="H300" t="n">
        <v>0</v>
      </c>
      <c r="I300" t="n">
        <v>0</v>
      </c>
      <c r="J300" t="n">
        <v>0</v>
      </c>
      <c r="K300" t="n">
        <v>0</v>
      </c>
      <c r="L300" t="n">
        <v>0</v>
      </c>
      <c r="M300" t="n">
        <v>0</v>
      </c>
      <c r="N300" t="n">
        <v>0</v>
      </c>
      <c r="O300" t="n">
        <v>0</v>
      </c>
      <c r="P300" t="n">
        <v>0</v>
      </c>
      <c r="Q300" t="n">
        <v>0</v>
      </c>
      <c r="R300" s="2" t="inlineStr"/>
    </row>
    <row r="301" ht="15" customHeight="1">
      <c r="A301" t="inlineStr">
        <is>
          <t>A 41557-2019</t>
        </is>
      </c>
      <c r="B301" s="1" t="n">
        <v>43696</v>
      </c>
      <c r="C301" s="1" t="n">
        <v>45566</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40744-2019</t>
        </is>
      </c>
      <c r="B302" s="1" t="n">
        <v>43697</v>
      </c>
      <c r="C302" s="1" t="n">
        <v>45566</v>
      </c>
      <c r="D302" t="inlineStr">
        <is>
          <t>VÄSTERBOTTENS LÄN</t>
        </is>
      </c>
      <c r="E302" t="inlineStr">
        <is>
          <t>SKELLEFTEÅ</t>
        </is>
      </c>
      <c r="G302" t="n">
        <v>36.9</v>
      </c>
      <c r="H302" t="n">
        <v>0</v>
      </c>
      <c r="I302" t="n">
        <v>0</v>
      </c>
      <c r="J302" t="n">
        <v>0</v>
      </c>
      <c r="K302" t="n">
        <v>0</v>
      </c>
      <c r="L302" t="n">
        <v>0</v>
      </c>
      <c r="M302" t="n">
        <v>0</v>
      </c>
      <c r="N302" t="n">
        <v>0</v>
      </c>
      <c r="O302" t="n">
        <v>0</v>
      </c>
      <c r="P302" t="n">
        <v>0</v>
      </c>
      <c r="Q302" t="n">
        <v>0</v>
      </c>
      <c r="R302" s="2" t="inlineStr"/>
    </row>
    <row r="303" ht="15" customHeight="1">
      <c r="A303" t="inlineStr">
        <is>
          <t>A 40727-2019</t>
        </is>
      </c>
      <c r="B303" s="1" t="n">
        <v>43697</v>
      </c>
      <c r="C303" s="1" t="n">
        <v>45566</v>
      </c>
      <c r="D303" t="inlineStr">
        <is>
          <t>VÄSTERBOTTENS LÄN</t>
        </is>
      </c>
      <c r="E303" t="inlineStr">
        <is>
          <t>SKELLEFTEÅ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41980-2019</t>
        </is>
      </c>
      <c r="B304" s="1" t="n">
        <v>43700</v>
      </c>
      <c r="C304" s="1" t="n">
        <v>45566</v>
      </c>
      <c r="D304" t="inlineStr">
        <is>
          <t>VÄSTERBOTTENS LÄN</t>
        </is>
      </c>
      <c r="E304" t="inlineStr">
        <is>
          <t>SKELLEFTEÅ</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41826-2019</t>
        </is>
      </c>
      <c r="B305" s="1" t="n">
        <v>43700</v>
      </c>
      <c r="C305" s="1" t="n">
        <v>45566</v>
      </c>
      <c r="D305" t="inlineStr">
        <is>
          <t>VÄSTERBOTTENS LÄN</t>
        </is>
      </c>
      <c r="E305" t="inlineStr">
        <is>
          <t>SKELLEFTEÅ</t>
        </is>
      </c>
      <c r="F305" t="inlineStr">
        <is>
          <t>Holmen skog AB</t>
        </is>
      </c>
      <c r="G305" t="n">
        <v>4.9</v>
      </c>
      <c r="H305" t="n">
        <v>0</v>
      </c>
      <c r="I305" t="n">
        <v>0</v>
      </c>
      <c r="J305" t="n">
        <v>0</v>
      </c>
      <c r="K305" t="n">
        <v>0</v>
      </c>
      <c r="L305" t="n">
        <v>0</v>
      </c>
      <c r="M305" t="n">
        <v>0</v>
      </c>
      <c r="N305" t="n">
        <v>0</v>
      </c>
      <c r="O305" t="n">
        <v>0</v>
      </c>
      <c r="P305" t="n">
        <v>0</v>
      </c>
      <c r="Q305" t="n">
        <v>0</v>
      </c>
      <c r="R305" s="2" t="inlineStr"/>
    </row>
    <row r="306" ht="15" customHeight="1">
      <c r="A306" t="inlineStr">
        <is>
          <t>A 42319-2019</t>
        </is>
      </c>
      <c r="B306" s="1" t="n">
        <v>43703</v>
      </c>
      <c r="C306" s="1" t="n">
        <v>45566</v>
      </c>
      <c r="D306" t="inlineStr">
        <is>
          <t>VÄSTERBOTTENS LÄN</t>
        </is>
      </c>
      <c r="E306" t="inlineStr">
        <is>
          <t>SKELLEFTEÅ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42435-2019</t>
        </is>
      </c>
      <c r="B307" s="1" t="n">
        <v>43704</v>
      </c>
      <c r="C307" s="1" t="n">
        <v>45566</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42651-2019</t>
        </is>
      </c>
      <c r="B308" s="1" t="n">
        <v>43704</v>
      </c>
      <c r="C308" s="1" t="n">
        <v>45566</v>
      </c>
      <c r="D308" t="inlineStr">
        <is>
          <t>VÄSTERBOTTENS LÄN</t>
        </is>
      </c>
      <c r="E308" t="inlineStr">
        <is>
          <t>SKELLEFTEÅ</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44461-2019</t>
        </is>
      </c>
      <c r="B309" s="1" t="n">
        <v>43705</v>
      </c>
      <c r="C309" s="1" t="n">
        <v>45566</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44486-2019</t>
        </is>
      </c>
      <c r="B310" s="1" t="n">
        <v>43706</v>
      </c>
      <c r="C310" s="1" t="n">
        <v>45566</v>
      </c>
      <c r="D310" t="inlineStr">
        <is>
          <t>VÄSTERBOTTENS LÄN</t>
        </is>
      </c>
      <c r="E310" t="inlineStr">
        <is>
          <t>SKELLEFTEÅ</t>
        </is>
      </c>
      <c r="G310" t="n">
        <v>2.6</v>
      </c>
      <c r="H310" t="n">
        <v>0</v>
      </c>
      <c r="I310" t="n">
        <v>0</v>
      </c>
      <c r="J310" t="n">
        <v>0</v>
      </c>
      <c r="K310" t="n">
        <v>0</v>
      </c>
      <c r="L310" t="n">
        <v>0</v>
      </c>
      <c r="M310" t="n">
        <v>0</v>
      </c>
      <c r="N310" t="n">
        <v>0</v>
      </c>
      <c r="O310" t="n">
        <v>0</v>
      </c>
      <c r="P310" t="n">
        <v>0</v>
      </c>
      <c r="Q310" t="n">
        <v>0</v>
      </c>
      <c r="R310" s="2" t="inlineStr"/>
    </row>
    <row r="311" ht="15" customHeight="1">
      <c r="A311" t="inlineStr">
        <is>
          <t>A 43638-2019</t>
        </is>
      </c>
      <c r="B311" s="1" t="n">
        <v>43707</v>
      </c>
      <c r="C311" s="1" t="n">
        <v>45566</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43842-2019</t>
        </is>
      </c>
      <c r="B312" s="1" t="n">
        <v>43707</v>
      </c>
      <c r="C312" s="1" t="n">
        <v>45566</v>
      </c>
      <c r="D312" t="inlineStr">
        <is>
          <t>VÄSTERBOTTENS LÄN</t>
        </is>
      </c>
      <c r="E312" t="inlineStr">
        <is>
          <t>SKELLEFTEÅ</t>
        </is>
      </c>
      <c r="F312" t="inlineStr">
        <is>
          <t>Sveaskog</t>
        </is>
      </c>
      <c r="G312" t="n">
        <v>7.3</v>
      </c>
      <c r="H312" t="n">
        <v>0</v>
      </c>
      <c r="I312" t="n">
        <v>0</v>
      </c>
      <c r="J312" t="n">
        <v>0</v>
      </c>
      <c r="K312" t="n">
        <v>0</v>
      </c>
      <c r="L312" t="n">
        <v>0</v>
      </c>
      <c r="M312" t="n">
        <v>0</v>
      </c>
      <c r="N312" t="n">
        <v>0</v>
      </c>
      <c r="O312" t="n">
        <v>0</v>
      </c>
      <c r="P312" t="n">
        <v>0</v>
      </c>
      <c r="Q312" t="n">
        <v>0</v>
      </c>
      <c r="R312" s="2" t="inlineStr"/>
    </row>
    <row r="313" ht="15" customHeight="1">
      <c r="A313" t="inlineStr">
        <is>
          <t>A 43648-2019</t>
        </is>
      </c>
      <c r="B313" s="1" t="n">
        <v>43707</v>
      </c>
      <c r="C313" s="1" t="n">
        <v>45566</v>
      </c>
      <c r="D313" t="inlineStr">
        <is>
          <t>VÄSTERBOTTENS LÄN</t>
        </is>
      </c>
      <c r="E313" t="inlineStr">
        <is>
          <t>SKELLEFTEÅ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43845-2019</t>
        </is>
      </c>
      <c r="B314" s="1" t="n">
        <v>43707</v>
      </c>
      <c r="C314" s="1" t="n">
        <v>45566</v>
      </c>
      <c r="D314" t="inlineStr">
        <is>
          <t>VÄSTERBOTTENS LÄN</t>
        </is>
      </c>
      <c r="E314" t="inlineStr">
        <is>
          <t>SKELLEFTEÅ</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45296-2019</t>
        </is>
      </c>
      <c r="B315" s="1" t="n">
        <v>43707</v>
      </c>
      <c r="C315" s="1" t="n">
        <v>45566</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44007-2019</t>
        </is>
      </c>
      <c r="B316" s="1" t="n">
        <v>43709</v>
      </c>
      <c r="C316" s="1" t="n">
        <v>45566</v>
      </c>
      <c r="D316" t="inlineStr">
        <is>
          <t>VÄSTERBOTTENS LÄN</t>
        </is>
      </c>
      <c r="E316" t="inlineStr">
        <is>
          <t>SKELLEFTEÅ</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44204-2019</t>
        </is>
      </c>
      <c r="B317" s="1" t="n">
        <v>43710</v>
      </c>
      <c r="C317" s="1" t="n">
        <v>45566</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44348-2019</t>
        </is>
      </c>
      <c r="B318" s="1" t="n">
        <v>43711</v>
      </c>
      <c r="C318" s="1" t="n">
        <v>45566</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46412-2019</t>
        </is>
      </c>
      <c r="B319" s="1" t="n">
        <v>43714</v>
      </c>
      <c r="C319" s="1" t="n">
        <v>45566</v>
      </c>
      <c r="D319" t="inlineStr">
        <is>
          <t>VÄSTERBOTTENS LÄN</t>
        </is>
      </c>
      <c r="E319" t="inlineStr">
        <is>
          <t>SKELLEFTEÅ</t>
        </is>
      </c>
      <c r="G319" t="n">
        <v>3.9</v>
      </c>
      <c r="H319" t="n">
        <v>0</v>
      </c>
      <c r="I319" t="n">
        <v>0</v>
      </c>
      <c r="J319" t="n">
        <v>0</v>
      </c>
      <c r="K319" t="n">
        <v>0</v>
      </c>
      <c r="L319" t="n">
        <v>0</v>
      </c>
      <c r="M319" t="n">
        <v>0</v>
      </c>
      <c r="N319" t="n">
        <v>0</v>
      </c>
      <c r="O319" t="n">
        <v>0</v>
      </c>
      <c r="P319" t="n">
        <v>0</v>
      </c>
      <c r="Q319" t="n">
        <v>0</v>
      </c>
      <c r="R319" s="2" t="inlineStr"/>
    </row>
    <row r="320" ht="15" customHeight="1">
      <c r="A320" t="inlineStr">
        <is>
          <t>A 46227-2019</t>
        </is>
      </c>
      <c r="B320" s="1" t="n">
        <v>43714</v>
      </c>
      <c r="C320" s="1" t="n">
        <v>45566</v>
      </c>
      <c r="D320" t="inlineStr">
        <is>
          <t>VÄSTERBOTTENS LÄN</t>
        </is>
      </c>
      <c r="E320" t="inlineStr">
        <is>
          <t>SKELLEFTEÅ</t>
        </is>
      </c>
      <c r="G320" t="n">
        <v>4.3</v>
      </c>
      <c r="H320" t="n">
        <v>0</v>
      </c>
      <c r="I320" t="n">
        <v>0</v>
      </c>
      <c r="J320" t="n">
        <v>0</v>
      </c>
      <c r="K320" t="n">
        <v>0</v>
      </c>
      <c r="L320" t="n">
        <v>0</v>
      </c>
      <c r="M320" t="n">
        <v>0</v>
      </c>
      <c r="N320" t="n">
        <v>0</v>
      </c>
      <c r="O320" t="n">
        <v>0</v>
      </c>
      <c r="P320" t="n">
        <v>0</v>
      </c>
      <c r="Q320" t="n">
        <v>0</v>
      </c>
      <c r="R320" s="2" t="inlineStr"/>
    </row>
    <row r="321" ht="15" customHeight="1">
      <c r="A321" t="inlineStr">
        <is>
          <t>A 46367-2019</t>
        </is>
      </c>
      <c r="B321" s="1" t="n">
        <v>43718</v>
      </c>
      <c r="C321" s="1" t="n">
        <v>45566</v>
      </c>
      <c r="D321" t="inlineStr">
        <is>
          <t>VÄSTERBOTTENS LÄN</t>
        </is>
      </c>
      <c r="E321" t="inlineStr">
        <is>
          <t>SKELLEFTEÅ</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46355-2019</t>
        </is>
      </c>
      <c r="B322" s="1" t="n">
        <v>43718</v>
      </c>
      <c r="C322" s="1" t="n">
        <v>45566</v>
      </c>
      <c r="D322" t="inlineStr">
        <is>
          <t>VÄSTERBOTTENS LÄN</t>
        </is>
      </c>
      <c r="E322" t="inlineStr">
        <is>
          <t>SKELLEFTEÅ</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46368-2019</t>
        </is>
      </c>
      <c r="B323" s="1" t="n">
        <v>43718</v>
      </c>
      <c r="C323" s="1" t="n">
        <v>45566</v>
      </c>
      <c r="D323" t="inlineStr">
        <is>
          <t>VÄSTERBOTTENS LÄN</t>
        </is>
      </c>
      <c r="E323" t="inlineStr">
        <is>
          <t>SKELLEFTEÅ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46952-2019</t>
        </is>
      </c>
      <c r="B324" s="1" t="n">
        <v>43720</v>
      </c>
      <c r="C324" s="1" t="n">
        <v>45566</v>
      </c>
      <c r="D324" t="inlineStr">
        <is>
          <t>VÄSTERBOTTENS LÄN</t>
        </is>
      </c>
      <c r="E324" t="inlineStr">
        <is>
          <t>SKELLEFTEÅ</t>
        </is>
      </c>
      <c r="F324" t="inlineStr">
        <is>
          <t>Holmen skog AB</t>
        </is>
      </c>
      <c r="G324" t="n">
        <v>10.8</v>
      </c>
      <c r="H324" t="n">
        <v>0</v>
      </c>
      <c r="I324" t="n">
        <v>0</v>
      </c>
      <c r="J324" t="n">
        <v>0</v>
      </c>
      <c r="K324" t="n">
        <v>0</v>
      </c>
      <c r="L324" t="n">
        <v>0</v>
      </c>
      <c r="M324" t="n">
        <v>0</v>
      </c>
      <c r="N324" t="n">
        <v>0</v>
      </c>
      <c r="O324" t="n">
        <v>0</v>
      </c>
      <c r="P324" t="n">
        <v>0</v>
      </c>
      <c r="Q324" t="n">
        <v>0</v>
      </c>
      <c r="R324" s="2" t="inlineStr"/>
    </row>
    <row r="325" ht="15" customHeight="1">
      <c r="A325" t="inlineStr">
        <is>
          <t>A 46968-2019</t>
        </is>
      </c>
      <c r="B325" s="1" t="n">
        <v>43720</v>
      </c>
      <c r="C325" s="1" t="n">
        <v>45566</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46946-2019</t>
        </is>
      </c>
      <c r="B326" s="1" t="n">
        <v>43720</v>
      </c>
      <c r="C326" s="1" t="n">
        <v>45566</v>
      </c>
      <c r="D326" t="inlineStr">
        <is>
          <t>VÄSTERBOTTENS LÄN</t>
        </is>
      </c>
      <c r="E326" t="inlineStr">
        <is>
          <t>SKELLEFTEÅ</t>
        </is>
      </c>
      <c r="F326" t="inlineStr">
        <is>
          <t>Holmen skog AB</t>
        </is>
      </c>
      <c r="G326" t="n">
        <v>13.2</v>
      </c>
      <c r="H326" t="n">
        <v>0</v>
      </c>
      <c r="I326" t="n">
        <v>0</v>
      </c>
      <c r="J326" t="n">
        <v>0</v>
      </c>
      <c r="K326" t="n">
        <v>0</v>
      </c>
      <c r="L326" t="n">
        <v>0</v>
      </c>
      <c r="M326" t="n">
        <v>0</v>
      </c>
      <c r="N326" t="n">
        <v>0</v>
      </c>
      <c r="O326" t="n">
        <v>0</v>
      </c>
      <c r="P326" t="n">
        <v>0</v>
      </c>
      <c r="Q326" t="n">
        <v>0</v>
      </c>
      <c r="R326" s="2" t="inlineStr"/>
    </row>
    <row r="327" ht="15" customHeight="1">
      <c r="A327" t="inlineStr">
        <is>
          <t>A 47224-2019</t>
        </is>
      </c>
      <c r="B327" s="1" t="n">
        <v>43720</v>
      </c>
      <c r="C327" s="1" t="n">
        <v>45566</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47091-2019</t>
        </is>
      </c>
      <c r="B328" s="1" t="n">
        <v>43720</v>
      </c>
      <c r="C328" s="1" t="n">
        <v>45566</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47452-2019</t>
        </is>
      </c>
      <c r="B329" s="1" t="n">
        <v>43721</v>
      </c>
      <c r="C329" s="1" t="n">
        <v>45566</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47460-2019</t>
        </is>
      </c>
      <c r="B330" s="1" t="n">
        <v>43721</v>
      </c>
      <c r="C330" s="1" t="n">
        <v>45566</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47535-2019</t>
        </is>
      </c>
      <c r="B331" s="1" t="n">
        <v>43721</v>
      </c>
      <c r="C331" s="1" t="n">
        <v>45566</v>
      </c>
      <c r="D331" t="inlineStr">
        <is>
          <t>VÄSTERBOTTENS LÄN</t>
        </is>
      </c>
      <c r="E331" t="inlineStr">
        <is>
          <t>SKELLEFTEÅ</t>
        </is>
      </c>
      <c r="G331" t="n">
        <v>1.9</v>
      </c>
      <c r="H331" t="n">
        <v>0</v>
      </c>
      <c r="I331" t="n">
        <v>0</v>
      </c>
      <c r="J331" t="n">
        <v>0</v>
      </c>
      <c r="K331" t="n">
        <v>0</v>
      </c>
      <c r="L331" t="n">
        <v>0</v>
      </c>
      <c r="M331" t="n">
        <v>0</v>
      </c>
      <c r="N331" t="n">
        <v>0</v>
      </c>
      <c r="O331" t="n">
        <v>0</v>
      </c>
      <c r="P331" t="n">
        <v>0</v>
      </c>
      <c r="Q331" t="n">
        <v>0</v>
      </c>
      <c r="R331" s="2" t="inlineStr"/>
    </row>
    <row r="332" ht="15" customHeight="1">
      <c r="A332" t="inlineStr">
        <is>
          <t>A 47572-2019</t>
        </is>
      </c>
      <c r="B332" s="1" t="n">
        <v>43724</v>
      </c>
      <c r="C332" s="1" t="n">
        <v>45566</v>
      </c>
      <c r="D332" t="inlineStr">
        <is>
          <t>VÄSTERBOTTENS LÄN</t>
        </is>
      </c>
      <c r="E332" t="inlineStr">
        <is>
          <t>SKELLEFTEÅ</t>
        </is>
      </c>
      <c r="G332" t="n">
        <v>3.6</v>
      </c>
      <c r="H332" t="n">
        <v>0</v>
      </c>
      <c r="I332" t="n">
        <v>0</v>
      </c>
      <c r="J332" t="n">
        <v>0</v>
      </c>
      <c r="K332" t="n">
        <v>0</v>
      </c>
      <c r="L332" t="n">
        <v>0</v>
      </c>
      <c r="M332" t="n">
        <v>0</v>
      </c>
      <c r="N332" t="n">
        <v>0</v>
      </c>
      <c r="O332" t="n">
        <v>0</v>
      </c>
      <c r="P332" t="n">
        <v>0</v>
      </c>
      <c r="Q332" t="n">
        <v>0</v>
      </c>
      <c r="R332" s="2" t="inlineStr"/>
    </row>
    <row r="333" ht="15" customHeight="1">
      <c r="A333" t="inlineStr">
        <is>
          <t>A 47643-2019</t>
        </is>
      </c>
      <c r="B333" s="1" t="n">
        <v>43724</v>
      </c>
      <c r="C333" s="1" t="n">
        <v>45566</v>
      </c>
      <c r="D333" t="inlineStr">
        <is>
          <t>VÄSTERBOTTENS LÄN</t>
        </is>
      </c>
      <c r="E333" t="inlineStr">
        <is>
          <t>SKELLEFTEÅ</t>
        </is>
      </c>
      <c r="G333" t="n">
        <v>3.5</v>
      </c>
      <c r="H333" t="n">
        <v>0</v>
      </c>
      <c r="I333" t="n">
        <v>0</v>
      </c>
      <c r="J333" t="n">
        <v>0</v>
      </c>
      <c r="K333" t="n">
        <v>0</v>
      </c>
      <c r="L333" t="n">
        <v>0</v>
      </c>
      <c r="M333" t="n">
        <v>0</v>
      </c>
      <c r="N333" t="n">
        <v>0</v>
      </c>
      <c r="O333" t="n">
        <v>0</v>
      </c>
      <c r="P333" t="n">
        <v>0</v>
      </c>
      <c r="Q333" t="n">
        <v>0</v>
      </c>
      <c r="R333" s="2" t="inlineStr"/>
    </row>
    <row r="334" ht="15" customHeight="1">
      <c r="A334" t="inlineStr">
        <is>
          <t>A 48592-2019</t>
        </is>
      </c>
      <c r="B334" s="1" t="n">
        <v>43727</v>
      </c>
      <c r="C334" s="1" t="n">
        <v>45566</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48786-2019</t>
        </is>
      </c>
      <c r="B335" s="1" t="n">
        <v>43727</v>
      </c>
      <c r="C335" s="1" t="n">
        <v>45566</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48957-2019</t>
        </is>
      </c>
      <c r="B336" s="1" t="n">
        <v>43728</v>
      </c>
      <c r="C336" s="1" t="n">
        <v>45566</v>
      </c>
      <c r="D336" t="inlineStr">
        <is>
          <t>VÄSTERBOTTENS LÄN</t>
        </is>
      </c>
      <c r="E336" t="inlineStr">
        <is>
          <t>SKELLEFTEÅ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49617-2019</t>
        </is>
      </c>
      <c r="B337" s="1" t="n">
        <v>43728</v>
      </c>
      <c r="C337" s="1" t="n">
        <v>45566</v>
      </c>
      <c r="D337" t="inlineStr">
        <is>
          <t>VÄSTERBOTTENS LÄN</t>
        </is>
      </c>
      <c r="E337" t="inlineStr">
        <is>
          <t>SKELLEFTEÅ</t>
        </is>
      </c>
      <c r="G337" t="n">
        <v>2.8</v>
      </c>
      <c r="H337" t="n">
        <v>0</v>
      </c>
      <c r="I337" t="n">
        <v>0</v>
      </c>
      <c r="J337" t="n">
        <v>0</v>
      </c>
      <c r="K337" t="n">
        <v>0</v>
      </c>
      <c r="L337" t="n">
        <v>0</v>
      </c>
      <c r="M337" t="n">
        <v>0</v>
      </c>
      <c r="N337" t="n">
        <v>0</v>
      </c>
      <c r="O337" t="n">
        <v>0</v>
      </c>
      <c r="P337" t="n">
        <v>0</v>
      </c>
      <c r="Q337" t="n">
        <v>0</v>
      </c>
      <c r="R337" s="2" t="inlineStr"/>
    </row>
    <row r="338" ht="15" customHeight="1">
      <c r="A338" t="inlineStr">
        <is>
          <t>A 49464-2019</t>
        </is>
      </c>
      <c r="B338" s="1" t="n">
        <v>43728</v>
      </c>
      <c r="C338" s="1" t="n">
        <v>45566</v>
      </c>
      <c r="D338" t="inlineStr">
        <is>
          <t>VÄSTERBOTTENS LÄN</t>
        </is>
      </c>
      <c r="E338" t="inlineStr">
        <is>
          <t>SKELLEFTEÅ</t>
        </is>
      </c>
      <c r="G338" t="n">
        <v>7.1</v>
      </c>
      <c r="H338" t="n">
        <v>0</v>
      </c>
      <c r="I338" t="n">
        <v>0</v>
      </c>
      <c r="J338" t="n">
        <v>0</v>
      </c>
      <c r="K338" t="n">
        <v>0</v>
      </c>
      <c r="L338" t="n">
        <v>0</v>
      </c>
      <c r="M338" t="n">
        <v>0</v>
      </c>
      <c r="N338" t="n">
        <v>0</v>
      </c>
      <c r="O338" t="n">
        <v>0</v>
      </c>
      <c r="P338" t="n">
        <v>0</v>
      </c>
      <c r="Q338" t="n">
        <v>0</v>
      </c>
      <c r="R338" s="2" t="inlineStr"/>
    </row>
    <row r="339" ht="15" customHeight="1">
      <c r="A339" t="inlineStr">
        <is>
          <t>A 49712-2019</t>
        </is>
      </c>
      <c r="B339" s="1" t="n">
        <v>43728</v>
      </c>
      <c r="C339" s="1" t="n">
        <v>45566</v>
      </c>
      <c r="D339" t="inlineStr">
        <is>
          <t>VÄSTERBOTTENS LÄN</t>
        </is>
      </c>
      <c r="E339" t="inlineStr">
        <is>
          <t>SKELLEFTEÅ</t>
        </is>
      </c>
      <c r="G339" t="n">
        <v>4.2</v>
      </c>
      <c r="H339" t="n">
        <v>0</v>
      </c>
      <c r="I339" t="n">
        <v>0</v>
      </c>
      <c r="J339" t="n">
        <v>0</v>
      </c>
      <c r="K339" t="n">
        <v>0</v>
      </c>
      <c r="L339" t="n">
        <v>0</v>
      </c>
      <c r="M339" t="n">
        <v>0</v>
      </c>
      <c r="N339" t="n">
        <v>0</v>
      </c>
      <c r="O339" t="n">
        <v>0</v>
      </c>
      <c r="P339" t="n">
        <v>0</v>
      </c>
      <c r="Q339" t="n">
        <v>0</v>
      </c>
      <c r="R339" s="2" t="inlineStr"/>
    </row>
    <row r="340" ht="15" customHeight="1">
      <c r="A340" t="inlineStr">
        <is>
          <t>A 49005-2019</t>
        </is>
      </c>
      <c r="B340" s="1" t="n">
        <v>43730</v>
      </c>
      <c r="C340" s="1" t="n">
        <v>45566</v>
      </c>
      <c r="D340" t="inlineStr">
        <is>
          <t>VÄSTERBOTTENS LÄN</t>
        </is>
      </c>
      <c r="E340" t="inlineStr">
        <is>
          <t>SKELLEFTEÅ</t>
        </is>
      </c>
      <c r="F340" t="inlineStr">
        <is>
          <t>Holmen skog AB</t>
        </is>
      </c>
      <c r="G340" t="n">
        <v>5.5</v>
      </c>
      <c r="H340" t="n">
        <v>0</v>
      </c>
      <c r="I340" t="n">
        <v>0</v>
      </c>
      <c r="J340" t="n">
        <v>0</v>
      </c>
      <c r="K340" t="n">
        <v>0</v>
      </c>
      <c r="L340" t="n">
        <v>0</v>
      </c>
      <c r="M340" t="n">
        <v>0</v>
      </c>
      <c r="N340" t="n">
        <v>0</v>
      </c>
      <c r="O340" t="n">
        <v>0</v>
      </c>
      <c r="P340" t="n">
        <v>0</v>
      </c>
      <c r="Q340" t="n">
        <v>0</v>
      </c>
      <c r="R340" s="2" t="inlineStr"/>
    </row>
    <row r="341" ht="15" customHeight="1">
      <c r="A341" t="inlineStr">
        <is>
          <t>A 49327-2019</t>
        </is>
      </c>
      <c r="B341" s="1" t="n">
        <v>43731</v>
      </c>
      <c r="C341" s="1" t="n">
        <v>45566</v>
      </c>
      <c r="D341" t="inlineStr">
        <is>
          <t>VÄSTERBOTTENS LÄN</t>
        </is>
      </c>
      <c r="E341" t="inlineStr">
        <is>
          <t>SKELLEFTEÅ</t>
        </is>
      </c>
      <c r="G341" t="n">
        <v>0.7</v>
      </c>
      <c r="H341" t="n">
        <v>0</v>
      </c>
      <c r="I341" t="n">
        <v>0</v>
      </c>
      <c r="J341" t="n">
        <v>0</v>
      </c>
      <c r="K341" t="n">
        <v>0</v>
      </c>
      <c r="L341" t="n">
        <v>0</v>
      </c>
      <c r="M341" t="n">
        <v>0</v>
      </c>
      <c r="N341" t="n">
        <v>0</v>
      </c>
      <c r="O341" t="n">
        <v>0</v>
      </c>
      <c r="P341" t="n">
        <v>0</v>
      </c>
      <c r="Q341" t="n">
        <v>0</v>
      </c>
      <c r="R341" s="2" t="inlineStr"/>
    </row>
    <row r="342" ht="15" customHeight="1">
      <c r="A342" t="inlineStr">
        <is>
          <t>A 49282-2019</t>
        </is>
      </c>
      <c r="B342" s="1" t="n">
        <v>43731</v>
      </c>
      <c r="C342" s="1" t="n">
        <v>45566</v>
      </c>
      <c r="D342" t="inlineStr">
        <is>
          <t>VÄSTERBOTTENS LÄN</t>
        </is>
      </c>
      <c r="E342" t="inlineStr">
        <is>
          <t>SKELLEFTEÅ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49312-2019</t>
        </is>
      </c>
      <c r="B343" s="1" t="n">
        <v>43731</v>
      </c>
      <c r="C343" s="1" t="n">
        <v>45566</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49792-2019</t>
        </is>
      </c>
      <c r="B344" s="1" t="n">
        <v>43733</v>
      </c>
      <c r="C344" s="1" t="n">
        <v>45566</v>
      </c>
      <c r="D344" t="inlineStr">
        <is>
          <t>VÄSTERBOTTENS LÄN</t>
        </is>
      </c>
      <c r="E344" t="inlineStr">
        <is>
          <t>SKELLEFTEÅ</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49793-2019</t>
        </is>
      </c>
      <c r="B345" s="1" t="n">
        <v>43733</v>
      </c>
      <c r="C345" s="1" t="n">
        <v>45566</v>
      </c>
      <c r="D345" t="inlineStr">
        <is>
          <t>VÄSTERBOTTENS LÄN</t>
        </is>
      </c>
      <c r="E345" t="inlineStr">
        <is>
          <t>SKELLEFTEÅ</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50518-2019</t>
        </is>
      </c>
      <c r="B346" s="1" t="n">
        <v>43733</v>
      </c>
      <c r="C346" s="1" t="n">
        <v>45566</v>
      </c>
      <c r="D346" t="inlineStr">
        <is>
          <t>VÄSTERBOTTENS LÄN</t>
        </is>
      </c>
      <c r="E346" t="inlineStr">
        <is>
          <t>SKELLEFTEÅ</t>
        </is>
      </c>
      <c r="G346" t="n">
        <v>1.3</v>
      </c>
      <c r="H346" t="n">
        <v>0</v>
      </c>
      <c r="I346" t="n">
        <v>0</v>
      </c>
      <c r="J346" t="n">
        <v>0</v>
      </c>
      <c r="K346" t="n">
        <v>0</v>
      </c>
      <c r="L346" t="n">
        <v>0</v>
      </c>
      <c r="M346" t="n">
        <v>0</v>
      </c>
      <c r="N346" t="n">
        <v>0</v>
      </c>
      <c r="O346" t="n">
        <v>0</v>
      </c>
      <c r="P346" t="n">
        <v>0</v>
      </c>
      <c r="Q346" t="n">
        <v>0</v>
      </c>
      <c r="R346" s="2" t="inlineStr"/>
    </row>
    <row r="347" ht="15" customHeight="1">
      <c r="A347" t="inlineStr">
        <is>
          <t>A 50515-2019</t>
        </is>
      </c>
      <c r="B347" s="1" t="n">
        <v>43733</v>
      </c>
      <c r="C347" s="1" t="n">
        <v>45566</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50572-2019</t>
        </is>
      </c>
      <c r="B348" s="1" t="n">
        <v>43735</v>
      </c>
      <c r="C348" s="1" t="n">
        <v>45566</v>
      </c>
      <c r="D348" t="inlineStr">
        <is>
          <t>VÄSTERBOTTENS LÄN</t>
        </is>
      </c>
      <c r="E348" t="inlineStr">
        <is>
          <t>SKELLEFTEÅ</t>
        </is>
      </c>
      <c r="F348" t="inlineStr">
        <is>
          <t>Sveaskog</t>
        </is>
      </c>
      <c r="G348" t="n">
        <v>12.1</v>
      </c>
      <c r="H348" t="n">
        <v>0</v>
      </c>
      <c r="I348" t="n">
        <v>0</v>
      </c>
      <c r="J348" t="n">
        <v>0</v>
      </c>
      <c r="K348" t="n">
        <v>0</v>
      </c>
      <c r="L348" t="n">
        <v>0</v>
      </c>
      <c r="M348" t="n">
        <v>0</v>
      </c>
      <c r="N348" t="n">
        <v>0</v>
      </c>
      <c r="O348" t="n">
        <v>0</v>
      </c>
      <c r="P348" t="n">
        <v>0</v>
      </c>
      <c r="Q348" t="n">
        <v>0</v>
      </c>
      <c r="R348" s="2" t="inlineStr"/>
    </row>
    <row r="349" ht="15" customHeight="1">
      <c r="A349" t="inlineStr">
        <is>
          <t>A 50568-2019</t>
        </is>
      </c>
      <c r="B349" s="1" t="n">
        <v>43735</v>
      </c>
      <c r="C349" s="1" t="n">
        <v>45566</v>
      </c>
      <c r="D349" t="inlineStr">
        <is>
          <t>VÄSTERBOTTENS LÄN</t>
        </is>
      </c>
      <c r="E349" t="inlineStr">
        <is>
          <t>SKELLEFTEÅ</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50574-2019</t>
        </is>
      </c>
      <c r="B350" s="1" t="n">
        <v>43735</v>
      </c>
      <c r="C350" s="1" t="n">
        <v>45566</v>
      </c>
      <c r="D350" t="inlineStr">
        <is>
          <t>VÄSTERBOTTENS LÄN</t>
        </is>
      </c>
      <c r="E350" t="inlineStr">
        <is>
          <t>SKELLEFTEÅ</t>
        </is>
      </c>
      <c r="F350" t="inlineStr">
        <is>
          <t>Sveaskog</t>
        </is>
      </c>
      <c r="G350" t="n">
        <v>7.8</v>
      </c>
      <c r="H350" t="n">
        <v>0</v>
      </c>
      <c r="I350" t="n">
        <v>0</v>
      </c>
      <c r="J350" t="n">
        <v>0</v>
      </c>
      <c r="K350" t="n">
        <v>0</v>
      </c>
      <c r="L350" t="n">
        <v>0</v>
      </c>
      <c r="M350" t="n">
        <v>0</v>
      </c>
      <c r="N350" t="n">
        <v>0</v>
      </c>
      <c r="O350" t="n">
        <v>0</v>
      </c>
      <c r="P350" t="n">
        <v>0</v>
      </c>
      <c r="Q350" t="n">
        <v>0</v>
      </c>
      <c r="R350" s="2" t="inlineStr"/>
    </row>
    <row r="351" ht="15" customHeight="1">
      <c r="A351" t="inlineStr">
        <is>
          <t>A 50576-2019</t>
        </is>
      </c>
      <c r="B351" s="1" t="n">
        <v>43735</v>
      </c>
      <c r="C351" s="1" t="n">
        <v>45566</v>
      </c>
      <c r="D351" t="inlineStr">
        <is>
          <t>VÄSTERBOTTENS LÄN</t>
        </is>
      </c>
      <c r="E351" t="inlineStr">
        <is>
          <t>SKELLEFTEÅ</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53194-2019</t>
        </is>
      </c>
      <c r="B352" s="1" t="n">
        <v>43735</v>
      </c>
      <c r="C352" s="1" t="n">
        <v>45566</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50872-2019</t>
        </is>
      </c>
      <c r="B353" s="1" t="n">
        <v>43738</v>
      </c>
      <c r="C353" s="1" t="n">
        <v>45566</v>
      </c>
      <c r="D353" t="inlineStr">
        <is>
          <t>VÄSTERBOTTENS LÄN</t>
        </is>
      </c>
      <c r="E353" t="inlineStr">
        <is>
          <t>SKELLEFTEÅ</t>
        </is>
      </c>
      <c r="F353" t="inlineStr">
        <is>
          <t>Holmen skog AB</t>
        </is>
      </c>
      <c r="G353" t="n">
        <v>11.5</v>
      </c>
      <c r="H353" t="n">
        <v>0</v>
      </c>
      <c r="I353" t="n">
        <v>0</v>
      </c>
      <c r="J353" t="n">
        <v>0</v>
      </c>
      <c r="K353" t="n">
        <v>0</v>
      </c>
      <c r="L353" t="n">
        <v>0</v>
      </c>
      <c r="M353" t="n">
        <v>0</v>
      </c>
      <c r="N353" t="n">
        <v>0</v>
      </c>
      <c r="O353" t="n">
        <v>0</v>
      </c>
      <c r="P353" t="n">
        <v>0</v>
      </c>
      <c r="Q353" t="n">
        <v>0</v>
      </c>
      <c r="R353" s="2" t="inlineStr"/>
    </row>
    <row r="354" ht="15" customHeight="1">
      <c r="A354" t="inlineStr">
        <is>
          <t>A 53311-2019</t>
        </is>
      </c>
      <c r="B354" s="1" t="n">
        <v>43740</v>
      </c>
      <c r="C354" s="1" t="n">
        <v>45566</v>
      </c>
      <c r="D354" t="inlineStr">
        <is>
          <t>VÄSTERBOTTENS LÄN</t>
        </is>
      </c>
      <c r="E354" t="inlineStr">
        <is>
          <t>SKELLEFTEÅ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53557-2019</t>
        </is>
      </c>
      <c r="B355" s="1" t="n">
        <v>43740</v>
      </c>
      <c r="C355" s="1" t="n">
        <v>45566</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54004-2019</t>
        </is>
      </c>
      <c r="B356" s="1" t="n">
        <v>43742</v>
      </c>
      <c r="C356" s="1" t="n">
        <v>45566</v>
      </c>
      <c r="D356" t="inlineStr">
        <is>
          <t>VÄSTERBOTTENS LÄN</t>
        </is>
      </c>
      <c r="E356" t="inlineStr">
        <is>
          <t>SKELLEFTEÅ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52019-2019</t>
        </is>
      </c>
      <c r="B357" s="1" t="n">
        <v>43742</v>
      </c>
      <c r="C357" s="1" t="n">
        <v>45566</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53980-2019</t>
        </is>
      </c>
      <c r="B358" s="1" t="n">
        <v>43742</v>
      </c>
      <c r="C358" s="1" t="n">
        <v>45566</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52469-2019</t>
        </is>
      </c>
      <c r="B359" s="1" t="n">
        <v>43745</v>
      </c>
      <c r="C359" s="1" t="n">
        <v>45566</v>
      </c>
      <c r="D359" t="inlineStr">
        <is>
          <t>VÄSTERBOTTENS LÄN</t>
        </is>
      </c>
      <c r="E359" t="inlineStr">
        <is>
          <t>SKELLEFTEÅ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52506-2019</t>
        </is>
      </c>
      <c r="B360" s="1" t="n">
        <v>43745</v>
      </c>
      <c r="C360" s="1" t="n">
        <v>45566</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52471-2019</t>
        </is>
      </c>
      <c r="B361" s="1" t="n">
        <v>43745</v>
      </c>
      <c r="C361" s="1" t="n">
        <v>45566</v>
      </c>
      <c r="D361" t="inlineStr">
        <is>
          <t>VÄSTERBOTTENS LÄN</t>
        </is>
      </c>
      <c r="E361" t="inlineStr">
        <is>
          <t>SKELLEFTEÅ</t>
        </is>
      </c>
      <c r="G361" t="n">
        <v>7.8</v>
      </c>
      <c r="H361" t="n">
        <v>0</v>
      </c>
      <c r="I361" t="n">
        <v>0</v>
      </c>
      <c r="J361" t="n">
        <v>0</v>
      </c>
      <c r="K361" t="n">
        <v>0</v>
      </c>
      <c r="L361" t="n">
        <v>0</v>
      </c>
      <c r="M361" t="n">
        <v>0</v>
      </c>
      <c r="N361" t="n">
        <v>0</v>
      </c>
      <c r="O361" t="n">
        <v>0</v>
      </c>
      <c r="P361" t="n">
        <v>0</v>
      </c>
      <c r="Q361" t="n">
        <v>0</v>
      </c>
      <c r="R361" s="2" t="inlineStr"/>
    </row>
    <row r="362" ht="15" customHeight="1">
      <c r="A362" t="inlineStr">
        <is>
          <t>A 52484-2019</t>
        </is>
      </c>
      <c r="B362" s="1" t="n">
        <v>43745</v>
      </c>
      <c r="C362" s="1" t="n">
        <v>45566</v>
      </c>
      <c r="D362" t="inlineStr">
        <is>
          <t>VÄSTERBOTTENS LÄN</t>
        </is>
      </c>
      <c r="E362" t="inlineStr">
        <is>
          <t>SKELLEFTEÅ</t>
        </is>
      </c>
      <c r="G362" t="n">
        <v>9</v>
      </c>
      <c r="H362" t="n">
        <v>0</v>
      </c>
      <c r="I362" t="n">
        <v>0</v>
      </c>
      <c r="J362" t="n">
        <v>0</v>
      </c>
      <c r="K362" t="n">
        <v>0</v>
      </c>
      <c r="L362" t="n">
        <v>0</v>
      </c>
      <c r="M362" t="n">
        <v>0</v>
      </c>
      <c r="N362" t="n">
        <v>0</v>
      </c>
      <c r="O362" t="n">
        <v>0</v>
      </c>
      <c r="P362" t="n">
        <v>0</v>
      </c>
      <c r="Q362" t="n">
        <v>0</v>
      </c>
      <c r="R362" s="2" t="inlineStr"/>
    </row>
    <row r="363" ht="15" customHeight="1">
      <c r="A363" t="inlineStr">
        <is>
          <t>A 52546-2019</t>
        </is>
      </c>
      <c r="B363" s="1" t="n">
        <v>43745</v>
      </c>
      <c r="C363" s="1" t="n">
        <v>45566</v>
      </c>
      <c r="D363" t="inlineStr">
        <is>
          <t>VÄSTERBOTTENS LÄN</t>
        </is>
      </c>
      <c r="E363" t="inlineStr">
        <is>
          <t>SKELLEFTEÅ</t>
        </is>
      </c>
      <c r="G363" t="n">
        <v>4</v>
      </c>
      <c r="H363" t="n">
        <v>0</v>
      </c>
      <c r="I363" t="n">
        <v>0</v>
      </c>
      <c r="J363" t="n">
        <v>0</v>
      </c>
      <c r="K363" t="n">
        <v>0</v>
      </c>
      <c r="L363" t="n">
        <v>0</v>
      </c>
      <c r="M363" t="n">
        <v>0</v>
      </c>
      <c r="N363" t="n">
        <v>0</v>
      </c>
      <c r="O363" t="n">
        <v>0</v>
      </c>
      <c r="P363" t="n">
        <v>0</v>
      </c>
      <c r="Q363" t="n">
        <v>0</v>
      </c>
      <c r="R363" s="2" t="inlineStr"/>
    </row>
    <row r="364" ht="15" customHeight="1">
      <c r="A364" t="inlineStr">
        <is>
          <t>A 52953-2019</t>
        </is>
      </c>
      <c r="B364" s="1" t="n">
        <v>43747</v>
      </c>
      <c r="C364" s="1" t="n">
        <v>45566</v>
      </c>
      <c r="D364" t="inlineStr">
        <is>
          <t>VÄSTERBOTTENS LÄN</t>
        </is>
      </c>
      <c r="E364" t="inlineStr">
        <is>
          <t>SKELLEFTEÅ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54742-2019</t>
        </is>
      </c>
      <c r="B365" s="1" t="n">
        <v>43748</v>
      </c>
      <c r="C365" s="1" t="n">
        <v>45566</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53584-2019</t>
        </is>
      </c>
      <c r="B366" s="1" t="n">
        <v>43749</v>
      </c>
      <c r="C366" s="1" t="n">
        <v>45566</v>
      </c>
      <c r="D366" t="inlineStr">
        <is>
          <t>VÄSTERBOTTENS LÄN</t>
        </is>
      </c>
      <c r="E366" t="inlineStr">
        <is>
          <t>SKELLEFTEÅ</t>
        </is>
      </c>
      <c r="G366" t="n">
        <v>11.4</v>
      </c>
      <c r="H366" t="n">
        <v>0</v>
      </c>
      <c r="I366" t="n">
        <v>0</v>
      </c>
      <c r="J366" t="n">
        <v>0</v>
      </c>
      <c r="K366" t="n">
        <v>0</v>
      </c>
      <c r="L366" t="n">
        <v>0</v>
      </c>
      <c r="M366" t="n">
        <v>0</v>
      </c>
      <c r="N366" t="n">
        <v>0</v>
      </c>
      <c r="O366" t="n">
        <v>0</v>
      </c>
      <c r="P366" t="n">
        <v>0</v>
      </c>
      <c r="Q366" t="n">
        <v>0</v>
      </c>
      <c r="R366" s="2" t="inlineStr"/>
    </row>
    <row r="367" ht="15" customHeight="1">
      <c r="A367" t="inlineStr">
        <is>
          <t>A 54935-2019</t>
        </is>
      </c>
      <c r="B367" s="1" t="n">
        <v>43749</v>
      </c>
      <c r="C367" s="1" t="n">
        <v>45566</v>
      </c>
      <c r="D367" t="inlineStr">
        <is>
          <t>VÄSTERBOTTENS LÄN</t>
        </is>
      </c>
      <c r="E367" t="inlineStr">
        <is>
          <t>SKELLEFTEÅ</t>
        </is>
      </c>
      <c r="G367" t="n">
        <v>0.9</v>
      </c>
      <c r="H367" t="n">
        <v>0</v>
      </c>
      <c r="I367" t="n">
        <v>0</v>
      </c>
      <c r="J367" t="n">
        <v>0</v>
      </c>
      <c r="K367" t="n">
        <v>0</v>
      </c>
      <c r="L367" t="n">
        <v>0</v>
      </c>
      <c r="M367" t="n">
        <v>0</v>
      </c>
      <c r="N367" t="n">
        <v>0</v>
      </c>
      <c r="O367" t="n">
        <v>0</v>
      </c>
      <c r="P367" t="n">
        <v>0</v>
      </c>
      <c r="Q367" t="n">
        <v>0</v>
      </c>
      <c r="R367" s="2" t="inlineStr"/>
    </row>
    <row r="368" ht="15" customHeight="1">
      <c r="A368" t="inlineStr">
        <is>
          <t>A 54920-2019</t>
        </is>
      </c>
      <c r="B368" s="1" t="n">
        <v>43749</v>
      </c>
      <c r="C368" s="1" t="n">
        <v>45566</v>
      </c>
      <c r="D368" t="inlineStr">
        <is>
          <t>VÄSTERBOTTENS LÄN</t>
        </is>
      </c>
      <c r="E368" t="inlineStr">
        <is>
          <t>SKELLEFTEÅ</t>
        </is>
      </c>
      <c r="G368" t="n">
        <v>24.3</v>
      </c>
      <c r="H368" t="n">
        <v>0</v>
      </c>
      <c r="I368" t="n">
        <v>0</v>
      </c>
      <c r="J368" t="n">
        <v>0</v>
      </c>
      <c r="K368" t="n">
        <v>0</v>
      </c>
      <c r="L368" t="n">
        <v>0</v>
      </c>
      <c r="M368" t="n">
        <v>0</v>
      </c>
      <c r="N368" t="n">
        <v>0</v>
      </c>
      <c r="O368" t="n">
        <v>0</v>
      </c>
      <c r="P368" t="n">
        <v>0</v>
      </c>
      <c r="Q368" t="n">
        <v>0</v>
      </c>
      <c r="R368" s="2" t="inlineStr"/>
    </row>
    <row r="369" ht="15" customHeight="1">
      <c r="A369" t="inlineStr">
        <is>
          <t>A 54939-2019</t>
        </is>
      </c>
      <c r="B369" s="1" t="n">
        <v>43749</v>
      </c>
      <c r="C369" s="1" t="n">
        <v>45566</v>
      </c>
      <c r="D369" t="inlineStr">
        <is>
          <t>VÄSTERBOTTENS LÄN</t>
        </is>
      </c>
      <c r="E369" t="inlineStr">
        <is>
          <t>SKELLEFTEÅ</t>
        </is>
      </c>
      <c r="G369" t="n">
        <v>4.2</v>
      </c>
      <c r="H369" t="n">
        <v>0</v>
      </c>
      <c r="I369" t="n">
        <v>0</v>
      </c>
      <c r="J369" t="n">
        <v>0</v>
      </c>
      <c r="K369" t="n">
        <v>0</v>
      </c>
      <c r="L369" t="n">
        <v>0</v>
      </c>
      <c r="M369" t="n">
        <v>0</v>
      </c>
      <c r="N369" t="n">
        <v>0</v>
      </c>
      <c r="O369" t="n">
        <v>0</v>
      </c>
      <c r="P369" t="n">
        <v>0</v>
      </c>
      <c r="Q369" t="n">
        <v>0</v>
      </c>
      <c r="R369" s="2" t="inlineStr"/>
    </row>
    <row r="370" ht="15" customHeight="1">
      <c r="A370" t="inlineStr">
        <is>
          <t>A 53925-2019</t>
        </is>
      </c>
      <c r="B370" s="1" t="n">
        <v>43752</v>
      </c>
      <c r="C370" s="1" t="n">
        <v>45566</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54146-2019</t>
        </is>
      </c>
      <c r="B371" s="1" t="n">
        <v>43753</v>
      </c>
      <c r="C371" s="1" t="n">
        <v>45566</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54666-2019</t>
        </is>
      </c>
      <c r="B372" s="1" t="n">
        <v>43754</v>
      </c>
      <c r="C372" s="1" t="n">
        <v>45566</v>
      </c>
      <c r="D372" t="inlineStr">
        <is>
          <t>VÄSTERBOTTENS LÄN</t>
        </is>
      </c>
      <c r="E372" t="inlineStr">
        <is>
          <t>SKELLEFTEÅ</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54667-2019</t>
        </is>
      </c>
      <c r="B373" s="1" t="n">
        <v>43754</v>
      </c>
      <c r="C373" s="1" t="n">
        <v>45566</v>
      </c>
      <c r="D373" t="inlineStr">
        <is>
          <t>VÄSTERBOTTENS LÄN</t>
        </is>
      </c>
      <c r="E373" t="inlineStr">
        <is>
          <t>SKELLEFTEÅ</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55363-2019</t>
        </is>
      </c>
      <c r="B374" s="1" t="n">
        <v>43756</v>
      </c>
      <c r="C374" s="1" t="n">
        <v>45566</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55459-2019</t>
        </is>
      </c>
      <c r="B375" s="1" t="n">
        <v>43759</v>
      </c>
      <c r="C375" s="1" t="n">
        <v>45566</v>
      </c>
      <c r="D375" t="inlineStr">
        <is>
          <t>VÄSTERBOTTENS LÄN</t>
        </is>
      </c>
      <c r="E375" t="inlineStr">
        <is>
          <t>SKELLEFTEÅ</t>
        </is>
      </c>
      <c r="G375" t="n">
        <v>14.5</v>
      </c>
      <c r="H375" t="n">
        <v>0</v>
      </c>
      <c r="I375" t="n">
        <v>0</v>
      </c>
      <c r="J375" t="n">
        <v>0</v>
      </c>
      <c r="K375" t="n">
        <v>0</v>
      </c>
      <c r="L375" t="n">
        <v>0</v>
      </c>
      <c r="M375" t="n">
        <v>0</v>
      </c>
      <c r="N375" t="n">
        <v>0</v>
      </c>
      <c r="O375" t="n">
        <v>0</v>
      </c>
      <c r="P375" t="n">
        <v>0</v>
      </c>
      <c r="Q375" t="n">
        <v>0</v>
      </c>
      <c r="R375" s="2" t="inlineStr"/>
    </row>
    <row r="376" ht="15" customHeight="1">
      <c r="A376" t="inlineStr">
        <is>
          <t>A 55489-2019</t>
        </is>
      </c>
      <c r="B376" s="1" t="n">
        <v>43759</v>
      </c>
      <c r="C376" s="1" t="n">
        <v>45566</v>
      </c>
      <c r="D376" t="inlineStr">
        <is>
          <t>VÄSTERBOTTENS LÄN</t>
        </is>
      </c>
      <c r="E376" t="inlineStr">
        <is>
          <t>SKELLEFTEÅ</t>
        </is>
      </c>
      <c r="G376" t="n">
        <v>2.3</v>
      </c>
      <c r="H376" t="n">
        <v>0</v>
      </c>
      <c r="I376" t="n">
        <v>0</v>
      </c>
      <c r="J376" t="n">
        <v>0</v>
      </c>
      <c r="K376" t="n">
        <v>0</v>
      </c>
      <c r="L376" t="n">
        <v>0</v>
      </c>
      <c r="M376" t="n">
        <v>0</v>
      </c>
      <c r="N376" t="n">
        <v>0</v>
      </c>
      <c r="O376" t="n">
        <v>0</v>
      </c>
      <c r="P376" t="n">
        <v>0</v>
      </c>
      <c r="Q376" t="n">
        <v>0</v>
      </c>
      <c r="R376" s="2" t="inlineStr"/>
    </row>
    <row r="377" ht="15" customHeight="1">
      <c r="A377" t="inlineStr">
        <is>
          <t>A 56284-2019</t>
        </is>
      </c>
      <c r="B377" s="1" t="n">
        <v>43762</v>
      </c>
      <c r="C377" s="1" t="n">
        <v>45566</v>
      </c>
      <c r="D377" t="inlineStr">
        <is>
          <t>VÄSTERBOTTENS LÄN</t>
        </is>
      </c>
      <c r="E377" t="inlineStr">
        <is>
          <t>SKELLEFTEÅ</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56786-2019</t>
        </is>
      </c>
      <c r="B378" s="1" t="n">
        <v>43763</v>
      </c>
      <c r="C378" s="1" t="n">
        <v>45566</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56581-2019</t>
        </is>
      </c>
      <c r="B379" s="1" t="n">
        <v>43763</v>
      </c>
      <c r="C379" s="1" t="n">
        <v>45566</v>
      </c>
      <c r="D379" t="inlineStr">
        <is>
          <t>VÄSTERBOTTENS LÄN</t>
        </is>
      </c>
      <c r="E379" t="inlineStr">
        <is>
          <t>SKELLEFTEÅ</t>
        </is>
      </c>
      <c r="F379" t="inlineStr">
        <is>
          <t>Sveaskog</t>
        </is>
      </c>
      <c r="G379" t="n">
        <v>21.4</v>
      </c>
      <c r="H379" t="n">
        <v>0</v>
      </c>
      <c r="I379" t="n">
        <v>0</v>
      </c>
      <c r="J379" t="n">
        <v>0</v>
      </c>
      <c r="K379" t="n">
        <v>0</v>
      </c>
      <c r="L379" t="n">
        <v>0</v>
      </c>
      <c r="M379" t="n">
        <v>0</v>
      </c>
      <c r="N379" t="n">
        <v>0</v>
      </c>
      <c r="O379" t="n">
        <v>0</v>
      </c>
      <c r="P379" t="n">
        <v>0</v>
      </c>
      <c r="Q379" t="n">
        <v>0</v>
      </c>
      <c r="R379" s="2" t="inlineStr"/>
    </row>
    <row r="380" ht="15" customHeight="1">
      <c r="A380" t="inlineStr">
        <is>
          <t>A 57569-2019</t>
        </is>
      </c>
      <c r="B380" s="1" t="n">
        <v>43768</v>
      </c>
      <c r="C380" s="1" t="n">
        <v>45566</v>
      </c>
      <c r="D380" t="inlineStr">
        <is>
          <t>VÄSTERBOTTENS LÄN</t>
        </is>
      </c>
      <c r="E380" t="inlineStr">
        <is>
          <t>SKELLEFTEÅ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57803-2019</t>
        </is>
      </c>
      <c r="B381" s="1" t="n">
        <v>43768</v>
      </c>
      <c r="C381" s="1" t="n">
        <v>45566</v>
      </c>
      <c r="D381" t="inlineStr">
        <is>
          <t>VÄSTERBOTTENS LÄN</t>
        </is>
      </c>
      <c r="E381" t="inlineStr">
        <is>
          <t>SKELLEFTEÅ</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58546-2019</t>
        </is>
      </c>
      <c r="B382" s="1" t="n">
        <v>43773</v>
      </c>
      <c r="C382" s="1" t="n">
        <v>45566</v>
      </c>
      <c r="D382" t="inlineStr">
        <is>
          <t>VÄSTERBOTTENS LÄN</t>
        </is>
      </c>
      <c r="E382" t="inlineStr">
        <is>
          <t>SKELLEFTEÅ</t>
        </is>
      </c>
      <c r="F382" t="inlineStr">
        <is>
          <t>Sveaskog</t>
        </is>
      </c>
      <c r="G382" t="n">
        <v>27.6</v>
      </c>
      <c r="H382" t="n">
        <v>0</v>
      </c>
      <c r="I382" t="n">
        <v>0</v>
      </c>
      <c r="J382" t="n">
        <v>0</v>
      </c>
      <c r="K382" t="n">
        <v>0</v>
      </c>
      <c r="L382" t="n">
        <v>0</v>
      </c>
      <c r="M382" t="n">
        <v>0</v>
      </c>
      <c r="N382" t="n">
        <v>0</v>
      </c>
      <c r="O382" t="n">
        <v>0</v>
      </c>
      <c r="P382" t="n">
        <v>0</v>
      </c>
      <c r="Q382" t="n">
        <v>0</v>
      </c>
      <c r="R382" s="2" t="inlineStr"/>
    </row>
    <row r="383" ht="15" customHeight="1">
      <c r="A383" t="inlineStr">
        <is>
          <t>A 59255-2019</t>
        </is>
      </c>
      <c r="B383" s="1" t="n">
        <v>43773</v>
      </c>
      <c r="C383" s="1" t="n">
        <v>45566</v>
      </c>
      <c r="D383" t="inlineStr">
        <is>
          <t>VÄSTERBOTTENS LÄN</t>
        </is>
      </c>
      <c r="E383" t="inlineStr">
        <is>
          <t>SKELLEFTEÅ</t>
        </is>
      </c>
      <c r="G383" t="n">
        <v>3.7</v>
      </c>
      <c r="H383" t="n">
        <v>0</v>
      </c>
      <c r="I383" t="n">
        <v>0</v>
      </c>
      <c r="J383" t="n">
        <v>0</v>
      </c>
      <c r="K383" t="n">
        <v>0</v>
      </c>
      <c r="L383" t="n">
        <v>0</v>
      </c>
      <c r="M383" t="n">
        <v>0</v>
      </c>
      <c r="N383" t="n">
        <v>0</v>
      </c>
      <c r="O383" t="n">
        <v>0</v>
      </c>
      <c r="P383" t="n">
        <v>0</v>
      </c>
      <c r="Q383" t="n">
        <v>0</v>
      </c>
      <c r="R383" s="2" t="inlineStr"/>
    </row>
    <row r="384" ht="15" customHeight="1">
      <c r="A384" t="inlineStr">
        <is>
          <t>A 58905-2019</t>
        </is>
      </c>
      <c r="B384" s="1" t="n">
        <v>43774</v>
      </c>
      <c r="C384" s="1" t="n">
        <v>45566</v>
      </c>
      <c r="D384" t="inlineStr">
        <is>
          <t>VÄSTERBOTTENS LÄN</t>
        </is>
      </c>
      <c r="E384" t="inlineStr">
        <is>
          <t>SKELLEFTEÅ</t>
        </is>
      </c>
      <c r="F384" t="inlineStr">
        <is>
          <t>Sveaskog</t>
        </is>
      </c>
      <c r="G384" t="n">
        <v>26.4</v>
      </c>
      <c r="H384" t="n">
        <v>0</v>
      </c>
      <c r="I384" t="n">
        <v>0</v>
      </c>
      <c r="J384" t="n">
        <v>0</v>
      </c>
      <c r="K384" t="n">
        <v>0</v>
      </c>
      <c r="L384" t="n">
        <v>0</v>
      </c>
      <c r="M384" t="n">
        <v>0</v>
      </c>
      <c r="N384" t="n">
        <v>0</v>
      </c>
      <c r="O384" t="n">
        <v>0</v>
      </c>
      <c r="P384" t="n">
        <v>0</v>
      </c>
      <c r="Q384" t="n">
        <v>0</v>
      </c>
      <c r="R384" s="2" t="inlineStr"/>
    </row>
    <row r="385" ht="15" customHeight="1">
      <c r="A385" t="inlineStr">
        <is>
          <t>A 58817-2019</t>
        </is>
      </c>
      <c r="B385" s="1" t="n">
        <v>43774</v>
      </c>
      <c r="C385" s="1" t="n">
        <v>45566</v>
      </c>
      <c r="D385" t="inlineStr">
        <is>
          <t>VÄSTERBOTTENS LÄN</t>
        </is>
      </c>
      <c r="E385" t="inlineStr">
        <is>
          <t>SKELLEFTEÅ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59611-2019</t>
        </is>
      </c>
      <c r="B386" s="1" t="n">
        <v>43774</v>
      </c>
      <c r="C386" s="1" t="n">
        <v>45566</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59344-2019</t>
        </is>
      </c>
      <c r="B387" s="1" t="n">
        <v>43775</v>
      </c>
      <c r="C387" s="1" t="n">
        <v>45566</v>
      </c>
      <c r="D387" t="inlineStr">
        <is>
          <t>VÄSTERBOTTENS LÄN</t>
        </is>
      </c>
      <c r="E387" t="inlineStr">
        <is>
          <t>SKELLEFTEÅ</t>
        </is>
      </c>
      <c r="G387" t="n">
        <v>2.3</v>
      </c>
      <c r="H387" t="n">
        <v>0</v>
      </c>
      <c r="I387" t="n">
        <v>0</v>
      </c>
      <c r="J387" t="n">
        <v>0</v>
      </c>
      <c r="K387" t="n">
        <v>0</v>
      </c>
      <c r="L387" t="n">
        <v>0</v>
      </c>
      <c r="M387" t="n">
        <v>0</v>
      </c>
      <c r="N387" t="n">
        <v>0</v>
      </c>
      <c r="O387" t="n">
        <v>0</v>
      </c>
      <c r="P387" t="n">
        <v>0</v>
      </c>
      <c r="Q387" t="n">
        <v>0</v>
      </c>
      <c r="R387" s="2" t="inlineStr"/>
    </row>
    <row r="388" ht="15" customHeight="1">
      <c r="A388" t="inlineStr">
        <is>
          <t>A 60378-2019</t>
        </is>
      </c>
      <c r="B388" s="1" t="n">
        <v>43776</v>
      </c>
      <c r="C388" s="1" t="n">
        <v>45566</v>
      </c>
      <c r="D388" t="inlineStr">
        <is>
          <t>VÄSTERBOTTENS LÄN</t>
        </is>
      </c>
      <c r="E388" t="inlineStr">
        <is>
          <t>SKELLEFTEÅ</t>
        </is>
      </c>
      <c r="G388" t="n">
        <v>4.3</v>
      </c>
      <c r="H388" t="n">
        <v>0</v>
      </c>
      <c r="I388" t="n">
        <v>0</v>
      </c>
      <c r="J388" t="n">
        <v>0</v>
      </c>
      <c r="K388" t="n">
        <v>0</v>
      </c>
      <c r="L388" t="n">
        <v>0</v>
      </c>
      <c r="M388" t="n">
        <v>0</v>
      </c>
      <c r="N388" t="n">
        <v>0</v>
      </c>
      <c r="O388" t="n">
        <v>0</v>
      </c>
      <c r="P388" t="n">
        <v>0</v>
      </c>
      <c r="Q388" t="n">
        <v>0</v>
      </c>
      <c r="R388" s="2" t="inlineStr"/>
    </row>
    <row r="389" ht="15" customHeight="1">
      <c r="A389" t="inlineStr">
        <is>
          <t>A 60289-2019</t>
        </is>
      </c>
      <c r="B389" s="1" t="n">
        <v>43776</v>
      </c>
      <c r="C389" s="1" t="n">
        <v>45566</v>
      </c>
      <c r="D389" t="inlineStr">
        <is>
          <t>VÄSTERBOTTENS LÄN</t>
        </is>
      </c>
      <c r="E389" t="inlineStr">
        <is>
          <t>SKELLEFTEÅ</t>
        </is>
      </c>
      <c r="G389" t="n">
        <v>3.3</v>
      </c>
      <c r="H389" t="n">
        <v>0</v>
      </c>
      <c r="I389" t="n">
        <v>0</v>
      </c>
      <c r="J389" t="n">
        <v>0</v>
      </c>
      <c r="K389" t="n">
        <v>0</v>
      </c>
      <c r="L389" t="n">
        <v>0</v>
      </c>
      <c r="M389" t="n">
        <v>0</v>
      </c>
      <c r="N389" t="n">
        <v>0</v>
      </c>
      <c r="O389" t="n">
        <v>0</v>
      </c>
      <c r="P389" t="n">
        <v>0</v>
      </c>
      <c r="Q389" t="n">
        <v>0</v>
      </c>
      <c r="R389" s="2" t="inlineStr"/>
    </row>
    <row r="390" ht="15" customHeight="1">
      <c r="A390" t="inlineStr">
        <is>
          <t>A 60189-2019</t>
        </is>
      </c>
      <c r="B390" s="1" t="n">
        <v>43780</v>
      </c>
      <c r="C390" s="1" t="n">
        <v>45566</v>
      </c>
      <c r="D390" t="inlineStr">
        <is>
          <t>VÄSTERBOTTENS LÄN</t>
        </is>
      </c>
      <c r="E390" t="inlineStr">
        <is>
          <t>SKELLEFTEÅ</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60416-2019</t>
        </is>
      </c>
      <c r="B391" s="1" t="n">
        <v>43780</v>
      </c>
      <c r="C391" s="1" t="n">
        <v>45566</v>
      </c>
      <c r="D391" t="inlineStr">
        <is>
          <t>VÄSTERBOTTENS LÄN</t>
        </is>
      </c>
      <c r="E391" t="inlineStr">
        <is>
          <t>SKELLEFTEÅ</t>
        </is>
      </c>
      <c r="G391" t="n">
        <v>5.8</v>
      </c>
      <c r="H391" t="n">
        <v>0</v>
      </c>
      <c r="I391" t="n">
        <v>0</v>
      </c>
      <c r="J391" t="n">
        <v>0</v>
      </c>
      <c r="K391" t="n">
        <v>0</v>
      </c>
      <c r="L391" t="n">
        <v>0</v>
      </c>
      <c r="M391" t="n">
        <v>0</v>
      </c>
      <c r="N391" t="n">
        <v>0</v>
      </c>
      <c r="O391" t="n">
        <v>0</v>
      </c>
      <c r="P391" t="n">
        <v>0</v>
      </c>
      <c r="Q391" t="n">
        <v>0</v>
      </c>
      <c r="R391" s="2" t="inlineStr"/>
    </row>
    <row r="392" ht="15" customHeight="1">
      <c r="A392" t="inlineStr">
        <is>
          <t>A 61929-2019</t>
        </is>
      </c>
      <c r="B392" s="1" t="n">
        <v>43781</v>
      </c>
      <c r="C392" s="1" t="n">
        <v>45566</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60985-2019</t>
        </is>
      </c>
      <c r="B393" s="1" t="n">
        <v>43782</v>
      </c>
      <c r="C393" s="1" t="n">
        <v>45566</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61295-2019</t>
        </is>
      </c>
      <c r="B394" s="1" t="n">
        <v>43783</v>
      </c>
      <c r="C394" s="1" t="n">
        <v>45566</v>
      </c>
      <c r="D394" t="inlineStr">
        <is>
          <t>VÄSTERBOTTENS LÄN</t>
        </is>
      </c>
      <c r="E394" t="inlineStr">
        <is>
          <t>SKELLEFTEÅ</t>
        </is>
      </c>
      <c r="F394" t="inlineStr">
        <is>
          <t>Holmen skog AB</t>
        </is>
      </c>
      <c r="G394" t="n">
        <v>11.2</v>
      </c>
      <c r="H394" t="n">
        <v>0</v>
      </c>
      <c r="I394" t="n">
        <v>0</v>
      </c>
      <c r="J394" t="n">
        <v>0</v>
      </c>
      <c r="K394" t="n">
        <v>0</v>
      </c>
      <c r="L394" t="n">
        <v>0</v>
      </c>
      <c r="M394" t="n">
        <v>0</v>
      </c>
      <c r="N394" t="n">
        <v>0</v>
      </c>
      <c r="O394" t="n">
        <v>0</v>
      </c>
      <c r="P394" t="n">
        <v>0</v>
      </c>
      <c r="Q394" t="n">
        <v>0</v>
      </c>
      <c r="R394" s="2" t="inlineStr"/>
    </row>
    <row r="395" ht="15" customHeight="1">
      <c r="A395" t="inlineStr">
        <is>
          <t>A 61468-2019</t>
        </is>
      </c>
      <c r="B395" s="1" t="n">
        <v>43783</v>
      </c>
      <c r="C395" s="1" t="n">
        <v>45566</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62584-2019</t>
        </is>
      </c>
      <c r="B396" s="1" t="n">
        <v>43784</v>
      </c>
      <c r="C396" s="1" t="n">
        <v>45566</v>
      </c>
      <c r="D396" t="inlineStr">
        <is>
          <t>VÄSTERBOTTENS LÄN</t>
        </is>
      </c>
      <c r="E396" t="inlineStr">
        <is>
          <t>SKELLEFTEÅ</t>
        </is>
      </c>
      <c r="G396" t="n">
        <v>6.1</v>
      </c>
      <c r="H396" t="n">
        <v>0</v>
      </c>
      <c r="I396" t="n">
        <v>0</v>
      </c>
      <c r="J396" t="n">
        <v>0</v>
      </c>
      <c r="K396" t="n">
        <v>0</v>
      </c>
      <c r="L396" t="n">
        <v>0</v>
      </c>
      <c r="M396" t="n">
        <v>0</v>
      </c>
      <c r="N396" t="n">
        <v>0</v>
      </c>
      <c r="O396" t="n">
        <v>0</v>
      </c>
      <c r="P396" t="n">
        <v>0</v>
      </c>
      <c r="Q396" t="n">
        <v>0</v>
      </c>
      <c r="R396" s="2" t="inlineStr"/>
    </row>
    <row r="397" ht="15" customHeight="1">
      <c r="A397" t="inlineStr">
        <is>
          <t>A 62201-2019</t>
        </is>
      </c>
      <c r="B397" s="1" t="n">
        <v>43788</v>
      </c>
      <c r="C397" s="1" t="n">
        <v>45566</v>
      </c>
      <c r="D397" t="inlineStr">
        <is>
          <t>VÄSTERBOTTENS LÄN</t>
        </is>
      </c>
      <c r="E397" t="inlineStr">
        <is>
          <t>SKELLEFTEÅ</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62678-2019</t>
        </is>
      </c>
      <c r="B398" s="1" t="n">
        <v>43789</v>
      </c>
      <c r="C398" s="1" t="n">
        <v>45566</v>
      </c>
      <c r="D398" t="inlineStr">
        <is>
          <t>VÄSTERBOTTENS LÄN</t>
        </is>
      </c>
      <c r="E398" t="inlineStr">
        <is>
          <t>SKELLEFTEÅ</t>
        </is>
      </c>
      <c r="G398" t="n">
        <v>4.9</v>
      </c>
      <c r="H398" t="n">
        <v>0</v>
      </c>
      <c r="I398" t="n">
        <v>0</v>
      </c>
      <c r="J398" t="n">
        <v>0</v>
      </c>
      <c r="K398" t="n">
        <v>0</v>
      </c>
      <c r="L398" t="n">
        <v>0</v>
      </c>
      <c r="M398" t="n">
        <v>0</v>
      </c>
      <c r="N398" t="n">
        <v>0</v>
      </c>
      <c r="O398" t="n">
        <v>0</v>
      </c>
      <c r="P398" t="n">
        <v>0</v>
      </c>
      <c r="Q398" t="n">
        <v>0</v>
      </c>
      <c r="R398" s="2" t="inlineStr"/>
    </row>
    <row r="399" ht="15" customHeight="1">
      <c r="A399" t="inlineStr">
        <is>
          <t>A 62873-2019</t>
        </is>
      </c>
      <c r="B399" s="1" t="n">
        <v>43790</v>
      </c>
      <c r="C399" s="1" t="n">
        <v>45566</v>
      </c>
      <c r="D399" t="inlineStr">
        <is>
          <t>VÄSTERBOTTENS LÄN</t>
        </is>
      </c>
      <c r="E399" t="inlineStr">
        <is>
          <t>SKELLEFTEÅ</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62823-2019</t>
        </is>
      </c>
      <c r="B400" s="1" t="n">
        <v>43790</v>
      </c>
      <c r="C400" s="1" t="n">
        <v>45566</v>
      </c>
      <c r="D400" t="inlineStr">
        <is>
          <t>VÄSTERBOTTENS LÄN</t>
        </is>
      </c>
      <c r="E400" t="inlineStr">
        <is>
          <t>SKELLEFTEÅ</t>
        </is>
      </c>
      <c r="F400" t="inlineStr">
        <is>
          <t>Holmen skog AB</t>
        </is>
      </c>
      <c r="G400" t="n">
        <v>3.8</v>
      </c>
      <c r="H400" t="n">
        <v>0</v>
      </c>
      <c r="I400" t="n">
        <v>0</v>
      </c>
      <c r="J400" t="n">
        <v>0</v>
      </c>
      <c r="K400" t="n">
        <v>0</v>
      </c>
      <c r="L400" t="n">
        <v>0</v>
      </c>
      <c r="M400" t="n">
        <v>0</v>
      </c>
      <c r="N400" t="n">
        <v>0</v>
      </c>
      <c r="O400" t="n">
        <v>0</v>
      </c>
      <c r="P400" t="n">
        <v>0</v>
      </c>
      <c r="Q400" t="n">
        <v>0</v>
      </c>
      <c r="R400" s="2" t="inlineStr"/>
    </row>
    <row r="401" ht="15" customHeight="1">
      <c r="A401" t="inlineStr">
        <is>
          <t>A 63554-2019</t>
        </is>
      </c>
      <c r="B401" s="1" t="n">
        <v>43794</v>
      </c>
      <c r="C401" s="1" t="n">
        <v>45566</v>
      </c>
      <c r="D401" t="inlineStr">
        <is>
          <t>VÄSTERBOTTENS LÄN</t>
        </is>
      </c>
      <c r="E401" t="inlineStr">
        <is>
          <t>SKELLEFTEÅ</t>
        </is>
      </c>
      <c r="G401" t="n">
        <v>0.7</v>
      </c>
      <c r="H401" t="n">
        <v>0</v>
      </c>
      <c r="I401" t="n">
        <v>0</v>
      </c>
      <c r="J401" t="n">
        <v>0</v>
      </c>
      <c r="K401" t="n">
        <v>0</v>
      </c>
      <c r="L401" t="n">
        <v>0</v>
      </c>
      <c r="M401" t="n">
        <v>0</v>
      </c>
      <c r="N401" t="n">
        <v>0</v>
      </c>
      <c r="O401" t="n">
        <v>0</v>
      </c>
      <c r="P401" t="n">
        <v>0</v>
      </c>
      <c r="Q401" t="n">
        <v>0</v>
      </c>
      <c r="R401" s="2" t="inlineStr"/>
    </row>
    <row r="402" ht="15" customHeight="1">
      <c r="A402" t="inlineStr">
        <is>
          <t>A 63846-2019</t>
        </is>
      </c>
      <c r="B402" s="1" t="n">
        <v>43796</v>
      </c>
      <c r="C402" s="1" t="n">
        <v>45566</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63845-2019</t>
        </is>
      </c>
      <c r="B403" s="1" t="n">
        <v>43796</v>
      </c>
      <c r="C403" s="1" t="n">
        <v>45566</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64039-2019</t>
        </is>
      </c>
      <c r="B404" s="1" t="n">
        <v>43796</v>
      </c>
      <c r="C404" s="1" t="n">
        <v>45566</v>
      </c>
      <c r="D404" t="inlineStr">
        <is>
          <t>VÄSTERBOTTENS LÄN</t>
        </is>
      </c>
      <c r="E404" t="inlineStr">
        <is>
          <t>SKELLEFTEÅ</t>
        </is>
      </c>
      <c r="F404" t="inlineStr">
        <is>
          <t>Sveaskog</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64117-2019</t>
        </is>
      </c>
      <c r="B405" s="1" t="n">
        <v>43796</v>
      </c>
      <c r="C405" s="1" t="n">
        <v>45566</v>
      </c>
      <c r="D405" t="inlineStr">
        <is>
          <t>VÄSTERBOTTENS LÄN</t>
        </is>
      </c>
      <c r="E405" t="inlineStr">
        <is>
          <t>SKELLEFTEÅ</t>
        </is>
      </c>
      <c r="F405" t="inlineStr">
        <is>
          <t>Sveaskog</t>
        </is>
      </c>
      <c r="G405" t="n">
        <v>16.2</v>
      </c>
      <c r="H405" t="n">
        <v>0</v>
      </c>
      <c r="I405" t="n">
        <v>0</v>
      </c>
      <c r="J405" t="n">
        <v>0</v>
      </c>
      <c r="K405" t="n">
        <v>0</v>
      </c>
      <c r="L405" t="n">
        <v>0</v>
      </c>
      <c r="M405" t="n">
        <v>0</v>
      </c>
      <c r="N405" t="n">
        <v>0</v>
      </c>
      <c r="O405" t="n">
        <v>0</v>
      </c>
      <c r="P405" t="n">
        <v>0</v>
      </c>
      <c r="Q405" t="n">
        <v>0</v>
      </c>
      <c r="R405" s="2" t="inlineStr"/>
    </row>
    <row r="406" ht="15" customHeight="1">
      <c r="A406" t="inlineStr">
        <is>
          <t>A 64139-2019</t>
        </is>
      </c>
      <c r="B406" s="1" t="n">
        <v>43796</v>
      </c>
      <c r="C406" s="1" t="n">
        <v>45566</v>
      </c>
      <c r="D406" t="inlineStr">
        <is>
          <t>VÄSTERBOTTENS LÄN</t>
        </is>
      </c>
      <c r="E406" t="inlineStr">
        <is>
          <t>SKELLEFTEÅ</t>
        </is>
      </c>
      <c r="G406" t="n">
        <v>2.5</v>
      </c>
      <c r="H406" t="n">
        <v>0</v>
      </c>
      <c r="I406" t="n">
        <v>0</v>
      </c>
      <c r="J406" t="n">
        <v>0</v>
      </c>
      <c r="K406" t="n">
        <v>0</v>
      </c>
      <c r="L406" t="n">
        <v>0</v>
      </c>
      <c r="M406" t="n">
        <v>0</v>
      </c>
      <c r="N406" t="n">
        <v>0</v>
      </c>
      <c r="O406" t="n">
        <v>0</v>
      </c>
      <c r="P406" t="n">
        <v>0</v>
      </c>
      <c r="Q406" t="n">
        <v>0</v>
      </c>
      <c r="R406" s="2" t="inlineStr"/>
    </row>
    <row r="407" ht="15" customHeight="1">
      <c r="A407" t="inlineStr">
        <is>
          <t>A 64569-2019</t>
        </is>
      </c>
      <c r="B407" s="1" t="n">
        <v>43798</v>
      </c>
      <c r="C407" s="1" t="n">
        <v>45566</v>
      </c>
      <c r="D407" t="inlineStr">
        <is>
          <t>VÄSTERBOTTENS LÄN</t>
        </is>
      </c>
      <c r="E407" t="inlineStr">
        <is>
          <t>SKELLEFTEÅ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64754-2019</t>
        </is>
      </c>
      <c r="B408" s="1" t="n">
        <v>43801</v>
      </c>
      <c r="C408" s="1" t="n">
        <v>45566</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65070-2019</t>
        </is>
      </c>
      <c r="B409" s="1" t="n">
        <v>43802</v>
      </c>
      <c r="C409" s="1" t="n">
        <v>45566</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65565-2019</t>
        </is>
      </c>
      <c r="B410" s="1" t="n">
        <v>43803</v>
      </c>
      <c r="C410" s="1" t="n">
        <v>45566</v>
      </c>
      <c r="D410" t="inlineStr">
        <is>
          <t>VÄSTERBOTTENS LÄN</t>
        </is>
      </c>
      <c r="E410" t="inlineStr">
        <is>
          <t>SKELLEFTEÅ</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65721-2019</t>
        </is>
      </c>
      <c r="B411" s="1" t="n">
        <v>43804</v>
      </c>
      <c r="C411" s="1" t="n">
        <v>45566</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65726-2019</t>
        </is>
      </c>
      <c r="B412" s="1" t="n">
        <v>43804</v>
      </c>
      <c r="C412" s="1" t="n">
        <v>45566</v>
      </c>
      <c r="D412" t="inlineStr">
        <is>
          <t>VÄSTERBOTTENS LÄN</t>
        </is>
      </c>
      <c r="E412" t="inlineStr">
        <is>
          <t>SKELLEFTEÅ</t>
        </is>
      </c>
      <c r="G412" t="n">
        <v>0.9</v>
      </c>
      <c r="H412" t="n">
        <v>0</v>
      </c>
      <c r="I412" t="n">
        <v>0</v>
      </c>
      <c r="J412" t="n">
        <v>0</v>
      </c>
      <c r="K412" t="n">
        <v>0</v>
      </c>
      <c r="L412" t="n">
        <v>0</v>
      </c>
      <c r="M412" t="n">
        <v>0</v>
      </c>
      <c r="N412" t="n">
        <v>0</v>
      </c>
      <c r="O412" t="n">
        <v>0</v>
      </c>
      <c r="P412" t="n">
        <v>0</v>
      </c>
      <c r="Q412" t="n">
        <v>0</v>
      </c>
      <c r="R412" s="2" t="inlineStr"/>
    </row>
    <row r="413" ht="15" customHeight="1">
      <c r="A413" t="inlineStr">
        <is>
          <t>A 65992-2019</t>
        </is>
      </c>
      <c r="B413" s="1" t="n">
        <v>43805</v>
      </c>
      <c r="C413" s="1" t="n">
        <v>45566</v>
      </c>
      <c r="D413" t="inlineStr">
        <is>
          <t>VÄSTERBOTTENS LÄN</t>
        </is>
      </c>
      <c r="E413" t="inlineStr">
        <is>
          <t>SKELLEFTEÅ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67581-2019</t>
        </is>
      </c>
      <c r="B414" s="1" t="n">
        <v>43808</v>
      </c>
      <c r="C414" s="1" t="n">
        <v>45566</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66505-2019</t>
        </is>
      </c>
      <c r="B415" s="1" t="n">
        <v>43809</v>
      </c>
      <c r="C415" s="1" t="n">
        <v>45566</v>
      </c>
      <c r="D415" t="inlineStr">
        <is>
          <t>VÄSTERBOTTENS LÄN</t>
        </is>
      </c>
      <c r="E415" t="inlineStr">
        <is>
          <t>SKELLEFTEÅ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66478-2019</t>
        </is>
      </c>
      <c r="B416" s="1" t="n">
        <v>43809</v>
      </c>
      <c r="C416" s="1" t="n">
        <v>45566</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68008-2019</t>
        </is>
      </c>
      <c r="B417" s="1" t="n">
        <v>43811</v>
      </c>
      <c r="C417" s="1" t="n">
        <v>45566</v>
      </c>
      <c r="D417" t="inlineStr">
        <is>
          <t>VÄSTERBOTTENS LÄN</t>
        </is>
      </c>
      <c r="E417" t="inlineStr">
        <is>
          <t>SKELLEFTEÅ</t>
        </is>
      </c>
      <c r="G417" t="n">
        <v>4.3</v>
      </c>
      <c r="H417" t="n">
        <v>0</v>
      </c>
      <c r="I417" t="n">
        <v>0</v>
      </c>
      <c r="J417" t="n">
        <v>0</v>
      </c>
      <c r="K417" t="n">
        <v>0</v>
      </c>
      <c r="L417" t="n">
        <v>0</v>
      </c>
      <c r="M417" t="n">
        <v>0</v>
      </c>
      <c r="N417" t="n">
        <v>0</v>
      </c>
      <c r="O417" t="n">
        <v>0</v>
      </c>
      <c r="P417" t="n">
        <v>0</v>
      </c>
      <c r="Q417" t="n">
        <v>0</v>
      </c>
      <c r="R417" s="2" t="inlineStr"/>
    </row>
    <row r="418" ht="15" customHeight="1">
      <c r="A418" t="inlineStr">
        <is>
          <t>A 69136-2019</t>
        </is>
      </c>
      <c r="B418" s="1" t="n">
        <v>43815</v>
      </c>
      <c r="C418" s="1" t="n">
        <v>45566</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69135-2019</t>
        </is>
      </c>
      <c r="B419" s="1" t="n">
        <v>43815</v>
      </c>
      <c r="C419" s="1" t="n">
        <v>45566</v>
      </c>
      <c r="D419" t="inlineStr">
        <is>
          <t>VÄSTERBOTTENS LÄN</t>
        </is>
      </c>
      <c r="E419" t="inlineStr">
        <is>
          <t>SKELLEFTEÅ</t>
        </is>
      </c>
      <c r="G419" t="n">
        <v>2.9</v>
      </c>
      <c r="H419" t="n">
        <v>0</v>
      </c>
      <c r="I419" t="n">
        <v>0</v>
      </c>
      <c r="J419" t="n">
        <v>0</v>
      </c>
      <c r="K419" t="n">
        <v>0</v>
      </c>
      <c r="L419" t="n">
        <v>0</v>
      </c>
      <c r="M419" t="n">
        <v>0</v>
      </c>
      <c r="N419" t="n">
        <v>0</v>
      </c>
      <c r="O419" t="n">
        <v>0</v>
      </c>
      <c r="P419" t="n">
        <v>0</v>
      </c>
      <c r="Q419" t="n">
        <v>0</v>
      </c>
      <c r="R419" s="2" t="inlineStr"/>
    </row>
    <row r="420" ht="15" customHeight="1">
      <c r="A420" t="inlineStr">
        <is>
          <t>A 69140-2019</t>
        </is>
      </c>
      <c r="B420" s="1" t="n">
        <v>43815</v>
      </c>
      <c r="C420" s="1" t="n">
        <v>45566</v>
      </c>
      <c r="D420" t="inlineStr">
        <is>
          <t>VÄSTERBOTTENS LÄN</t>
        </is>
      </c>
      <c r="E420" t="inlineStr">
        <is>
          <t>SKELLEFTEÅ</t>
        </is>
      </c>
      <c r="G420" t="n">
        <v>4.9</v>
      </c>
      <c r="H420" t="n">
        <v>0</v>
      </c>
      <c r="I420" t="n">
        <v>0</v>
      </c>
      <c r="J420" t="n">
        <v>0</v>
      </c>
      <c r="K420" t="n">
        <v>0</v>
      </c>
      <c r="L420" t="n">
        <v>0</v>
      </c>
      <c r="M420" t="n">
        <v>0</v>
      </c>
      <c r="N420" t="n">
        <v>0</v>
      </c>
      <c r="O420" t="n">
        <v>0</v>
      </c>
      <c r="P420" t="n">
        <v>0</v>
      </c>
      <c r="Q420" t="n">
        <v>0</v>
      </c>
      <c r="R420" s="2" t="inlineStr"/>
    </row>
    <row r="421" ht="15" customHeight="1">
      <c r="A421" t="inlineStr">
        <is>
          <t>A 69131-2019</t>
        </is>
      </c>
      <c r="B421" s="1" t="n">
        <v>43815</v>
      </c>
      <c r="C421" s="1" t="n">
        <v>45566</v>
      </c>
      <c r="D421" t="inlineStr">
        <is>
          <t>VÄSTERBOTTENS LÄN</t>
        </is>
      </c>
      <c r="E421" t="inlineStr">
        <is>
          <t>SKELLEFTEÅ</t>
        </is>
      </c>
      <c r="G421" t="n">
        <v>5.1</v>
      </c>
      <c r="H421" t="n">
        <v>0</v>
      </c>
      <c r="I421" t="n">
        <v>0</v>
      </c>
      <c r="J421" t="n">
        <v>0</v>
      </c>
      <c r="K421" t="n">
        <v>0</v>
      </c>
      <c r="L421" t="n">
        <v>0</v>
      </c>
      <c r="M421" t="n">
        <v>0</v>
      </c>
      <c r="N421" t="n">
        <v>0</v>
      </c>
      <c r="O421" t="n">
        <v>0</v>
      </c>
      <c r="P421" t="n">
        <v>0</v>
      </c>
      <c r="Q421" t="n">
        <v>0</v>
      </c>
      <c r="R421" s="2" t="inlineStr"/>
    </row>
    <row r="422" ht="15" customHeight="1">
      <c r="A422" t="inlineStr">
        <is>
          <t>A 277-2020</t>
        </is>
      </c>
      <c r="B422" s="1" t="n">
        <v>43816</v>
      </c>
      <c r="C422" s="1" t="n">
        <v>45566</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67837-2019</t>
        </is>
      </c>
      <c r="B423" s="1" t="n">
        <v>43816</v>
      </c>
      <c r="C423" s="1" t="n">
        <v>45566</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398-2020</t>
        </is>
      </c>
      <c r="B424" s="1" t="n">
        <v>43816</v>
      </c>
      <c r="C424" s="1" t="n">
        <v>45566</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434-2020</t>
        </is>
      </c>
      <c r="B425" s="1" t="n">
        <v>43816</v>
      </c>
      <c r="C425" s="1" t="n">
        <v>45566</v>
      </c>
      <c r="D425" t="inlineStr">
        <is>
          <t>VÄSTERBOTTENS LÄN</t>
        </is>
      </c>
      <c r="E425" t="inlineStr">
        <is>
          <t>SKELLEFTEÅ</t>
        </is>
      </c>
      <c r="G425" t="n">
        <v>12.9</v>
      </c>
      <c r="H425" t="n">
        <v>0</v>
      </c>
      <c r="I425" t="n">
        <v>0</v>
      </c>
      <c r="J425" t="n">
        <v>0</v>
      </c>
      <c r="K425" t="n">
        <v>0</v>
      </c>
      <c r="L425" t="n">
        <v>0</v>
      </c>
      <c r="M425" t="n">
        <v>0</v>
      </c>
      <c r="N425" t="n">
        <v>0</v>
      </c>
      <c r="O425" t="n">
        <v>0</v>
      </c>
      <c r="P425" t="n">
        <v>0</v>
      </c>
      <c r="Q425" t="n">
        <v>0</v>
      </c>
      <c r="R425" s="2" t="inlineStr"/>
    </row>
    <row r="426" ht="15" customHeight="1">
      <c r="A426" t="inlineStr">
        <is>
          <t>A 820-2020</t>
        </is>
      </c>
      <c r="B426" s="1" t="n">
        <v>43818</v>
      </c>
      <c r="C426" s="1" t="n">
        <v>45566</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1102-2020</t>
        </is>
      </c>
      <c r="B427" s="1" t="n">
        <v>43819</v>
      </c>
      <c r="C427" s="1" t="n">
        <v>45566</v>
      </c>
      <c r="D427" t="inlineStr">
        <is>
          <t>VÄSTERBOTTENS LÄN</t>
        </is>
      </c>
      <c r="E427" t="inlineStr">
        <is>
          <t>SKELLEFTEÅ</t>
        </is>
      </c>
      <c r="G427" t="n">
        <v>3.3</v>
      </c>
      <c r="H427" t="n">
        <v>0</v>
      </c>
      <c r="I427" t="n">
        <v>0</v>
      </c>
      <c r="J427" t="n">
        <v>0</v>
      </c>
      <c r="K427" t="n">
        <v>0</v>
      </c>
      <c r="L427" t="n">
        <v>0</v>
      </c>
      <c r="M427" t="n">
        <v>0</v>
      </c>
      <c r="N427" t="n">
        <v>0</v>
      </c>
      <c r="O427" t="n">
        <v>0</v>
      </c>
      <c r="P427" t="n">
        <v>0</v>
      </c>
      <c r="Q427" t="n">
        <v>0</v>
      </c>
      <c r="R427" s="2" t="inlineStr"/>
    </row>
    <row r="428" ht="15" customHeight="1">
      <c r="A428" t="inlineStr">
        <is>
          <t>A 1452-2020</t>
        </is>
      </c>
      <c r="B428" s="1" t="n">
        <v>43822</v>
      </c>
      <c r="C428" s="1" t="n">
        <v>45566</v>
      </c>
      <c r="D428" t="inlineStr">
        <is>
          <t>VÄSTERBOTTENS LÄN</t>
        </is>
      </c>
      <c r="E428" t="inlineStr">
        <is>
          <t>SKELLEFTEÅ</t>
        </is>
      </c>
      <c r="G428" t="n">
        <v>0.4</v>
      </c>
      <c r="H428" t="n">
        <v>0</v>
      </c>
      <c r="I428" t="n">
        <v>0</v>
      </c>
      <c r="J428" t="n">
        <v>0</v>
      </c>
      <c r="K428" t="n">
        <v>0</v>
      </c>
      <c r="L428" t="n">
        <v>0</v>
      </c>
      <c r="M428" t="n">
        <v>0</v>
      </c>
      <c r="N428" t="n">
        <v>0</v>
      </c>
      <c r="O428" t="n">
        <v>0</v>
      </c>
      <c r="P428" t="n">
        <v>0</v>
      </c>
      <c r="Q428" t="n">
        <v>0</v>
      </c>
      <c r="R428" s="2" t="inlineStr"/>
    </row>
    <row r="429" ht="15" customHeight="1">
      <c r="A429" t="inlineStr">
        <is>
          <t>A 789-2020</t>
        </is>
      </c>
      <c r="B429" s="1" t="n">
        <v>43838</v>
      </c>
      <c r="C429" s="1" t="n">
        <v>45566</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896-2020</t>
        </is>
      </c>
      <c r="B430" s="1" t="n">
        <v>43839</v>
      </c>
      <c r="C430" s="1" t="n">
        <v>45566</v>
      </c>
      <c r="D430" t="inlineStr">
        <is>
          <t>VÄSTERBOTTENS LÄN</t>
        </is>
      </c>
      <c r="E430" t="inlineStr">
        <is>
          <t>SKELLEFTEÅ</t>
        </is>
      </c>
      <c r="F430" t="inlineStr">
        <is>
          <t>Kyrkan</t>
        </is>
      </c>
      <c r="G430" t="n">
        <v>14.9</v>
      </c>
      <c r="H430" t="n">
        <v>0</v>
      </c>
      <c r="I430" t="n">
        <v>0</v>
      </c>
      <c r="J430" t="n">
        <v>0</v>
      </c>
      <c r="K430" t="n">
        <v>0</v>
      </c>
      <c r="L430" t="n">
        <v>0</v>
      </c>
      <c r="M430" t="n">
        <v>0</v>
      </c>
      <c r="N430" t="n">
        <v>0</v>
      </c>
      <c r="O430" t="n">
        <v>0</v>
      </c>
      <c r="P430" t="n">
        <v>0</v>
      </c>
      <c r="Q430" t="n">
        <v>0</v>
      </c>
      <c r="R430" s="2" t="inlineStr"/>
    </row>
    <row r="431" ht="15" customHeight="1">
      <c r="A431" t="inlineStr">
        <is>
          <t>A 2127-2020</t>
        </is>
      </c>
      <c r="B431" s="1" t="n">
        <v>43839</v>
      </c>
      <c r="C431" s="1" t="n">
        <v>45566</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1550-2020</t>
        </is>
      </c>
      <c r="B432" s="1" t="n">
        <v>43843</v>
      </c>
      <c r="C432" s="1" t="n">
        <v>45566</v>
      </c>
      <c r="D432" t="inlineStr">
        <is>
          <t>VÄSTERBOTTENS LÄN</t>
        </is>
      </c>
      <c r="E432" t="inlineStr">
        <is>
          <t>SKELLEFTEÅ</t>
        </is>
      </c>
      <c r="G432" t="n">
        <v>3.8</v>
      </c>
      <c r="H432" t="n">
        <v>0</v>
      </c>
      <c r="I432" t="n">
        <v>0</v>
      </c>
      <c r="J432" t="n">
        <v>0</v>
      </c>
      <c r="K432" t="n">
        <v>0</v>
      </c>
      <c r="L432" t="n">
        <v>0</v>
      </c>
      <c r="M432" t="n">
        <v>0</v>
      </c>
      <c r="N432" t="n">
        <v>0</v>
      </c>
      <c r="O432" t="n">
        <v>0</v>
      </c>
      <c r="P432" t="n">
        <v>0</v>
      </c>
      <c r="Q432" t="n">
        <v>0</v>
      </c>
      <c r="R432" s="2" t="inlineStr"/>
    </row>
    <row r="433" ht="15" customHeight="1">
      <c r="A433" t="inlineStr">
        <is>
          <t>A 1612-2020</t>
        </is>
      </c>
      <c r="B433" s="1" t="n">
        <v>43844</v>
      </c>
      <c r="C433" s="1" t="n">
        <v>45566</v>
      </c>
      <c r="D433" t="inlineStr">
        <is>
          <t>VÄSTERBOTTENS LÄN</t>
        </is>
      </c>
      <c r="E433" t="inlineStr">
        <is>
          <t>SKELLEFTEÅ</t>
        </is>
      </c>
      <c r="G433" t="n">
        <v>5.4</v>
      </c>
      <c r="H433" t="n">
        <v>0</v>
      </c>
      <c r="I433" t="n">
        <v>0</v>
      </c>
      <c r="J433" t="n">
        <v>0</v>
      </c>
      <c r="K433" t="n">
        <v>0</v>
      </c>
      <c r="L433" t="n">
        <v>0</v>
      </c>
      <c r="M433" t="n">
        <v>0</v>
      </c>
      <c r="N433" t="n">
        <v>0</v>
      </c>
      <c r="O433" t="n">
        <v>0</v>
      </c>
      <c r="P433" t="n">
        <v>0</v>
      </c>
      <c r="Q433" t="n">
        <v>0</v>
      </c>
      <c r="R433" s="2" t="inlineStr"/>
    </row>
    <row r="434" ht="15" customHeight="1">
      <c r="A434" t="inlineStr">
        <is>
          <t>A 1695-2020</t>
        </is>
      </c>
      <c r="B434" s="1" t="n">
        <v>43844</v>
      </c>
      <c r="C434" s="1" t="n">
        <v>45566</v>
      </c>
      <c r="D434" t="inlineStr">
        <is>
          <t>VÄSTERBOTTENS LÄN</t>
        </is>
      </c>
      <c r="E434" t="inlineStr">
        <is>
          <t>SKELLEFTEÅ</t>
        </is>
      </c>
      <c r="F434" t="inlineStr">
        <is>
          <t>Holmen skog AB</t>
        </is>
      </c>
      <c r="G434" t="n">
        <v>13.6</v>
      </c>
      <c r="H434" t="n">
        <v>0</v>
      </c>
      <c r="I434" t="n">
        <v>0</v>
      </c>
      <c r="J434" t="n">
        <v>0</v>
      </c>
      <c r="K434" t="n">
        <v>0</v>
      </c>
      <c r="L434" t="n">
        <v>0</v>
      </c>
      <c r="M434" t="n">
        <v>0</v>
      </c>
      <c r="N434" t="n">
        <v>0</v>
      </c>
      <c r="O434" t="n">
        <v>0</v>
      </c>
      <c r="P434" t="n">
        <v>0</v>
      </c>
      <c r="Q434" t="n">
        <v>0</v>
      </c>
      <c r="R434" s="2" t="inlineStr"/>
    </row>
    <row r="435" ht="15" customHeight="1">
      <c r="A435" t="inlineStr">
        <is>
          <t>A 3123-2020</t>
        </is>
      </c>
      <c r="B435" s="1" t="n">
        <v>43844</v>
      </c>
      <c r="C435" s="1" t="n">
        <v>45566</v>
      </c>
      <c r="D435" t="inlineStr">
        <is>
          <t>VÄSTERBOTTENS LÄN</t>
        </is>
      </c>
      <c r="E435" t="inlineStr">
        <is>
          <t>SKELLEFTEÅ</t>
        </is>
      </c>
      <c r="G435" t="n">
        <v>12.5</v>
      </c>
      <c r="H435" t="n">
        <v>0</v>
      </c>
      <c r="I435" t="n">
        <v>0</v>
      </c>
      <c r="J435" t="n">
        <v>0</v>
      </c>
      <c r="K435" t="n">
        <v>0</v>
      </c>
      <c r="L435" t="n">
        <v>0</v>
      </c>
      <c r="M435" t="n">
        <v>0</v>
      </c>
      <c r="N435" t="n">
        <v>0</v>
      </c>
      <c r="O435" t="n">
        <v>0</v>
      </c>
      <c r="P435" t="n">
        <v>0</v>
      </c>
      <c r="Q435" t="n">
        <v>0</v>
      </c>
      <c r="R435" s="2" t="inlineStr"/>
    </row>
    <row r="436" ht="15" customHeight="1">
      <c r="A436" t="inlineStr">
        <is>
          <t>A 4286-2020</t>
        </is>
      </c>
      <c r="B436" s="1" t="n">
        <v>43847</v>
      </c>
      <c r="C436" s="1" t="n">
        <v>45566</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4381-2020</t>
        </is>
      </c>
      <c r="B437" s="1" t="n">
        <v>43847</v>
      </c>
      <c r="C437" s="1" t="n">
        <v>45566</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4765-2020</t>
        </is>
      </c>
      <c r="B438" s="1" t="n">
        <v>43850</v>
      </c>
      <c r="C438" s="1" t="n">
        <v>45566</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4985-2020</t>
        </is>
      </c>
      <c r="B439" s="1" t="n">
        <v>43853</v>
      </c>
      <c r="C439" s="1" t="n">
        <v>45566</v>
      </c>
      <c r="D439" t="inlineStr">
        <is>
          <t>VÄSTERBOTTENS LÄN</t>
        </is>
      </c>
      <c r="E439" t="inlineStr">
        <is>
          <t>SKELLEFTEÅ</t>
        </is>
      </c>
      <c r="G439" t="n">
        <v>2</v>
      </c>
      <c r="H439" t="n">
        <v>0</v>
      </c>
      <c r="I439" t="n">
        <v>0</v>
      </c>
      <c r="J439" t="n">
        <v>0</v>
      </c>
      <c r="K439" t="n">
        <v>0</v>
      </c>
      <c r="L439" t="n">
        <v>0</v>
      </c>
      <c r="M439" t="n">
        <v>0</v>
      </c>
      <c r="N439" t="n">
        <v>0</v>
      </c>
      <c r="O439" t="n">
        <v>0</v>
      </c>
      <c r="P439" t="n">
        <v>0</v>
      </c>
      <c r="Q439" t="n">
        <v>0</v>
      </c>
      <c r="R439" s="2" t="inlineStr"/>
    </row>
    <row r="440" ht="15" customHeight="1">
      <c r="A440" t="inlineStr">
        <is>
          <t>A 3968-2020</t>
        </is>
      </c>
      <c r="B440" s="1" t="n">
        <v>43854</v>
      </c>
      <c r="C440" s="1" t="n">
        <v>45566</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4006-2020</t>
        </is>
      </c>
      <c r="B441" s="1" t="n">
        <v>43857</v>
      </c>
      <c r="C441" s="1" t="n">
        <v>45566</v>
      </c>
      <c r="D441" t="inlineStr">
        <is>
          <t>VÄSTERBOTTENS LÄN</t>
        </is>
      </c>
      <c r="E441" t="inlineStr">
        <is>
          <t>SKELLEFTEÅ</t>
        </is>
      </c>
      <c r="G441" t="n">
        <v>4.5</v>
      </c>
      <c r="H441" t="n">
        <v>0</v>
      </c>
      <c r="I441" t="n">
        <v>0</v>
      </c>
      <c r="J441" t="n">
        <v>0</v>
      </c>
      <c r="K441" t="n">
        <v>0</v>
      </c>
      <c r="L441" t="n">
        <v>0</v>
      </c>
      <c r="M441" t="n">
        <v>0</v>
      </c>
      <c r="N441" t="n">
        <v>0</v>
      </c>
      <c r="O441" t="n">
        <v>0</v>
      </c>
      <c r="P441" t="n">
        <v>0</v>
      </c>
      <c r="Q441" t="n">
        <v>0</v>
      </c>
      <c r="R441" s="2" t="inlineStr"/>
    </row>
    <row r="442" ht="15" customHeight="1">
      <c r="A442" t="inlineStr">
        <is>
          <t>A 5261-2020</t>
        </is>
      </c>
      <c r="B442" s="1" t="n">
        <v>43857</v>
      </c>
      <c r="C442" s="1" t="n">
        <v>45566</v>
      </c>
      <c r="D442" t="inlineStr">
        <is>
          <t>VÄSTERBOTTENS LÄN</t>
        </is>
      </c>
      <c r="E442" t="inlineStr">
        <is>
          <t>SKELLEFTEÅ</t>
        </is>
      </c>
      <c r="G442" t="n">
        <v>3.5</v>
      </c>
      <c r="H442" t="n">
        <v>0</v>
      </c>
      <c r="I442" t="n">
        <v>0</v>
      </c>
      <c r="J442" t="n">
        <v>0</v>
      </c>
      <c r="K442" t="n">
        <v>0</v>
      </c>
      <c r="L442" t="n">
        <v>0</v>
      </c>
      <c r="M442" t="n">
        <v>0</v>
      </c>
      <c r="N442" t="n">
        <v>0</v>
      </c>
      <c r="O442" t="n">
        <v>0</v>
      </c>
      <c r="P442" t="n">
        <v>0</v>
      </c>
      <c r="Q442" t="n">
        <v>0</v>
      </c>
      <c r="R442" s="2" t="inlineStr"/>
    </row>
    <row r="443" ht="15" customHeight="1">
      <c r="A443" t="inlineStr">
        <is>
          <t>A 4731-2020</t>
        </is>
      </c>
      <c r="B443" s="1" t="n">
        <v>43859</v>
      </c>
      <c r="C443" s="1" t="n">
        <v>45566</v>
      </c>
      <c r="D443" t="inlineStr">
        <is>
          <t>VÄSTERBOTTENS LÄN</t>
        </is>
      </c>
      <c r="E443" t="inlineStr">
        <is>
          <t>SKELLEFTEÅ</t>
        </is>
      </c>
      <c r="G443" t="n">
        <v>3</v>
      </c>
      <c r="H443" t="n">
        <v>0</v>
      </c>
      <c r="I443" t="n">
        <v>0</v>
      </c>
      <c r="J443" t="n">
        <v>0</v>
      </c>
      <c r="K443" t="n">
        <v>0</v>
      </c>
      <c r="L443" t="n">
        <v>0</v>
      </c>
      <c r="M443" t="n">
        <v>0</v>
      </c>
      <c r="N443" t="n">
        <v>0</v>
      </c>
      <c r="O443" t="n">
        <v>0</v>
      </c>
      <c r="P443" t="n">
        <v>0</v>
      </c>
      <c r="Q443" t="n">
        <v>0</v>
      </c>
      <c r="R443" s="2" t="inlineStr"/>
    </row>
    <row r="444" ht="15" customHeight="1">
      <c r="A444" t="inlineStr">
        <is>
          <t>A 6511-2020</t>
        </is>
      </c>
      <c r="B444" s="1" t="n">
        <v>43865</v>
      </c>
      <c r="C444" s="1" t="n">
        <v>45566</v>
      </c>
      <c r="D444" t="inlineStr">
        <is>
          <t>VÄSTERBOTTENS LÄN</t>
        </is>
      </c>
      <c r="E444" t="inlineStr">
        <is>
          <t>SKELLEFTEÅ</t>
        </is>
      </c>
      <c r="G444" t="n">
        <v>9.9</v>
      </c>
      <c r="H444" t="n">
        <v>0</v>
      </c>
      <c r="I444" t="n">
        <v>0</v>
      </c>
      <c r="J444" t="n">
        <v>0</v>
      </c>
      <c r="K444" t="n">
        <v>0</v>
      </c>
      <c r="L444" t="n">
        <v>0</v>
      </c>
      <c r="M444" t="n">
        <v>0</v>
      </c>
      <c r="N444" t="n">
        <v>0</v>
      </c>
      <c r="O444" t="n">
        <v>0</v>
      </c>
      <c r="P444" t="n">
        <v>0</v>
      </c>
      <c r="Q444" t="n">
        <v>0</v>
      </c>
      <c r="R444" s="2" t="inlineStr"/>
    </row>
    <row r="445" ht="15" customHeight="1">
      <c r="A445" t="inlineStr">
        <is>
          <t>A 7334-2020</t>
        </is>
      </c>
      <c r="B445" s="1" t="n">
        <v>43868</v>
      </c>
      <c r="C445" s="1" t="n">
        <v>45566</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7689-2020</t>
        </is>
      </c>
      <c r="B446" s="1" t="n">
        <v>43872</v>
      </c>
      <c r="C446" s="1" t="n">
        <v>45566</v>
      </c>
      <c r="D446" t="inlineStr">
        <is>
          <t>VÄSTERBOTTENS LÄN</t>
        </is>
      </c>
      <c r="E446" t="inlineStr">
        <is>
          <t>SKELLEFTEÅ</t>
        </is>
      </c>
      <c r="G446" t="n">
        <v>3.1</v>
      </c>
      <c r="H446" t="n">
        <v>0</v>
      </c>
      <c r="I446" t="n">
        <v>0</v>
      </c>
      <c r="J446" t="n">
        <v>0</v>
      </c>
      <c r="K446" t="n">
        <v>0</v>
      </c>
      <c r="L446" t="n">
        <v>0</v>
      </c>
      <c r="M446" t="n">
        <v>0</v>
      </c>
      <c r="N446" t="n">
        <v>0</v>
      </c>
      <c r="O446" t="n">
        <v>0</v>
      </c>
      <c r="P446" t="n">
        <v>0</v>
      </c>
      <c r="Q446" t="n">
        <v>0</v>
      </c>
      <c r="R446" s="2" t="inlineStr"/>
    </row>
    <row r="447" ht="15" customHeight="1">
      <c r="A447" t="inlineStr">
        <is>
          <t>A 8060-2020</t>
        </is>
      </c>
      <c r="B447" s="1" t="n">
        <v>43874</v>
      </c>
      <c r="C447" s="1" t="n">
        <v>45566</v>
      </c>
      <c r="D447" t="inlineStr">
        <is>
          <t>VÄSTERBOTTENS LÄN</t>
        </is>
      </c>
      <c r="E447" t="inlineStr">
        <is>
          <t>SKELLEFTEÅ</t>
        </is>
      </c>
      <c r="G447" t="n">
        <v>18.7</v>
      </c>
      <c r="H447" t="n">
        <v>0</v>
      </c>
      <c r="I447" t="n">
        <v>0</v>
      </c>
      <c r="J447" t="n">
        <v>0</v>
      </c>
      <c r="K447" t="n">
        <v>0</v>
      </c>
      <c r="L447" t="n">
        <v>0</v>
      </c>
      <c r="M447" t="n">
        <v>0</v>
      </c>
      <c r="N447" t="n">
        <v>0</v>
      </c>
      <c r="O447" t="n">
        <v>0</v>
      </c>
      <c r="P447" t="n">
        <v>0</v>
      </c>
      <c r="Q447" t="n">
        <v>0</v>
      </c>
      <c r="R447" s="2" t="inlineStr"/>
    </row>
    <row r="448" ht="15" customHeight="1">
      <c r="A448" t="inlineStr">
        <is>
          <t>A 8562-2020</t>
        </is>
      </c>
      <c r="B448" s="1" t="n">
        <v>43877</v>
      </c>
      <c r="C448" s="1" t="n">
        <v>45566</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9180-2020</t>
        </is>
      </c>
      <c r="B449" s="1" t="n">
        <v>43879</v>
      </c>
      <c r="C449" s="1" t="n">
        <v>45566</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9568-2020</t>
        </is>
      </c>
      <c r="B450" s="1" t="n">
        <v>43881</v>
      </c>
      <c r="C450" s="1" t="n">
        <v>45566</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10030-2020</t>
        </is>
      </c>
      <c r="B451" s="1" t="n">
        <v>43882</v>
      </c>
      <c r="C451" s="1" t="n">
        <v>45566</v>
      </c>
      <c r="D451" t="inlineStr">
        <is>
          <t>VÄSTERBOTTENS LÄN</t>
        </is>
      </c>
      <c r="E451" t="inlineStr">
        <is>
          <t>SKELLEFTEÅ</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10041-2020</t>
        </is>
      </c>
      <c r="B452" s="1" t="n">
        <v>43882</v>
      </c>
      <c r="C452" s="1" t="n">
        <v>45566</v>
      </c>
      <c r="D452" t="inlineStr">
        <is>
          <t>VÄSTERBOTTENS LÄN</t>
        </is>
      </c>
      <c r="E452" t="inlineStr">
        <is>
          <t>SKELLEFTEÅ</t>
        </is>
      </c>
      <c r="F452" t="inlineStr">
        <is>
          <t>Holmen skog AB</t>
        </is>
      </c>
      <c r="G452" t="n">
        <v>4.5</v>
      </c>
      <c r="H452" t="n">
        <v>0</v>
      </c>
      <c r="I452" t="n">
        <v>0</v>
      </c>
      <c r="J452" t="n">
        <v>0</v>
      </c>
      <c r="K452" t="n">
        <v>0</v>
      </c>
      <c r="L452" t="n">
        <v>0</v>
      </c>
      <c r="M452" t="n">
        <v>0</v>
      </c>
      <c r="N452" t="n">
        <v>0</v>
      </c>
      <c r="O452" t="n">
        <v>0</v>
      </c>
      <c r="P452" t="n">
        <v>0</v>
      </c>
      <c r="Q452" t="n">
        <v>0</v>
      </c>
      <c r="R452" s="2" t="inlineStr"/>
    </row>
    <row r="453" ht="15" customHeight="1">
      <c r="A453" t="inlineStr">
        <is>
          <t>A 10273-2020</t>
        </is>
      </c>
      <c r="B453" s="1" t="n">
        <v>43885</v>
      </c>
      <c r="C453" s="1" t="n">
        <v>45566</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c r="U453">
        <f>HYPERLINK("https://klasma.github.io/Logging_2482/knärot/A 10273-2020 karta knärot.png", "A 10273-2020")</f>
        <v/>
      </c>
      <c r="V453">
        <f>HYPERLINK("https://klasma.github.io/Logging_2482/klagomål/A 10273-2020 FSC-klagomål.docx", "A 10273-2020")</f>
        <v/>
      </c>
      <c r="W453">
        <f>HYPERLINK("https://klasma.github.io/Logging_2482/klagomålsmail/A 10273-2020 FSC-klagomål mail.docx", "A 10273-2020")</f>
        <v/>
      </c>
      <c r="X453">
        <f>HYPERLINK("https://klasma.github.io/Logging_2482/tillsyn/A 10273-2020 tillsynsbegäran.docx", "A 10273-2020")</f>
        <v/>
      </c>
      <c r="Y453">
        <f>HYPERLINK("https://klasma.github.io/Logging_2482/tillsynsmail/A 10273-2020 tillsynsbegäran mail.docx", "A 10273-2020")</f>
        <v/>
      </c>
    </row>
    <row r="454" ht="15" customHeight="1">
      <c r="A454" t="inlineStr">
        <is>
          <t>A 10279-2020</t>
        </is>
      </c>
      <c r="B454" s="1" t="n">
        <v>43885</v>
      </c>
      <c r="C454" s="1" t="n">
        <v>45566</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11083-2020</t>
        </is>
      </c>
      <c r="B455" s="1" t="n">
        <v>43885</v>
      </c>
      <c r="C455" s="1" t="n">
        <v>45566</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11037-2020</t>
        </is>
      </c>
      <c r="B456" s="1" t="n">
        <v>43886</v>
      </c>
      <c r="C456" s="1" t="n">
        <v>45566</v>
      </c>
      <c r="D456" t="inlineStr">
        <is>
          <t>VÄSTERBOTTENS LÄN</t>
        </is>
      </c>
      <c r="E456" t="inlineStr">
        <is>
          <t>SKELLEFTEÅ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11048-2020</t>
        </is>
      </c>
      <c r="B457" s="1" t="n">
        <v>43886</v>
      </c>
      <c r="C457" s="1" t="n">
        <v>45566</v>
      </c>
      <c r="D457" t="inlineStr">
        <is>
          <t>VÄSTERBOTTENS LÄN</t>
        </is>
      </c>
      <c r="E457" t="inlineStr">
        <is>
          <t>SKELLEFTEÅ</t>
        </is>
      </c>
      <c r="G457" t="n">
        <v>5.2</v>
      </c>
      <c r="H457" t="n">
        <v>0</v>
      </c>
      <c r="I457" t="n">
        <v>0</v>
      </c>
      <c r="J457" t="n">
        <v>0</v>
      </c>
      <c r="K457" t="n">
        <v>0</v>
      </c>
      <c r="L457" t="n">
        <v>0</v>
      </c>
      <c r="M457" t="n">
        <v>0</v>
      </c>
      <c r="N457" t="n">
        <v>0</v>
      </c>
      <c r="O457" t="n">
        <v>0</v>
      </c>
      <c r="P457" t="n">
        <v>0</v>
      </c>
      <c r="Q457" t="n">
        <v>0</v>
      </c>
      <c r="R457" s="2" t="inlineStr"/>
    </row>
    <row r="458" ht="15" customHeight="1">
      <c r="A458" t="inlineStr">
        <is>
          <t>A 10181-2020</t>
        </is>
      </c>
      <c r="B458" s="1" t="n">
        <v>43887</v>
      </c>
      <c r="C458" s="1" t="n">
        <v>45566</v>
      </c>
      <c r="D458" t="inlineStr">
        <is>
          <t>VÄSTERBOTTENS LÄN</t>
        </is>
      </c>
      <c r="E458" t="inlineStr">
        <is>
          <t>SKELLEFTEÅ</t>
        </is>
      </c>
      <c r="G458" t="n">
        <v>2.7</v>
      </c>
      <c r="H458" t="n">
        <v>0</v>
      </c>
      <c r="I458" t="n">
        <v>0</v>
      </c>
      <c r="J458" t="n">
        <v>0</v>
      </c>
      <c r="K458" t="n">
        <v>0</v>
      </c>
      <c r="L458" t="n">
        <v>0</v>
      </c>
      <c r="M458" t="n">
        <v>0</v>
      </c>
      <c r="N458" t="n">
        <v>0</v>
      </c>
      <c r="O458" t="n">
        <v>0</v>
      </c>
      <c r="P458" t="n">
        <v>0</v>
      </c>
      <c r="Q458" t="n">
        <v>0</v>
      </c>
      <c r="R458" s="2" t="inlineStr"/>
    </row>
    <row r="459" ht="15" customHeight="1">
      <c r="A459" t="inlineStr">
        <is>
          <t>A 10114-2020</t>
        </is>
      </c>
      <c r="B459" s="1" t="n">
        <v>43887</v>
      </c>
      <c r="C459" s="1" t="n">
        <v>45566</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12775-2020</t>
        </is>
      </c>
      <c r="B460" s="1" t="n">
        <v>43893</v>
      </c>
      <c r="C460" s="1" t="n">
        <v>45566</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12533-2020</t>
        </is>
      </c>
      <c r="B461" s="1" t="n">
        <v>43896</v>
      </c>
      <c r="C461" s="1" t="n">
        <v>45566</v>
      </c>
      <c r="D461" t="inlineStr">
        <is>
          <t>VÄSTERBOTTENS LÄN</t>
        </is>
      </c>
      <c r="E461" t="inlineStr">
        <is>
          <t>SKELLEFTEÅ</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12534-2020</t>
        </is>
      </c>
      <c r="B462" s="1" t="n">
        <v>43896</v>
      </c>
      <c r="C462" s="1" t="n">
        <v>45566</v>
      </c>
      <c r="D462" t="inlineStr">
        <is>
          <t>VÄSTERBOTTENS LÄN</t>
        </is>
      </c>
      <c r="E462" t="inlineStr">
        <is>
          <t>SKELLEFTEÅ</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13415-2020</t>
        </is>
      </c>
      <c r="B463" s="1" t="n">
        <v>43899</v>
      </c>
      <c r="C463" s="1" t="n">
        <v>45566</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14147-2020</t>
        </is>
      </c>
      <c r="B464" s="1" t="n">
        <v>43900</v>
      </c>
      <c r="C464" s="1" t="n">
        <v>45566</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12945-2020</t>
        </is>
      </c>
      <c r="B465" s="1" t="n">
        <v>43900</v>
      </c>
      <c r="C465" s="1" t="n">
        <v>45566</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12939-2020</t>
        </is>
      </c>
      <c r="B466" s="1" t="n">
        <v>43900</v>
      </c>
      <c r="C466" s="1" t="n">
        <v>45566</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14186-2020</t>
        </is>
      </c>
      <c r="B467" s="1" t="n">
        <v>43901</v>
      </c>
      <c r="C467" s="1" t="n">
        <v>45566</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13566-2020</t>
        </is>
      </c>
      <c r="B468" s="1" t="n">
        <v>43902</v>
      </c>
      <c r="C468" s="1" t="n">
        <v>45566</v>
      </c>
      <c r="D468" t="inlineStr">
        <is>
          <t>VÄSTERBOTTENS LÄN</t>
        </is>
      </c>
      <c r="E468" t="inlineStr">
        <is>
          <t>SKELLEFTEÅ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13568-2020</t>
        </is>
      </c>
      <c r="B469" s="1" t="n">
        <v>43902</v>
      </c>
      <c r="C469" s="1" t="n">
        <v>45566</v>
      </c>
      <c r="D469" t="inlineStr">
        <is>
          <t>VÄSTERBOTTENS LÄN</t>
        </is>
      </c>
      <c r="E469" t="inlineStr">
        <is>
          <t>SKELLEFTEÅ</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13851-2020</t>
        </is>
      </c>
      <c r="B470" s="1" t="n">
        <v>43906</v>
      </c>
      <c r="C470" s="1" t="n">
        <v>45566</v>
      </c>
      <c r="D470" t="inlineStr">
        <is>
          <t>VÄSTERBOTTENS LÄN</t>
        </is>
      </c>
      <c r="E470" t="inlineStr">
        <is>
          <t>SKELLEFTEÅ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13933-2020</t>
        </is>
      </c>
      <c r="B471" s="1" t="n">
        <v>43906</v>
      </c>
      <c r="C471" s="1" t="n">
        <v>45566</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13883-2020</t>
        </is>
      </c>
      <c r="B472" s="1" t="n">
        <v>43906</v>
      </c>
      <c r="C472" s="1" t="n">
        <v>45566</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16728-2020</t>
        </is>
      </c>
      <c r="B473" s="1" t="n">
        <v>43910</v>
      </c>
      <c r="C473" s="1" t="n">
        <v>45566</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15320-2020</t>
        </is>
      </c>
      <c r="B474" s="1" t="n">
        <v>43913</v>
      </c>
      <c r="C474" s="1" t="n">
        <v>45566</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17124-2020</t>
        </is>
      </c>
      <c r="B475" s="1" t="n">
        <v>43914</v>
      </c>
      <c r="C475" s="1" t="n">
        <v>45566</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15870-2020</t>
        </is>
      </c>
      <c r="B476" s="1" t="n">
        <v>43915</v>
      </c>
      <c r="C476" s="1" t="n">
        <v>45566</v>
      </c>
      <c r="D476" t="inlineStr">
        <is>
          <t>VÄSTERBOTTENS LÄN</t>
        </is>
      </c>
      <c r="E476" t="inlineStr">
        <is>
          <t>SKELLEFTEÅ</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15869-2020</t>
        </is>
      </c>
      <c r="B477" s="1" t="n">
        <v>43915</v>
      </c>
      <c r="C477" s="1" t="n">
        <v>45566</v>
      </c>
      <c r="D477" t="inlineStr">
        <is>
          <t>VÄSTERBOTTENS LÄN</t>
        </is>
      </c>
      <c r="E477" t="inlineStr">
        <is>
          <t>SKELLEFTEÅ</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17434-2020</t>
        </is>
      </c>
      <c r="B478" s="1" t="n">
        <v>43917</v>
      </c>
      <c r="C478" s="1" t="n">
        <v>45566</v>
      </c>
      <c r="D478" t="inlineStr">
        <is>
          <t>VÄSTERBOTTENS LÄN</t>
        </is>
      </c>
      <c r="E478" t="inlineStr">
        <is>
          <t>SKELLEFTEÅ</t>
        </is>
      </c>
      <c r="G478" t="n">
        <v>2.6</v>
      </c>
      <c r="H478" t="n">
        <v>0</v>
      </c>
      <c r="I478" t="n">
        <v>0</v>
      </c>
      <c r="J478" t="n">
        <v>0</v>
      </c>
      <c r="K478" t="n">
        <v>0</v>
      </c>
      <c r="L478" t="n">
        <v>0</v>
      </c>
      <c r="M478" t="n">
        <v>0</v>
      </c>
      <c r="N478" t="n">
        <v>0</v>
      </c>
      <c r="O478" t="n">
        <v>0</v>
      </c>
      <c r="P478" t="n">
        <v>0</v>
      </c>
      <c r="Q478" t="n">
        <v>0</v>
      </c>
      <c r="R478" s="2" t="inlineStr"/>
    </row>
    <row r="479" ht="15" customHeight="1">
      <c r="A479" t="inlineStr">
        <is>
          <t>A 17894-2020</t>
        </is>
      </c>
      <c r="B479" s="1" t="n">
        <v>43923</v>
      </c>
      <c r="C479" s="1" t="n">
        <v>45566</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18619-2020</t>
        </is>
      </c>
      <c r="B480" s="1" t="n">
        <v>43928</v>
      </c>
      <c r="C480" s="1" t="n">
        <v>45566</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18442-2020</t>
        </is>
      </c>
      <c r="B481" s="1" t="n">
        <v>43929</v>
      </c>
      <c r="C481" s="1" t="n">
        <v>45566</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18820-2020</t>
        </is>
      </c>
      <c r="B482" s="1" t="n">
        <v>43935</v>
      </c>
      <c r="C482" s="1" t="n">
        <v>45566</v>
      </c>
      <c r="D482" t="inlineStr">
        <is>
          <t>VÄSTERBOTTENS LÄN</t>
        </is>
      </c>
      <c r="E482" t="inlineStr">
        <is>
          <t>SKELLEFTEÅ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19006-2020</t>
        </is>
      </c>
      <c r="B483" s="1" t="n">
        <v>43936</v>
      </c>
      <c r="C483" s="1" t="n">
        <v>45566</v>
      </c>
      <c r="D483" t="inlineStr">
        <is>
          <t>VÄSTERBOTTENS LÄN</t>
        </is>
      </c>
      <c r="E483" t="inlineStr">
        <is>
          <t>SKELLEFTEÅ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19961-2020</t>
        </is>
      </c>
      <c r="B484" s="1" t="n">
        <v>43943</v>
      </c>
      <c r="C484" s="1" t="n">
        <v>45566</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20243-2020</t>
        </is>
      </c>
      <c r="B485" s="1" t="n">
        <v>43945</v>
      </c>
      <c r="C485" s="1" t="n">
        <v>45566</v>
      </c>
      <c r="D485" t="inlineStr">
        <is>
          <t>VÄSTERBOTTENS LÄN</t>
        </is>
      </c>
      <c r="E485" t="inlineStr">
        <is>
          <t>SKELLEFTEÅ</t>
        </is>
      </c>
      <c r="G485" t="n">
        <v>1.5</v>
      </c>
      <c r="H485" t="n">
        <v>0</v>
      </c>
      <c r="I485" t="n">
        <v>0</v>
      </c>
      <c r="J485" t="n">
        <v>0</v>
      </c>
      <c r="K485" t="n">
        <v>0</v>
      </c>
      <c r="L485" t="n">
        <v>0</v>
      </c>
      <c r="M485" t="n">
        <v>0</v>
      </c>
      <c r="N485" t="n">
        <v>0</v>
      </c>
      <c r="O485" t="n">
        <v>0</v>
      </c>
      <c r="P485" t="n">
        <v>0</v>
      </c>
      <c r="Q485" t="n">
        <v>0</v>
      </c>
      <c r="R485" s="2" t="inlineStr"/>
    </row>
    <row r="486" ht="15" customHeight="1">
      <c r="A486" t="inlineStr">
        <is>
          <t>A 20283-2020</t>
        </is>
      </c>
      <c r="B486" s="1" t="n">
        <v>43945</v>
      </c>
      <c r="C486" s="1" t="n">
        <v>45566</v>
      </c>
      <c r="D486" t="inlineStr">
        <is>
          <t>VÄSTERBOTTENS LÄN</t>
        </is>
      </c>
      <c r="E486" t="inlineStr">
        <is>
          <t>SKELLEFTEÅ</t>
        </is>
      </c>
      <c r="G486" t="n">
        <v>6.2</v>
      </c>
      <c r="H486" t="n">
        <v>0</v>
      </c>
      <c r="I486" t="n">
        <v>0</v>
      </c>
      <c r="J486" t="n">
        <v>0</v>
      </c>
      <c r="K486" t="n">
        <v>0</v>
      </c>
      <c r="L486" t="n">
        <v>0</v>
      </c>
      <c r="M486" t="n">
        <v>0</v>
      </c>
      <c r="N486" t="n">
        <v>0</v>
      </c>
      <c r="O486" t="n">
        <v>0</v>
      </c>
      <c r="P486" t="n">
        <v>0</v>
      </c>
      <c r="Q486" t="n">
        <v>0</v>
      </c>
      <c r="R486" s="2" t="inlineStr"/>
    </row>
    <row r="487" ht="15" customHeight="1">
      <c r="A487" t="inlineStr">
        <is>
          <t>A 20351-2020</t>
        </is>
      </c>
      <c r="B487" s="1" t="n">
        <v>43945</v>
      </c>
      <c r="C487" s="1" t="n">
        <v>45566</v>
      </c>
      <c r="D487" t="inlineStr">
        <is>
          <t>VÄSTERBOTTENS LÄN</t>
        </is>
      </c>
      <c r="E487" t="inlineStr">
        <is>
          <t>SKELLEFTEÅ</t>
        </is>
      </c>
      <c r="G487" t="n">
        <v>6.3</v>
      </c>
      <c r="H487" t="n">
        <v>0</v>
      </c>
      <c r="I487" t="n">
        <v>0</v>
      </c>
      <c r="J487" t="n">
        <v>0</v>
      </c>
      <c r="K487" t="n">
        <v>0</v>
      </c>
      <c r="L487" t="n">
        <v>0</v>
      </c>
      <c r="M487" t="n">
        <v>0</v>
      </c>
      <c r="N487" t="n">
        <v>0</v>
      </c>
      <c r="O487" t="n">
        <v>0</v>
      </c>
      <c r="P487" t="n">
        <v>0</v>
      </c>
      <c r="Q487" t="n">
        <v>0</v>
      </c>
      <c r="R487" s="2" t="inlineStr"/>
    </row>
    <row r="488" ht="15" customHeight="1">
      <c r="A488" t="inlineStr">
        <is>
          <t>A 20444-2020</t>
        </is>
      </c>
      <c r="B488" s="1" t="n">
        <v>43948</v>
      </c>
      <c r="C488" s="1" t="n">
        <v>45566</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20466-2020</t>
        </is>
      </c>
      <c r="B489" s="1" t="n">
        <v>43948</v>
      </c>
      <c r="C489" s="1" t="n">
        <v>45566</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22451-2020</t>
        </is>
      </c>
      <c r="B490" s="1" t="n">
        <v>43963</v>
      </c>
      <c r="C490" s="1" t="n">
        <v>45566</v>
      </c>
      <c r="D490" t="inlineStr">
        <is>
          <t>VÄSTERBOTTENS LÄN</t>
        </is>
      </c>
      <c r="E490" t="inlineStr">
        <is>
          <t>SKELLEFTEÅ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22752-2020</t>
        </is>
      </c>
      <c r="B491" s="1" t="n">
        <v>43963</v>
      </c>
      <c r="C491" s="1" t="n">
        <v>45566</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23006-2020</t>
        </is>
      </c>
      <c r="B492" s="1" t="n">
        <v>43965</v>
      </c>
      <c r="C492" s="1" t="n">
        <v>45566</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23181-2020</t>
        </is>
      </c>
      <c r="B493" s="1" t="n">
        <v>43965</v>
      </c>
      <c r="C493" s="1" t="n">
        <v>45566</v>
      </c>
      <c r="D493" t="inlineStr">
        <is>
          <t>VÄSTERBOTTENS LÄN</t>
        </is>
      </c>
      <c r="E493" t="inlineStr">
        <is>
          <t>SKELLEFTEÅ</t>
        </is>
      </c>
      <c r="G493" t="n">
        <v>8.1</v>
      </c>
      <c r="H493" t="n">
        <v>0</v>
      </c>
      <c r="I493" t="n">
        <v>0</v>
      </c>
      <c r="J493" t="n">
        <v>0</v>
      </c>
      <c r="K493" t="n">
        <v>0</v>
      </c>
      <c r="L493" t="n">
        <v>0</v>
      </c>
      <c r="M493" t="n">
        <v>0</v>
      </c>
      <c r="N493" t="n">
        <v>0</v>
      </c>
      <c r="O493" t="n">
        <v>0</v>
      </c>
      <c r="P493" t="n">
        <v>0</v>
      </c>
      <c r="Q493" t="n">
        <v>0</v>
      </c>
      <c r="R493" s="2" t="inlineStr"/>
    </row>
    <row r="494" ht="15" customHeight="1">
      <c r="A494" t="inlineStr">
        <is>
          <t>A 23522-2020</t>
        </is>
      </c>
      <c r="B494" s="1" t="n">
        <v>43969</v>
      </c>
      <c r="C494" s="1" t="n">
        <v>45566</v>
      </c>
      <c r="D494" t="inlineStr">
        <is>
          <t>VÄSTERBOTTENS LÄN</t>
        </is>
      </c>
      <c r="E494" t="inlineStr">
        <is>
          <t>SKELLEFTEÅ</t>
        </is>
      </c>
      <c r="G494" t="n">
        <v>0.2</v>
      </c>
      <c r="H494" t="n">
        <v>0</v>
      </c>
      <c r="I494" t="n">
        <v>0</v>
      </c>
      <c r="J494" t="n">
        <v>0</v>
      </c>
      <c r="K494" t="n">
        <v>0</v>
      </c>
      <c r="L494" t="n">
        <v>0</v>
      </c>
      <c r="M494" t="n">
        <v>0</v>
      </c>
      <c r="N494" t="n">
        <v>0</v>
      </c>
      <c r="O494" t="n">
        <v>0</v>
      </c>
      <c r="P494" t="n">
        <v>0</v>
      </c>
      <c r="Q494" t="n">
        <v>0</v>
      </c>
      <c r="R494" s="2" t="inlineStr"/>
    </row>
    <row r="495" ht="15" customHeight="1">
      <c r="A495" t="inlineStr">
        <is>
          <t>A 23672-2020</t>
        </is>
      </c>
      <c r="B495" s="1" t="n">
        <v>43970</v>
      </c>
      <c r="C495" s="1" t="n">
        <v>45566</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24280-2020</t>
        </is>
      </c>
      <c r="B496" s="1" t="n">
        <v>43970</v>
      </c>
      <c r="C496" s="1" t="n">
        <v>45566</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24276-2020</t>
        </is>
      </c>
      <c r="B497" s="1" t="n">
        <v>43970</v>
      </c>
      <c r="C497" s="1" t="n">
        <v>45566</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24274-2020</t>
        </is>
      </c>
      <c r="B498" s="1" t="n">
        <v>43970</v>
      </c>
      <c r="C498" s="1" t="n">
        <v>45566</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23908-2020</t>
        </is>
      </c>
      <c r="B499" s="1" t="n">
        <v>43970</v>
      </c>
      <c r="C499" s="1" t="n">
        <v>45566</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23907-2020</t>
        </is>
      </c>
      <c r="B500" s="1" t="n">
        <v>43970</v>
      </c>
      <c r="C500" s="1" t="n">
        <v>45566</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24264-2020</t>
        </is>
      </c>
      <c r="B501" s="1" t="n">
        <v>43970</v>
      </c>
      <c r="C501" s="1" t="n">
        <v>45566</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24543-2020</t>
        </is>
      </c>
      <c r="B502" s="1" t="n">
        <v>43977</v>
      </c>
      <c r="C502" s="1" t="n">
        <v>45566</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25142-2020</t>
        </is>
      </c>
      <c r="B503" s="1" t="n">
        <v>43978</v>
      </c>
      <c r="C503" s="1" t="n">
        <v>45566</v>
      </c>
      <c r="D503" t="inlineStr">
        <is>
          <t>VÄSTERBOTTENS LÄN</t>
        </is>
      </c>
      <c r="E503" t="inlineStr">
        <is>
          <t>SKELLEFTEÅ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25161-2020</t>
        </is>
      </c>
      <c r="B504" s="1" t="n">
        <v>43978</v>
      </c>
      <c r="C504" s="1" t="n">
        <v>45566</v>
      </c>
      <c r="D504" t="inlineStr">
        <is>
          <t>VÄSTERBOTTENS LÄN</t>
        </is>
      </c>
      <c r="E504" t="inlineStr">
        <is>
          <t>SKELLEFTEÅ</t>
        </is>
      </c>
      <c r="G504" t="n">
        <v>6.6</v>
      </c>
      <c r="H504" t="n">
        <v>0</v>
      </c>
      <c r="I504" t="n">
        <v>0</v>
      </c>
      <c r="J504" t="n">
        <v>0</v>
      </c>
      <c r="K504" t="n">
        <v>0</v>
      </c>
      <c r="L504" t="n">
        <v>0</v>
      </c>
      <c r="M504" t="n">
        <v>0</v>
      </c>
      <c r="N504" t="n">
        <v>0</v>
      </c>
      <c r="O504" t="n">
        <v>0</v>
      </c>
      <c r="P504" t="n">
        <v>0</v>
      </c>
      <c r="Q504" t="n">
        <v>0</v>
      </c>
      <c r="R504" s="2" t="inlineStr"/>
    </row>
    <row r="505" ht="15" customHeight="1">
      <c r="A505" t="inlineStr">
        <is>
          <t>A 25051-2020</t>
        </is>
      </c>
      <c r="B505" s="1" t="n">
        <v>43979</v>
      </c>
      <c r="C505" s="1" t="n">
        <v>45566</v>
      </c>
      <c r="D505" t="inlineStr">
        <is>
          <t>VÄSTERBOTTENS LÄN</t>
        </is>
      </c>
      <c r="E505" t="inlineStr">
        <is>
          <t>SKELLEFTEÅ</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25202-2020</t>
        </is>
      </c>
      <c r="B506" s="1" t="n">
        <v>43980</v>
      </c>
      <c r="C506" s="1" t="n">
        <v>45566</v>
      </c>
      <c r="D506" t="inlineStr">
        <is>
          <t>VÄSTERBOTTENS LÄN</t>
        </is>
      </c>
      <c r="E506" t="inlineStr">
        <is>
          <t>SKELLEFTEÅ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25473-2020</t>
        </is>
      </c>
      <c r="B507" s="1" t="n">
        <v>43983</v>
      </c>
      <c r="C507" s="1" t="n">
        <v>45566</v>
      </c>
      <c r="D507" t="inlineStr">
        <is>
          <t>VÄSTERBOTTENS LÄN</t>
        </is>
      </c>
      <c r="E507" t="inlineStr">
        <is>
          <t>SKELLEFTEÅ</t>
        </is>
      </c>
      <c r="G507" t="n">
        <v>1.1</v>
      </c>
      <c r="H507" t="n">
        <v>0</v>
      </c>
      <c r="I507" t="n">
        <v>0</v>
      </c>
      <c r="J507" t="n">
        <v>0</v>
      </c>
      <c r="K507" t="n">
        <v>0</v>
      </c>
      <c r="L507" t="n">
        <v>0</v>
      </c>
      <c r="M507" t="n">
        <v>0</v>
      </c>
      <c r="N507" t="n">
        <v>0</v>
      </c>
      <c r="O507" t="n">
        <v>0</v>
      </c>
      <c r="P507" t="n">
        <v>0</v>
      </c>
      <c r="Q507" t="n">
        <v>0</v>
      </c>
      <c r="R507" s="2" t="inlineStr"/>
    </row>
    <row r="508" ht="15" customHeight="1">
      <c r="A508" t="inlineStr">
        <is>
          <t>A 25682-2020</t>
        </is>
      </c>
      <c r="B508" s="1" t="n">
        <v>43983</v>
      </c>
      <c r="C508" s="1" t="n">
        <v>45566</v>
      </c>
      <c r="D508" t="inlineStr">
        <is>
          <t>VÄSTERBOTTENS LÄN</t>
        </is>
      </c>
      <c r="E508" t="inlineStr">
        <is>
          <t>SKELLEFTEÅ</t>
        </is>
      </c>
      <c r="G508" t="n">
        <v>2.8</v>
      </c>
      <c r="H508" t="n">
        <v>0</v>
      </c>
      <c r="I508" t="n">
        <v>0</v>
      </c>
      <c r="J508" t="n">
        <v>0</v>
      </c>
      <c r="K508" t="n">
        <v>0</v>
      </c>
      <c r="L508" t="n">
        <v>0</v>
      </c>
      <c r="M508" t="n">
        <v>0</v>
      </c>
      <c r="N508" t="n">
        <v>0</v>
      </c>
      <c r="O508" t="n">
        <v>0</v>
      </c>
      <c r="P508" t="n">
        <v>0</v>
      </c>
      <c r="Q508" t="n">
        <v>0</v>
      </c>
      <c r="R508" s="2" t="inlineStr"/>
    </row>
    <row r="509" ht="15" customHeight="1">
      <c r="A509" t="inlineStr">
        <is>
          <t>A 25858-2020</t>
        </is>
      </c>
      <c r="B509" s="1" t="n">
        <v>43984</v>
      </c>
      <c r="C509" s="1" t="n">
        <v>45566</v>
      </c>
      <c r="D509" t="inlineStr">
        <is>
          <t>VÄSTERBOTTENS LÄN</t>
        </is>
      </c>
      <c r="E509" t="inlineStr">
        <is>
          <t>SKELLEFTEÅ</t>
        </is>
      </c>
      <c r="F509" t="inlineStr">
        <is>
          <t>Sveaskog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26089-2020</t>
        </is>
      </c>
      <c r="B510" s="1" t="n">
        <v>43984</v>
      </c>
      <c r="C510" s="1" t="n">
        <v>45566</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25695-2020</t>
        </is>
      </c>
      <c r="B511" s="1" t="n">
        <v>43984</v>
      </c>
      <c r="C511" s="1" t="n">
        <v>45566</v>
      </c>
      <c r="D511" t="inlineStr">
        <is>
          <t>VÄSTERBOTTENS LÄN</t>
        </is>
      </c>
      <c r="E511" t="inlineStr">
        <is>
          <t>SKELLEFTEÅ</t>
        </is>
      </c>
      <c r="G511" t="n">
        <v>15.3</v>
      </c>
      <c r="H511" t="n">
        <v>0</v>
      </c>
      <c r="I511" t="n">
        <v>0</v>
      </c>
      <c r="J511" t="n">
        <v>0</v>
      </c>
      <c r="K511" t="n">
        <v>0</v>
      </c>
      <c r="L511" t="n">
        <v>0</v>
      </c>
      <c r="M511" t="n">
        <v>0</v>
      </c>
      <c r="N511" t="n">
        <v>0</v>
      </c>
      <c r="O511" t="n">
        <v>0</v>
      </c>
      <c r="P511" t="n">
        <v>0</v>
      </c>
      <c r="Q511" t="n">
        <v>0</v>
      </c>
      <c r="R511" s="2" t="inlineStr"/>
    </row>
    <row r="512" ht="15" customHeight="1">
      <c r="A512" t="inlineStr">
        <is>
          <t>A 25968-2020</t>
        </is>
      </c>
      <c r="B512" s="1" t="n">
        <v>43985</v>
      </c>
      <c r="C512" s="1" t="n">
        <v>45566</v>
      </c>
      <c r="D512" t="inlineStr">
        <is>
          <t>VÄSTERBOTTENS LÄN</t>
        </is>
      </c>
      <c r="E512" t="inlineStr">
        <is>
          <t>SKELLEFTEÅ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26422-2020</t>
        </is>
      </c>
      <c r="B513" s="1" t="n">
        <v>43986</v>
      </c>
      <c r="C513" s="1" t="n">
        <v>45566</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26413-2020</t>
        </is>
      </c>
      <c r="B514" s="1" t="n">
        <v>43987</v>
      </c>
      <c r="C514" s="1" t="n">
        <v>45566</v>
      </c>
      <c r="D514" t="inlineStr">
        <is>
          <t>VÄSTERBOTTENS LÄN</t>
        </is>
      </c>
      <c r="E514" t="inlineStr">
        <is>
          <t>SKELLEFTEÅ</t>
        </is>
      </c>
      <c r="F514" t="inlineStr">
        <is>
          <t>Holmen skog AB</t>
        </is>
      </c>
      <c r="G514" t="n">
        <v>7.9</v>
      </c>
      <c r="H514" t="n">
        <v>0</v>
      </c>
      <c r="I514" t="n">
        <v>0</v>
      </c>
      <c r="J514" t="n">
        <v>0</v>
      </c>
      <c r="K514" t="n">
        <v>0</v>
      </c>
      <c r="L514" t="n">
        <v>0</v>
      </c>
      <c r="M514" t="n">
        <v>0</v>
      </c>
      <c r="N514" t="n">
        <v>0</v>
      </c>
      <c r="O514" t="n">
        <v>0</v>
      </c>
      <c r="P514" t="n">
        <v>0</v>
      </c>
      <c r="Q514" t="n">
        <v>0</v>
      </c>
      <c r="R514" s="2" t="inlineStr"/>
    </row>
    <row r="515" ht="15" customHeight="1">
      <c r="A515" t="inlineStr">
        <is>
          <t>A 26396-2020</t>
        </is>
      </c>
      <c r="B515" s="1" t="n">
        <v>43987</v>
      </c>
      <c r="C515" s="1" t="n">
        <v>45566</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27218-2020</t>
        </is>
      </c>
      <c r="B516" s="1" t="n">
        <v>43992</v>
      </c>
      <c r="C516" s="1" t="n">
        <v>45566</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27684-2020</t>
        </is>
      </c>
      <c r="B517" s="1" t="n">
        <v>43994</v>
      </c>
      <c r="C517" s="1" t="n">
        <v>45566</v>
      </c>
      <c r="D517" t="inlineStr">
        <is>
          <t>VÄSTERBOTTENS LÄN</t>
        </is>
      </c>
      <c r="E517" t="inlineStr">
        <is>
          <t>SKELLEFTEÅ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28449-2020</t>
        </is>
      </c>
      <c r="B518" s="1" t="n">
        <v>43998</v>
      </c>
      <c r="C518" s="1" t="n">
        <v>45566</v>
      </c>
      <c r="D518" t="inlineStr">
        <is>
          <t>VÄSTERBOTTENS LÄN</t>
        </is>
      </c>
      <c r="E518" t="inlineStr">
        <is>
          <t>SKELLEFTEÅ</t>
        </is>
      </c>
      <c r="F518" t="inlineStr">
        <is>
          <t>Sveaskog</t>
        </is>
      </c>
      <c r="G518" t="n">
        <v>20.9</v>
      </c>
      <c r="H518" t="n">
        <v>0</v>
      </c>
      <c r="I518" t="n">
        <v>0</v>
      </c>
      <c r="J518" t="n">
        <v>0</v>
      </c>
      <c r="K518" t="n">
        <v>0</v>
      </c>
      <c r="L518" t="n">
        <v>0</v>
      </c>
      <c r="M518" t="n">
        <v>0</v>
      </c>
      <c r="N518" t="n">
        <v>0</v>
      </c>
      <c r="O518" t="n">
        <v>0</v>
      </c>
      <c r="P518" t="n">
        <v>0</v>
      </c>
      <c r="Q518" t="n">
        <v>0</v>
      </c>
      <c r="R518" s="2" t="inlineStr"/>
    </row>
    <row r="519" ht="15" customHeight="1">
      <c r="A519" t="inlineStr">
        <is>
          <t>A 28503-2020</t>
        </is>
      </c>
      <c r="B519" s="1" t="n">
        <v>43999</v>
      </c>
      <c r="C519" s="1" t="n">
        <v>45566</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28501-2020</t>
        </is>
      </c>
      <c r="B520" s="1" t="n">
        <v>43999</v>
      </c>
      <c r="C520" s="1" t="n">
        <v>45566</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28505-2020</t>
        </is>
      </c>
      <c r="B521" s="1" t="n">
        <v>43999</v>
      </c>
      <c r="C521" s="1" t="n">
        <v>45566</v>
      </c>
      <c r="D521" t="inlineStr">
        <is>
          <t>VÄSTERBOTTENS LÄN</t>
        </is>
      </c>
      <c r="E521" t="inlineStr">
        <is>
          <t>SKELLEFTEÅ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28574-2020</t>
        </is>
      </c>
      <c r="B522" s="1" t="n">
        <v>43999</v>
      </c>
      <c r="C522" s="1" t="n">
        <v>45566</v>
      </c>
      <c r="D522" t="inlineStr">
        <is>
          <t>VÄSTERBOTTENS LÄN</t>
        </is>
      </c>
      <c r="E522" t="inlineStr">
        <is>
          <t>SKELLEFTEÅ</t>
        </is>
      </c>
      <c r="F522" t="inlineStr">
        <is>
          <t>Holmen skog AB</t>
        </is>
      </c>
      <c r="G522" t="n">
        <v>19.4</v>
      </c>
      <c r="H522" t="n">
        <v>0</v>
      </c>
      <c r="I522" t="n">
        <v>0</v>
      </c>
      <c r="J522" t="n">
        <v>0</v>
      </c>
      <c r="K522" t="n">
        <v>0</v>
      </c>
      <c r="L522" t="n">
        <v>0</v>
      </c>
      <c r="M522" t="n">
        <v>0</v>
      </c>
      <c r="N522" t="n">
        <v>0</v>
      </c>
      <c r="O522" t="n">
        <v>0</v>
      </c>
      <c r="P522" t="n">
        <v>0</v>
      </c>
      <c r="Q522" t="n">
        <v>0</v>
      </c>
      <c r="R522" s="2" t="inlineStr"/>
    </row>
    <row r="523" ht="15" customHeight="1">
      <c r="A523" t="inlineStr">
        <is>
          <t>A 28986-2020</t>
        </is>
      </c>
      <c r="B523" s="1" t="n">
        <v>44000</v>
      </c>
      <c r="C523" s="1" t="n">
        <v>45566</v>
      </c>
      <c r="D523" t="inlineStr">
        <is>
          <t>VÄSTERBOTTENS LÄN</t>
        </is>
      </c>
      <c r="E523" t="inlineStr">
        <is>
          <t>SKELLEFTEÅ</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28985-2020</t>
        </is>
      </c>
      <c r="B524" s="1" t="n">
        <v>44000</v>
      </c>
      <c r="C524" s="1" t="n">
        <v>45566</v>
      </c>
      <c r="D524" t="inlineStr">
        <is>
          <t>VÄSTERBOTTENS LÄN</t>
        </is>
      </c>
      <c r="E524" t="inlineStr">
        <is>
          <t>SKELLEFTEÅ</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29134-2020</t>
        </is>
      </c>
      <c r="B525" s="1" t="n">
        <v>44004</v>
      </c>
      <c r="C525" s="1" t="n">
        <v>45566</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29595-2020</t>
        </is>
      </c>
      <c r="B526" s="1" t="n">
        <v>44004</v>
      </c>
      <c r="C526" s="1" t="n">
        <v>45566</v>
      </c>
      <c r="D526" t="inlineStr">
        <is>
          <t>VÄSTERBOTTENS LÄN</t>
        </is>
      </c>
      <c r="E526" t="inlineStr">
        <is>
          <t>SKELLEFTEÅ</t>
        </is>
      </c>
      <c r="G526" t="n">
        <v>4.3</v>
      </c>
      <c r="H526" t="n">
        <v>0</v>
      </c>
      <c r="I526" t="n">
        <v>0</v>
      </c>
      <c r="J526" t="n">
        <v>0</v>
      </c>
      <c r="K526" t="n">
        <v>0</v>
      </c>
      <c r="L526" t="n">
        <v>0</v>
      </c>
      <c r="M526" t="n">
        <v>0</v>
      </c>
      <c r="N526" t="n">
        <v>0</v>
      </c>
      <c r="O526" t="n">
        <v>0</v>
      </c>
      <c r="P526" t="n">
        <v>0</v>
      </c>
      <c r="Q526" t="n">
        <v>0</v>
      </c>
      <c r="R526" s="2" t="inlineStr"/>
    </row>
    <row r="527" ht="15" customHeight="1">
      <c r="A527" t="inlineStr">
        <is>
          <t>A 29542-2020</t>
        </is>
      </c>
      <c r="B527" s="1" t="n">
        <v>44005</v>
      </c>
      <c r="C527" s="1" t="n">
        <v>45566</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29832-2020</t>
        </is>
      </c>
      <c r="B528" s="1" t="n">
        <v>44005</v>
      </c>
      <c r="C528" s="1" t="n">
        <v>45566</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29850-2020</t>
        </is>
      </c>
      <c r="B529" s="1" t="n">
        <v>44005</v>
      </c>
      <c r="C529" s="1" t="n">
        <v>45566</v>
      </c>
      <c r="D529" t="inlineStr">
        <is>
          <t>VÄSTERBOTTENS LÄN</t>
        </is>
      </c>
      <c r="E529" t="inlineStr">
        <is>
          <t>SKELLEFTEÅ</t>
        </is>
      </c>
      <c r="G529" t="n">
        <v>2.8</v>
      </c>
      <c r="H529" t="n">
        <v>0</v>
      </c>
      <c r="I529" t="n">
        <v>0</v>
      </c>
      <c r="J529" t="n">
        <v>0</v>
      </c>
      <c r="K529" t="n">
        <v>0</v>
      </c>
      <c r="L529" t="n">
        <v>0</v>
      </c>
      <c r="M529" t="n">
        <v>0</v>
      </c>
      <c r="N529" t="n">
        <v>0</v>
      </c>
      <c r="O529" t="n">
        <v>0</v>
      </c>
      <c r="P529" t="n">
        <v>0</v>
      </c>
      <c r="Q529" t="n">
        <v>0</v>
      </c>
      <c r="R529" s="2" t="inlineStr"/>
    </row>
    <row r="530" ht="15" customHeight="1">
      <c r="A530" t="inlineStr">
        <is>
          <t>A 29842-2020</t>
        </is>
      </c>
      <c r="B530" s="1" t="n">
        <v>44005</v>
      </c>
      <c r="C530" s="1" t="n">
        <v>45566</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29982-2020</t>
        </is>
      </c>
      <c r="B531" s="1" t="n">
        <v>44006</v>
      </c>
      <c r="C531" s="1" t="n">
        <v>45566</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30075-2020</t>
        </is>
      </c>
      <c r="B532" s="1" t="n">
        <v>44006</v>
      </c>
      <c r="C532" s="1" t="n">
        <v>45566</v>
      </c>
      <c r="D532" t="inlineStr">
        <is>
          <t>VÄSTERBOTTENS LÄN</t>
        </is>
      </c>
      <c r="E532" t="inlineStr">
        <is>
          <t>SKELLEFTEÅ</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30074-2020</t>
        </is>
      </c>
      <c r="B533" s="1" t="n">
        <v>44006</v>
      </c>
      <c r="C533" s="1" t="n">
        <v>45566</v>
      </c>
      <c r="D533" t="inlineStr">
        <is>
          <t>VÄSTERBOTTENS LÄN</t>
        </is>
      </c>
      <c r="E533" t="inlineStr">
        <is>
          <t>SKELLEFTEÅ</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30408-2020</t>
        </is>
      </c>
      <c r="B534" s="1" t="n">
        <v>44007</v>
      </c>
      <c r="C534" s="1" t="n">
        <v>45566</v>
      </c>
      <c r="D534" t="inlineStr">
        <is>
          <t>VÄSTERBOTTENS LÄN</t>
        </is>
      </c>
      <c r="E534" t="inlineStr">
        <is>
          <t>SKELLEFTEÅ</t>
        </is>
      </c>
      <c r="G534" t="n">
        <v>24.3</v>
      </c>
      <c r="H534" t="n">
        <v>0</v>
      </c>
      <c r="I534" t="n">
        <v>0</v>
      </c>
      <c r="J534" t="n">
        <v>0</v>
      </c>
      <c r="K534" t="n">
        <v>0</v>
      </c>
      <c r="L534" t="n">
        <v>0</v>
      </c>
      <c r="M534" t="n">
        <v>0</v>
      </c>
      <c r="N534" t="n">
        <v>0</v>
      </c>
      <c r="O534" t="n">
        <v>0</v>
      </c>
      <c r="P534" t="n">
        <v>0</v>
      </c>
      <c r="Q534" t="n">
        <v>0</v>
      </c>
      <c r="R534" s="2" t="inlineStr"/>
    </row>
    <row r="535" ht="15" customHeight="1">
      <c r="A535" t="inlineStr">
        <is>
          <t>A 30712-2020</t>
        </is>
      </c>
      <c r="B535" s="1" t="n">
        <v>44008</v>
      </c>
      <c r="C535" s="1" t="n">
        <v>45566</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30653-2020</t>
        </is>
      </c>
      <c r="B536" s="1" t="n">
        <v>44008</v>
      </c>
      <c r="C536" s="1" t="n">
        <v>45566</v>
      </c>
      <c r="D536" t="inlineStr">
        <is>
          <t>VÄSTERBOTTENS LÄN</t>
        </is>
      </c>
      <c r="E536" t="inlineStr">
        <is>
          <t>SKELLEFTEÅ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30709-2020</t>
        </is>
      </c>
      <c r="B537" s="1" t="n">
        <v>44008</v>
      </c>
      <c r="C537" s="1" t="n">
        <v>45566</v>
      </c>
      <c r="D537" t="inlineStr">
        <is>
          <t>VÄSTERBOTTENS LÄN</t>
        </is>
      </c>
      <c r="E537" t="inlineStr">
        <is>
          <t>SKELLEFTEÅ</t>
        </is>
      </c>
      <c r="F537" t="inlineStr">
        <is>
          <t>Holmen skog AB</t>
        </is>
      </c>
      <c r="G537" t="n">
        <v>7.5</v>
      </c>
      <c r="H537" t="n">
        <v>0</v>
      </c>
      <c r="I537" t="n">
        <v>0</v>
      </c>
      <c r="J537" t="n">
        <v>0</v>
      </c>
      <c r="K537" t="n">
        <v>0</v>
      </c>
      <c r="L537" t="n">
        <v>0</v>
      </c>
      <c r="M537" t="n">
        <v>0</v>
      </c>
      <c r="N537" t="n">
        <v>0</v>
      </c>
      <c r="O537" t="n">
        <v>0</v>
      </c>
      <c r="P537" t="n">
        <v>0</v>
      </c>
      <c r="Q537" t="n">
        <v>0</v>
      </c>
      <c r="R537" s="2" t="inlineStr"/>
    </row>
    <row r="538" ht="15" customHeight="1">
      <c r="A538" t="inlineStr">
        <is>
          <t>A 30728-2020</t>
        </is>
      </c>
      <c r="B538" s="1" t="n">
        <v>44008</v>
      </c>
      <c r="C538" s="1" t="n">
        <v>45566</v>
      </c>
      <c r="D538" t="inlineStr">
        <is>
          <t>VÄSTERBOTTENS LÄN</t>
        </is>
      </c>
      <c r="E538" t="inlineStr">
        <is>
          <t>SKELLEFTEÅ</t>
        </is>
      </c>
      <c r="F538" t="inlineStr">
        <is>
          <t>Holmen skog AB</t>
        </is>
      </c>
      <c r="G538" t="n">
        <v>10.7</v>
      </c>
      <c r="H538" t="n">
        <v>0</v>
      </c>
      <c r="I538" t="n">
        <v>0</v>
      </c>
      <c r="J538" t="n">
        <v>0</v>
      </c>
      <c r="K538" t="n">
        <v>0</v>
      </c>
      <c r="L538" t="n">
        <v>0</v>
      </c>
      <c r="M538" t="n">
        <v>0</v>
      </c>
      <c r="N538" t="n">
        <v>0</v>
      </c>
      <c r="O538" t="n">
        <v>0</v>
      </c>
      <c r="P538" t="n">
        <v>0</v>
      </c>
      <c r="Q538" t="n">
        <v>0</v>
      </c>
      <c r="R538" s="2" t="inlineStr"/>
    </row>
    <row r="539" ht="15" customHeight="1">
      <c r="A539" t="inlineStr">
        <is>
          <t>A 30841-2020</t>
        </is>
      </c>
      <c r="B539" s="1" t="n">
        <v>44008</v>
      </c>
      <c r="C539" s="1" t="n">
        <v>45566</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30877-2020</t>
        </is>
      </c>
      <c r="B540" s="1" t="n">
        <v>44011</v>
      </c>
      <c r="C540" s="1" t="n">
        <v>45566</v>
      </c>
      <c r="D540" t="inlineStr">
        <is>
          <t>VÄSTERBOTTENS LÄN</t>
        </is>
      </c>
      <c r="E540" t="inlineStr">
        <is>
          <t>SKELLEFTEÅ</t>
        </is>
      </c>
      <c r="F540" t="inlineStr">
        <is>
          <t>Kyrkan</t>
        </is>
      </c>
      <c r="G540" t="n">
        <v>13.7</v>
      </c>
      <c r="H540" t="n">
        <v>0</v>
      </c>
      <c r="I540" t="n">
        <v>0</v>
      </c>
      <c r="J540" t="n">
        <v>0</v>
      </c>
      <c r="K540" t="n">
        <v>0</v>
      </c>
      <c r="L540" t="n">
        <v>0</v>
      </c>
      <c r="M540" t="n">
        <v>0</v>
      </c>
      <c r="N540" t="n">
        <v>0</v>
      </c>
      <c r="O540" t="n">
        <v>0</v>
      </c>
      <c r="P540" t="n">
        <v>0</v>
      </c>
      <c r="Q540" t="n">
        <v>0</v>
      </c>
      <c r="R540" s="2" t="inlineStr"/>
    </row>
    <row r="541" ht="15" customHeight="1">
      <c r="A541" t="inlineStr">
        <is>
          <t>A 30949-2020</t>
        </is>
      </c>
      <c r="B541" s="1" t="n">
        <v>44011</v>
      </c>
      <c r="C541" s="1" t="n">
        <v>45566</v>
      </c>
      <c r="D541" t="inlineStr">
        <is>
          <t>VÄSTERBOTTENS LÄN</t>
        </is>
      </c>
      <c r="E541" t="inlineStr">
        <is>
          <t>SKELLEFTEÅ</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31060-2020</t>
        </is>
      </c>
      <c r="B542" s="1" t="n">
        <v>44012</v>
      </c>
      <c r="C542" s="1" t="n">
        <v>45566</v>
      </c>
      <c r="D542" t="inlineStr">
        <is>
          <t>VÄSTERBOTTENS LÄN</t>
        </is>
      </c>
      <c r="E542" t="inlineStr">
        <is>
          <t>SKELLEFTEÅ</t>
        </is>
      </c>
      <c r="G542" t="n">
        <v>3.3</v>
      </c>
      <c r="H542" t="n">
        <v>0</v>
      </c>
      <c r="I542" t="n">
        <v>0</v>
      </c>
      <c r="J542" t="n">
        <v>0</v>
      </c>
      <c r="K542" t="n">
        <v>0</v>
      </c>
      <c r="L542" t="n">
        <v>0</v>
      </c>
      <c r="M542" t="n">
        <v>0</v>
      </c>
      <c r="N542" t="n">
        <v>0</v>
      </c>
      <c r="O542" t="n">
        <v>0</v>
      </c>
      <c r="P542" t="n">
        <v>0</v>
      </c>
      <c r="Q542" t="n">
        <v>0</v>
      </c>
      <c r="R542" s="2" t="inlineStr"/>
    </row>
    <row r="543" ht="15" customHeight="1">
      <c r="A543" t="inlineStr">
        <is>
          <t>A 31434-2020</t>
        </is>
      </c>
      <c r="B543" s="1" t="n">
        <v>44012</v>
      </c>
      <c r="C543" s="1" t="n">
        <v>45566</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31331-2020</t>
        </is>
      </c>
      <c r="B544" s="1" t="n">
        <v>44012</v>
      </c>
      <c r="C544" s="1" t="n">
        <v>45566</v>
      </c>
      <c r="D544" t="inlineStr">
        <is>
          <t>VÄSTERBOTTENS LÄN</t>
        </is>
      </c>
      <c r="E544" t="inlineStr">
        <is>
          <t>SKELLEFTEÅ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31490-2020</t>
        </is>
      </c>
      <c r="B545" s="1" t="n">
        <v>44013</v>
      </c>
      <c r="C545" s="1" t="n">
        <v>45566</v>
      </c>
      <c r="D545" t="inlineStr">
        <is>
          <t>VÄSTERBOTTENS LÄN</t>
        </is>
      </c>
      <c r="E545" t="inlineStr">
        <is>
          <t>SKELLEFTEÅ</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31515-2020</t>
        </is>
      </c>
      <c r="B546" s="1" t="n">
        <v>44013</v>
      </c>
      <c r="C546" s="1" t="n">
        <v>45566</v>
      </c>
      <c r="D546" t="inlineStr">
        <is>
          <t>VÄSTERBOTTENS LÄN</t>
        </is>
      </c>
      <c r="E546" t="inlineStr">
        <is>
          <t>SKELLEFTEÅ</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31519-2020</t>
        </is>
      </c>
      <c r="B547" s="1" t="n">
        <v>44013</v>
      </c>
      <c r="C547" s="1" t="n">
        <v>45566</v>
      </c>
      <c r="D547" t="inlineStr">
        <is>
          <t>VÄSTERBOTTENS LÄN</t>
        </is>
      </c>
      <c r="E547" t="inlineStr">
        <is>
          <t>SKELLEFTEÅ</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31501-2020</t>
        </is>
      </c>
      <c r="B548" s="1" t="n">
        <v>44013</v>
      </c>
      <c r="C548" s="1" t="n">
        <v>45566</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31736-2020</t>
        </is>
      </c>
      <c r="B549" s="1" t="n">
        <v>44013</v>
      </c>
      <c r="C549" s="1" t="n">
        <v>45566</v>
      </c>
      <c r="D549" t="inlineStr">
        <is>
          <t>VÄSTERBOTTENS LÄN</t>
        </is>
      </c>
      <c r="E549" t="inlineStr">
        <is>
          <t>SKELLEFTEÅ</t>
        </is>
      </c>
      <c r="G549" t="n">
        <v>4</v>
      </c>
      <c r="H549" t="n">
        <v>0</v>
      </c>
      <c r="I549" t="n">
        <v>0</v>
      </c>
      <c r="J549" t="n">
        <v>0</v>
      </c>
      <c r="K549" t="n">
        <v>0</v>
      </c>
      <c r="L549" t="n">
        <v>0</v>
      </c>
      <c r="M549" t="n">
        <v>0</v>
      </c>
      <c r="N549" t="n">
        <v>0</v>
      </c>
      <c r="O549" t="n">
        <v>0</v>
      </c>
      <c r="P549" t="n">
        <v>0</v>
      </c>
      <c r="Q549" t="n">
        <v>0</v>
      </c>
      <c r="R549" s="2" t="inlineStr"/>
    </row>
    <row r="550" ht="15" customHeight="1">
      <c r="A550" t="inlineStr">
        <is>
          <t>A 31734-2020</t>
        </is>
      </c>
      <c r="B550" s="1" t="n">
        <v>44013</v>
      </c>
      <c r="C550" s="1" t="n">
        <v>45566</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32173-2020</t>
        </is>
      </c>
      <c r="B551" s="1" t="n">
        <v>44015</v>
      </c>
      <c r="C551" s="1" t="n">
        <v>45566</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32511-2020</t>
        </is>
      </c>
      <c r="B552" s="1" t="n">
        <v>44017</v>
      </c>
      <c r="C552" s="1" t="n">
        <v>45566</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32549-2020</t>
        </is>
      </c>
      <c r="B553" s="1" t="n">
        <v>44017</v>
      </c>
      <c r="C553" s="1" t="n">
        <v>45566</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32526-2020</t>
        </is>
      </c>
      <c r="B554" s="1" t="n">
        <v>44017</v>
      </c>
      <c r="C554" s="1" t="n">
        <v>45566</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32530-2020</t>
        </is>
      </c>
      <c r="B555" s="1" t="n">
        <v>44017</v>
      </c>
      <c r="C555" s="1" t="n">
        <v>45566</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32885-2020</t>
        </is>
      </c>
      <c r="B556" s="1" t="n">
        <v>44020</v>
      </c>
      <c r="C556" s="1" t="n">
        <v>45566</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32864-2020</t>
        </is>
      </c>
      <c r="B557" s="1" t="n">
        <v>44020</v>
      </c>
      <c r="C557" s="1" t="n">
        <v>45566</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33086-2020</t>
        </is>
      </c>
      <c r="B558" s="1" t="n">
        <v>44021</v>
      </c>
      <c r="C558" s="1" t="n">
        <v>45566</v>
      </c>
      <c r="D558" t="inlineStr">
        <is>
          <t>VÄSTERBOTTENS LÄN</t>
        </is>
      </c>
      <c r="E558" t="inlineStr">
        <is>
          <t>SKELLEFTEÅ</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33327-2020</t>
        </is>
      </c>
      <c r="B559" s="1" t="n">
        <v>44022</v>
      </c>
      <c r="C559" s="1" t="n">
        <v>45566</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33322-2020</t>
        </is>
      </c>
      <c r="B560" s="1" t="n">
        <v>44022</v>
      </c>
      <c r="C560" s="1" t="n">
        <v>45566</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33424-2020</t>
        </is>
      </c>
      <c r="B561" s="1" t="n">
        <v>44022</v>
      </c>
      <c r="C561" s="1" t="n">
        <v>45566</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33791-2020</t>
        </is>
      </c>
      <c r="B562" s="1" t="n">
        <v>44026</v>
      </c>
      <c r="C562" s="1" t="n">
        <v>45566</v>
      </c>
      <c r="D562" t="inlineStr">
        <is>
          <t>VÄSTERBOTTENS LÄN</t>
        </is>
      </c>
      <c r="E562" t="inlineStr">
        <is>
          <t>SKELLEFTEÅ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34235-2020</t>
        </is>
      </c>
      <c r="B563" s="1" t="n">
        <v>44027</v>
      </c>
      <c r="C563" s="1" t="n">
        <v>45566</v>
      </c>
      <c r="D563" t="inlineStr">
        <is>
          <t>VÄSTERBOTTENS LÄN</t>
        </is>
      </c>
      <c r="E563" t="inlineStr">
        <is>
          <t>SKELLEFTEÅ</t>
        </is>
      </c>
      <c r="G563" t="n">
        <v>3.3</v>
      </c>
      <c r="H563" t="n">
        <v>0</v>
      </c>
      <c r="I563" t="n">
        <v>0</v>
      </c>
      <c r="J563" t="n">
        <v>0</v>
      </c>
      <c r="K563" t="n">
        <v>0</v>
      </c>
      <c r="L563" t="n">
        <v>0</v>
      </c>
      <c r="M563" t="n">
        <v>0</v>
      </c>
      <c r="N563" t="n">
        <v>0</v>
      </c>
      <c r="O563" t="n">
        <v>0</v>
      </c>
      <c r="P563" t="n">
        <v>0</v>
      </c>
      <c r="Q563" t="n">
        <v>0</v>
      </c>
      <c r="R563" s="2" t="inlineStr"/>
    </row>
    <row r="564" ht="15" customHeight="1">
      <c r="A564" t="inlineStr">
        <is>
          <t>A 34173-2020</t>
        </is>
      </c>
      <c r="B564" s="1" t="n">
        <v>44029</v>
      </c>
      <c r="C564" s="1" t="n">
        <v>45566</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34155-2020</t>
        </is>
      </c>
      <c r="B565" s="1" t="n">
        <v>44029</v>
      </c>
      <c r="C565" s="1" t="n">
        <v>45566</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34169-2020</t>
        </is>
      </c>
      <c r="B566" s="1" t="n">
        <v>44029</v>
      </c>
      <c r="C566" s="1" t="n">
        <v>45566</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34177-2020</t>
        </is>
      </c>
      <c r="B567" s="1" t="n">
        <v>44029</v>
      </c>
      <c r="C567" s="1" t="n">
        <v>45566</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34142-2020</t>
        </is>
      </c>
      <c r="B568" s="1" t="n">
        <v>44029</v>
      </c>
      <c r="C568" s="1" t="n">
        <v>45566</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34351-2020</t>
        </is>
      </c>
      <c r="B569" s="1" t="n">
        <v>44032</v>
      </c>
      <c r="C569" s="1" t="n">
        <v>45566</v>
      </c>
      <c r="D569" t="inlineStr">
        <is>
          <t>VÄSTERBOTTENS LÄN</t>
        </is>
      </c>
      <c r="E569" t="inlineStr">
        <is>
          <t>SKELLEFTEÅ</t>
        </is>
      </c>
      <c r="G569" t="n">
        <v>2.4</v>
      </c>
      <c r="H569" t="n">
        <v>0</v>
      </c>
      <c r="I569" t="n">
        <v>0</v>
      </c>
      <c r="J569" t="n">
        <v>0</v>
      </c>
      <c r="K569" t="n">
        <v>0</v>
      </c>
      <c r="L569" t="n">
        <v>0</v>
      </c>
      <c r="M569" t="n">
        <v>0</v>
      </c>
      <c r="N569" t="n">
        <v>0</v>
      </c>
      <c r="O569" t="n">
        <v>0</v>
      </c>
      <c r="P569" t="n">
        <v>0</v>
      </c>
      <c r="Q569" t="n">
        <v>0</v>
      </c>
      <c r="R569" s="2" t="inlineStr"/>
    </row>
    <row r="570" ht="15" customHeight="1">
      <c r="A570" t="inlineStr">
        <is>
          <t>A 34517-2020</t>
        </is>
      </c>
      <c r="B570" s="1" t="n">
        <v>44033</v>
      </c>
      <c r="C570" s="1" t="n">
        <v>45566</v>
      </c>
      <c r="D570" t="inlineStr">
        <is>
          <t>VÄSTERBOTTENS LÄN</t>
        </is>
      </c>
      <c r="E570" t="inlineStr">
        <is>
          <t>SKELLEFTEÅ</t>
        </is>
      </c>
      <c r="F570" t="inlineStr">
        <is>
          <t>Holmen skog AB</t>
        </is>
      </c>
      <c r="G570" t="n">
        <v>4.7</v>
      </c>
      <c r="H570" t="n">
        <v>0</v>
      </c>
      <c r="I570" t="n">
        <v>0</v>
      </c>
      <c r="J570" t="n">
        <v>0</v>
      </c>
      <c r="K570" t="n">
        <v>0</v>
      </c>
      <c r="L570" t="n">
        <v>0</v>
      </c>
      <c r="M570" t="n">
        <v>0</v>
      </c>
      <c r="N570" t="n">
        <v>0</v>
      </c>
      <c r="O570" t="n">
        <v>0</v>
      </c>
      <c r="P570" t="n">
        <v>0</v>
      </c>
      <c r="Q570" t="n">
        <v>0</v>
      </c>
      <c r="R570" s="2" t="inlineStr"/>
    </row>
    <row r="571" ht="15" customHeight="1">
      <c r="A571" t="inlineStr">
        <is>
          <t>A 35173-2020</t>
        </is>
      </c>
      <c r="B571" s="1" t="n">
        <v>44040</v>
      </c>
      <c r="C571" s="1" t="n">
        <v>45566</v>
      </c>
      <c r="D571" t="inlineStr">
        <is>
          <t>VÄSTERBOTTENS LÄN</t>
        </is>
      </c>
      <c r="E571" t="inlineStr">
        <is>
          <t>SKELLEFTEÅ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35285-2020</t>
        </is>
      </c>
      <c r="B572" s="1" t="n">
        <v>44041</v>
      </c>
      <c r="C572" s="1" t="n">
        <v>45566</v>
      </c>
      <c r="D572" t="inlineStr">
        <is>
          <t>VÄSTERBOTTENS LÄN</t>
        </is>
      </c>
      <c r="E572" t="inlineStr">
        <is>
          <t>SKELLEFTEÅ</t>
        </is>
      </c>
      <c r="F572" t="inlineStr">
        <is>
          <t>Holmen skog AB</t>
        </is>
      </c>
      <c r="G572" t="n">
        <v>4.2</v>
      </c>
      <c r="H572" t="n">
        <v>0</v>
      </c>
      <c r="I572" t="n">
        <v>0</v>
      </c>
      <c r="J572" t="n">
        <v>0</v>
      </c>
      <c r="K572" t="n">
        <v>0</v>
      </c>
      <c r="L572" t="n">
        <v>0</v>
      </c>
      <c r="M572" t="n">
        <v>0</v>
      </c>
      <c r="N572" t="n">
        <v>0</v>
      </c>
      <c r="O572" t="n">
        <v>0</v>
      </c>
      <c r="P572" t="n">
        <v>0</v>
      </c>
      <c r="Q572" t="n">
        <v>0</v>
      </c>
      <c r="R572" s="2" t="inlineStr"/>
    </row>
    <row r="573" ht="15" customHeight="1">
      <c r="A573" t="inlineStr">
        <is>
          <t>A 35806-2020</t>
        </is>
      </c>
      <c r="B573" s="1" t="n">
        <v>44046</v>
      </c>
      <c r="C573" s="1" t="n">
        <v>45566</v>
      </c>
      <c r="D573" t="inlineStr">
        <is>
          <t>VÄSTERBOTTENS LÄN</t>
        </is>
      </c>
      <c r="E573" t="inlineStr">
        <is>
          <t>SKELLEFTEÅ</t>
        </is>
      </c>
      <c r="F573" t="inlineStr">
        <is>
          <t>SCA</t>
        </is>
      </c>
      <c r="G573" t="n">
        <v>13.5</v>
      </c>
      <c r="H573" t="n">
        <v>0</v>
      </c>
      <c r="I573" t="n">
        <v>0</v>
      </c>
      <c r="J573" t="n">
        <v>0</v>
      </c>
      <c r="K573" t="n">
        <v>0</v>
      </c>
      <c r="L573" t="n">
        <v>0</v>
      </c>
      <c r="M573" t="n">
        <v>0</v>
      </c>
      <c r="N573" t="n">
        <v>0</v>
      </c>
      <c r="O573" t="n">
        <v>0</v>
      </c>
      <c r="P573" t="n">
        <v>0</v>
      </c>
      <c r="Q573" t="n">
        <v>0</v>
      </c>
      <c r="R573" s="2" t="inlineStr"/>
    </row>
    <row r="574" ht="15" customHeight="1">
      <c r="A574" t="inlineStr">
        <is>
          <t>A 35807-2020</t>
        </is>
      </c>
      <c r="B574" s="1" t="n">
        <v>44046</v>
      </c>
      <c r="C574" s="1" t="n">
        <v>45566</v>
      </c>
      <c r="D574" t="inlineStr">
        <is>
          <t>VÄSTERBOTTENS LÄN</t>
        </is>
      </c>
      <c r="E574" t="inlineStr">
        <is>
          <t>SKELLEFTEÅ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36401-2020</t>
        </is>
      </c>
      <c r="B575" s="1" t="n">
        <v>44049</v>
      </c>
      <c r="C575" s="1" t="n">
        <v>45566</v>
      </c>
      <c r="D575" t="inlineStr">
        <is>
          <t>VÄSTERBOTTENS LÄN</t>
        </is>
      </c>
      <c r="E575" t="inlineStr">
        <is>
          <t>SKELLEFTEÅ</t>
        </is>
      </c>
      <c r="F575" t="inlineStr">
        <is>
          <t>Holmen skog AB</t>
        </is>
      </c>
      <c r="G575" t="n">
        <v>11.1</v>
      </c>
      <c r="H575" t="n">
        <v>0</v>
      </c>
      <c r="I575" t="n">
        <v>0</v>
      </c>
      <c r="J575" t="n">
        <v>0</v>
      </c>
      <c r="K575" t="n">
        <v>0</v>
      </c>
      <c r="L575" t="n">
        <v>0</v>
      </c>
      <c r="M575" t="n">
        <v>0</v>
      </c>
      <c r="N575" t="n">
        <v>0</v>
      </c>
      <c r="O575" t="n">
        <v>0</v>
      </c>
      <c r="P575" t="n">
        <v>0</v>
      </c>
      <c r="Q575" t="n">
        <v>0</v>
      </c>
      <c r="R575" s="2" t="inlineStr"/>
    </row>
    <row r="576" ht="15" customHeight="1">
      <c r="A576" t="inlineStr">
        <is>
          <t>A 38217-2020</t>
        </is>
      </c>
      <c r="B576" s="1" t="n">
        <v>44050</v>
      </c>
      <c r="C576" s="1" t="n">
        <v>45566</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37384-2020</t>
        </is>
      </c>
      <c r="B577" s="1" t="n">
        <v>44055</v>
      </c>
      <c r="C577" s="1" t="n">
        <v>45566</v>
      </c>
      <c r="D577" t="inlineStr">
        <is>
          <t>VÄSTERBOTTENS LÄN</t>
        </is>
      </c>
      <c r="E577" t="inlineStr">
        <is>
          <t>SKELLEFTEÅ</t>
        </is>
      </c>
      <c r="F577" t="inlineStr">
        <is>
          <t>Holmen skog AB</t>
        </is>
      </c>
      <c r="G577" t="n">
        <v>0.2</v>
      </c>
      <c r="H577" t="n">
        <v>0</v>
      </c>
      <c r="I577" t="n">
        <v>0</v>
      </c>
      <c r="J577" t="n">
        <v>0</v>
      </c>
      <c r="K577" t="n">
        <v>0</v>
      </c>
      <c r="L577" t="n">
        <v>0</v>
      </c>
      <c r="M577" t="n">
        <v>0</v>
      </c>
      <c r="N577" t="n">
        <v>0</v>
      </c>
      <c r="O577" t="n">
        <v>0</v>
      </c>
      <c r="P577" t="n">
        <v>0</v>
      </c>
      <c r="Q577" t="n">
        <v>0</v>
      </c>
      <c r="R577" s="2" t="inlineStr"/>
    </row>
    <row r="578" ht="15" customHeight="1">
      <c r="A578" t="inlineStr">
        <is>
          <t>A 37393-2020</t>
        </is>
      </c>
      <c r="B578" s="1" t="n">
        <v>44055</v>
      </c>
      <c r="C578" s="1" t="n">
        <v>45566</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37268-2020</t>
        </is>
      </c>
      <c r="B579" s="1" t="n">
        <v>44055</v>
      </c>
      <c r="C579" s="1" t="n">
        <v>45566</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37860-2020</t>
        </is>
      </c>
      <c r="B580" s="1" t="n">
        <v>44057</v>
      </c>
      <c r="C580" s="1" t="n">
        <v>45566</v>
      </c>
      <c r="D580" t="inlineStr">
        <is>
          <t>VÄSTERBOTTENS LÄN</t>
        </is>
      </c>
      <c r="E580" t="inlineStr">
        <is>
          <t>SKELLEFTEÅ</t>
        </is>
      </c>
      <c r="F580" t="inlineStr">
        <is>
          <t>Holmen skog AB</t>
        </is>
      </c>
      <c r="G580" t="n">
        <v>0.5</v>
      </c>
      <c r="H580" t="n">
        <v>0</v>
      </c>
      <c r="I580" t="n">
        <v>0</v>
      </c>
      <c r="J580" t="n">
        <v>0</v>
      </c>
      <c r="K580" t="n">
        <v>0</v>
      </c>
      <c r="L580" t="n">
        <v>0</v>
      </c>
      <c r="M580" t="n">
        <v>0</v>
      </c>
      <c r="N580" t="n">
        <v>0</v>
      </c>
      <c r="O580" t="n">
        <v>0</v>
      </c>
      <c r="P580" t="n">
        <v>0</v>
      </c>
      <c r="Q580" t="n">
        <v>0</v>
      </c>
      <c r="R580" s="2" t="inlineStr"/>
    </row>
    <row r="581" ht="15" customHeight="1">
      <c r="A581" t="inlineStr">
        <is>
          <t>A 37858-2020</t>
        </is>
      </c>
      <c r="B581" s="1" t="n">
        <v>44057</v>
      </c>
      <c r="C581" s="1" t="n">
        <v>45566</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37869-2020</t>
        </is>
      </c>
      <c r="B582" s="1" t="n">
        <v>44057</v>
      </c>
      <c r="C582" s="1" t="n">
        <v>45566</v>
      </c>
      <c r="D582" t="inlineStr">
        <is>
          <t>VÄSTERBOTTENS LÄN</t>
        </is>
      </c>
      <c r="E582" t="inlineStr">
        <is>
          <t>SKELLEFTEÅ</t>
        </is>
      </c>
      <c r="G582" t="n">
        <v>11.5</v>
      </c>
      <c r="H582" t="n">
        <v>0</v>
      </c>
      <c r="I582" t="n">
        <v>0</v>
      </c>
      <c r="J582" t="n">
        <v>0</v>
      </c>
      <c r="K582" t="n">
        <v>0</v>
      </c>
      <c r="L582" t="n">
        <v>0</v>
      </c>
      <c r="M582" t="n">
        <v>0</v>
      </c>
      <c r="N582" t="n">
        <v>0</v>
      </c>
      <c r="O582" t="n">
        <v>0</v>
      </c>
      <c r="P582" t="n">
        <v>0</v>
      </c>
      <c r="Q582" t="n">
        <v>0</v>
      </c>
      <c r="R582" s="2" t="inlineStr"/>
    </row>
    <row r="583" ht="15" customHeight="1">
      <c r="A583" t="inlineStr">
        <is>
          <t>A 37862-2020</t>
        </is>
      </c>
      <c r="B583" s="1" t="n">
        <v>44057</v>
      </c>
      <c r="C583" s="1" t="n">
        <v>45566</v>
      </c>
      <c r="D583" t="inlineStr">
        <is>
          <t>VÄSTERBOTTENS LÄN</t>
        </is>
      </c>
      <c r="E583" t="inlineStr">
        <is>
          <t>SKELLEFTEÅ</t>
        </is>
      </c>
      <c r="G583" t="n">
        <v>0.2</v>
      </c>
      <c r="H583" t="n">
        <v>0</v>
      </c>
      <c r="I583" t="n">
        <v>0</v>
      </c>
      <c r="J583" t="n">
        <v>0</v>
      </c>
      <c r="K583" t="n">
        <v>0</v>
      </c>
      <c r="L583" t="n">
        <v>0</v>
      </c>
      <c r="M583" t="n">
        <v>0</v>
      </c>
      <c r="N583" t="n">
        <v>0</v>
      </c>
      <c r="O583" t="n">
        <v>0</v>
      </c>
      <c r="P583" t="n">
        <v>0</v>
      </c>
      <c r="Q583" t="n">
        <v>0</v>
      </c>
      <c r="R583" s="2" t="inlineStr"/>
    </row>
    <row r="584" ht="15" customHeight="1">
      <c r="A584" t="inlineStr">
        <is>
          <t>A 38174-2020</t>
        </is>
      </c>
      <c r="B584" s="1" t="n">
        <v>44057</v>
      </c>
      <c r="C584" s="1" t="n">
        <v>45566</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38181-2020</t>
        </is>
      </c>
      <c r="B585" s="1" t="n">
        <v>44057</v>
      </c>
      <c r="C585" s="1" t="n">
        <v>45566</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38120-2020</t>
        </is>
      </c>
      <c r="B586" s="1" t="n">
        <v>44059</v>
      </c>
      <c r="C586" s="1" t="n">
        <v>45566</v>
      </c>
      <c r="D586" t="inlineStr">
        <is>
          <t>VÄSTERBOTTENS LÄN</t>
        </is>
      </c>
      <c r="E586" t="inlineStr">
        <is>
          <t>SKELLEFTEÅ</t>
        </is>
      </c>
      <c r="G586" t="n">
        <v>3.4</v>
      </c>
      <c r="H586" t="n">
        <v>0</v>
      </c>
      <c r="I586" t="n">
        <v>0</v>
      </c>
      <c r="J586" t="n">
        <v>0</v>
      </c>
      <c r="K586" t="n">
        <v>0</v>
      </c>
      <c r="L586" t="n">
        <v>0</v>
      </c>
      <c r="M586" t="n">
        <v>0</v>
      </c>
      <c r="N586" t="n">
        <v>0</v>
      </c>
      <c r="O586" t="n">
        <v>0</v>
      </c>
      <c r="P586" t="n">
        <v>0</v>
      </c>
      <c r="Q586" t="n">
        <v>0</v>
      </c>
      <c r="R586" s="2" t="inlineStr"/>
    </row>
    <row r="587" ht="15" customHeight="1">
      <c r="A587" t="inlineStr">
        <is>
          <t>A 38132-2020</t>
        </is>
      </c>
      <c r="B587" s="1" t="n">
        <v>44059</v>
      </c>
      <c r="C587" s="1" t="n">
        <v>45566</v>
      </c>
      <c r="D587" t="inlineStr">
        <is>
          <t>VÄSTERBOTTENS LÄN</t>
        </is>
      </c>
      <c r="E587" t="inlineStr">
        <is>
          <t>SKELLEFTEÅ</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38119-2020</t>
        </is>
      </c>
      <c r="B588" s="1" t="n">
        <v>44059</v>
      </c>
      <c r="C588" s="1" t="n">
        <v>45566</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38187-2020</t>
        </is>
      </c>
      <c r="B589" s="1" t="n">
        <v>44060</v>
      </c>
      <c r="C589" s="1" t="n">
        <v>45566</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38192-2020</t>
        </is>
      </c>
      <c r="B590" s="1" t="n">
        <v>44060</v>
      </c>
      <c r="C590" s="1" t="n">
        <v>45566</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39268-2020</t>
        </is>
      </c>
      <c r="B591" s="1" t="n">
        <v>44063</v>
      </c>
      <c r="C591" s="1" t="n">
        <v>45566</v>
      </c>
      <c r="D591" t="inlineStr">
        <is>
          <t>VÄSTERBOTTENS LÄN</t>
        </is>
      </c>
      <c r="E591" t="inlineStr">
        <is>
          <t>SKELLEFTEÅ</t>
        </is>
      </c>
      <c r="F591" t="inlineStr">
        <is>
          <t>Holmen skog AB</t>
        </is>
      </c>
      <c r="G591" t="n">
        <v>10.2</v>
      </c>
      <c r="H591" t="n">
        <v>0</v>
      </c>
      <c r="I591" t="n">
        <v>0</v>
      </c>
      <c r="J591" t="n">
        <v>0</v>
      </c>
      <c r="K591" t="n">
        <v>0</v>
      </c>
      <c r="L591" t="n">
        <v>0</v>
      </c>
      <c r="M591" t="n">
        <v>0</v>
      </c>
      <c r="N591" t="n">
        <v>0</v>
      </c>
      <c r="O591" t="n">
        <v>0</v>
      </c>
      <c r="P591" t="n">
        <v>0</v>
      </c>
      <c r="Q591" t="n">
        <v>0</v>
      </c>
      <c r="R591" s="2" t="inlineStr"/>
    </row>
    <row r="592" ht="15" customHeight="1">
      <c r="A592" t="inlineStr">
        <is>
          <t>A 39992-2020</t>
        </is>
      </c>
      <c r="B592" s="1" t="n">
        <v>44067</v>
      </c>
      <c r="C592" s="1" t="n">
        <v>45566</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40196-2020</t>
        </is>
      </c>
      <c r="B593" s="1" t="n">
        <v>44068</v>
      </c>
      <c r="C593" s="1" t="n">
        <v>45566</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40277-2020</t>
        </is>
      </c>
      <c r="B594" s="1" t="n">
        <v>44068</v>
      </c>
      <c r="C594" s="1" t="n">
        <v>45566</v>
      </c>
      <c r="D594" t="inlineStr">
        <is>
          <t>VÄSTERBOTTENS LÄN</t>
        </is>
      </c>
      <c r="E594" t="inlineStr">
        <is>
          <t>SKELLEFTEÅ</t>
        </is>
      </c>
      <c r="F594" t="inlineStr">
        <is>
          <t>Holmen skog AB</t>
        </is>
      </c>
      <c r="G594" t="n">
        <v>4.4</v>
      </c>
      <c r="H594" t="n">
        <v>0</v>
      </c>
      <c r="I594" t="n">
        <v>0</v>
      </c>
      <c r="J594" t="n">
        <v>0</v>
      </c>
      <c r="K594" t="n">
        <v>0</v>
      </c>
      <c r="L594" t="n">
        <v>0</v>
      </c>
      <c r="M594" t="n">
        <v>0</v>
      </c>
      <c r="N594" t="n">
        <v>0</v>
      </c>
      <c r="O594" t="n">
        <v>0</v>
      </c>
      <c r="P594" t="n">
        <v>0</v>
      </c>
      <c r="Q594" t="n">
        <v>0</v>
      </c>
      <c r="R594" s="2" t="inlineStr"/>
    </row>
    <row r="595" ht="15" customHeight="1">
      <c r="A595" t="inlineStr">
        <is>
          <t>A 40860-2020</t>
        </is>
      </c>
      <c r="B595" s="1" t="n">
        <v>44068</v>
      </c>
      <c r="C595" s="1" t="n">
        <v>45566</v>
      </c>
      <c r="D595" t="inlineStr">
        <is>
          <t>VÄSTERBOTTENS LÄN</t>
        </is>
      </c>
      <c r="E595" t="inlineStr">
        <is>
          <t>SKELLEFTEÅ</t>
        </is>
      </c>
      <c r="G595" t="n">
        <v>8.9</v>
      </c>
      <c r="H595" t="n">
        <v>0</v>
      </c>
      <c r="I595" t="n">
        <v>0</v>
      </c>
      <c r="J595" t="n">
        <v>0</v>
      </c>
      <c r="K595" t="n">
        <v>0</v>
      </c>
      <c r="L595" t="n">
        <v>0</v>
      </c>
      <c r="M595" t="n">
        <v>0</v>
      </c>
      <c r="N595" t="n">
        <v>0</v>
      </c>
      <c r="O595" t="n">
        <v>0</v>
      </c>
      <c r="P595" t="n">
        <v>0</v>
      </c>
      <c r="Q595" t="n">
        <v>0</v>
      </c>
      <c r="R595" s="2" t="inlineStr"/>
    </row>
    <row r="596" ht="15" customHeight="1">
      <c r="A596" t="inlineStr">
        <is>
          <t>A 41005-2020</t>
        </is>
      </c>
      <c r="B596" s="1" t="n">
        <v>44068</v>
      </c>
      <c r="C596" s="1" t="n">
        <v>45566</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40469-2020</t>
        </is>
      </c>
      <c r="B597" s="1" t="n">
        <v>44069</v>
      </c>
      <c r="C597" s="1" t="n">
        <v>45566</v>
      </c>
      <c r="D597" t="inlineStr">
        <is>
          <t>VÄSTERBOTTENS LÄN</t>
        </is>
      </c>
      <c r="E597" t="inlineStr">
        <is>
          <t>SKELLEFTEÅ</t>
        </is>
      </c>
      <c r="G597" t="n">
        <v>4.4</v>
      </c>
      <c r="H597" t="n">
        <v>0</v>
      </c>
      <c r="I597" t="n">
        <v>0</v>
      </c>
      <c r="J597" t="n">
        <v>0</v>
      </c>
      <c r="K597" t="n">
        <v>0</v>
      </c>
      <c r="L597" t="n">
        <v>0</v>
      </c>
      <c r="M597" t="n">
        <v>0</v>
      </c>
      <c r="N597" t="n">
        <v>0</v>
      </c>
      <c r="O597" t="n">
        <v>0</v>
      </c>
      <c r="P597" t="n">
        <v>0</v>
      </c>
      <c r="Q597" t="n">
        <v>0</v>
      </c>
      <c r="R597" s="2" t="inlineStr"/>
    </row>
    <row r="598" ht="15" customHeight="1">
      <c r="A598" t="inlineStr">
        <is>
          <t>A 40566-2020</t>
        </is>
      </c>
      <c r="B598" s="1" t="n">
        <v>44069</v>
      </c>
      <c r="C598" s="1" t="n">
        <v>45566</v>
      </c>
      <c r="D598" t="inlineStr">
        <is>
          <t>VÄSTERBOTTENS LÄN</t>
        </is>
      </c>
      <c r="E598" t="inlineStr">
        <is>
          <t>SKELLEFTEÅ</t>
        </is>
      </c>
      <c r="F598" t="inlineStr">
        <is>
          <t>Holmen skog AB</t>
        </is>
      </c>
      <c r="G598" t="n">
        <v>7.1</v>
      </c>
      <c r="H598" t="n">
        <v>0</v>
      </c>
      <c r="I598" t="n">
        <v>0</v>
      </c>
      <c r="J598" t="n">
        <v>0</v>
      </c>
      <c r="K598" t="n">
        <v>0</v>
      </c>
      <c r="L598" t="n">
        <v>0</v>
      </c>
      <c r="M598" t="n">
        <v>0</v>
      </c>
      <c r="N598" t="n">
        <v>0</v>
      </c>
      <c r="O598" t="n">
        <v>0</v>
      </c>
      <c r="P598" t="n">
        <v>0</v>
      </c>
      <c r="Q598" t="n">
        <v>0</v>
      </c>
      <c r="R598" s="2" t="inlineStr"/>
    </row>
    <row r="599" ht="15" customHeight="1">
      <c r="A599" t="inlineStr">
        <is>
          <t>A 40756-2020</t>
        </is>
      </c>
      <c r="B599" s="1" t="n">
        <v>44069</v>
      </c>
      <c r="C599" s="1" t="n">
        <v>45566</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40828-2020</t>
        </is>
      </c>
      <c r="B600" s="1" t="n">
        <v>44070</v>
      </c>
      <c r="C600" s="1" t="n">
        <v>45566</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41372-2020</t>
        </is>
      </c>
      <c r="B601" s="1" t="n">
        <v>44071</v>
      </c>
      <c r="C601" s="1" t="n">
        <v>45566</v>
      </c>
      <c r="D601" t="inlineStr">
        <is>
          <t>VÄSTERBOTTENS LÄN</t>
        </is>
      </c>
      <c r="E601" t="inlineStr">
        <is>
          <t>SKELLEFTEÅ</t>
        </is>
      </c>
      <c r="G601" t="n">
        <v>3.5</v>
      </c>
      <c r="H601" t="n">
        <v>0</v>
      </c>
      <c r="I601" t="n">
        <v>0</v>
      </c>
      <c r="J601" t="n">
        <v>0</v>
      </c>
      <c r="K601" t="n">
        <v>0</v>
      </c>
      <c r="L601" t="n">
        <v>0</v>
      </c>
      <c r="M601" t="n">
        <v>0</v>
      </c>
      <c r="N601" t="n">
        <v>0</v>
      </c>
      <c r="O601" t="n">
        <v>0</v>
      </c>
      <c r="P601" t="n">
        <v>0</v>
      </c>
      <c r="Q601" t="n">
        <v>0</v>
      </c>
      <c r="R601" s="2" t="inlineStr"/>
    </row>
    <row r="602" ht="15" customHeight="1">
      <c r="A602" t="inlineStr">
        <is>
          <t>A 42123-2020</t>
        </is>
      </c>
      <c r="B602" s="1" t="n">
        <v>44071</v>
      </c>
      <c r="C602" s="1" t="n">
        <v>45566</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41428-2020</t>
        </is>
      </c>
      <c r="B603" s="1" t="n">
        <v>44073</v>
      </c>
      <c r="C603" s="1" t="n">
        <v>45566</v>
      </c>
      <c r="D603" t="inlineStr">
        <is>
          <t>VÄSTERBOTTENS LÄN</t>
        </is>
      </c>
      <c r="E603" t="inlineStr">
        <is>
          <t>SKELLEFTEÅ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41841-2020</t>
        </is>
      </c>
      <c r="B604" s="1" t="n">
        <v>44074</v>
      </c>
      <c r="C604" s="1" t="n">
        <v>45566</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42049-2020</t>
        </is>
      </c>
      <c r="B605" s="1" t="n">
        <v>44074</v>
      </c>
      <c r="C605" s="1" t="n">
        <v>45566</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41989-2020</t>
        </is>
      </c>
      <c r="B606" s="1" t="n">
        <v>44075</v>
      </c>
      <c r="C606" s="1" t="n">
        <v>45566</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42685-2020</t>
        </is>
      </c>
      <c r="B607" s="1" t="n">
        <v>44075</v>
      </c>
      <c r="C607" s="1" t="n">
        <v>45566</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42679-2020</t>
        </is>
      </c>
      <c r="B608" s="1" t="n">
        <v>44075</v>
      </c>
      <c r="C608" s="1" t="n">
        <v>45566</v>
      </c>
      <c r="D608" t="inlineStr">
        <is>
          <t>VÄSTERBOTTENS LÄN</t>
        </is>
      </c>
      <c r="E608" t="inlineStr">
        <is>
          <t>SKELLEFTEÅ</t>
        </is>
      </c>
      <c r="G608" t="n">
        <v>1.2</v>
      </c>
      <c r="H608" t="n">
        <v>0</v>
      </c>
      <c r="I608" t="n">
        <v>0</v>
      </c>
      <c r="J608" t="n">
        <v>0</v>
      </c>
      <c r="K608" t="n">
        <v>0</v>
      </c>
      <c r="L608" t="n">
        <v>0</v>
      </c>
      <c r="M608" t="n">
        <v>0</v>
      </c>
      <c r="N608" t="n">
        <v>0</v>
      </c>
      <c r="O608" t="n">
        <v>0</v>
      </c>
      <c r="P608" t="n">
        <v>0</v>
      </c>
      <c r="Q608" t="n">
        <v>0</v>
      </c>
      <c r="R608" s="2" t="inlineStr"/>
    </row>
    <row r="609" ht="15" customHeight="1">
      <c r="A609" t="inlineStr">
        <is>
          <t>A 43331-2020</t>
        </is>
      </c>
      <c r="B609" s="1" t="n">
        <v>44076</v>
      </c>
      <c r="C609" s="1" t="n">
        <v>45566</v>
      </c>
      <c r="D609" t="inlineStr">
        <is>
          <t>VÄSTERBOTTENS LÄN</t>
        </is>
      </c>
      <c r="E609" t="inlineStr">
        <is>
          <t>SKELLEFTEÅ</t>
        </is>
      </c>
      <c r="G609" t="n">
        <v>3.8</v>
      </c>
      <c r="H609" t="n">
        <v>0</v>
      </c>
      <c r="I609" t="n">
        <v>0</v>
      </c>
      <c r="J609" t="n">
        <v>0</v>
      </c>
      <c r="K609" t="n">
        <v>0</v>
      </c>
      <c r="L609" t="n">
        <v>0</v>
      </c>
      <c r="M609" t="n">
        <v>0</v>
      </c>
      <c r="N609" t="n">
        <v>0</v>
      </c>
      <c r="O609" t="n">
        <v>0</v>
      </c>
      <c r="P609" t="n">
        <v>0</v>
      </c>
      <c r="Q609" t="n">
        <v>0</v>
      </c>
      <c r="R609" s="2" t="inlineStr"/>
    </row>
    <row r="610" ht="15" customHeight="1">
      <c r="A610" t="inlineStr">
        <is>
          <t>A 42648-2020</t>
        </is>
      </c>
      <c r="B610" s="1" t="n">
        <v>44077</v>
      </c>
      <c r="C610" s="1" t="n">
        <v>45566</v>
      </c>
      <c r="D610" t="inlineStr">
        <is>
          <t>VÄSTERBOTTENS LÄN</t>
        </is>
      </c>
      <c r="E610" t="inlineStr">
        <is>
          <t>SKELLEFTEÅ</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42808-2020</t>
        </is>
      </c>
      <c r="B611" s="1" t="n">
        <v>44078</v>
      </c>
      <c r="C611" s="1" t="n">
        <v>45566</v>
      </c>
      <c r="D611" t="inlineStr">
        <is>
          <t>VÄSTERBOTTENS LÄN</t>
        </is>
      </c>
      <c r="E611" t="inlineStr">
        <is>
          <t>SKELLEFTEÅ</t>
        </is>
      </c>
      <c r="F611" t="inlineStr">
        <is>
          <t>Kommuner</t>
        </is>
      </c>
      <c r="G611" t="n">
        <v>6.5</v>
      </c>
      <c r="H611" t="n">
        <v>0</v>
      </c>
      <c r="I611" t="n">
        <v>0</v>
      </c>
      <c r="J611" t="n">
        <v>0</v>
      </c>
      <c r="K611" t="n">
        <v>0</v>
      </c>
      <c r="L611" t="n">
        <v>0</v>
      </c>
      <c r="M611" t="n">
        <v>0</v>
      </c>
      <c r="N611" t="n">
        <v>0</v>
      </c>
      <c r="O611" t="n">
        <v>0</v>
      </c>
      <c r="P611" t="n">
        <v>0</v>
      </c>
      <c r="Q611" t="n">
        <v>0</v>
      </c>
      <c r="R611" s="2" t="inlineStr"/>
    </row>
    <row r="612" ht="15" customHeight="1">
      <c r="A612" t="inlineStr">
        <is>
          <t>A 43054-2020</t>
        </is>
      </c>
      <c r="B612" s="1" t="n">
        <v>44078</v>
      </c>
      <c r="C612" s="1" t="n">
        <v>45566</v>
      </c>
      <c r="D612" t="inlineStr">
        <is>
          <t>VÄSTERBOTTENS LÄN</t>
        </is>
      </c>
      <c r="E612" t="inlineStr">
        <is>
          <t>SKELLEFTEÅ</t>
        </is>
      </c>
      <c r="G612" t="n">
        <v>1.3</v>
      </c>
      <c r="H612" t="n">
        <v>0</v>
      </c>
      <c r="I612" t="n">
        <v>0</v>
      </c>
      <c r="J612" t="n">
        <v>0</v>
      </c>
      <c r="K612" t="n">
        <v>0</v>
      </c>
      <c r="L612" t="n">
        <v>0</v>
      </c>
      <c r="M612" t="n">
        <v>0</v>
      </c>
      <c r="N612" t="n">
        <v>0</v>
      </c>
      <c r="O612" t="n">
        <v>0</v>
      </c>
      <c r="P612" t="n">
        <v>0</v>
      </c>
      <c r="Q612" t="n">
        <v>0</v>
      </c>
      <c r="R612" s="2" t="inlineStr"/>
    </row>
    <row r="613" ht="15" customHeight="1">
      <c r="A613" t="inlineStr">
        <is>
          <t>A 43222-2020</t>
        </is>
      </c>
      <c r="B613" s="1" t="n">
        <v>44081</v>
      </c>
      <c r="C613" s="1" t="n">
        <v>45566</v>
      </c>
      <c r="D613" t="inlineStr">
        <is>
          <t>VÄSTERBOTTENS LÄN</t>
        </is>
      </c>
      <c r="E613" t="inlineStr">
        <is>
          <t>SKELLEFTEÅ</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43292-2020</t>
        </is>
      </c>
      <c r="B614" s="1" t="n">
        <v>44081</v>
      </c>
      <c r="C614" s="1" t="n">
        <v>45566</v>
      </c>
      <c r="D614" t="inlineStr">
        <is>
          <t>VÄSTERBOTTENS LÄN</t>
        </is>
      </c>
      <c r="E614" t="inlineStr">
        <is>
          <t>SKELLEFTEÅ</t>
        </is>
      </c>
      <c r="F614" t="inlineStr">
        <is>
          <t>Sveaskog</t>
        </is>
      </c>
      <c r="G614" t="n">
        <v>10.1</v>
      </c>
      <c r="H614" t="n">
        <v>0</v>
      </c>
      <c r="I614" t="n">
        <v>0</v>
      </c>
      <c r="J614" t="n">
        <v>0</v>
      </c>
      <c r="K614" t="n">
        <v>0</v>
      </c>
      <c r="L614" t="n">
        <v>0</v>
      </c>
      <c r="M614" t="n">
        <v>0</v>
      </c>
      <c r="N614" t="n">
        <v>0</v>
      </c>
      <c r="O614" t="n">
        <v>0</v>
      </c>
      <c r="P614" t="n">
        <v>0</v>
      </c>
      <c r="Q614" t="n">
        <v>0</v>
      </c>
      <c r="R614" s="2" t="inlineStr"/>
    </row>
    <row r="615" ht="15" customHeight="1">
      <c r="A615" t="inlineStr">
        <is>
          <t>A 43344-2020</t>
        </is>
      </c>
      <c r="B615" s="1" t="n">
        <v>44081</v>
      </c>
      <c r="C615" s="1" t="n">
        <v>45566</v>
      </c>
      <c r="D615" t="inlineStr">
        <is>
          <t>VÄSTERBOTTENS LÄN</t>
        </is>
      </c>
      <c r="E615" t="inlineStr">
        <is>
          <t>SKELLEFTEÅ</t>
        </is>
      </c>
      <c r="F615" t="inlineStr">
        <is>
          <t>Sveaskog</t>
        </is>
      </c>
      <c r="G615" t="n">
        <v>11.4</v>
      </c>
      <c r="H615" t="n">
        <v>0</v>
      </c>
      <c r="I615" t="n">
        <v>0</v>
      </c>
      <c r="J615" t="n">
        <v>0</v>
      </c>
      <c r="K615" t="n">
        <v>0</v>
      </c>
      <c r="L615" t="n">
        <v>0</v>
      </c>
      <c r="M615" t="n">
        <v>0</v>
      </c>
      <c r="N615" t="n">
        <v>0</v>
      </c>
      <c r="O615" t="n">
        <v>0</v>
      </c>
      <c r="P615" t="n">
        <v>0</v>
      </c>
      <c r="Q615" t="n">
        <v>0</v>
      </c>
      <c r="R615" s="2" t="inlineStr"/>
    </row>
    <row r="616" ht="15" customHeight="1">
      <c r="A616" t="inlineStr">
        <is>
          <t>A 43327-2020</t>
        </is>
      </c>
      <c r="B616" s="1" t="n">
        <v>44081</v>
      </c>
      <c r="C616" s="1" t="n">
        <v>45566</v>
      </c>
      <c r="D616" t="inlineStr">
        <is>
          <t>VÄSTERBOTTENS LÄN</t>
        </is>
      </c>
      <c r="E616" t="inlineStr">
        <is>
          <t>SKELLEFTEÅ</t>
        </is>
      </c>
      <c r="F616" t="inlineStr">
        <is>
          <t>Sveaskog</t>
        </is>
      </c>
      <c r="G616" t="n">
        <v>23.3</v>
      </c>
      <c r="H616" t="n">
        <v>0</v>
      </c>
      <c r="I616" t="n">
        <v>0</v>
      </c>
      <c r="J616" t="n">
        <v>0</v>
      </c>
      <c r="K616" t="n">
        <v>0</v>
      </c>
      <c r="L616" t="n">
        <v>0</v>
      </c>
      <c r="M616" t="n">
        <v>0</v>
      </c>
      <c r="N616" t="n">
        <v>0</v>
      </c>
      <c r="O616" t="n">
        <v>0</v>
      </c>
      <c r="P616" t="n">
        <v>0</v>
      </c>
      <c r="Q616" t="n">
        <v>0</v>
      </c>
      <c r="R616" s="2" t="inlineStr"/>
    </row>
    <row r="617" ht="15" customHeight="1">
      <c r="A617" t="inlineStr">
        <is>
          <t>A 43505-2020</t>
        </is>
      </c>
      <c r="B617" s="1" t="n">
        <v>44082</v>
      </c>
      <c r="C617" s="1" t="n">
        <v>45566</v>
      </c>
      <c r="D617" t="inlineStr">
        <is>
          <t>VÄSTERBOTTENS LÄN</t>
        </is>
      </c>
      <c r="E617" t="inlineStr">
        <is>
          <t>SKELLEFTEÅ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44564-2020</t>
        </is>
      </c>
      <c r="B618" s="1" t="n">
        <v>44082</v>
      </c>
      <c r="C618" s="1" t="n">
        <v>45566</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44721-2020</t>
        </is>
      </c>
      <c r="B619" s="1" t="n">
        <v>44082</v>
      </c>
      <c r="C619" s="1" t="n">
        <v>45566</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43928-2020</t>
        </is>
      </c>
      <c r="B620" s="1" t="n">
        <v>44083</v>
      </c>
      <c r="C620" s="1" t="n">
        <v>45566</v>
      </c>
      <c r="D620" t="inlineStr">
        <is>
          <t>VÄSTERBOTTENS LÄN</t>
        </is>
      </c>
      <c r="E620" t="inlineStr">
        <is>
          <t>SKELLEFTEÅ</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43923-2020</t>
        </is>
      </c>
      <c r="B621" s="1" t="n">
        <v>44083</v>
      </c>
      <c r="C621" s="1" t="n">
        <v>45566</v>
      </c>
      <c r="D621" t="inlineStr">
        <is>
          <t>VÄSTERBOTTENS LÄN</t>
        </is>
      </c>
      <c r="E621" t="inlineStr">
        <is>
          <t>SKELLEFTEÅ</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43933-2020</t>
        </is>
      </c>
      <c r="B622" s="1" t="n">
        <v>44083</v>
      </c>
      <c r="C622" s="1" t="n">
        <v>45566</v>
      </c>
      <c r="D622" t="inlineStr">
        <is>
          <t>VÄSTERBOTTENS LÄN</t>
        </is>
      </c>
      <c r="E622" t="inlineStr">
        <is>
          <t>SKELLEFTEÅ</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44068-2020</t>
        </is>
      </c>
      <c r="B623" s="1" t="n">
        <v>44083</v>
      </c>
      <c r="C623" s="1" t="n">
        <v>45566</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43930-2020</t>
        </is>
      </c>
      <c r="B624" s="1" t="n">
        <v>44083</v>
      </c>
      <c r="C624" s="1" t="n">
        <v>45566</v>
      </c>
      <c r="D624" t="inlineStr">
        <is>
          <t>VÄSTERBOTTENS LÄN</t>
        </is>
      </c>
      <c r="E624" t="inlineStr">
        <is>
          <t>SKELLEFTEÅ</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43993-2020</t>
        </is>
      </c>
      <c r="B625" s="1" t="n">
        <v>44083</v>
      </c>
      <c r="C625" s="1" t="n">
        <v>45566</v>
      </c>
      <c r="D625" t="inlineStr">
        <is>
          <t>VÄSTERBOTTENS LÄN</t>
        </is>
      </c>
      <c r="E625" t="inlineStr">
        <is>
          <t>SKELLEFTEÅ</t>
        </is>
      </c>
      <c r="G625" t="n">
        <v>0.3</v>
      </c>
      <c r="H625" t="n">
        <v>0</v>
      </c>
      <c r="I625" t="n">
        <v>0</v>
      </c>
      <c r="J625" t="n">
        <v>0</v>
      </c>
      <c r="K625" t="n">
        <v>0</v>
      </c>
      <c r="L625" t="n">
        <v>0</v>
      </c>
      <c r="M625" t="n">
        <v>0</v>
      </c>
      <c r="N625" t="n">
        <v>0</v>
      </c>
      <c r="O625" t="n">
        <v>0</v>
      </c>
      <c r="P625" t="n">
        <v>0</v>
      </c>
      <c r="Q625" t="n">
        <v>0</v>
      </c>
      <c r="R625" s="2" t="inlineStr"/>
    </row>
    <row r="626" ht="15" customHeight="1">
      <c r="A626" t="inlineStr">
        <is>
          <t>A 18255-2021</t>
        </is>
      </c>
      <c r="B626" s="1" t="n">
        <v>44083</v>
      </c>
      <c r="C626" s="1" t="n">
        <v>45566</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18263-2021</t>
        </is>
      </c>
      <c r="B627" s="1" t="n">
        <v>44083</v>
      </c>
      <c r="C627" s="1" t="n">
        <v>45566</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44436-2020</t>
        </is>
      </c>
      <c r="B628" s="1" t="n">
        <v>44084</v>
      </c>
      <c r="C628" s="1" t="n">
        <v>45566</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44587-2020</t>
        </is>
      </c>
      <c r="B629" s="1" t="n">
        <v>44085</v>
      </c>
      <c r="C629" s="1" t="n">
        <v>45566</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44572-2020</t>
        </is>
      </c>
      <c r="B630" s="1" t="n">
        <v>44085</v>
      </c>
      <c r="C630" s="1" t="n">
        <v>45566</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44592-2020</t>
        </is>
      </c>
      <c r="B631" s="1" t="n">
        <v>44085</v>
      </c>
      <c r="C631" s="1" t="n">
        <v>45566</v>
      </c>
      <c r="D631" t="inlineStr">
        <is>
          <t>VÄSTERBOTTENS LÄN</t>
        </is>
      </c>
      <c r="E631" t="inlineStr">
        <is>
          <t>SKELLEFTEÅ</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44667-2020</t>
        </is>
      </c>
      <c r="B632" s="1" t="n">
        <v>44085</v>
      </c>
      <c r="C632" s="1" t="n">
        <v>45566</v>
      </c>
      <c r="D632" t="inlineStr">
        <is>
          <t>VÄSTERBOTTENS LÄN</t>
        </is>
      </c>
      <c r="E632" t="inlineStr">
        <is>
          <t>SKELLEFTEÅ</t>
        </is>
      </c>
      <c r="F632" t="inlineStr">
        <is>
          <t>Sveaskog</t>
        </is>
      </c>
      <c r="G632" t="n">
        <v>15.6</v>
      </c>
      <c r="H632" t="n">
        <v>0</v>
      </c>
      <c r="I632" t="n">
        <v>0</v>
      </c>
      <c r="J632" t="n">
        <v>0</v>
      </c>
      <c r="K632" t="n">
        <v>0</v>
      </c>
      <c r="L632" t="n">
        <v>0</v>
      </c>
      <c r="M632" t="n">
        <v>0</v>
      </c>
      <c r="N632" t="n">
        <v>0</v>
      </c>
      <c r="O632" t="n">
        <v>0</v>
      </c>
      <c r="P632" t="n">
        <v>0</v>
      </c>
      <c r="Q632" t="n">
        <v>0</v>
      </c>
      <c r="R632" s="2" t="inlineStr"/>
    </row>
    <row r="633" ht="15" customHeight="1">
      <c r="A633" t="inlineStr">
        <is>
          <t>A 45181-2020</t>
        </is>
      </c>
      <c r="B633" s="1" t="n">
        <v>44088</v>
      </c>
      <c r="C633" s="1" t="n">
        <v>45566</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45514-2020</t>
        </is>
      </c>
      <c r="B634" s="1" t="n">
        <v>44089</v>
      </c>
      <c r="C634" s="1" t="n">
        <v>45566</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46686-2020</t>
        </is>
      </c>
      <c r="B635" s="1" t="n">
        <v>44089</v>
      </c>
      <c r="C635" s="1" t="n">
        <v>45566</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45690-2020</t>
        </is>
      </c>
      <c r="B636" s="1" t="n">
        <v>44090</v>
      </c>
      <c r="C636" s="1" t="n">
        <v>45566</v>
      </c>
      <c r="D636" t="inlineStr">
        <is>
          <t>VÄSTERBOTTENS LÄN</t>
        </is>
      </c>
      <c r="E636" t="inlineStr">
        <is>
          <t>SKELLEFTEÅ</t>
        </is>
      </c>
      <c r="G636" t="n">
        <v>9.6</v>
      </c>
      <c r="H636" t="n">
        <v>0</v>
      </c>
      <c r="I636" t="n">
        <v>0</v>
      </c>
      <c r="J636" t="n">
        <v>0</v>
      </c>
      <c r="K636" t="n">
        <v>0</v>
      </c>
      <c r="L636" t="n">
        <v>0</v>
      </c>
      <c r="M636" t="n">
        <v>0</v>
      </c>
      <c r="N636" t="n">
        <v>0</v>
      </c>
      <c r="O636" t="n">
        <v>0</v>
      </c>
      <c r="P636" t="n">
        <v>0</v>
      </c>
      <c r="Q636" t="n">
        <v>0</v>
      </c>
      <c r="R636" s="2" t="inlineStr"/>
    </row>
    <row r="637" ht="15" customHeight="1">
      <c r="A637" t="inlineStr">
        <is>
          <t>A 46821-2020</t>
        </is>
      </c>
      <c r="B637" s="1" t="n">
        <v>44090</v>
      </c>
      <c r="C637" s="1" t="n">
        <v>45566</v>
      </c>
      <c r="D637" t="inlineStr">
        <is>
          <t>VÄSTERBOTTENS LÄN</t>
        </is>
      </c>
      <c r="E637" t="inlineStr">
        <is>
          <t>SKELLEFTEÅ</t>
        </is>
      </c>
      <c r="G637" t="n">
        <v>3.5</v>
      </c>
      <c r="H637" t="n">
        <v>0</v>
      </c>
      <c r="I637" t="n">
        <v>0</v>
      </c>
      <c r="J637" t="n">
        <v>0</v>
      </c>
      <c r="K637" t="n">
        <v>0</v>
      </c>
      <c r="L637" t="n">
        <v>0</v>
      </c>
      <c r="M637" t="n">
        <v>0</v>
      </c>
      <c r="N637" t="n">
        <v>0</v>
      </c>
      <c r="O637" t="n">
        <v>0</v>
      </c>
      <c r="P637" t="n">
        <v>0</v>
      </c>
      <c r="Q637" t="n">
        <v>0</v>
      </c>
      <c r="R637" s="2" t="inlineStr"/>
    </row>
    <row r="638" ht="15" customHeight="1">
      <c r="A638" t="inlineStr">
        <is>
          <t>A 46205-2020</t>
        </is>
      </c>
      <c r="B638" s="1" t="n">
        <v>44092</v>
      </c>
      <c r="C638" s="1" t="n">
        <v>45566</v>
      </c>
      <c r="D638" t="inlineStr">
        <is>
          <t>VÄSTERBOTTENS LÄN</t>
        </is>
      </c>
      <c r="E638" t="inlineStr">
        <is>
          <t>SKELLEFTEÅ</t>
        </is>
      </c>
      <c r="F638" t="inlineStr">
        <is>
          <t>Holmen skog AB</t>
        </is>
      </c>
      <c r="G638" t="n">
        <v>5.1</v>
      </c>
      <c r="H638" t="n">
        <v>0</v>
      </c>
      <c r="I638" t="n">
        <v>0</v>
      </c>
      <c r="J638" t="n">
        <v>0</v>
      </c>
      <c r="K638" t="n">
        <v>0</v>
      </c>
      <c r="L638" t="n">
        <v>0</v>
      </c>
      <c r="M638" t="n">
        <v>0</v>
      </c>
      <c r="N638" t="n">
        <v>0</v>
      </c>
      <c r="O638" t="n">
        <v>0</v>
      </c>
      <c r="P638" t="n">
        <v>0</v>
      </c>
      <c r="Q638" t="n">
        <v>0</v>
      </c>
      <c r="R638" s="2" t="inlineStr"/>
    </row>
    <row r="639" ht="15" customHeight="1">
      <c r="A639" t="inlineStr">
        <is>
          <t>A 46638-2020</t>
        </is>
      </c>
      <c r="B639" s="1" t="n">
        <v>44095</v>
      </c>
      <c r="C639" s="1" t="n">
        <v>45566</v>
      </c>
      <c r="D639" t="inlineStr">
        <is>
          <t>VÄSTERBOTTENS LÄN</t>
        </is>
      </c>
      <c r="E639" t="inlineStr">
        <is>
          <t>SKELLEFTEÅ</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47405-2020</t>
        </is>
      </c>
      <c r="B640" s="1" t="n">
        <v>44095</v>
      </c>
      <c r="C640" s="1" t="n">
        <v>45566</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46819-2020</t>
        </is>
      </c>
      <c r="B641" s="1" t="n">
        <v>44096</v>
      </c>
      <c r="C641" s="1" t="n">
        <v>45566</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46842-2020</t>
        </is>
      </c>
      <c r="B642" s="1" t="n">
        <v>44096</v>
      </c>
      <c r="C642" s="1" t="n">
        <v>45566</v>
      </c>
      <c r="D642" t="inlineStr">
        <is>
          <t>VÄSTERBOTTENS LÄN</t>
        </is>
      </c>
      <c r="E642" t="inlineStr">
        <is>
          <t>SKELLEFTEÅ</t>
        </is>
      </c>
      <c r="F642" t="inlineStr">
        <is>
          <t>Holmen skog AB</t>
        </is>
      </c>
      <c r="G642" t="n">
        <v>6.5</v>
      </c>
      <c r="H642" t="n">
        <v>0</v>
      </c>
      <c r="I642" t="n">
        <v>0</v>
      </c>
      <c r="J642" t="n">
        <v>0</v>
      </c>
      <c r="K642" t="n">
        <v>0</v>
      </c>
      <c r="L642" t="n">
        <v>0</v>
      </c>
      <c r="M642" t="n">
        <v>0</v>
      </c>
      <c r="N642" t="n">
        <v>0</v>
      </c>
      <c r="O642" t="n">
        <v>0</v>
      </c>
      <c r="P642" t="n">
        <v>0</v>
      </c>
      <c r="Q642" t="n">
        <v>0</v>
      </c>
      <c r="R642" s="2" t="inlineStr"/>
    </row>
    <row r="643" ht="15" customHeight="1">
      <c r="A643" t="inlineStr">
        <is>
          <t>A 46857-2020</t>
        </is>
      </c>
      <c r="B643" s="1" t="n">
        <v>44096</v>
      </c>
      <c r="C643" s="1" t="n">
        <v>45566</v>
      </c>
      <c r="D643" t="inlineStr">
        <is>
          <t>VÄSTERBOTTENS LÄN</t>
        </is>
      </c>
      <c r="E643" t="inlineStr">
        <is>
          <t>SKELLEFTEÅ</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48584-2020</t>
        </is>
      </c>
      <c r="B644" s="1" t="n">
        <v>44098</v>
      </c>
      <c r="C644" s="1" t="n">
        <v>45566</v>
      </c>
      <c r="D644" t="inlineStr">
        <is>
          <t>VÄSTERBOTTENS LÄN</t>
        </is>
      </c>
      <c r="E644" t="inlineStr">
        <is>
          <t>SKELLEFTEÅ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49241-2020</t>
        </is>
      </c>
      <c r="B645" s="1" t="n">
        <v>44102</v>
      </c>
      <c r="C645" s="1" t="n">
        <v>45566</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48575-2020</t>
        </is>
      </c>
      <c r="B646" s="1" t="n">
        <v>44103</v>
      </c>
      <c r="C646" s="1" t="n">
        <v>45566</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48609-2020</t>
        </is>
      </c>
      <c r="B647" s="1" t="n">
        <v>44103</v>
      </c>
      <c r="C647" s="1" t="n">
        <v>45566</v>
      </c>
      <c r="D647" t="inlineStr">
        <is>
          <t>VÄSTERBOTTENS LÄN</t>
        </is>
      </c>
      <c r="E647" t="inlineStr">
        <is>
          <t>SKELLEFTEÅ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48893-2020</t>
        </is>
      </c>
      <c r="B648" s="1" t="n">
        <v>44104</v>
      </c>
      <c r="C648" s="1" t="n">
        <v>45566</v>
      </c>
      <c r="D648" t="inlineStr">
        <is>
          <t>VÄSTERBOTTENS LÄN</t>
        </is>
      </c>
      <c r="E648" t="inlineStr">
        <is>
          <t>SKELLEFTEÅ</t>
        </is>
      </c>
      <c r="F648" t="inlineStr">
        <is>
          <t>Sveaskog</t>
        </is>
      </c>
      <c r="G648" t="n">
        <v>42.8</v>
      </c>
      <c r="H648" t="n">
        <v>0</v>
      </c>
      <c r="I648" t="n">
        <v>0</v>
      </c>
      <c r="J648" t="n">
        <v>0</v>
      </c>
      <c r="K648" t="n">
        <v>0</v>
      </c>
      <c r="L648" t="n">
        <v>0</v>
      </c>
      <c r="M648" t="n">
        <v>0</v>
      </c>
      <c r="N648" t="n">
        <v>0</v>
      </c>
      <c r="O648" t="n">
        <v>0</v>
      </c>
      <c r="P648" t="n">
        <v>0</v>
      </c>
      <c r="Q648" t="n">
        <v>0</v>
      </c>
      <c r="R648" s="2" t="inlineStr"/>
    </row>
    <row r="649" ht="15" customHeight="1">
      <c r="A649" t="inlineStr">
        <is>
          <t>A 48939-2020</t>
        </is>
      </c>
      <c r="B649" s="1" t="n">
        <v>44104</v>
      </c>
      <c r="C649" s="1" t="n">
        <v>45566</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49986-2020</t>
        </is>
      </c>
      <c r="B650" s="1" t="n">
        <v>44104</v>
      </c>
      <c r="C650" s="1" t="n">
        <v>45566</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49236-2020</t>
        </is>
      </c>
      <c r="B651" s="1" t="n">
        <v>44105</v>
      </c>
      <c r="C651" s="1" t="n">
        <v>45566</v>
      </c>
      <c r="D651" t="inlineStr">
        <is>
          <t>VÄSTERBOTTENS LÄN</t>
        </is>
      </c>
      <c r="E651" t="inlineStr">
        <is>
          <t>SKELLEFTEÅ</t>
        </is>
      </c>
      <c r="F651" t="inlineStr">
        <is>
          <t>Holmen skog AB</t>
        </is>
      </c>
      <c r="G651" t="n">
        <v>6.5</v>
      </c>
      <c r="H651" t="n">
        <v>0</v>
      </c>
      <c r="I651" t="n">
        <v>0</v>
      </c>
      <c r="J651" t="n">
        <v>0</v>
      </c>
      <c r="K651" t="n">
        <v>0</v>
      </c>
      <c r="L651" t="n">
        <v>0</v>
      </c>
      <c r="M651" t="n">
        <v>0</v>
      </c>
      <c r="N651" t="n">
        <v>0</v>
      </c>
      <c r="O651" t="n">
        <v>0</v>
      </c>
      <c r="P651" t="n">
        <v>0</v>
      </c>
      <c r="Q651" t="n">
        <v>0</v>
      </c>
      <c r="R651" s="2" t="inlineStr"/>
    </row>
    <row r="652" ht="15" customHeight="1">
      <c r="A652" t="inlineStr">
        <is>
          <t>A 49183-2020</t>
        </is>
      </c>
      <c r="B652" s="1" t="n">
        <v>44105</v>
      </c>
      <c r="C652" s="1" t="n">
        <v>45566</v>
      </c>
      <c r="D652" t="inlineStr">
        <is>
          <t>VÄSTERBOTTENS LÄN</t>
        </is>
      </c>
      <c r="E652" t="inlineStr">
        <is>
          <t>SKELLEFTEÅ</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51654-2020</t>
        </is>
      </c>
      <c r="B653" s="1" t="n">
        <v>44109</v>
      </c>
      <c r="C653" s="1" t="n">
        <v>45566</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50275-2020</t>
        </is>
      </c>
      <c r="B654" s="1" t="n">
        <v>44109</v>
      </c>
      <c r="C654" s="1" t="n">
        <v>45566</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49952-2020</t>
        </is>
      </c>
      <c r="B655" s="1" t="n">
        <v>44109</v>
      </c>
      <c r="C655" s="1" t="n">
        <v>45566</v>
      </c>
      <c r="D655" t="inlineStr">
        <is>
          <t>VÄSTERBOTTENS LÄN</t>
        </is>
      </c>
      <c r="E655" t="inlineStr">
        <is>
          <t>SKELLEFTEÅ</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49974-2020</t>
        </is>
      </c>
      <c r="B656" s="1" t="n">
        <v>44109</v>
      </c>
      <c r="C656" s="1" t="n">
        <v>45566</v>
      </c>
      <c r="D656" t="inlineStr">
        <is>
          <t>VÄSTERBOTTENS LÄN</t>
        </is>
      </c>
      <c r="E656" t="inlineStr">
        <is>
          <t>SKELLEFTEÅ</t>
        </is>
      </c>
      <c r="F656" t="inlineStr">
        <is>
          <t>Holmen skog AB</t>
        </is>
      </c>
      <c r="G656" t="n">
        <v>15.8</v>
      </c>
      <c r="H656" t="n">
        <v>0</v>
      </c>
      <c r="I656" t="n">
        <v>0</v>
      </c>
      <c r="J656" t="n">
        <v>0</v>
      </c>
      <c r="K656" t="n">
        <v>0</v>
      </c>
      <c r="L656" t="n">
        <v>0</v>
      </c>
      <c r="M656" t="n">
        <v>0</v>
      </c>
      <c r="N656" t="n">
        <v>0</v>
      </c>
      <c r="O656" t="n">
        <v>0</v>
      </c>
      <c r="P656" t="n">
        <v>0</v>
      </c>
      <c r="Q656" t="n">
        <v>0</v>
      </c>
      <c r="R656" s="2" t="inlineStr"/>
    </row>
    <row r="657" ht="15" customHeight="1">
      <c r="A657" t="inlineStr">
        <is>
          <t>A 52119-2020</t>
        </is>
      </c>
      <c r="B657" s="1" t="n">
        <v>44110</v>
      </c>
      <c r="C657" s="1" t="n">
        <v>45566</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50431-2020</t>
        </is>
      </c>
      <c r="B658" s="1" t="n">
        <v>44110</v>
      </c>
      <c r="C658" s="1" t="n">
        <v>45566</v>
      </c>
      <c r="D658" t="inlineStr">
        <is>
          <t>VÄSTERBOTTENS LÄN</t>
        </is>
      </c>
      <c r="E658" t="inlineStr">
        <is>
          <t>SKELLEFTEÅ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50701-2020</t>
        </is>
      </c>
      <c r="B659" s="1" t="n">
        <v>44111</v>
      </c>
      <c r="C659" s="1" t="n">
        <v>45566</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51283-2020</t>
        </is>
      </c>
      <c r="B660" s="1" t="n">
        <v>44112</v>
      </c>
      <c r="C660" s="1" t="n">
        <v>45566</v>
      </c>
      <c r="D660" t="inlineStr">
        <is>
          <t>VÄSTERBOTTENS LÄN</t>
        </is>
      </c>
      <c r="E660" t="inlineStr">
        <is>
          <t>SKELLEFTEÅ</t>
        </is>
      </c>
      <c r="F660" t="inlineStr">
        <is>
          <t>Sveaskog</t>
        </is>
      </c>
      <c r="G660" t="n">
        <v>14.1</v>
      </c>
      <c r="H660" t="n">
        <v>0</v>
      </c>
      <c r="I660" t="n">
        <v>0</v>
      </c>
      <c r="J660" t="n">
        <v>0</v>
      </c>
      <c r="K660" t="n">
        <v>0</v>
      </c>
      <c r="L660" t="n">
        <v>0</v>
      </c>
      <c r="M660" t="n">
        <v>0</v>
      </c>
      <c r="N660" t="n">
        <v>0</v>
      </c>
      <c r="O660" t="n">
        <v>0</v>
      </c>
      <c r="P660" t="n">
        <v>0</v>
      </c>
      <c r="Q660" t="n">
        <v>0</v>
      </c>
      <c r="R660" s="2" t="inlineStr"/>
    </row>
    <row r="661" ht="15" customHeight="1">
      <c r="A661" t="inlineStr">
        <is>
          <t>A 51547-2020</t>
        </is>
      </c>
      <c r="B661" s="1" t="n">
        <v>44113</v>
      </c>
      <c r="C661" s="1" t="n">
        <v>45566</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51536-2020</t>
        </is>
      </c>
      <c r="B662" s="1" t="n">
        <v>44113</v>
      </c>
      <c r="C662" s="1" t="n">
        <v>45566</v>
      </c>
      <c r="D662" t="inlineStr">
        <is>
          <t>VÄSTERBOTTENS LÄN</t>
        </is>
      </c>
      <c r="E662" t="inlineStr">
        <is>
          <t>SKELLEFTEÅ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51565-2020</t>
        </is>
      </c>
      <c r="B663" s="1" t="n">
        <v>44113</v>
      </c>
      <c r="C663" s="1" t="n">
        <v>45566</v>
      </c>
      <c r="D663" t="inlineStr">
        <is>
          <t>VÄSTERBOTTENS LÄN</t>
        </is>
      </c>
      <c r="E663" t="inlineStr">
        <is>
          <t>SKELLEFTEÅ</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51530-2020</t>
        </is>
      </c>
      <c r="B664" s="1" t="n">
        <v>44113</v>
      </c>
      <c r="C664" s="1" t="n">
        <v>45566</v>
      </c>
      <c r="D664" t="inlineStr">
        <is>
          <t>VÄSTERBOTTENS LÄN</t>
        </is>
      </c>
      <c r="E664" t="inlineStr">
        <is>
          <t>SKELLEFTEÅ</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51907-2020</t>
        </is>
      </c>
      <c r="B665" s="1" t="n">
        <v>44116</v>
      </c>
      <c r="C665" s="1" t="n">
        <v>45566</v>
      </c>
      <c r="D665" t="inlineStr">
        <is>
          <t>VÄSTERBOTTENS LÄN</t>
        </is>
      </c>
      <c r="E665" t="inlineStr">
        <is>
          <t>SKELLEFTEÅ</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52292-2020</t>
        </is>
      </c>
      <c r="B666" s="1" t="n">
        <v>44117</v>
      </c>
      <c r="C666" s="1" t="n">
        <v>45566</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52640-2020</t>
        </is>
      </c>
      <c r="B667" s="1" t="n">
        <v>44118</v>
      </c>
      <c r="C667" s="1" t="n">
        <v>45566</v>
      </c>
      <c r="D667" t="inlineStr">
        <is>
          <t>VÄSTERBOTTENS LÄN</t>
        </is>
      </c>
      <c r="E667" t="inlineStr">
        <is>
          <t>SKELLEFTEÅ</t>
        </is>
      </c>
      <c r="G667" t="n">
        <v>11.5</v>
      </c>
      <c r="H667" t="n">
        <v>0</v>
      </c>
      <c r="I667" t="n">
        <v>0</v>
      </c>
      <c r="J667" t="n">
        <v>0</v>
      </c>
      <c r="K667" t="n">
        <v>0</v>
      </c>
      <c r="L667" t="n">
        <v>0</v>
      </c>
      <c r="M667" t="n">
        <v>0</v>
      </c>
      <c r="N667" t="n">
        <v>0</v>
      </c>
      <c r="O667" t="n">
        <v>0</v>
      </c>
      <c r="P667" t="n">
        <v>0</v>
      </c>
      <c r="Q667" t="n">
        <v>0</v>
      </c>
      <c r="R667" s="2" t="inlineStr"/>
    </row>
    <row r="668" ht="15" customHeight="1">
      <c r="A668" t="inlineStr">
        <is>
          <t>A 52714-2020</t>
        </is>
      </c>
      <c r="B668" s="1" t="n">
        <v>44119</v>
      </c>
      <c r="C668" s="1" t="n">
        <v>45566</v>
      </c>
      <c r="D668" t="inlineStr">
        <is>
          <t>VÄSTERBOTTENS LÄN</t>
        </is>
      </c>
      <c r="E668" t="inlineStr">
        <is>
          <t>SKELLEFTEÅ</t>
        </is>
      </c>
      <c r="F668" t="inlineStr">
        <is>
          <t>Holmen skog AB</t>
        </is>
      </c>
      <c r="G668" t="n">
        <v>4.6</v>
      </c>
      <c r="H668" t="n">
        <v>0</v>
      </c>
      <c r="I668" t="n">
        <v>0</v>
      </c>
      <c r="J668" t="n">
        <v>0</v>
      </c>
      <c r="K668" t="n">
        <v>0</v>
      </c>
      <c r="L668" t="n">
        <v>0</v>
      </c>
      <c r="M668" t="n">
        <v>0</v>
      </c>
      <c r="N668" t="n">
        <v>0</v>
      </c>
      <c r="O668" t="n">
        <v>0</v>
      </c>
      <c r="P668" t="n">
        <v>0</v>
      </c>
      <c r="Q668" t="n">
        <v>0</v>
      </c>
      <c r="R668" s="2" t="inlineStr"/>
    </row>
    <row r="669" ht="15" customHeight="1">
      <c r="A669" t="inlineStr">
        <is>
          <t>A 53114-2020</t>
        </is>
      </c>
      <c r="B669" s="1" t="n">
        <v>44120</v>
      </c>
      <c r="C669" s="1" t="n">
        <v>45566</v>
      </c>
      <c r="D669" t="inlineStr">
        <is>
          <t>VÄSTERBOTTENS LÄN</t>
        </is>
      </c>
      <c r="E669" t="inlineStr">
        <is>
          <t>SKELLEFTEÅ</t>
        </is>
      </c>
      <c r="G669" t="n">
        <v>6.1</v>
      </c>
      <c r="H669" t="n">
        <v>0</v>
      </c>
      <c r="I669" t="n">
        <v>0</v>
      </c>
      <c r="J669" t="n">
        <v>0</v>
      </c>
      <c r="K669" t="n">
        <v>0</v>
      </c>
      <c r="L669" t="n">
        <v>0</v>
      </c>
      <c r="M669" t="n">
        <v>0</v>
      </c>
      <c r="N669" t="n">
        <v>0</v>
      </c>
      <c r="O669" t="n">
        <v>0</v>
      </c>
      <c r="P669" t="n">
        <v>0</v>
      </c>
      <c r="Q669" t="n">
        <v>0</v>
      </c>
      <c r="R669" s="2" t="inlineStr"/>
    </row>
    <row r="670" ht="15" customHeight="1">
      <c r="A670" t="inlineStr">
        <is>
          <t>A 53373-2020</t>
        </is>
      </c>
      <c r="B670" s="1" t="n">
        <v>44123</v>
      </c>
      <c r="C670" s="1" t="n">
        <v>45566</v>
      </c>
      <c r="D670" t="inlineStr">
        <is>
          <t>VÄSTERBOTTENS LÄN</t>
        </is>
      </c>
      <c r="E670" t="inlineStr">
        <is>
          <t>SKELLEFTEÅ</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54356-2020</t>
        </is>
      </c>
      <c r="B671" s="1" t="n">
        <v>44125</v>
      </c>
      <c r="C671" s="1" t="n">
        <v>45566</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54850-2020</t>
        </is>
      </c>
      <c r="B672" s="1" t="n">
        <v>44126</v>
      </c>
      <c r="C672" s="1" t="n">
        <v>45566</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54872-2020</t>
        </is>
      </c>
      <c r="B673" s="1" t="n">
        <v>44126</v>
      </c>
      <c r="C673" s="1" t="n">
        <v>45566</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45566</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54921-2020</t>
        </is>
      </c>
      <c r="B675" s="1" t="n">
        <v>44127</v>
      </c>
      <c r="C675" s="1" t="n">
        <v>45566</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54913-2020</t>
        </is>
      </c>
      <c r="B676" s="1" t="n">
        <v>44127</v>
      </c>
      <c r="C676" s="1" t="n">
        <v>45566</v>
      </c>
      <c r="D676" t="inlineStr">
        <is>
          <t>VÄSTERBOTTENS LÄN</t>
        </is>
      </c>
      <c r="E676" t="inlineStr">
        <is>
          <t>SKELLEFTEÅ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54942-2020</t>
        </is>
      </c>
      <c r="B677" s="1" t="n">
        <v>44129</v>
      </c>
      <c r="C677" s="1" t="n">
        <v>45566</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55628-2020</t>
        </is>
      </c>
      <c r="B678" s="1" t="n">
        <v>44131</v>
      </c>
      <c r="C678" s="1" t="n">
        <v>45566</v>
      </c>
      <c r="D678" t="inlineStr">
        <is>
          <t>VÄSTERBOTTENS LÄN</t>
        </is>
      </c>
      <c r="E678" t="inlineStr">
        <is>
          <t>SKELLEFTEÅ</t>
        </is>
      </c>
      <c r="F678" t="inlineStr">
        <is>
          <t>Sveaskog</t>
        </is>
      </c>
      <c r="G678" t="n">
        <v>25.9</v>
      </c>
      <c r="H678" t="n">
        <v>0</v>
      </c>
      <c r="I678" t="n">
        <v>0</v>
      </c>
      <c r="J678" t="n">
        <v>0</v>
      </c>
      <c r="K678" t="n">
        <v>0</v>
      </c>
      <c r="L678" t="n">
        <v>0</v>
      </c>
      <c r="M678" t="n">
        <v>0</v>
      </c>
      <c r="N678" t="n">
        <v>0</v>
      </c>
      <c r="O678" t="n">
        <v>0</v>
      </c>
      <c r="P678" t="n">
        <v>0</v>
      </c>
      <c r="Q678" t="n">
        <v>0</v>
      </c>
      <c r="R678" s="2" t="inlineStr"/>
    </row>
    <row r="679" ht="15" customHeight="1">
      <c r="A679" t="inlineStr">
        <is>
          <t>A 55633-2020</t>
        </is>
      </c>
      <c r="B679" s="1" t="n">
        <v>44131</v>
      </c>
      <c r="C679" s="1" t="n">
        <v>45566</v>
      </c>
      <c r="D679" t="inlineStr">
        <is>
          <t>VÄSTERBOTTENS LÄN</t>
        </is>
      </c>
      <c r="E679" t="inlineStr">
        <is>
          <t>SKELLEFTEÅ</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55572-2020</t>
        </is>
      </c>
      <c r="B680" s="1" t="n">
        <v>44131</v>
      </c>
      <c r="C680" s="1" t="n">
        <v>45566</v>
      </c>
      <c r="D680" t="inlineStr">
        <is>
          <t>VÄSTERBOTTENS LÄN</t>
        </is>
      </c>
      <c r="E680" t="inlineStr">
        <is>
          <t>SKELLEFTEÅ</t>
        </is>
      </c>
      <c r="F680" t="inlineStr">
        <is>
          <t>Sveaskog</t>
        </is>
      </c>
      <c r="G680" t="n">
        <v>12.6</v>
      </c>
      <c r="H680" t="n">
        <v>0</v>
      </c>
      <c r="I680" t="n">
        <v>0</v>
      </c>
      <c r="J680" t="n">
        <v>0</v>
      </c>
      <c r="K680" t="n">
        <v>0</v>
      </c>
      <c r="L680" t="n">
        <v>0</v>
      </c>
      <c r="M680" t="n">
        <v>0</v>
      </c>
      <c r="N680" t="n">
        <v>0</v>
      </c>
      <c r="O680" t="n">
        <v>0</v>
      </c>
      <c r="P680" t="n">
        <v>0</v>
      </c>
      <c r="Q680" t="n">
        <v>0</v>
      </c>
      <c r="R680" s="2" t="inlineStr"/>
    </row>
    <row r="681" ht="15" customHeight="1">
      <c r="A681" t="inlineStr">
        <is>
          <t>A 55626-2020</t>
        </is>
      </c>
      <c r="B681" s="1" t="n">
        <v>44131</v>
      </c>
      <c r="C681" s="1" t="n">
        <v>45566</v>
      </c>
      <c r="D681" t="inlineStr">
        <is>
          <t>VÄSTERBOTTENS LÄN</t>
        </is>
      </c>
      <c r="E681" t="inlineStr">
        <is>
          <t>SKELLEFTEÅ</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56029-2020</t>
        </is>
      </c>
      <c r="B682" s="1" t="n">
        <v>44133</v>
      </c>
      <c r="C682" s="1" t="n">
        <v>45566</v>
      </c>
      <c r="D682" t="inlineStr">
        <is>
          <t>VÄSTERBOTTENS LÄN</t>
        </is>
      </c>
      <c r="E682" t="inlineStr">
        <is>
          <t>SKELLEFTEÅ</t>
        </is>
      </c>
      <c r="F682" t="inlineStr">
        <is>
          <t>Holmen skog AB</t>
        </is>
      </c>
      <c r="G682" t="n">
        <v>3.2</v>
      </c>
      <c r="H682" t="n">
        <v>0</v>
      </c>
      <c r="I682" t="n">
        <v>0</v>
      </c>
      <c r="J682" t="n">
        <v>0</v>
      </c>
      <c r="K682" t="n">
        <v>0</v>
      </c>
      <c r="L682" t="n">
        <v>0</v>
      </c>
      <c r="M682" t="n">
        <v>0</v>
      </c>
      <c r="N682" t="n">
        <v>0</v>
      </c>
      <c r="O682" t="n">
        <v>0</v>
      </c>
      <c r="P682" t="n">
        <v>0</v>
      </c>
      <c r="Q682" t="n">
        <v>0</v>
      </c>
      <c r="R682" s="2" t="inlineStr"/>
    </row>
    <row r="683" ht="15" customHeight="1">
      <c r="A683" t="inlineStr">
        <is>
          <t>A 56683-2020</t>
        </is>
      </c>
      <c r="B683" s="1" t="n">
        <v>44133</v>
      </c>
      <c r="C683" s="1" t="n">
        <v>45566</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56879-2020</t>
        </is>
      </c>
      <c r="B684" s="1" t="n">
        <v>44134</v>
      </c>
      <c r="C684" s="1" t="n">
        <v>45566</v>
      </c>
      <c r="D684" t="inlineStr">
        <is>
          <t>VÄSTERBOTTENS LÄN</t>
        </is>
      </c>
      <c r="E684" t="inlineStr">
        <is>
          <t>SKELLEFTEÅ</t>
        </is>
      </c>
      <c r="G684" t="n">
        <v>8.5</v>
      </c>
      <c r="H684" t="n">
        <v>0</v>
      </c>
      <c r="I684" t="n">
        <v>0</v>
      </c>
      <c r="J684" t="n">
        <v>0</v>
      </c>
      <c r="K684" t="n">
        <v>0</v>
      </c>
      <c r="L684" t="n">
        <v>0</v>
      </c>
      <c r="M684" t="n">
        <v>0</v>
      </c>
      <c r="N684" t="n">
        <v>0</v>
      </c>
      <c r="O684" t="n">
        <v>0</v>
      </c>
      <c r="P684" t="n">
        <v>0</v>
      </c>
      <c r="Q684" t="n">
        <v>0</v>
      </c>
      <c r="R684" s="2" t="inlineStr"/>
    </row>
    <row r="685" ht="15" customHeight="1">
      <c r="A685" t="inlineStr">
        <is>
          <t>A 56604-2020</t>
        </is>
      </c>
      <c r="B685" s="1" t="n">
        <v>44137</v>
      </c>
      <c r="C685" s="1" t="n">
        <v>45566</v>
      </c>
      <c r="D685" t="inlineStr">
        <is>
          <t>VÄSTERBOTTENS LÄN</t>
        </is>
      </c>
      <c r="E685" t="inlineStr">
        <is>
          <t>SKELLEFTEÅ</t>
        </is>
      </c>
      <c r="F685" t="inlineStr">
        <is>
          <t>Holmen skog AB</t>
        </is>
      </c>
      <c r="G685" t="n">
        <v>2.4</v>
      </c>
      <c r="H685" t="n">
        <v>0</v>
      </c>
      <c r="I685" t="n">
        <v>0</v>
      </c>
      <c r="J685" t="n">
        <v>0</v>
      </c>
      <c r="K685" t="n">
        <v>0</v>
      </c>
      <c r="L685" t="n">
        <v>0</v>
      </c>
      <c r="M685" t="n">
        <v>0</v>
      </c>
      <c r="N685" t="n">
        <v>0</v>
      </c>
      <c r="O685" t="n">
        <v>0</v>
      </c>
      <c r="P685" t="n">
        <v>0</v>
      </c>
      <c r="Q685" t="n">
        <v>0</v>
      </c>
      <c r="R685" s="2" t="inlineStr"/>
    </row>
    <row r="686" ht="15" customHeight="1">
      <c r="A686" t="inlineStr">
        <is>
          <t>A 56720-2020</t>
        </is>
      </c>
      <c r="B686" s="1" t="n">
        <v>44137</v>
      </c>
      <c r="C686" s="1" t="n">
        <v>45566</v>
      </c>
      <c r="D686" t="inlineStr">
        <is>
          <t>VÄSTERBOTTENS LÄN</t>
        </is>
      </c>
      <c r="E686" t="inlineStr">
        <is>
          <t>SKELLEFTEÅ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56692-2020</t>
        </is>
      </c>
      <c r="B687" s="1" t="n">
        <v>44137</v>
      </c>
      <c r="C687" s="1" t="n">
        <v>45566</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56718-2020</t>
        </is>
      </c>
      <c r="B688" s="1" t="n">
        <v>44137</v>
      </c>
      <c r="C688" s="1" t="n">
        <v>45566</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56945-2020</t>
        </is>
      </c>
      <c r="B689" s="1" t="n">
        <v>44138</v>
      </c>
      <c r="C689" s="1" t="n">
        <v>45566</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57620-2020</t>
        </is>
      </c>
      <c r="B690" s="1" t="n">
        <v>44140</v>
      </c>
      <c r="C690" s="1" t="n">
        <v>45566</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57770-2020</t>
        </is>
      </c>
      <c r="B691" s="1" t="n">
        <v>44141</v>
      </c>
      <c r="C691" s="1" t="n">
        <v>45566</v>
      </c>
      <c r="D691" t="inlineStr">
        <is>
          <t>VÄSTERBOTTENS LÄN</t>
        </is>
      </c>
      <c r="E691" t="inlineStr">
        <is>
          <t>SKELLEFTEÅ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58427-2020</t>
        </is>
      </c>
      <c r="B692" s="1" t="n">
        <v>44141</v>
      </c>
      <c r="C692" s="1" t="n">
        <v>45566</v>
      </c>
      <c r="D692" t="inlineStr">
        <is>
          <t>VÄSTERBOTTENS LÄN</t>
        </is>
      </c>
      <c r="E692" t="inlineStr">
        <is>
          <t>SKELLEFTEÅ</t>
        </is>
      </c>
      <c r="G692" t="n">
        <v>5.5</v>
      </c>
      <c r="H692" t="n">
        <v>0</v>
      </c>
      <c r="I692" t="n">
        <v>0</v>
      </c>
      <c r="J692" t="n">
        <v>0</v>
      </c>
      <c r="K692" t="n">
        <v>0</v>
      </c>
      <c r="L692" t="n">
        <v>0</v>
      </c>
      <c r="M692" t="n">
        <v>0</v>
      </c>
      <c r="N692" t="n">
        <v>0</v>
      </c>
      <c r="O692" t="n">
        <v>0</v>
      </c>
      <c r="P692" t="n">
        <v>0</v>
      </c>
      <c r="Q692" t="n">
        <v>0</v>
      </c>
      <c r="R692" s="2" t="inlineStr"/>
    </row>
    <row r="693" ht="15" customHeight="1">
      <c r="A693" t="inlineStr">
        <is>
          <t>A 58520-2020</t>
        </is>
      </c>
      <c r="B693" s="1" t="n">
        <v>44144</v>
      </c>
      <c r="C693" s="1" t="n">
        <v>45566</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58544-2020</t>
        </is>
      </c>
      <c r="B694" s="1" t="n">
        <v>44145</v>
      </c>
      <c r="C694" s="1" t="n">
        <v>45566</v>
      </c>
      <c r="D694" t="inlineStr">
        <is>
          <t>VÄSTERBOTTENS LÄN</t>
        </is>
      </c>
      <c r="E694" t="inlineStr">
        <is>
          <t>SKELLEFTEÅ</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58769-2020</t>
        </is>
      </c>
      <c r="B695" s="1" t="n">
        <v>44145</v>
      </c>
      <c r="C695" s="1" t="n">
        <v>45566</v>
      </c>
      <c r="D695" t="inlineStr">
        <is>
          <t>VÄSTERBOTTENS LÄN</t>
        </is>
      </c>
      <c r="E695" t="inlineStr">
        <is>
          <t>SKELLEFTEÅ</t>
        </is>
      </c>
      <c r="G695" t="n">
        <v>4</v>
      </c>
      <c r="H695" t="n">
        <v>0</v>
      </c>
      <c r="I695" t="n">
        <v>0</v>
      </c>
      <c r="J695" t="n">
        <v>0</v>
      </c>
      <c r="K695" t="n">
        <v>0</v>
      </c>
      <c r="L695" t="n">
        <v>0</v>
      </c>
      <c r="M695" t="n">
        <v>0</v>
      </c>
      <c r="N695" t="n">
        <v>0</v>
      </c>
      <c r="O695" t="n">
        <v>0</v>
      </c>
      <c r="P695" t="n">
        <v>0</v>
      </c>
      <c r="Q695" t="n">
        <v>0</v>
      </c>
      <c r="R695" s="2" t="inlineStr"/>
    </row>
    <row r="696" ht="15" customHeight="1">
      <c r="A696" t="inlineStr">
        <is>
          <t>A 58861-2020</t>
        </is>
      </c>
      <c r="B696" s="1" t="n">
        <v>44146</v>
      </c>
      <c r="C696" s="1" t="n">
        <v>45566</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59406-2020</t>
        </is>
      </c>
      <c r="B697" s="1" t="n">
        <v>44147</v>
      </c>
      <c r="C697" s="1" t="n">
        <v>45566</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59518-2020</t>
        </is>
      </c>
      <c r="B698" s="1" t="n">
        <v>44148</v>
      </c>
      <c r="C698" s="1" t="n">
        <v>45566</v>
      </c>
      <c r="D698" t="inlineStr">
        <is>
          <t>VÄSTERBOTTENS LÄN</t>
        </is>
      </c>
      <c r="E698" t="inlineStr">
        <is>
          <t>SKELLEFTEÅ</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59870-2020</t>
        </is>
      </c>
      <c r="B699" s="1" t="n">
        <v>44151</v>
      </c>
      <c r="C699" s="1" t="n">
        <v>45566</v>
      </c>
      <c r="D699" t="inlineStr">
        <is>
          <t>VÄSTERBOTTENS LÄN</t>
        </is>
      </c>
      <c r="E699" t="inlineStr">
        <is>
          <t>SKELLEFTEÅ</t>
        </is>
      </c>
      <c r="F699" t="inlineStr">
        <is>
          <t>Kommuner</t>
        </is>
      </c>
      <c r="G699" t="n">
        <v>5.7</v>
      </c>
      <c r="H699" t="n">
        <v>0</v>
      </c>
      <c r="I699" t="n">
        <v>0</v>
      </c>
      <c r="J699" t="n">
        <v>0</v>
      </c>
      <c r="K699" t="n">
        <v>0</v>
      </c>
      <c r="L699" t="n">
        <v>0</v>
      </c>
      <c r="M699" t="n">
        <v>0</v>
      </c>
      <c r="N699" t="n">
        <v>0</v>
      </c>
      <c r="O699" t="n">
        <v>0</v>
      </c>
      <c r="P699" t="n">
        <v>0</v>
      </c>
      <c r="Q699" t="n">
        <v>0</v>
      </c>
      <c r="R699" s="2" t="inlineStr"/>
    </row>
    <row r="700" ht="15" customHeight="1">
      <c r="A700" t="inlineStr">
        <is>
          <t>A 60152-2020</t>
        </is>
      </c>
      <c r="B700" s="1" t="n">
        <v>44151</v>
      </c>
      <c r="C700" s="1" t="n">
        <v>45566</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60489-2020</t>
        </is>
      </c>
      <c r="B701" s="1" t="n">
        <v>44152</v>
      </c>
      <c r="C701" s="1" t="n">
        <v>45566</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61260-2020</t>
        </is>
      </c>
      <c r="B702" s="1" t="n">
        <v>44153</v>
      </c>
      <c r="C702" s="1" t="n">
        <v>45566</v>
      </c>
      <c r="D702" t="inlineStr">
        <is>
          <t>VÄSTERBOTTENS LÄN</t>
        </is>
      </c>
      <c r="E702" t="inlineStr">
        <is>
          <t>SKELLEFTEÅ</t>
        </is>
      </c>
      <c r="G702" t="n">
        <v>16.1</v>
      </c>
      <c r="H702" t="n">
        <v>0</v>
      </c>
      <c r="I702" t="n">
        <v>0</v>
      </c>
      <c r="J702" t="n">
        <v>0</v>
      </c>
      <c r="K702" t="n">
        <v>0</v>
      </c>
      <c r="L702" t="n">
        <v>0</v>
      </c>
      <c r="M702" t="n">
        <v>0</v>
      </c>
      <c r="N702" t="n">
        <v>0</v>
      </c>
      <c r="O702" t="n">
        <v>0</v>
      </c>
      <c r="P702" t="n">
        <v>0</v>
      </c>
      <c r="Q702" t="n">
        <v>0</v>
      </c>
      <c r="R702" s="2" t="inlineStr"/>
    </row>
    <row r="703" ht="15" customHeight="1">
      <c r="A703" t="inlineStr">
        <is>
          <t>A 61937-2020</t>
        </is>
      </c>
      <c r="B703" s="1" t="n">
        <v>44155</v>
      </c>
      <c r="C703" s="1" t="n">
        <v>45566</v>
      </c>
      <c r="D703" t="inlineStr">
        <is>
          <t>VÄSTERBOTTENS LÄN</t>
        </is>
      </c>
      <c r="E703" t="inlineStr">
        <is>
          <t>SKELLEFTEÅ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61958-2020</t>
        </is>
      </c>
      <c r="B704" s="1" t="n">
        <v>44155</v>
      </c>
      <c r="C704" s="1" t="n">
        <v>45566</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62158-2020</t>
        </is>
      </c>
      <c r="B705" s="1" t="n">
        <v>44159</v>
      </c>
      <c r="C705" s="1" t="n">
        <v>45566</v>
      </c>
      <c r="D705" t="inlineStr">
        <is>
          <t>VÄSTERBOTTENS LÄN</t>
        </is>
      </c>
      <c r="E705" t="inlineStr">
        <is>
          <t>SKELLEFTEÅ</t>
        </is>
      </c>
      <c r="F705" t="inlineStr">
        <is>
          <t>Sveaskog</t>
        </is>
      </c>
      <c r="G705" t="n">
        <v>14.7</v>
      </c>
      <c r="H705" t="n">
        <v>0</v>
      </c>
      <c r="I705" t="n">
        <v>0</v>
      </c>
      <c r="J705" t="n">
        <v>0</v>
      </c>
      <c r="K705" t="n">
        <v>0</v>
      </c>
      <c r="L705" t="n">
        <v>0</v>
      </c>
      <c r="M705" t="n">
        <v>0</v>
      </c>
      <c r="N705" t="n">
        <v>0</v>
      </c>
      <c r="O705" t="n">
        <v>0</v>
      </c>
      <c r="P705" t="n">
        <v>0</v>
      </c>
      <c r="Q705" t="n">
        <v>0</v>
      </c>
      <c r="R705" s="2" t="inlineStr"/>
    </row>
    <row r="706" ht="15" customHeight="1">
      <c r="A706" t="inlineStr">
        <is>
          <t>A 62466-2020</t>
        </is>
      </c>
      <c r="B706" s="1" t="n">
        <v>44160</v>
      </c>
      <c r="C706" s="1" t="n">
        <v>45566</v>
      </c>
      <c r="D706" t="inlineStr">
        <is>
          <t>VÄSTERBOTTENS LÄN</t>
        </is>
      </c>
      <c r="E706" t="inlineStr">
        <is>
          <t>SKELLEFTEÅ</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62467-2020</t>
        </is>
      </c>
      <c r="B707" s="1" t="n">
        <v>44160</v>
      </c>
      <c r="C707" s="1" t="n">
        <v>45566</v>
      </c>
      <c r="D707" t="inlineStr">
        <is>
          <t>VÄSTERBOTTENS LÄN</t>
        </is>
      </c>
      <c r="E707" t="inlineStr">
        <is>
          <t>SKELLEFTEÅ</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62763-2020</t>
        </is>
      </c>
      <c r="B708" s="1" t="n">
        <v>44160</v>
      </c>
      <c r="C708" s="1" t="n">
        <v>45566</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62592-2020</t>
        </is>
      </c>
      <c r="B709" s="1" t="n">
        <v>44161</v>
      </c>
      <c r="C709" s="1" t="n">
        <v>45566</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63241-2020</t>
        </is>
      </c>
      <c r="B710" s="1" t="n">
        <v>44163</v>
      </c>
      <c r="C710" s="1" t="n">
        <v>45566</v>
      </c>
      <c r="D710" t="inlineStr">
        <is>
          <t>VÄSTERBOTTENS LÄN</t>
        </is>
      </c>
      <c r="E710" t="inlineStr">
        <is>
          <t>SKELLEFTEÅ</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63839-2020</t>
        </is>
      </c>
      <c r="B711" s="1" t="n">
        <v>44165</v>
      </c>
      <c r="C711" s="1" t="n">
        <v>45566</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64650-2020</t>
        </is>
      </c>
      <c r="B712" s="1" t="n">
        <v>44166</v>
      </c>
      <c r="C712" s="1" t="n">
        <v>45566</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64198-2020</t>
        </is>
      </c>
      <c r="B713" s="1" t="n">
        <v>44167</v>
      </c>
      <c r="C713" s="1" t="n">
        <v>45566</v>
      </c>
      <c r="D713" t="inlineStr">
        <is>
          <t>VÄSTERBOTTENS LÄN</t>
        </is>
      </c>
      <c r="E713" t="inlineStr">
        <is>
          <t>SKELLEFTEÅ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64977-2020</t>
        </is>
      </c>
      <c r="B714" s="1" t="n">
        <v>44167</v>
      </c>
      <c r="C714" s="1" t="n">
        <v>45566</v>
      </c>
      <c r="D714" t="inlineStr">
        <is>
          <t>VÄSTERBOTTENS LÄN</t>
        </is>
      </c>
      <c r="E714" t="inlineStr">
        <is>
          <t>SKELLEFTEÅ</t>
        </is>
      </c>
      <c r="G714" t="n">
        <v>9</v>
      </c>
      <c r="H714" t="n">
        <v>0</v>
      </c>
      <c r="I714" t="n">
        <v>0</v>
      </c>
      <c r="J714" t="n">
        <v>0</v>
      </c>
      <c r="K714" t="n">
        <v>0</v>
      </c>
      <c r="L714" t="n">
        <v>0</v>
      </c>
      <c r="M714" t="n">
        <v>0</v>
      </c>
      <c r="N714" t="n">
        <v>0</v>
      </c>
      <c r="O714" t="n">
        <v>0</v>
      </c>
      <c r="P714" t="n">
        <v>0</v>
      </c>
      <c r="Q714" t="n">
        <v>0</v>
      </c>
      <c r="R714" s="2" t="inlineStr"/>
    </row>
    <row r="715" ht="15" customHeight="1">
      <c r="A715" t="inlineStr">
        <is>
          <t>A 65096-2020</t>
        </is>
      </c>
      <c r="B715" s="1" t="n">
        <v>44167</v>
      </c>
      <c r="C715" s="1" t="n">
        <v>45566</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65053-2020</t>
        </is>
      </c>
      <c r="B716" s="1" t="n">
        <v>44167</v>
      </c>
      <c r="C716" s="1" t="n">
        <v>45566</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65103-2020</t>
        </is>
      </c>
      <c r="B717" s="1" t="n">
        <v>44167</v>
      </c>
      <c r="C717" s="1" t="n">
        <v>45566</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64296-2020</t>
        </is>
      </c>
      <c r="B718" s="1" t="n">
        <v>44168</v>
      </c>
      <c r="C718" s="1" t="n">
        <v>45566</v>
      </c>
      <c r="D718" t="inlineStr">
        <is>
          <t>VÄSTERBOTTENS LÄN</t>
        </is>
      </c>
      <c r="E718" t="inlineStr">
        <is>
          <t>SKELLEFTEÅ</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64481-2020</t>
        </is>
      </c>
      <c r="B719" s="1" t="n">
        <v>44168</v>
      </c>
      <c r="C719" s="1" t="n">
        <v>45566</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64507-2020</t>
        </is>
      </c>
      <c r="B720" s="1" t="n">
        <v>44168</v>
      </c>
      <c r="C720" s="1" t="n">
        <v>45566</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64485-2020</t>
        </is>
      </c>
      <c r="B721" s="1" t="n">
        <v>44168</v>
      </c>
      <c r="C721" s="1" t="n">
        <v>45566</v>
      </c>
      <c r="D721" t="inlineStr">
        <is>
          <t>VÄSTERBOTTENS LÄN</t>
        </is>
      </c>
      <c r="E721" t="inlineStr">
        <is>
          <t>SKELLEFTEÅ</t>
        </is>
      </c>
      <c r="G721" t="n">
        <v>35.4</v>
      </c>
      <c r="H721" t="n">
        <v>0</v>
      </c>
      <c r="I721" t="n">
        <v>0</v>
      </c>
      <c r="J721" t="n">
        <v>0</v>
      </c>
      <c r="K721" t="n">
        <v>0</v>
      </c>
      <c r="L721" t="n">
        <v>0</v>
      </c>
      <c r="M721" t="n">
        <v>0</v>
      </c>
      <c r="N721" t="n">
        <v>0</v>
      </c>
      <c r="O721" t="n">
        <v>0</v>
      </c>
      <c r="P721" t="n">
        <v>0</v>
      </c>
      <c r="Q721" t="n">
        <v>0</v>
      </c>
      <c r="R721" s="2" t="inlineStr"/>
    </row>
    <row r="722" ht="15" customHeight="1">
      <c r="A722" t="inlineStr">
        <is>
          <t>A 65254-2020</t>
        </is>
      </c>
      <c r="B722" s="1" t="n">
        <v>44172</v>
      </c>
      <c r="C722" s="1" t="n">
        <v>45566</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65582-2020</t>
        </is>
      </c>
      <c r="B723" s="1" t="n">
        <v>44172</v>
      </c>
      <c r="C723" s="1" t="n">
        <v>45566</v>
      </c>
      <c r="D723" t="inlineStr">
        <is>
          <t>VÄSTERBOTTENS LÄN</t>
        </is>
      </c>
      <c r="E723" t="inlineStr">
        <is>
          <t>SKELLEFTEÅ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65486-2020</t>
        </is>
      </c>
      <c r="B724" s="1" t="n">
        <v>44172</v>
      </c>
      <c r="C724" s="1" t="n">
        <v>45566</v>
      </c>
      <c r="D724" t="inlineStr">
        <is>
          <t>VÄSTERBOTTENS LÄN</t>
        </is>
      </c>
      <c r="E724" t="inlineStr">
        <is>
          <t>SKELLEFTEÅ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65379-2020</t>
        </is>
      </c>
      <c r="B725" s="1" t="n">
        <v>44173</v>
      </c>
      <c r="C725" s="1" t="n">
        <v>45566</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65384-2020</t>
        </is>
      </c>
      <c r="B726" s="1" t="n">
        <v>44173</v>
      </c>
      <c r="C726" s="1" t="n">
        <v>45566</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65567-2020</t>
        </is>
      </c>
      <c r="B727" s="1" t="n">
        <v>44173</v>
      </c>
      <c r="C727" s="1" t="n">
        <v>45566</v>
      </c>
      <c r="D727" t="inlineStr">
        <is>
          <t>VÄSTERBOTTENS LÄN</t>
        </is>
      </c>
      <c r="E727" t="inlineStr">
        <is>
          <t>SKELLEFTEÅ</t>
        </is>
      </c>
      <c r="F727" t="inlineStr">
        <is>
          <t>Sveaskog</t>
        </is>
      </c>
      <c r="G727" t="n">
        <v>17.7</v>
      </c>
      <c r="H727" t="n">
        <v>0</v>
      </c>
      <c r="I727" t="n">
        <v>0</v>
      </c>
      <c r="J727" t="n">
        <v>0</v>
      </c>
      <c r="K727" t="n">
        <v>0</v>
      </c>
      <c r="L727" t="n">
        <v>0</v>
      </c>
      <c r="M727" t="n">
        <v>0</v>
      </c>
      <c r="N727" t="n">
        <v>0</v>
      </c>
      <c r="O727" t="n">
        <v>0</v>
      </c>
      <c r="P727" t="n">
        <v>0</v>
      </c>
      <c r="Q727" t="n">
        <v>0</v>
      </c>
      <c r="R727" s="2" t="inlineStr"/>
    </row>
    <row r="728" ht="15" customHeight="1">
      <c r="A728" t="inlineStr">
        <is>
          <t>A 65382-2020</t>
        </is>
      </c>
      <c r="B728" s="1" t="n">
        <v>44173</v>
      </c>
      <c r="C728" s="1" t="n">
        <v>45566</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66061-2020</t>
        </is>
      </c>
      <c r="B729" s="1" t="n">
        <v>44173</v>
      </c>
      <c r="C729" s="1" t="n">
        <v>45566</v>
      </c>
      <c r="D729" t="inlineStr">
        <is>
          <t>VÄSTERBOTTENS LÄN</t>
        </is>
      </c>
      <c r="E729" t="inlineStr">
        <is>
          <t>SKELLEFTEÅ</t>
        </is>
      </c>
      <c r="G729" t="n">
        <v>5.8</v>
      </c>
      <c r="H729" t="n">
        <v>0</v>
      </c>
      <c r="I729" t="n">
        <v>0</v>
      </c>
      <c r="J729" t="n">
        <v>0</v>
      </c>
      <c r="K729" t="n">
        <v>0</v>
      </c>
      <c r="L729" t="n">
        <v>0</v>
      </c>
      <c r="M729" t="n">
        <v>0</v>
      </c>
      <c r="N729" t="n">
        <v>0</v>
      </c>
      <c r="O729" t="n">
        <v>0</v>
      </c>
      <c r="P729" t="n">
        <v>0</v>
      </c>
      <c r="Q729" t="n">
        <v>0</v>
      </c>
      <c r="R729" s="2" t="inlineStr"/>
    </row>
    <row r="730" ht="15" customHeight="1">
      <c r="A730" t="inlineStr">
        <is>
          <t>A 66480-2020</t>
        </is>
      </c>
      <c r="B730" s="1" t="n">
        <v>44177</v>
      </c>
      <c r="C730" s="1" t="n">
        <v>45566</v>
      </c>
      <c r="D730" t="inlineStr">
        <is>
          <t>VÄSTERBOTTENS LÄN</t>
        </is>
      </c>
      <c r="E730" t="inlineStr">
        <is>
          <t>SKELLEFTEÅ</t>
        </is>
      </c>
      <c r="G730" t="n">
        <v>5.2</v>
      </c>
      <c r="H730" t="n">
        <v>0</v>
      </c>
      <c r="I730" t="n">
        <v>0</v>
      </c>
      <c r="J730" t="n">
        <v>0</v>
      </c>
      <c r="K730" t="n">
        <v>0</v>
      </c>
      <c r="L730" t="n">
        <v>0</v>
      </c>
      <c r="M730" t="n">
        <v>0</v>
      </c>
      <c r="N730" t="n">
        <v>0</v>
      </c>
      <c r="O730" t="n">
        <v>0</v>
      </c>
      <c r="P730" t="n">
        <v>0</v>
      </c>
      <c r="Q730" t="n">
        <v>0</v>
      </c>
      <c r="R730" s="2" t="inlineStr"/>
    </row>
    <row r="731" ht="15" customHeight="1">
      <c r="A731" t="inlineStr">
        <is>
          <t>A 66820-2020</t>
        </is>
      </c>
      <c r="B731" s="1" t="n">
        <v>44179</v>
      </c>
      <c r="C731" s="1" t="n">
        <v>45566</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67297-2020</t>
        </is>
      </c>
      <c r="B732" s="1" t="n">
        <v>44181</v>
      </c>
      <c r="C732" s="1" t="n">
        <v>45566</v>
      </c>
      <c r="D732" t="inlineStr">
        <is>
          <t>VÄSTERBOTTENS LÄN</t>
        </is>
      </c>
      <c r="E732" t="inlineStr">
        <is>
          <t>SKELLEFTEÅ</t>
        </is>
      </c>
      <c r="G732" t="n">
        <v>6.8</v>
      </c>
      <c r="H732" t="n">
        <v>0</v>
      </c>
      <c r="I732" t="n">
        <v>0</v>
      </c>
      <c r="J732" t="n">
        <v>0</v>
      </c>
      <c r="K732" t="n">
        <v>0</v>
      </c>
      <c r="L732" t="n">
        <v>0</v>
      </c>
      <c r="M732" t="n">
        <v>0</v>
      </c>
      <c r="N732" t="n">
        <v>0</v>
      </c>
      <c r="O732" t="n">
        <v>0</v>
      </c>
      <c r="P732" t="n">
        <v>0</v>
      </c>
      <c r="Q732" t="n">
        <v>0</v>
      </c>
      <c r="R732" s="2" t="inlineStr"/>
    </row>
    <row r="733" ht="15" customHeight="1">
      <c r="A733" t="inlineStr">
        <is>
          <t>A 67624-2020</t>
        </is>
      </c>
      <c r="B733" s="1" t="n">
        <v>44181</v>
      </c>
      <c r="C733" s="1" t="n">
        <v>45566</v>
      </c>
      <c r="D733" t="inlineStr">
        <is>
          <t>VÄSTERBOTTENS LÄN</t>
        </is>
      </c>
      <c r="E733" t="inlineStr">
        <is>
          <t>SKELLEFTEÅ</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67678-2020</t>
        </is>
      </c>
      <c r="B734" s="1" t="n">
        <v>44182</v>
      </c>
      <c r="C734" s="1" t="n">
        <v>45566</v>
      </c>
      <c r="D734" t="inlineStr">
        <is>
          <t>VÄSTERBOTTENS LÄN</t>
        </is>
      </c>
      <c r="E734" t="inlineStr">
        <is>
          <t>SKELLEFTEÅ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67976-2020</t>
        </is>
      </c>
      <c r="B735" s="1" t="n">
        <v>44182</v>
      </c>
      <c r="C735" s="1" t="n">
        <v>45566</v>
      </c>
      <c r="D735" t="inlineStr">
        <is>
          <t>VÄSTERBOTTENS LÄN</t>
        </is>
      </c>
      <c r="E735" t="inlineStr">
        <is>
          <t>SKELLEFTEÅ</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68116-2020</t>
        </is>
      </c>
      <c r="B736" s="1" t="n">
        <v>44183</v>
      </c>
      <c r="C736" s="1" t="n">
        <v>45566</v>
      </c>
      <c r="D736" t="inlineStr">
        <is>
          <t>VÄSTERBOTTENS LÄN</t>
        </is>
      </c>
      <c r="E736" t="inlineStr">
        <is>
          <t>SKELLEFTEÅ</t>
        </is>
      </c>
      <c r="F736" t="inlineStr">
        <is>
          <t>Sveaskog</t>
        </is>
      </c>
      <c r="G736" t="n">
        <v>5.5</v>
      </c>
      <c r="H736" t="n">
        <v>0</v>
      </c>
      <c r="I736" t="n">
        <v>0</v>
      </c>
      <c r="J736" t="n">
        <v>0</v>
      </c>
      <c r="K736" t="n">
        <v>0</v>
      </c>
      <c r="L736" t="n">
        <v>0</v>
      </c>
      <c r="M736" t="n">
        <v>0</v>
      </c>
      <c r="N736" t="n">
        <v>0</v>
      </c>
      <c r="O736" t="n">
        <v>0</v>
      </c>
      <c r="P736" t="n">
        <v>0</v>
      </c>
      <c r="Q736" t="n">
        <v>0</v>
      </c>
      <c r="R736" s="2" t="inlineStr"/>
    </row>
    <row r="737" ht="15" customHeight="1">
      <c r="A737" t="inlineStr">
        <is>
          <t>A 68203-2020</t>
        </is>
      </c>
      <c r="B737" s="1" t="n">
        <v>44183</v>
      </c>
      <c r="C737" s="1" t="n">
        <v>45566</v>
      </c>
      <c r="D737" t="inlineStr">
        <is>
          <t>VÄSTERBOTTENS LÄN</t>
        </is>
      </c>
      <c r="E737" t="inlineStr">
        <is>
          <t>SKELLEFTEÅ</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68055-2020</t>
        </is>
      </c>
      <c r="B738" s="1" t="n">
        <v>44183</v>
      </c>
      <c r="C738" s="1" t="n">
        <v>45566</v>
      </c>
      <c r="D738" t="inlineStr">
        <is>
          <t>VÄSTERBOTTENS LÄN</t>
        </is>
      </c>
      <c r="E738" t="inlineStr">
        <is>
          <t>SKELLEFTEÅ</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68564-2020</t>
        </is>
      </c>
      <c r="B739" s="1" t="n">
        <v>44186</v>
      </c>
      <c r="C739" s="1" t="n">
        <v>45566</v>
      </c>
      <c r="D739" t="inlineStr">
        <is>
          <t>VÄSTERBOTTENS LÄN</t>
        </is>
      </c>
      <c r="E739" t="inlineStr">
        <is>
          <t>SKELLEFTEÅ</t>
        </is>
      </c>
      <c r="G739" t="n">
        <v>11.4</v>
      </c>
      <c r="H739" t="n">
        <v>0</v>
      </c>
      <c r="I739" t="n">
        <v>0</v>
      </c>
      <c r="J739" t="n">
        <v>0</v>
      </c>
      <c r="K739" t="n">
        <v>0</v>
      </c>
      <c r="L739" t="n">
        <v>0</v>
      </c>
      <c r="M739" t="n">
        <v>0</v>
      </c>
      <c r="N739" t="n">
        <v>0</v>
      </c>
      <c r="O739" t="n">
        <v>0</v>
      </c>
      <c r="P739" t="n">
        <v>0</v>
      </c>
      <c r="Q739" t="n">
        <v>0</v>
      </c>
      <c r="R739" s="2" t="inlineStr"/>
    </row>
    <row r="740" ht="15" customHeight="1">
      <c r="A740" t="inlineStr">
        <is>
          <t>A 69583-2020</t>
        </is>
      </c>
      <c r="B740" s="1" t="n">
        <v>44195</v>
      </c>
      <c r="C740" s="1" t="n">
        <v>45566</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69585-2020</t>
        </is>
      </c>
      <c r="B741" s="1" t="n">
        <v>44195</v>
      </c>
      <c r="C741" s="1" t="n">
        <v>45566</v>
      </c>
      <c r="D741" t="inlineStr">
        <is>
          <t>VÄSTERBOTTENS LÄN</t>
        </is>
      </c>
      <c r="E741" t="inlineStr">
        <is>
          <t>SKELLEFTEÅ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69581-2020</t>
        </is>
      </c>
      <c r="B742" s="1" t="n">
        <v>44195</v>
      </c>
      <c r="C742" s="1" t="n">
        <v>45566</v>
      </c>
      <c r="D742" t="inlineStr">
        <is>
          <t>VÄSTERBOTTENS LÄN</t>
        </is>
      </c>
      <c r="E742" t="inlineStr">
        <is>
          <t>SKELLEFTEÅ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353-2021</t>
        </is>
      </c>
      <c r="B743" s="1" t="n">
        <v>44201</v>
      </c>
      <c r="C743" s="1" t="n">
        <v>45566</v>
      </c>
      <c r="D743" t="inlineStr">
        <is>
          <t>VÄSTERBOTTENS LÄN</t>
        </is>
      </c>
      <c r="E743" t="inlineStr">
        <is>
          <t>SKELLEFTEÅ</t>
        </is>
      </c>
      <c r="G743" t="n">
        <v>37.7</v>
      </c>
      <c r="H743" t="n">
        <v>0</v>
      </c>
      <c r="I743" t="n">
        <v>0</v>
      </c>
      <c r="J743" t="n">
        <v>0</v>
      </c>
      <c r="K743" t="n">
        <v>0</v>
      </c>
      <c r="L743" t="n">
        <v>0</v>
      </c>
      <c r="M743" t="n">
        <v>0</v>
      </c>
      <c r="N743" t="n">
        <v>0</v>
      </c>
      <c r="O743" t="n">
        <v>0</v>
      </c>
      <c r="P743" t="n">
        <v>0</v>
      </c>
      <c r="Q743" t="n">
        <v>0</v>
      </c>
      <c r="R743" s="2" t="inlineStr"/>
    </row>
    <row r="744" ht="15" customHeight="1">
      <c r="A744" t="inlineStr">
        <is>
          <t>A 1076-2021</t>
        </is>
      </c>
      <c r="B744" s="1" t="n">
        <v>44207</v>
      </c>
      <c r="C744" s="1" t="n">
        <v>45566</v>
      </c>
      <c r="D744" t="inlineStr">
        <is>
          <t>VÄSTERBOTTENS LÄN</t>
        </is>
      </c>
      <c r="E744" t="inlineStr">
        <is>
          <t>SKELLEFTEÅ</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1149-2021</t>
        </is>
      </c>
      <c r="B745" s="1" t="n">
        <v>44207</v>
      </c>
      <c r="C745" s="1" t="n">
        <v>45566</v>
      </c>
      <c r="D745" t="inlineStr">
        <is>
          <t>VÄSTERBOTTENS LÄN</t>
        </is>
      </c>
      <c r="E745" t="inlineStr">
        <is>
          <t>SKELLEFTEÅ</t>
        </is>
      </c>
      <c r="G745" t="n">
        <v>3.1</v>
      </c>
      <c r="H745" t="n">
        <v>0</v>
      </c>
      <c r="I745" t="n">
        <v>0</v>
      </c>
      <c r="J745" t="n">
        <v>0</v>
      </c>
      <c r="K745" t="n">
        <v>0</v>
      </c>
      <c r="L745" t="n">
        <v>0</v>
      </c>
      <c r="M745" t="n">
        <v>0</v>
      </c>
      <c r="N745" t="n">
        <v>0</v>
      </c>
      <c r="O745" t="n">
        <v>0</v>
      </c>
      <c r="P745" t="n">
        <v>0</v>
      </c>
      <c r="Q745" t="n">
        <v>0</v>
      </c>
      <c r="R745" s="2" t="inlineStr"/>
    </row>
    <row r="746" ht="15" customHeight="1">
      <c r="A746" t="inlineStr">
        <is>
          <t>A 1140-2021</t>
        </is>
      </c>
      <c r="B746" s="1" t="n">
        <v>44207</v>
      </c>
      <c r="C746" s="1" t="n">
        <v>45566</v>
      </c>
      <c r="D746" t="inlineStr">
        <is>
          <t>VÄSTERBOTTENS LÄN</t>
        </is>
      </c>
      <c r="E746" t="inlineStr">
        <is>
          <t>SKELLEFTEÅ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1891-2021</t>
        </is>
      </c>
      <c r="B747" s="1" t="n">
        <v>44210</v>
      </c>
      <c r="C747" s="1" t="n">
        <v>45566</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2575-2021</t>
        </is>
      </c>
      <c r="B748" s="1" t="n">
        <v>44214</v>
      </c>
      <c r="C748" s="1" t="n">
        <v>45566</v>
      </c>
      <c r="D748" t="inlineStr">
        <is>
          <t>VÄSTERBOTTENS LÄN</t>
        </is>
      </c>
      <c r="E748" t="inlineStr">
        <is>
          <t>SKELLEFTEÅ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3031-2021</t>
        </is>
      </c>
      <c r="B749" s="1" t="n">
        <v>44216</v>
      </c>
      <c r="C749" s="1" t="n">
        <v>45566</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3844-2021</t>
        </is>
      </c>
      <c r="B750" s="1" t="n">
        <v>44216</v>
      </c>
      <c r="C750" s="1" t="n">
        <v>45566</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3951-2021</t>
        </is>
      </c>
      <c r="B751" s="1" t="n">
        <v>44217</v>
      </c>
      <c r="C751" s="1" t="n">
        <v>45566</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4202-2021</t>
        </is>
      </c>
      <c r="B752" s="1" t="n">
        <v>44218</v>
      </c>
      <c r="C752" s="1" t="n">
        <v>45566</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3575-2021</t>
        </is>
      </c>
      <c r="B753" s="1" t="n">
        <v>44218</v>
      </c>
      <c r="C753" s="1" t="n">
        <v>45566</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3934-2021</t>
        </is>
      </c>
      <c r="B754" s="1" t="n">
        <v>44221</v>
      </c>
      <c r="C754" s="1" t="n">
        <v>45566</v>
      </c>
      <c r="D754" t="inlineStr">
        <is>
          <t>VÄSTERBOTTENS LÄN</t>
        </is>
      </c>
      <c r="E754" t="inlineStr">
        <is>
          <t>SKELLEFTEÅ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4299-2021</t>
        </is>
      </c>
      <c r="B755" s="1" t="n">
        <v>44223</v>
      </c>
      <c r="C755" s="1" t="n">
        <v>45566</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5095-2021</t>
        </is>
      </c>
      <c r="B756" s="1" t="n">
        <v>44224</v>
      </c>
      <c r="C756" s="1" t="n">
        <v>45566</v>
      </c>
      <c r="D756" t="inlineStr">
        <is>
          <t>VÄSTERBOTTENS LÄN</t>
        </is>
      </c>
      <c r="E756" t="inlineStr">
        <is>
          <t>SKELLEFTEÅ</t>
        </is>
      </c>
      <c r="G756" t="n">
        <v>5.6</v>
      </c>
      <c r="H756" t="n">
        <v>0</v>
      </c>
      <c r="I756" t="n">
        <v>0</v>
      </c>
      <c r="J756" t="n">
        <v>0</v>
      </c>
      <c r="K756" t="n">
        <v>0</v>
      </c>
      <c r="L756" t="n">
        <v>0</v>
      </c>
      <c r="M756" t="n">
        <v>0</v>
      </c>
      <c r="N756" t="n">
        <v>0</v>
      </c>
      <c r="O756" t="n">
        <v>0</v>
      </c>
      <c r="P756" t="n">
        <v>0</v>
      </c>
      <c r="Q756" t="n">
        <v>0</v>
      </c>
      <c r="R756" s="2" t="inlineStr"/>
    </row>
    <row r="757" ht="15" customHeight="1">
      <c r="A757" t="inlineStr">
        <is>
          <t>A 5143-2021</t>
        </is>
      </c>
      <c r="B757" s="1" t="n">
        <v>44228</v>
      </c>
      <c r="C757" s="1" t="n">
        <v>45566</v>
      </c>
      <c r="D757" t="inlineStr">
        <is>
          <t>VÄSTERBOTTENS LÄN</t>
        </is>
      </c>
      <c r="E757" t="inlineStr">
        <is>
          <t>SKELLEFTEÅ</t>
        </is>
      </c>
      <c r="G757" t="n">
        <v>5.3</v>
      </c>
      <c r="H757" t="n">
        <v>0</v>
      </c>
      <c r="I757" t="n">
        <v>0</v>
      </c>
      <c r="J757" t="n">
        <v>0</v>
      </c>
      <c r="K757" t="n">
        <v>0</v>
      </c>
      <c r="L757" t="n">
        <v>0</v>
      </c>
      <c r="M757" t="n">
        <v>0</v>
      </c>
      <c r="N757" t="n">
        <v>0</v>
      </c>
      <c r="O757" t="n">
        <v>0</v>
      </c>
      <c r="P757" t="n">
        <v>0</v>
      </c>
      <c r="Q757" t="n">
        <v>0</v>
      </c>
      <c r="R757" s="2" t="inlineStr"/>
    </row>
    <row r="758" ht="15" customHeight="1">
      <c r="A758" t="inlineStr">
        <is>
          <t>A 5603-2021</t>
        </is>
      </c>
      <c r="B758" s="1" t="n">
        <v>44230</v>
      </c>
      <c r="C758" s="1" t="n">
        <v>45566</v>
      </c>
      <c r="D758" t="inlineStr">
        <is>
          <t>VÄSTERBOTTENS LÄN</t>
        </is>
      </c>
      <c r="E758" t="inlineStr">
        <is>
          <t>SKELLEFTEÅ</t>
        </is>
      </c>
      <c r="G758" t="n">
        <v>2.6</v>
      </c>
      <c r="H758" t="n">
        <v>0</v>
      </c>
      <c r="I758" t="n">
        <v>0</v>
      </c>
      <c r="J758" t="n">
        <v>0</v>
      </c>
      <c r="K758" t="n">
        <v>0</v>
      </c>
      <c r="L758" t="n">
        <v>0</v>
      </c>
      <c r="M758" t="n">
        <v>0</v>
      </c>
      <c r="N758" t="n">
        <v>0</v>
      </c>
      <c r="O758" t="n">
        <v>0</v>
      </c>
      <c r="P758" t="n">
        <v>0</v>
      </c>
      <c r="Q758" t="n">
        <v>0</v>
      </c>
      <c r="R758" s="2" t="inlineStr"/>
    </row>
    <row r="759" ht="15" customHeight="1">
      <c r="A759" t="inlineStr">
        <is>
          <t>A 6356-2021</t>
        </is>
      </c>
      <c r="B759" s="1" t="n">
        <v>44235</v>
      </c>
      <c r="C759" s="1" t="n">
        <v>45566</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6557-2021</t>
        </is>
      </c>
      <c r="B760" s="1" t="n">
        <v>44236</v>
      </c>
      <c r="C760" s="1" t="n">
        <v>45566</v>
      </c>
      <c r="D760" t="inlineStr">
        <is>
          <t>VÄSTERBOTTENS LÄN</t>
        </is>
      </c>
      <c r="E760" t="inlineStr">
        <is>
          <t>SKELLEFTEÅ</t>
        </is>
      </c>
      <c r="G760" t="n">
        <v>6.4</v>
      </c>
      <c r="H760" t="n">
        <v>0</v>
      </c>
      <c r="I760" t="n">
        <v>0</v>
      </c>
      <c r="J760" t="n">
        <v>0</v>
      </c>
      <c r="K760" t="n">
        <v>0</v>
      </c>
      <c r="L760" t="n">
        <v>0</v>
      </c>
      <c r="M760" t="n">
        <v>0</v>
      </c>
      <c r="N760" t="n">
        <v>0</v>
      </c>
      <c r="O760" t="n">
        <v>0</v>
      </c>
      <c r="P760" t="n">
        <v>0</v>
      </c>
      <c r="Q760" t="n">
        <v>0</v>
      </c>
      <c r="R760" s="2" t="inlineStr"/>
    </row>
    <row r="761" ht="15" customHeight="1">
      <c r="A761" t="inlineStr">
        <is>
          <t>A 6635-2021</t>
        </is>
      </c>
      <c r="B761" s="1" t="n">
        <v>44236</v>
      </c>
      <c r="C761" s="1" t="n">
        <v>45566</v>
      </c>
      <c r="D761" t="inlineStr">
        <is>
          <t>VÄSTERBOTTENS LÄN</t>
        </is>
      </c>
      <c r="E761" t="inlineStr">
        <is>
          <t>SKELLEFTEÅ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7038-2021</t>
        </is>
      </c>
      <c r="B762" s="1" t="n">
        <v>44237</v>
      </c>
      <c r="C762" s="1" t="n">
        <v>45566</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7034-2021</t>
        </is>
      </c>
      <c r="B763" s="1" t="n">
        <v>44237</v>
      </c>
      <c r="C763" s="1" t="n">
        <v>45566</v>
      </c>
      <c r="D763" t="inlineStr">
        <is>
          <t>VÄSTERBOTTENS LÄN</t>
        </is>
      </c>
      <c r="E763" t="inlineStr">
        <is>
          <t>SKELLEFTEÅ</t>
        </is>
      </c>
      <c r="G763" t="n">
        <v>10.1</v>
      </c>
      <c r="H763" t="n">
        <v>0</v>
      </c>
      <c r="I763" t="n">
        <v>0</v>
      </c>
      <c r="J763" t="n">
        <v>0</v>
      </c>
      <c r="K763" t="n">
        <v>0</v>
      </c>
      <c r="L763" t="n">
        <v>0</v>
      </c>
      <c r="M763" t="n">
        <v>0</v>
      </c>
      <c r="N763" t="n">
        <v>0</v>
      </c>
      <c r="O763" t="n">
        <v>0</v>
      </c>
      <c r="P763" t="n">
        <v>0</v>
      </c>
      <c r="Q763" t="n">
        <v>0</v>
      </c>
      <c r="R763" s="2" t="inlineStr"/>
    </row>
    <row r="764" ht="15" customHeight="1">
      <c r="A764" t="inlineStr">
        <is>
          <t>A 7823-2021</t>
        </is>
      </c>
      <c r="B764" s="1" t="n">
        <v>44242</v>
      </c>
      <c r="C764" s="1" t="n">
        <v>45566</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7950-2021</t>
        </is>
      </c>
      <c r="B765" s="1" t="n">
        <v>44242</v>
      </c>
      <c r="C765" s="1" t="n">
        <v>45566</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8644-2021</t>
        </is>
      </c>
      <c r="B766" s="1" t="n">
        <v>44245</v>
      </c>
      <c r="C766" s="1" t="n">
        <v>45566</v>
      </c>
      <c r="D766" t="inlineStr">
        <is>
          <t>VÄSTERBOTTENS LÄN</t>
        </is>
      </c>
      <c r="E766" t="inlineStr">
        <is>
          <t>SKELLEFTEÅ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8648-2021</t>
        </is>
      </c>
      <c r="B767" s="1" t="n">
        <v>44245</v>
      </c>
      <c r="C767" s="1" t="n">
        <v>45566</v>
      </c>
      <c r="D767" t="inlineStr">
        <is>
          <t>VÄSTERBOTTENS LÄN</t>
        </is>
      </c>
      <c r="E767" t="inlineStr">
        <is>
          <t>SKELLEFTEÅ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8911-2021</t>
        </is>
      </c>
      <c r="B768" s="1" t="n">
        <v>44245</v>
      </c>
      <c r="C768" s="1" t="n">
        <v>45566</v>
      </c>
      <c r="D768" t="inlineStr">
        <is>
          <t>VÄSTERBOTTENS LÄN</t>
        </is>
      </c>
      <c r="E768" t="inlineStr">
        <is>
          <t>SKELLEFTEÅ</t>
        </is>
      </c>
      <c r="G768" t="n">
        <v>4.5</v>
      </c>
      <c r="H768" t="n">
        <v>0</v>
      </c>
      <c r="I768" t="n">
        <v>0</v>
      </c>
      <c r="J768" t="n">
        <v>0</v>
      </c>
      <c r="K768" t="n">
        <v>0</v>
      </c>
      <c r="L768" t="n">
        <v>0</v>
      </c>
      <c r="M768" t="n">
        <v>0</v>
      </c>
      <c r="N768" t="n">
        <v>0</v>
      </c>
      <c r="O768" t="n">
        <v>0</v>
      </c>
      <c r="P768" t="n">
        <v>0</v>
      </c>
      <c r="Q768" t="n">
        <v>0</v>
      </c>
      <c r="R768" s="2" t="inlineStr"/>
    </row>
    <row r="769" ht="15" customHeight="1">
      <c r="A769" t="inlineStr">
        <is>
          <t>A 8652-2021</t>
        </is>
      </c>
      <c r="B769" s="1" t="n">
        <v>44245</v>
      </c>
      <c r="C769" s="1" t="n">
        <v>45566</v>
      </c>
      <c r="D769" t="inlineStr">
        <is>
          <t>VÄSTERBOTTENS LÄN</t>
        </is>
      </c>
      <c r="E769" t="inlineStr">
        <is>
          <t>SKELLEFTEÅ</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8846-2021</t>
        </is>
      </c>
      <c r="B770" s="1" t="n">
        <v>44246</v>
      </c>
      <c r="C770" s="1" t="n">
        <v>45566</v>
      </c>
      <c r="D770" t="inlineStr">
        <is>
          <t>VÄSTERBOTTENS LÄN</t>
        </is>
      </c>
      <c r="E770" t="inlineStr">
        <is>
          <t>SKELLEFTEÅ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9081-2021</t>
        </is>
      </c>
      <c r="B771" s="1" t="n">
        <v>44249</v>
      </c>
      <c r="C771" s="1" t="n">
        <v>45566</v>
      </c>
      <c r="D771" t="inlineStr">
        <is>
          <t>VÄSTERBOTTENS LÄN</t>
        </is>
      </c>
      <c r="E771" t="inlineStr">
        <is>
          <t>SKELLEFTEÅ</t>
        </is>
      </c>
      <c r="G771" t="n">
        <v>16.2</v>
      </c>
      <c r="H771" t="n">
        <v>0</v>
      </c>
      <c r="I771" t="n">
        <v>0</v>
      </c>
      <c r="J771" t="n">
        <v>0</v>
      </c>
      <c r="K771" t="n">
        <v>0</v>
      </c>
      <c r="L771" t="n">
        <v>0</v>
      </c>
      <c r="M771" t="n">
        <v>0</v>
      </c>
      <c r="N771" t="n">
        <v>0</v>
      </c>
      <c r="O771" t="n">
        <v>0</v>
      </c>
      <c r="P771" t="n">
        <v>0</v>
      </c>
      <c r="Q771" t="n">
        <v>0</v>
      </c>
      <c r="R771" s="2" t="inlineStr"/>
    </row>
    <row r="772" ht="15" customHeight="1">
      <c r="A772" t="inlineStr">
        <is>
          <t>A 9045-2021</t>
        </is>
      </c>
      <c r="B772" s="1" t="n">
        <v>44249</v>
      </c>
      <c r="C772" s="1" t="n">
        <v>45566</v>
      </c>
      <c r="D772" t="inlineStr">
        <is>
          <t>VÄSTERBOTTENS LÄN</t>
        </is>
      </c>
      <c r="E772" t="inlineStr">
        <is>
          <t>SKELLEFTEÅ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9059-2021</t>
        </is>
      </c>
      <c r="B773" s="1" t="n">
        <v>44249</v>
      </c>
      <c r="C773" s="1" t="n">
        <v>45566</v>
      </c>
      <c r="D773" t="inlineStr">
        <is>
          <t>VÄSTERBOTTENS LÄN</t>
        </is>
      </c>
      <c r="E773" t="inlineStr">
        <is>
          <t>SKELLEFTEÅ</t>
        </is>
      </c>
      <c r="G773" t="n">
        <v>6.1</v>
      </c>
      <c r="H773" t="n">
        <v>0</v>
      </c>
      <c r="I773" t="n">
        <v>0</v>
      </c>
      <c r="J773" t="n">
        <v>0</v>
      </c>
      <c r="K773" t="n">
        <v>0</v>
      </c>
      <c r="L773" t="n">
        <v>0</v>
      </c>
      <c r="M773" t="n">
        <v>0</v>
      </c>
      <c r="N773" t="n">
        <v>0</v>
      </c>
      <c r="O773" t="n">
        <v>0</v>
      </c>
      <c r="P773" t="n">
        <v>0</v>
      </c>
      <c r="Q773" t="n">
        <v>0</v>
      </c>
      <c r="R773" s="2" t="inlineStr"/>
    </row>
    <row r="774" ht="15" customHeight="1">
      <c r="A774" t="inlineStr">
        <is>
          <t>A 9192-2021</t>
        </is>
      </c>
      <c r="B774" s="1" t="n">
        <v>44249</v>
      </c>
      <c r="C774" s="1" t="n">
        <v>45566</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9035-2021</t>
        </is>
      </c>
      <c r="B775" s="1" t="n">
        <v>44249</v>
      </c>
      <c r="C775" s="1" t="n">
        <v>45566</v>
      </c>
      <c r="D775" t="inlineStr">
        <is>
          <t>VÄSTERBOTTENS LÄN</t>
        </is>
      </c>
      <c r="E775" t="inlineStr">
        <is>
          <t>SKELLEFTEÅ</t>
        </is>
      </c>
      <c r="G775" t="n">
        <v>6.7</v>
      </c>
      <c r="H775" t="n">
        <v>0</v>
      </c>
      <c r="I775" t="n">
        <v>0</v>
      </c>
      <c r="J775" t="n">
        <v>0</v>
      </c>
      <c r="K775" t="n">
        <v>0</v>
      </c>
      <c r="L775" t="n">
        <v>0</v>
      </c>
      <c r="M775" t="n">
        <v>0</v>
      </c>
      <c r="N775" t="n">
        <v>0</v>
      </c>
      <c r="O775" t="n">
        <v>0</v>
      </c>
      <c r="P775" t="n">
        <v>0</v>
      </c>
      <c r="Q775" t="n">
        <v>0</v>
      </c>
      <c r="R775" s="2" t="inlineStr"/>
    </row>
    <row r="776" ht="15" customHeight="1">
      <c r="A776" t="inlineStr">
        <is>
          <t>A 9051-2021</t>
        </is>
      </c>
      <c r="B776" s="1" t="n">
        <v>44249</v>
      </c>
      <c r="C776" s="1" t="n">
        <v>45566</v>
      </c>
      <c r="D776" t="inlineStr">
        <is>
          <t>VÄSTERBOTTENS LÄN</t>
        </is>
      </c>
      <c r="E776" t="inlineStr">
        <is>
          <t>SKELLEFTEÅ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9090-2021</t>
        </is>
      </c>
      <c r="B777" s="1" t="n">
        <v>44249</v>
      </c>
      <c r="C777" s="1" t="n">
        <v>45566</v>
      </c>
      <c r="D777" t="inlineStr">
        <is>
          <t>VÄSTERBOTTENS LÄN</t>
        </is>
      </c>
      <c r="E777" t="inlineStr">
        <is>
          <t>SKELLEFTEÅ</t>
        </is>
      </c>
      <c r="G777" t="n">
        <v>10.8</v>
      </c>
      <c r="H777" t="n">
        <v>0</v>
      </c>
      <c r="I777" t="n">
        <v>0</v>
      </c>
      <c r="J777" t="n">
        <v>0</v>
      </c>
      <c r="K777" t="n">
        <v>0</v>
      </c>
      <c r="L777" t="n">
        <v>0</v>
      </c>
      <c r="M777" t="n">
        <v>0</v>
      </c>
      <c r="N777" t="n">
        <v>0</v>
      </c>
      <c r="O777" t="n">
        <v>0</v>
      </c>
      <c r="P777" t="n">
        <v>0</v>
      </c>
      <c r="Q777" t="n">
        <v>0</v>
      </c>
      <c r="R777" s="2" t="inlineStr"/>
    </row>
    <row r="778" ht="15" customHeight="1">
      <c r="A778" t="inlineStr">
        <is>
          <t>A 10051-2021</t>
        </is>
      </c>
      <c r="B778" s="1" t="n">
        <v>44256</v>
      </c>
      <c r="C778" s="1" t="n">
        <v>45566</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10471-2021</t>
        </is>
      </c>
      <c r="B779" s="1" t="n">
        <v>44257</v>
      </c>
      <c r="C779" s="1" t="n">
        <v>45566</v>
      </c>
      <c r="D779" t="inlineStr">
        <is>
          <t>VÄSTERBOTTENS LÄN</t>
        </is>
      </c>
      <c r="E779" t="inlineStr">
        <is>
          <t>SKELLEFTEÅ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11087-2021</t>
        </is>
      </c>
      <c r="B780" s="1" t="n">
        <v>44259</v>
      </c>
      <c r="C780" s="1" t="n">
        <v>45566</v>
      </c>
      <c r="D780" t="inlineStr">
        <is>
          <t>VÄSTERBOTTENS LÄN</t>
        </is>
      </c>
      <c r="E780" t="inlineStr">
        <is>
          <t>SKELLEFTEÅ</t>
        </is>
      </c>
      <c r="G780" t="n">
        <v>4.6</v>
      </c>
      <c r="H780" t="n">
        <v>0</v>
      </c>
      <c r="I780" t="n">
        <v>0</v>
      </c>
      <c r="J780" t="n">
        <v>0</v>
      </c>
      <c r="K780" t="n">
        <v>0</v>
      </c>
      <c r="L780" t="n">
        <v>0</v>
      </c>
      <c r="M780" t="n">
        <v>0</v>
      </c>
      <c r="N780" t="n">
        <v>0</v>
      </c>
      <c r="O780" t="n">
        <v>0</v>
      </c>
      <c r="P780" t="n">
        <v>0</v>
      </c>
      <c r="Q780" t="n">
        <v>0</v>
      </c>
      <c r="R780" s="2" t="inlineStr"/>
    </row>
    <row r="781" ht="15" customHeight="1">
      <c r="A781" t="inlineStr">
        <is>
          <t>A 11102-2021</t>
        </is>
      </c>
      <c r="B781" s="1" t="n">
        <v>44259</v>
      </c>
      <c r="C781" s="1" t="n">
        <v>45566</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11409-2021</t>
        </is>
      </c>
      <c r="B782" s="1" t="n">
        <v>44263</v>
      </c>
      <c r="C782" s="1" t="n">
        <v>45566</v>
      </c>
      <c r="D782" t="inlineStr">
        <is>
          <t>VÄSTERBOTTENS LÄN</t>
        </is>
      </c>
      <c r="E782" t="inlineStr">
        <is>
          <t>SKELLEFTEÅ</t>
        </is>
      </c>
      <c r="G782" t="n">
        <v>6</v>
      </c>
      <c r="H782" t="n">
        <v>0</v>
      </c>
      <c r="I782" t="n">
        <v>0</v>
      </c>
      <c r="J782" t="n">
        <v>0</v>
      </c>
      <c r="K782" t="n">
        <v>0</v>
      </c>
      <c r="L782" t="n">
        <v>0</v>
      </c>
      <c r="M782" t="n">
        <v>0</v>
      </c>
      <c r="N782" t="n">
        <v>0</v>
      </c>
      <c r="O782" t="n">
        <v>0</v>
      </c>
      <c r="P782" t="n">
        <v>0</v>
      </c>
      <c r="Q782" t="n">
        <v>0</v>
      </c>
      <c r="R782" s="2" t="inlineStr"/>
    </row>
    <row r="783" ht="15" customHeight="1">
      <c r="A783" t="inlineStr">
        <is>
          <t>A 11454-2021</t>
        </is>
      </c>
      <c r="B783" s="1" t="n">
        <v>44264</v>
      </c>
      <c r="C783" s="1" t="n">
        <v>45566</v>
      </c>
      <c r="D783" t="inlineStr">
        <is>
          <t>VÄSTERBOTTENS LÄN</t>
        </is>
      </c>
      <c r="E783" t="inlineStr">
        <is>
          <t>SKELLEFTEÅ</t>
        </is>
      </c>
      <c r="G783" t="n">
        <v>14.6</v>
      </c>
      <c r="H783" t="n">
        <v>0</v>
      </c>
      <c r="I783" t="n">
        <v>0</v>
      </c>
      <c r="J783" t="n">
        <v>0</v>
      </c>
      <c r="K783" t="n">
        <v>0</v>
      </c>
      <c r="L783" t="n">
        <v>0</v>
      </c>
      <c r="M783" t="n">
        <v>0</v>
      </c>
      <c r="N783" t="n">
        <v>0</v>
      </c>
      <c r="O783" t="n">
        <v>0</v>
      </c>
      <c r="P783" t="n">
        <v>0</v>
      </c>
      <c r="Q783" t="n">
        <v>0</v>
      </c>
      <c r="R783" s="2" t="inlineStr"/>
    </row>
    <row r="784" ht="15" customHeight="1">
      <c r="A784" t="inlineStr">
        <is>
          <t>A 11499-2021</t>
        </is>
      </c>
      <c r="B784" s="1" t="n">
        <v>44264</v>
      </c>
      <c r="C784" s="1" t="n">
        <v>45566</v>
      </c>
      <c r="D784" t="inlineStr">
        <is>
          <t>VÄSTERBOTTENS LÄN</t>
        </is>
      </c>
      <c r="E784" t="inlineStr">
        <is>
          <t>SKELLEFTEÅ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12416-2021</t>
        </is>
      </c>
      <c r="B785" s="1" t="n">
        <v>44267</v>
      </c>
      <c r="C785" s="1" t="n">
        <v>45566</v>
      </c>
      <c r="D785" t="inlineStr">
        <is>
          <t>VÄSTERBOTTENS LÄN</t>
        </is>
      </c>
      <c r="E785" t="inlineStr">
        <is>
          <t>SKELLEFTEÅ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12928-2021</t>
        </is>
      </c>
      <c r="B786" s="1" t="n">
        <v>44270</v>
      </c>
      <c r="C786" s="1" t="n">
        <v>45566</v>
      </c>
      <c r="D786" t="inlineStr">
        <is>
          <t>VÄSTERBOTTENS LÄN</t>
        </is>
      </c>
      <c r="E786" t="inlineStr">
        <is>
          <t>SKELLEFTEÅ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13086-2021</t>
        </is>
      </c>
      <c r="B787" s="1" t="n">
        <v>44271</v>
      </c>
      <c r="C787" s="1" t="n">
        <v>45566</v>
      </c>
      <c r="D787" t="inlineStr">
        <is>
          <t>VÄSTERBOTTENS LÄN</t>
        </is>
      </c>
      <c r="E787" t="inlineStr">
        <is>
          <t>SKELLEFTEÅ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13729-2021</t>
        </is>
      </c>
      <c r="B788" s="1" t="n">
        <v>44274</v>
      </c>
      <c r="C788" s="1" t="n">
        <v>45566</v>
      </c>
      <c r="D788" t="inlineStr">
        <is>
          <t>VÄSTERBOTTENS LÄN</t>
        </is>
      </c>
      <c r="E788" t="inlineStr">
        <is>
          <t>SKELLEFTEÅ</t>
        </is>
      </c>
      <c r="G788" t="n">
        <v>7.6</v>
      </c>
      <c r="H788" t="n">
        <v>0</v>
      </c>
      <c r="I788" t="n">
        <v>0</v>
      </c>
      <c r="J788" t="n">
        <v>0</v>
      </c>
      <c r="K788" t="n">
        <v>0</v>
      </c>
      <c r="L788" t="n">
        <v>0</v>
      </c>
      <c r="M788" t="n">
        <v>0</v>
      </c>
      <c r="N788" t="n">
        <v>0</v>
      </c>
      <c r="O788" t="n">
        <v>0</v>
      </c>
      <c r="P788" t="n">
        <v>0</v>
      </c>
      <c r="Q788" t="n">
        <v>0</v>
      </c>
      <c r="R788" s="2" t="inlineStr"/>
    </row>
    <row r="789" ht="15" customHeight="1">
      <c r="A789" t="inlineStr">
        <is>
          <t>A 14850-2021</t>
        </is>
      </c>
      <c r="B789" s="1" t="n">
        <v>44280</v>
      </c>
      <c r="C789" s="1" t="n">
        <v>45566</v>
      </c>
      <c r="D789" t="inlineStr">
        <is>
          <t>VÄSTERBOTTENS LÄN</t>
        </is>
      </c>
      <c r="E789" t="inlineStr">
        <is>
          <t>SKELLEFTEÅ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14857-2021</t>
        </is>
      </c>
      <c r="B790" s="1" t="n">
        <v>44280</v>
      </c>
      <c r="C790" s="1" t="n">
        <v>45566</v>
      </c>
      <c r="D790" t="inlineStr">
        <is>
          <t>VÄSTERBOTTENS LÄN</t>
        </is>
      </c>
      <c r="E790" t="inlineStr">
        <is>
          <t>SKELLEFTEÅ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14865-2021</t>
        </is>
      </c>
      <c r="B791" s="1" t="n">
        <v>44280</v>
      </c>
      <c r="C791" s="1" t="n">
        <v>45566</v>
      </c>
      <c r="D791" t="inlineStr">
        <is>
          <t>VÄSTERBOTTENS LÄN</t>
        </is>
      </c>
      <c r="E791" t="inlineStr">
        <is>
          <t>SKELLEFTEÅ</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14851-2021</t>
        </is>
      </c>
      <c r="B792" s="1" t="n">
        <v>44280</v>
      </c>
      <c r="C792" s="1" t="n">
        <v>45566</v>
      </c>
      <c r="D792" t="inlineStr">
        <is>
          <t>VÄSTERBOTTENS LÄN</t>
        </is>
      </c>
      <c r="E792" t="inlineStr">
        <is>
          <t>SKELLEFTEÅ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14858-2021</t>
        </is>
      </c>
      <c r="B793" s="1" t="n">
        <v>44280</v>
      </c>
      <c r="C793" s="1" t="n">
        <v>45566</v>
      </c>
      <c r="D793" t="inlineStr">
        <is>
          <t>VÄSTERBOTTENS LÄN</t>
        </is>
      </c>
      <c r="E793" t="inlineStr">
        <is>
          <t>SKELLEFTEÅ</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14848-2021</t>
        </is>
      </c>
      <c r="B794" s="1" t="n">
        <v>44280</v>
      </c>
      <c r="C794" s="1" t="n">
        <v>45566</v>
      </c>
      <c r="D794" t="inlineStr">
        <is>
          <t>VÄSTERBOTTENS LÄN</t>
        </is>
      </c>
      <c r="E794" t="inlineStr">
        <is>
          <t>SKELLEFTEÅ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14853-2021</t>
        </is>
      </c>
      <c r="B795" s="1" t="n">
        <v>44280</v>
      </c>
      <c r="C795" s="1" t="n">
        <v>45566</v>
      </c>
      <c r="D795" t="inlineStr">
        <is>
          <t>VÄSTERBOTTENS LÄN</t>
        </is>
      </c>
      <c r="E795" t="inlineStr">
        <is>
          <t>SKELLEFTEÅ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15108-2021</t>
        </is>
      </c>
      <c r="B796" s="1" t="n">
        <v>44281</v>
      </c>
      <c r="C796" s="1" t="n">
        <v>45566</v>
      </c>
      <c r="D796" t="inlineStr">
        <is>
          <t>VÄSTERBOTTENS LÄN</t>
        </is>
      </c>
      <c r="E796" t="inlineStr">
        <is>
          <t>SKELLEFTEÅ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15109-2021</t>
        </is>
      </c>
      <c r="B797" s="1" t="n">
        <v>44281</v>
      </c>
      <c r="C797" s="1" t="n">
        <v>45566</v>
      </c>
      <c r="D797" t="inlineStr">
        <is>
          <t>VÄSTERBOTTENS LÄN</t>
        </is>
      </c>
      <c r="E797" t="inlineStr">
        <is>
          <t>SKELLEFTEÅ</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15459-2021</t>
        </is>
      </c>
      <c r="B798" s="1" t="n">
        <v>44284</v>
      </c>
      <c r="C798" s="1" t="n">
        <v>45566</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18073-2021</t>
        </is>
      </c>
      <c r="B799" s="1" t="n">
        <v>44302</v>
      </c>
      <c r="C799" s="1" t="n">
        <v>45566</v>
      </c>
      <c r="D799" t="inlineStr">
        <is>
          <t>VÄSTERBOTTENS LÄN</t>
        </is>
      </c>
      <c r="E799" t="inlineStr">
        <is>
          <t>SKELLEFTEÅ</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18101-2021</t>
        </is>
      </c>
      <c r="B800" s="1" t="n">
        <v>44302</v>
      </c>
      <c r="C800" s="1" t="n">
        <v>45566</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18182-2021</t>
        </is>
      </c>
      <c r="B801" s="1" t="n">
        <v>44302</v>
      </c>
      <c r="C801" s="1" t="n">
        <v>45566</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18183-2021</t>
        </is>
      </c>
      <c r="B802" s="1" t="n">
        <v>44302</v>
      </c>
      <c r="C802" s="1" t="n">
        <v>45566</v>
      </c>
      <c r="D802" t="inlineStr">
        <is>
          <t>VÄSTERBOTTENS LÄN</t>
        </is>
      </c>
      <c r="E802" t="inlineStr">
        <is>
          <t>SKELLEFTEÅ</t>
        </is>
      </c>
      <c r="G802" t="n">
        <v>7.4</v>
      </c>
      <c r="H802" t="n">
        <v>0</v>
      </c>
      <c r="I802" t="n">
        <v>0</v>
      </c>
      <c r="J802" t="n">
        <v>0</v>
      </c>
      <c r="K802" t="n">
        <v>0</v>
      </c>
      <c r="L802" t="n">
        <v>0</v>
      </c>
      <c r="M802" t="n">
        <v>0</v>
      </c>
      <c r="N802" t="n">
        <v>0</v>
      </c>
      <c r="O802" t="n">
        <v>0</v>
      </c>
      <c r="P802" t="n">
        <v>0</v>
      </c>
      <c r="Q802" t="n">
        <v>0</v>
      </c>
      <c r="R802" s="2" t="inlineStr"/>
    </row>
    <row r="803" ht="15" customHeight="1">
      <c r="A803" t="inlineStr">
        <is>
          <t>A 18104-2021</t>
        </is>
      </c>
      <c r="B803" s="1" t="n">
        <v>44302</v>
      </c>
      <c r="C803" s="1" t="n">
        <v>45566</v>
      </c>
      <c r="D803" t="inlineStr">
        <is>
          <t>VÄSTERBOTTENS LÄN</t>
        </is>
      </c>
      <c r="E803" t="inlineStr">
        <is>
          <t>SKELLEFTEÅ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18216-2021</t>
        </is>
      </c>
      <c r="B804" s="1" t="n">
        <v>44303</v>
      </c>
      <c r="C804" s="1" t="n">
        <v>45566</v>
      </c>
      <c r="D804" t="inlineStr">
        <is>
          <t>VÄSTERBOTTENS LÄN</t>
        </is>
      </c>
      <c r="E804" t="inlineStr">
        <is>
          <t>SKELLEFTEÅ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18353-2021</t>
        </is>
      </c>
      <c r="B805" s="1" t="n">
        <v>44305</v>
      </c>
      <c r="C805" s="1" t="n">
        <v>45566</v>
      </c>
      <c r="D805" t="inlineStr">
        <is>
          <t>VÄSTERBOTTENS LÄN</t>
        </is>
      </c>
      <c r="E805" t="inlineStr">
        <is>
          <t>SKELLEFTEÅ</t>
        </is>
      </c>
      <c r="G805" t="n">
        <v>7.2</v>
      </c>
      <c r="H805" t="n">
        <v>0</v>
      </c>
      <c r="I805" t="n">
        <v>0</v>
      </c>
      <c r="J805" t="n">
        <v>0</v>
      </c>
      <c r="K805" t="n">
        <v>0</v>
      </c>
      <c r="L805" t="n">
        <v>0</v>
      </c>
      <c r="M805" t="n">
        <v>0</v>
      </c>
      <c r="N805" t="n">
        <v>0</v>
      </c>
      <c r="O805" t="n">
        <v>0</v>
      </c>
      <c r="P805" t="n">
        <v>0</v>
      </c>
      <c r="Q805" t="n">
        <v>0</v>
      </c>
      <c r="R805" s="2" t="inlineStr"/>
    </row>
    <row r="806" ht="15" customHeight="1">
      <c r="A806" t="inlineStr">
        <is>
          <t>A 19538-2021</t>
        </is>
      </c>
      <c r="B806" s="1" t="n">
        <v>44309</v>
      </c>
      <c r="C806" s="1" t="n">
        <v>45566</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19748-2021</t>
        </is>
      </c>
      <c r="B807" s="1" t="n">
        <v>44312</v>
      </c>
      <c r="C807" s="1" t="n">
        <v>45566</v>
      </c>
      <c r="D807" t="inlineStr">
        <is>
          <t>VÄSTERBOTTENS LÄN</t>
        </is>
      </c>
      <c r="E807" t="inlineStr">
        <is>
          <t>SKELLEFTEÅ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19679-2021</t>
        </is>
      </c>
      <c r="B808" s="1" t="n">
        <v>44312</v>
      </c>
      <c r="C808" s="1" t="n">
        <v>45566</v>
      </c>
      <c r="D808" t="inlineStr">
        <is>
          <t>VÄSTERBOTTENS LÄN</t>
        </is>
      </c>
      <c r="E808" t="inlineStr">
        <is>
          <t>SKELLEFTEÅ</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20051-2021</t>
        </is>
      </c>
      <c r="B809" s="1" t="n">
        <v>44313</v>
      </c>
      <c r="C809" s="1" t="n">
        <v>45566</v>
      </c>
      <c r="D809" t="inlineStr">
        <is>
          <t>VÄSTERBOTTENS LÄN</t>
        </is>
      </c>
      <c r="E809" t="inlineStr">
        <is>
          <t>SKELLEFTEÅ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20046-2021</t>
        </is>
      </c>
      <c r="B810" s="1" t="n">
        <v>44313</v>
      </c>
      <c r="C810" s="1" t="n">
        <v>45566</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20381-2021</t>
        </is>
      </c>
      <c r="B811" s="1" t="n">
        <v>44314</v>
      </c>
      <c r="C811" s="1" t="n">
        <v>45566</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20856-2021</t>
        </is>
      </c>
      <c r="B812" s="1" t="n">
        <v>44319</v>
      </c>
      <c r="C812" s="1" t="n">
        <v>45566</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24606-2021</t>
        </is>
      </c>
      <c r="B813" s="1" t="n">
        <v>44319</v>
      </c>
      <c r="C813" s="1" t="n">
        <v>45566</v>
      </c>
      <c r="D813" t="inlineStr">
        <is>
          <t>VÄSTERBOTTENS LÄN</t>
        </is>
      </c>
      <c r="E813" t="inlineStr">
        <is>
          <t>SKELLEFTEÅ</t>
        </is>
      </c>
      <c r="G813" t="n">
        <v>2.4</v>
      </c>
      <c r="H813" t="n">
        <v>0</v>
      </c>
      <c r="I813" t="n">
        <v>0</v>
      </c>
      <c r="J813" t="n">
        <v>0</v>
      </c>
      <c r="K813" t="n">
        <v>0</v>
      </c>
      <c r="L813" t="n">
        <v>0</v>
      </c>
      <c r="M813" t="n">
        <v>0</v>
      </c>
      <c r="N813" t="n">
        <v>0</v>
      </c>
      <c r="O813" t="n">
        <v>0</v>
      </c>
      <c r="P813" t="n">
        <v>0</v>
      </c>
      <c r="Q813" t="n">
        <v>0</v>
      </c>
      <c r="R813" s="2" t="inlineStr"/>
    </row>
    <row r="814" ht="15" customHeight="1">
      <c r="A814" t="inlineStr">
        <is>
          <t>A 21265-2021</t>
        </is>
      </c>
      <c r="B814" s="1" t="n">
        <v>44320</v>
      </c>
      <c r="C814" s="1" t="n">
        <v>45566</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22067-2021</t>
        </is>
      </c>
      <c r="B815" s="1" t="n">
        <v>44322</v>
      </c>
      <c r="C815" s="1" t="n">
        <v>45566</v>
      </c>
      <c r="D815" t="inlineStr">
        <is>
          <t>VÄSTERBOTTENS LÄN</t>
        </is>
      </c>
      <c r="E815" t="inlineStr">
        <is>
          <t>SKELLEFTEÅ</t>
        </is>
      </c>
      <c r="G815" t="n">
        <v>10.7</v>
      </c>
      <c r="H815" t="n">
        <v>0</v>
      </c>
      <c r="I815" t="n">
        <v>0</v>
      </c>
      <c r="J815" t="n">
        <v>0</v>
      </c>
      <c r="K815" t="n">
        <v>0</v>
      </c>
      <c r="L815" t="n">
        <v>0</v>
      </c>
      <c r="M815" t="n">
        <v>0</v>
      </c>
      <c r="N815" t="n">
        <v>0</v>
      </c>
      <c r="O815" t="n">
        <v>0</v>
      </c>
      <c r="P815" t="n">
        <v>0</v>
      </c>
      <c r="Q815" t="n">
        <v>0</v>
      </c>
      <c r="R815" s="2" t="inlineStr"/>
    </row>
    <row r="816" ht="15" customHeight="1">
      <c r="A816" t="inlineStr">
        <is>
          <t>A 22568-2021</t>
        </is>
      </c>
      <c r="B816" s="1" t="n">
        <v>44322</v>
      </c>
      <c r="C816" s="1" t="n">
        <v>45566</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22626-2021</t>
        </is>
      </c>
      <c r="B817" s="1" t="n">
        <v>44326</v>
      </c>
      <c r="C817" s="1" t="n">
        <v>45566</v>
      </c>
      <c r="D817" t="inlineStr">
        <is>
          <t>VÄSTERBOTTENS LÄN</t>
        </is>
      </c>
      <c r="E817" t="inlineStr">
        <is>
          <t>SKELLEFTEÅ</t>
        </is>
      </c>
      <c r="G817" t="n">
        <v>8.4</v>
      </c>
      <c r="H817" t="n">
        <v>0</v>
      </c>
      <c r="I817" t="n">
        <v>0</v>
      </c>
      <c r="J817" t="n">
        <v>0</v>
      </c>
      <c r="K817" t="n">
        <v>0</v>
      </c>
      <c r="L817" t="n">
        <v>0</v>
      </c>
      <c r="M817" t="n">
        <v>0</v>
      </c>
      <c r="N817" t="n">
        <v>0</v>
      </c>
      <c r="O817" t="n">
        <v>0</v>
      </c>
      <c r="P817" t="n">
        <v>0</v>
      </c>
      <c r="Q817" t="n">
        <v>0</v>
      </c>
      <c r="R817" s="2" t="inlineStr"/>
    </row>
    <row r="818" ht="15" customHeight="1">
      <c r="A818" t="inlineStr">
        <is>
          <t>A 23132-2021</t>
        </is>
      </c>
      <c r="B818" s="1" t="n">
        <v>44331</v>
      </c>
      <c r="C818" s="1" t="n">
        <v>45566</v>
      </c>
      <c r="D818" t="inlineStr">
        <is>
          <t>VÄSTERBOTTENS LÄN</t>
        </is>
      </c>
      <c r="E818" t="inlineStr">
        <is>
          <t>SKELLEFTEÅ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23408-2021</t>
        </is>
      </c>
      <c r="B819" s="1" t="n">
        <v>44333</v>
      </c>
      <c r="C819" s="1" t="n">
        <v>45566</v>
      </c>
      <c r="D819" t="inlineStr">
        <is>
          <t>VÄSTERBOTTENS LÄN</t>
        </is>
      </c>
      <c r="E819" t="inlineStr">
        <is>
          <t>SKELLEFTEÅ</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23801-2021</t>
        </is>
      </c>
      <c r="B820" s="1" t="n">
        <v>44334</v>
      </c>
      <c r="C820" s="1" t="n">
        <v>45566</v>
      </c>
      <c r="D820" t="inlineStr">
        <is>
          <t>VÄSTERBOTTENS LÄN</t>
        </is>
      </c>
      <c r="E820" t="inlineStr">
        <is>
          <t>SKELLEFTEÅ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23885-2021</t>
        </is>
      </c>
      <c r="B821" s="1" t="n">
        <v>44335</v>
      </c>
      <c r="C821" s="1" t="n">
        <v>45566</v>
      </c>
      <c r="D821" t="inlineStr">
        <is>
          <t>VÄSTERBOTTENS LÄN</t>
        </is>
      </c>
      <c r="E821" t="inlineStr">
        <is>
          <t>SKELLEFTEÅ</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24238-2021</t>
        </is>
      </c>
      <c r="B822" s="1" t="n">
        <v>44337</v>
      </c>
      <c r="C822" s="1" t="n">
        <v>45566</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24303-2021</t>
        </is>
      </c>
      <c r="B823" s="1" t="n">
        <v>44337</v>
      </c>
      <c r="C823" s="1" t="n">
        <v>45566</v>
      </c>
      <c r="D823" t="inlineStr">
        <is>
          <t>VÄSTERBOTTENS LÄN</t>
        </is>
      </c>
      <c r="E823" t="inlineStr">
        <is>
          <t>SKELLEFTEÅ</t>
        </is>
      </c>
      <c r="G823" t="n">
        <v>6.1</v>
      </c>
      <c r="H823" t="n">
        <v>0</v>
      </c>
      <c r="I823" t="n">
        <v>0</v>
      </c>
      <c r="J823" t="n">
        <v>0</v>
      </c>
      <c r="K823" t="n">
        <v>0</v>
      </c>
      <c r="L823" t="n">
        <v>0</v>
      </c>
      <c r="M823" t="n">
        <v>0</v>
      </c>
      <c r="N823" t="n">
        <v>0</v>
      </c>
      <c r="O823" t="n">
        <v>0</v>
      </c>
      <c r="P823" t="n">
        <v>0</v>
      </c>
      <c r="Q823" t="n">
        <v>0</v>
      </c>
      <c r="R823" s="2" t="inlineStr"/>
    </row>
    <row r="824" ht="15" customHeight="1">
      <c r="A824" t="inlineStr">
        <is>
          <t>A 24653-2021</t>
        </is>
      </c>
      <c r="B824" s="1" t="n">
        <v>44340</v>
      </c>
      <c r="C824" s="1" t="n">
        <v>45566</v>
      </c>
      <c r="D824" t="inlineStr">
        <is>
          <t>VÄSTERBOTTENS LÄN</t>
        </is>
      </c>
      <c r="E824" t="inlineStr">
        <is>
          <t>SKELLEFTEÅ</t>
        </is>
      </c>
      <c r="G824" t="n">
        <v>6.7</v>
      </c>
      <c r="H824" t="n">
        <v>0</v>
      </c>
      <c r="I824" t="n">
        <v>0</v>
      </c>
      <c r="J824" t="n">
        <v>0</v>
      </c>
      <c r="K824" t="n">
        <v>0</v>
      </c>
      <c r="L824" t="n">
        <v>0</v>
      </c>
      <c r="M824" t="n">
        <v>0</v>
      </c>
      <c r="N824" t="n">
        <v>0</v>
      </c>
      <c r="O824" t="n">
        <v>0</v>
      </c>
      <c r="P824" t="n">
        <v>0</v>
      </c>
      <c r="Q824" t="n">
        <v>0</v>
      </c>
      <c r="R824" s="2" t="inlineStr"/>
    </row>
    <row r="825" ht="15" customHeight="1">
      <c r="A825" t="inlineStr">
        <is>
          <t>A 25513-2021</t>
        </is>
      </c>
      <c r="B825" s="1" t="n">
        <v>44343</v>
      </c>
      <c r="C825" s="1" t="n">
        <v>45566</v>
      </c>
      <c r="D825" t="inlineStr">
        <is>
          <t>VÄSTERBOTTENS LÄN</t>
        </is>
      </c>
      <c r="E825" t="inlineStr">
        <is>
          <t>SKELLEFTEÅ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25512-2021</t>
        </is>
      </c>
      <c r="B826" s="1" t="n">
        <v>44342</v>
      </c>
      <c r="C826" s="1" t="n">
        <v>45566</v>
      </c>
      <c r="D826" t="inlineStr">
        <is>
          <t>VÄSTERBOTTENS LÄN</t>
        </is>
      </c>
      <c r="E826" t="inlineStr">
        <is>
          <t>SKELLEFTEÅ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25515-2021</t>
        </is>
      </c>
      <c r="B827" s="1" t="n">
        <v>44343</v>
      </c>
      <c r="C827" s="1" t="n">
        <v>45566</v>
      </c>
      <c r="D827" t="inlineStr">
        <is>
          <t>VÄSTERBOTTENS LÄN</t>
        </is>
      </c>
      <c r="E827" t="inlineStr">
        <is>
          <t>SKELLEFTEÅ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25520-2021</t>
        </is>
      </c>
      <c r="B828" s="1" t="n">
        <v>44343</v>
      </c>
      <c r="C828" s="1" t="n">
        <v>45566</v>
      </c>
      <c r="D828" t="inlineStr">
        <is>
          <t>VÄSTERBOTTENS LÄN</t>
        </is>
      </c>
      <c r="E828" t="inlineStr">
        <is>
          <t>SKELLEFTEÅ</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25473-2021</t>
        </is>
      </c>
      <c r="B829" s="1" t="n">
        <v>44342</v>
      </c>
      <c r="C829" s="1" t="n">
        <v>45566</v>
      </c>
      <c r="D829" t="inlineStr">
        <is>
          <t>VÄSTERBOTTENS LÄN</t>
        </is>
      </c>
      <c r="E829" t="inlineStr">
        <is>
          <t>SKELLEFTEÅ</t>
        </is>
      </c>
      <c r="G829" t="n">
        <v>6.6</v>
      </c>
      <c r="H829" t="n">
        <v>0</v>
      </c>
      <c r="I829" t="n">
        <v>0</v>
      </c>
      <c r="J829" t="n">
        <v>0</v>
      </c>
      <c r="K829" t="n">
        <v>0</v>
      </c>
      <c r="L829" t="n">
        <v>0</v>
      </c>
      <c r="M829" t="n">
        <v>0</v>
      </c>
      <c r="N829" t="n">
        <v>0</v>
      </c>
      <c r="O829" t="n">
        <v>0</v>
      </c>
      <c r="P829" t="n">
        <v>0</v>
      </c>
      <c r="Q829" t="n">
        <v>0</v>
      </c>
      <c r="R829" s="2" t="inlineStr"/>
    </row>
    <row r="830" ht="15" customHeight="1">
      <c r="A830" t="inlineStr">
        <is>
          <t>A 25491-2021</t>
        </is>
      </c>
      <c r="B830" s="1" t="n">
        <v>44342</v>
      </c>
      <c r="C830" s="1" t="n">
        <v>45566</v>
      </c>
      <c r="D830" t="inlineStr">
        <is>
          <t>VÄSTERBOTTENS LÄN</t>
        </is>
      </c>
      <c r="E830" t="inlineStr">
        <is>
          <t>SKELLEFTEÅ</t>
        </is>
      </c>
      <c r="G830" t="n">
        <v>2.9</v>
      </c>
      <c r="H830" t="n">
        <v>0</v>
      </c>
      <c r="I830" t="n">
        <v>0</v>
      </c>
      <c r="J830" t="n">
        <v>0</v>
      </c>
      <c r="K830" t="n">
        <v>0</v>
      </c>
      <c r="L830" t="n">
        <v>0</v>
      </c>
      <c r="M830" t="n">
        <v>0</v>
      </c>
      <c r="N830" t="n">
        <v>0</v>
      </c>
      <c r="O830" t="n">
        <v>0</v>
      </c>
      <c r="P830" t="n">
        <v>0</v>
      </c>
      <c r="Q830" t="n">
        <v>0</v>
      </c>
      <c r="R830" s="2" t="inlineStr"/>
    </row>
    <row r="831" ht="15" customHeight="1">
      <c r="A831" t="inlineStr">
        <is>
          <t>A 26129-2021</t>
        </is>
      </c>
      <c r="B831" s="1" t="n">
        <v>44346</v>
      </c>
      <c r="C831" s="1" t="n">
        <v>45566</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26130-2021</t>
        </is>
      </c>
      <c r="B832" s="1" t="n">
        <v>44346</v>
      </c>
      <c r="C832" s="1" t="n">
        <v>45566</v>
      </c>
      <c r="D832" t="inlineStr">
        <is>
          <t>VÄSTERBOTTENS LÄN</t>
        </is>
      </c>
      <c r="E832" t="inlineStr">
        <is>
          <t>SKELLEFTEÅ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26473-2021</t>
        </is>
      </c>
      <c r="B833" s="1" t="n">
        <v>44348</v>
      </c>
      <c r="C833" s="1" t="n">
        <v>45566</v>
      </c>
      <c r="D833" t="inlineStr">
        <is>
          <t>VÄSTERBOTTENS LÄN</t>
        </is>
      </c>
      <c r="E833" t="inlineStr">
        <is>
          <t>SKELLEFTEÅ</t>
        </is>
      </c>
      <c r="G833" t="n">
        <v>0.3</v>
      </c>
      <c r="H833" t="n">
        <v>0</v>
      </c>
      <c r="I833" t="n">
        <v>0</v>
      </c>
      <c r="J833" t="n">
        <v>0</v>
      </c>
      <c r="K833" t="n">
        <v>0</v>
      </c>
      <c r="L833" t="n">
        <v>0</v>
      </c>
      <c r="M833" t="n">
        <v>0</v>
      </c>
      <c r="N833" t="n">
        <v>0</v>
      </c>
      <c r="O833" t="n">
        <v>0</v>
      </c>
      <c r="P833" t="n">
        <v>0</v>
      </c>
      <c r="Q833" t="n">
        <v>0</v>
      </c>
      <c r="R833" s="2" t="inlineStr"/>
    </row>
    <row r="834" ht="15" customHeight="1">
      <c r="A834" t="inlineStr">
        <is>
          <t>A 26599-2021</t>
        </is>
      </c>
      <c r="B834" s="1" t="n">
        <v>44348</v>
      </c>
      <c r="C834" s="1" t="n">
        <v>45566</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26858-2021</t>
        </is>
      </c>
      <c r="B835" s="1" t="n">
        <v>44349</v>
      </c>
      <c r="C835" s="1" t="n">
        <v>45566</v>
      </c>
      <c r="D835" t="inlineStr">
        <is>
          <t>VÄSTERBOTTENS LÄN</t>
        </is>
      </c>
      <c r="E835" t="inlineStr">
        <is>
          <t>SKELLEFTEÅ</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26957-2021</t>
        </is>
      </c>
      <c r="B836" s="1" t="n">
        <v>44350</v>
      </c>
      <c r="C836" s="1" t="n">
        <v>45566</v>
      </c>
      <c r="D836" t="inlineStr">
        <is>
          <t>VÄSTERBOTTENS LÄN</t>
        </is>
      </c>
      <c r="E836" t="inlineStr">
        <is>
          <t>SKELLEFTEÅ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26975-2021</t>
        </is>
      </c>
      <c r="B837" s="1" t="n">
        <v>44350</v>
      </c>
      <c r="C837" s="1" t="n">
        <v>45566</v>
      </c>
      <c r="D837" t="inlineStr">
        <is>
          <t>VÄSTERBOTTENS LÄN</t>
        </is>
      </c>
      <c r="E837" t="inlineStr">
        <is>
          <t>SKELLEFTEÅ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27444-2021</t>
        </is>
      </c>
      <c r="B838" s="1" t="n">
        <v>44351</v>
      </c>
      <c r="C838" s="1" t="n">
        <v>45566</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27698-2021</t>
        </is>
      </c>
      <c r="B839" s="1" t="n">
        <v>44354</v>
      </c>
      <c r="C839" s="1" t="n">
        <v>45566</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27643-2021</t>
        </is>
      </c>
      <c r="B840" s="1" t="n">
        <v>44354</v>
      </c>
      <c r="C840" s="1" t="n">
        <v>45566</v>
      </c>
      <c r="D840" t="inlineStr">
        <is>
          <t>VÄSTERBOTTENS LÄN</t>
        </is>
      </c>
      <c r="E840" t="inlineStr">
        <is>
          <t>SKELLEFTEÅ</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27774-2021</t>
        </is>
      </c>
      <c r="B841" s="1" t="n">
        <v>44354</v>
      </c>
      <c r="C841" s="1" t="n">
        <v>45566</v>
      </c>
      <c r="D841" t="inlineStr">
        <is>
          <t>VÄSTERBOTTENS LÄN</t>
        </is>
      </c>
      <c r="E841" t="inlineStr">
        <is>
          <t>SKELLEFTEÅ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28121-2021</t>
        </is>
      </c>
      <c r="B842" s="1" t="n">
        <v>44355</v>
      </c>
      <c r="C842" s="1" t="n">
        <v>45566</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28191-2021</t>
        </is>
      </c>
      <c r="B843" s="1" t="n">
        <v>44355</v>
      </c>
      <c r="C843" s="1" t="n">
        <v>45566</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28196-2021</t>
        </is>
      </c>
      <c r="B844" s="1" t="n">
        <v>44355</v>
      </c>
      <c r="C844" s="1" t="n">
        <v>45566</v>
      </c>
      <c r="D844" t="inlineStr">
        <is>
          <t>VÄSTERBOTTENS LÄN</t>
        </is>
      </c>
      <c r="E844" t="inlineStr">
        <is>
          <t>SKELLEFTEÅ</t>
        </is>
      </c>
      <c r="F844" t="inlineStr">
        <is>
          <t>Holmen skog AB</t>
        </is>
      </c>
      <c r="G844" t="n">
        <v>7.5</v>
      </c>
      <c r="H844" t="n">
        <v>0</v>
      </c>
      <c r="I844" t="n">
        <v>0</v>
      </c>
      <c r="J844" t="n">
        <v>0</v>
      </c>
      <c r="K844" t="n">
        <v>0</v>
      </c>
      <c r="L844" t="n">
        <v>0</v>
      </c>
      <c r="M844" t="n">
        <v>0</v>
      </c>
      <c r="N844" t="n">
        <v>0</v>
      </c>
      <c r="O844" t="n">
        <v>0</v>
      </c>
      <c r="P844" t="n">
        <v>0</v>
      </c>
      <c r="Q844" t="n">
        <v>0</v>
      </c>
      <c r="R844" s="2" t="inlineStr"/>
    </row>
    <row r="845" ht="15" customHeight="1">
      <c r="A845" t="inlineStr">
        <is>
          <t>A 28244-2021</t>
        </is>
      </c>
      <c r="B845" s="1" t="n">
        <v>44355</v>
      </c>
      <c r="C845" s="1" t="n">
        <v>45566</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28291-2021</t>
        </is>
      </c>
      <c r="B846" s="1" t="n">
        <v>44356</v>
      </c>
      <c r="C846" s="1" t="n">
        <v>45566</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28525-2021</t>
        </is>
      </c>
      <c r="B847" s="1" t="n">
        <v>44356</v>
      </c>
      <c r="C847" s="1" t="n">
        <v>45566</v>
      </c>
      <c r="D847" t="inlineStr">
        <is>
          <t>VÄSTERBOTTENS LÄN</t>
        </is>
      </c>
      <c r="E847" t="inlineStr">
        <is>
          <t>SKELLEFTEÅ</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28666-2021</t>
        </is>
      </c>
      <c r="B848" s="1" t="n">
        <v>44357</v>
      </c>
      <c r="C848" s="1" t="n">
        <v>45566</v>
      </c>
      <c r="D848" t="inlineStr">
        <is>
          <t>VÄSTERBOTTENS LÄN</t>
        </is>
      </c>
      <c r="E848" t="inlineStr">
        <is>
          <t>SKELLEFTEÅ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28822-2021</t>
        </is>
      </c>
      <c r="B849" s="1" t="n">
        <v>44357</v>
      </c>
      <c r="C849" s="1" t="n">
        <v>45566</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29115-2021</t>
        </is>
      </c>
      <c r="B850" s="1" t="n">
        <v>44358</v>
      </c>
      <c r="C850" s="1" t="n">
        <v>45566</v>
      </c>
      <c r="D850" t="inlineStr">
        <is>
          <t>VÄSTERBOTTENS LÄN</t>
        </is>
      </c>
      <c r="E850" t="inlineStr">
        <is>
          <t>SKELLEFTEÅ</t>
        </is>
      </c>
      <c r="G850" t="n">
        <v>4.4</v>
      </c>
      <c r="H850" t="n">
        <v>0</v>
      </c>
      <c r="I850" t="n">
        <v>0</v>
      </c>
      <c r="J850" t="n">
        <v>0</v>
      </c>
      <c r="K850" t="n">
        <v>0</v>
      </c>
      <c r="L850" t="n">
        <v>0</v>
      </c>
      <c r="M850" t="n">
        <v>0</v>
      </c>
      <c r="N850" t="n">
        <v>0</v>
      </c>
      <c r="O850" t="n">
        <v>0</v>
      </c>
      <c r="P850" t="n">
        <v>0</v>
      </c>
      <c r="Q850" t="n">
        <v>0</v>
      </c>
      <c r="R850" s="2" t="inlineStr"/>
    </row>
    <row r="851" ht="15" customHeight="1">
      <c r="A851" t="inlineStr">
        <is>
          <t>A 28959-2021</t>
        </is>
      </c>
      <c r="B851" s="1" t="n">
        <v>44358</v>
      </c>
      <c r="C851" s="1" t="n">
        <v>45566</v>
      </c>
      <c r="D851" t="inlineStr">
        <is>
          <t>VÄSTERBOTTENS LÄN</t>
        </is>
      </c>
      <c r="E851" t="inlineStr">
        <is>
          <t>SKELLEFTEÅ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29319-2021</t>
        </is>
      </c>
      <c r="B852" s="1" t="n">
        <v>44361</v>
      </c>
      <c r="C852" s="1" t="n">
        <v>45566</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29276-2021</t>
        </is>
      </c>
      <c r="B853" s="1" t="n">
        <v>44361</v>
      </c>
      <c r="C853" s="1" t="n">
        <v>45566</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29407-2021</t>
        </is>
      </c>
      <c r="B854" s="1" t="n">
        <v>44361</v>
      </c>
      <c r="C854" s="1" t="n">
        <v>45566</v>
      </c>
      <c r="D854" t="inlineStr">
        <is>
          <t>VÄSTERBOTTENS LÄN</t>
        </is>
      </c>
      <c r="E854" t="inlineStr">
        <is>
          <t>SKELLEFTEÅ</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29687-2021</t>
        </is>
      </c>
      <c r="B855" s="1" t="n">
        <v>44362</v>
      </c>
      <c r="C855" s="1" t="n">
        <v>45566</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29649-2021</t>
        </is>
      </c>
      <c r="B856" s="1" t="n">
        <v>44362</v>
      </c>
      <c r="C856" s="1" t="n">
        <v>45566</v>
      </c>
      <c r="D856" t="inlineStr">
        <is>
          <t>VÄSTERBOTTENS LÄN</t>
        </is>
      </c>
      <c r="E856" t="inlineStr">
        <is>
          <t>SKELLEFTEÅ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29731-2021</t>
        </is>
      </c>
      <c r="B857" s="1" t="n">
        <v>44362</v>
      </c>
      <c r="C857" s="1" t="n">
        <v>45566</v>
      </c>
      <c r="D857" t="inlineStr">
        <is>
          <t>VÄSTERBOTTENS LÄN</t>
        </is>
      </c>
      <c r="E857" t="inlineStr">
        <is>
          <t>SKELLEFTEÅ</t>
        </is>
      </c>
      <c r="F857" t="inlineStr">
        <is>
          <t>Holmen skog AB</t>
        </is>
      </c>
      <c r="G857" t="n">
        <v>15.1</v>
      </c>
      <c r="H857" t="n">
        <v>0</v>
      </c>
      <c r="I857" t="n">
        <v>0</v>
      </c>
      <c r="J857" t="n">
        <v>0</v>
      </c>
      <c r="K857" t="n">
        <v>0</v>
      </c>
      <c r="L857" t="n">
        <v>0</v>
      </c>
      <c r="M857" t="n">
        <v>0</v>
      </c>
      <c r="N857" t="n">
        <v>0</v>
      </c>
      <c r="O857" t="n">
        <v>0</v>
      </c>
      <c r="P857" t="n">
        <v>0</v>
      </c>
      <c r="Q857" t="n">
        <v>0</v>
      </c>
      <c r="R857" s="2" t="inlineStr"/>
    </row>
    <row r="858" ht="15" customHeight="1">
      <c r="A858" t="inlineStr">
        <is>
          <t>A 30086-2021</t>
        </is>
      </c>
      <c r="B858" s="1" t="n">
        <v>44363</v>
      </c>
      <c r="C858" s="1" t="n">
        <v>45566</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30194-2021</t>
        </is>
      </c>
      <c r="B859" s="1" t="n">
        <v>44363</v>
      </c>
      <c r="C859" s="1" t="n">
        <v>45566</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30449-2021</t>
        </is>
      </c>
      <c r="B860" s="1" t="n">
        <v>44364</v>
      </c>
      <c r="C860" s="1" t="n">
        <v>45566</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30332-2021</t>
        </is>
      </c>
      <c r="B861" s="1" t="n">
        <v>44364</v>
      </c>
      <c r="C861" s="1" t="n">
        <v>45566</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30744-2021</t>
        </is>
      </c>
      <c r="B862" s="1" t="n">
        <v>44365</v>
      </c>
      <c r="C862" s="1" t="n">
        <v>45566</v>
      </c>
      <c r="D862" t="inlineStr">
        <is>
          <t>VÄSTERBOTTENS LÄN</t>
        </is>
      </c>
      <c r="E862" t="inlineStr">
        <is>
          <t>SKELLEFTEÅ</t>
        </is>
      </c>
      <c r="G862" t="n">
        <v>38.3</v>
      </c>
      <c r="H862" t="n">
        <v>0</v>
      </c>
      <c r="I862" t="n">
        <v>0</v>
      </c>
      <c r="J862" t="n">
        <v>0</v>
      </c>
      <c r="K862" t="n">
        <v>0</v>
      </c>
      <c r="L862" t="n">
        <v>0</v>
      </c>
      <c r="M862" t="n">
        <v>0</v>
      </c>
      <c r="N862" t="n">
        <v>0</v>
      </c>
      <c r="O862" t="n">
        <v>0</v>
      </c>
      <c r="P862" t="n">
        <v>0</v>
      </c>
      <c r="Q862" t="n">
        <v>0</v>
      </c>
      <c r="R862" s="2" t="inlineStr"/>
    </row>
    <row r="863" ht="15" customHeight="1">
      <c r="A863" t="inlineStr">
        <is>
          <t>A 30719-2021</t>
        </is>
      </c>
      <c r="B863" s="1" t="n">
        <v>44365</v>
      </c>
      <c r="C863" s="1" t="n">
        <v>45566</v>
      </c>
      <c r="D863" t="inlineStr">
        <is>
          <t>VÄSTERBOTTENS LÄN</t>
        </is>
      </c>
      <c r="E863" t="inlineStr">
        <is>
          <t>SKELLEFTEÅ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30704-2021</t>
        </is>
      </c>
      <c r="B864" s="1" t="n">
        <v>44365</v>
      </c>
      <c r="C864" s="1" t="n">
        <v>45566</v>
      </c>
      <c r="D864" t="inlineStr">
        <is>
          <t>VÄSTERBOTTENS LÄN</t>
        </is>
      </c>
      <c r="E864" t="inlineStr">
        <is>
          <t>SKELLEFTEÅ</t>
        </is>
      </c>
      <c r="G864" t="n">
        <v>20.2</v>
      </c>
      <c r="H864" t="n">
        <v>0</v>
      </c>
      <c r="I864" t="n">
        <v>0</v>
      </c>
      <c r="J864" t="n">
        <v>0</v>
      </c>
      <c r="K864" t="n">
        <v>0</v>
      </c>
      <c r="L864" t="n">
        <v>0</v>
      </c>
      <c r="M864" t="n">
        <v>0</v>
      </c>
      <c r="N864" t="n">
        <v>0</v>
      </c>
      <c r="O864" t="n">
        <v>0</v>
      </c>
      <c r="P864" t="n">
        <v>0</v>
      </c>
      <c r="Q864" t="n">
        <v>0</v>
      </c>
      <c r="R864" s="2" t="inlineStr"/>
    </row>
    <row r="865" ht="15" customHeight="1">
      <c r="A865" t="inlineStr">
        <is>
          <t>A 30754-2021</t>
        </is>
      </c>
      <c r="B865" s="1" t="n">
        <v>44365</v>
      </c>
      <c r="C865" s="1" t="n">
        <v>45566</v>
      </c>
      <c r="D865" t="inlineStr">
        <is>
          <t>VÄSTERBOTTENS LÄN</t>
        </is>
      </c>
      <c r="E865" t="inlineStr">
        <is>
          <t>SKELLEFTEÅ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30870-2021</t>
        </is>
      </c>
      <c r="B866" s="1" t="n">
        <v>44365</v>
      </c>
      <c r="C866" s="1" t="n">
        <v>45566</v>
      </c>
      <c r="D866" t="inlineStr">
        <is>
          <t>VÄSTERBOTTENS LÄN</t>
        </is>
      </c>
      <c r="E866" t="inlineStr">
        <is>
          <t>SKELLEFTEÅ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30959-2021</t>
        </is>
      </c>
      <c r="B867" s="1" t="n">
        <v>44365</v>
      </c>
      <c r="C867" s="1" t="n">
        <v>45566</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31185-2021</t>
        </is>
      </c>
      <c r="B868" s="1" t="n">
        <v>44367</v>
      </c>
      <c r="C868" s="1" t="n">
        <v>45566</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31186-2021</t>
        </is>
      </c>
      <c r="B869" s="1" t="n">
        <v>44368</v>
      </c>
      <c r="C869" s="1" t="n">
        <v>45566</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31181-2021</t>
        </is>
      </c>
      <c r="B870" s="1" t="n">
        <v>44368</v>
      </c>
      <c r="C870" s="1" t="n">
        <v>45566</v>
      </c>
      <c r="D870" t="inlineStr">
        <is>
          <t>VÄSTERBOTTENS LÄN</t>
        </is>
      </c>
      <c r="E870" t="inlineStr">
        <is>
          <t>SKELLEFTEÅ</t>
        </is>
      </c>
      <c r="G870" t="n">
        <v>6.3</v>
      </c>
      <c r="H870" t="n">
        <v>0</v>
      </c>
      <c r="I870" t="n">
        <v>0</v>
      </c>
      <c r="J870" t="n">
        <v>0</v>
      </c>
      <c r="K870" t="n">
        <v>0</v>
      </c>
      <c r="L870" t="n">
        <v>0</v>
      </c>
      <c r="M870" t="n">
        <v>0</v>
      </c>
      <c r="N870" t="n">
        <v>0</v>
      </c>
      <c r="O870" t="n">
        <v>0</v>
      </c>
      <c r="P870" t="n">
        <v>0</v>
      </c>
      <c r="Q870" t="n">
        <v>0</v>
      </c>
      <c r="R870" s="2" t="inlineStr"/>
    </row>
    <row r="871" ht="15" customHeight="1">
      <c r="A871" t="inlineStr">
        <is>
          <t>A 31197-2021</t>
        </is>
      </c>
      <c r="B871" s="1" t="n">
        <v>44368</v>
      </c>
      <c r="C871" s="1" t="n">
        <v>45566</v>
      </c>
      <c r="D871" t="inlineStr">
        <is>
          <t>VÄSTERBOTTENS LÄN</t>
        </is>
      </c>
      <c r="E871" t="inlineStr">
        <is>
          <t>SKELLEFTEÅ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31251-2021</t>
        </is>
      </c>
      <c r="B872" s="1" t="n">
        <v>44368</v>
      </c>
      <c r="C872" s="1" t="n">
        <v>45566</v>
      </c>
      <c r="D872" t="inlineStr">
        <is>
          <t>VÄSTERBOTTENS LÄN</t>
        </is>
      </c>
      <c r="E872" t="inlineStr">
        <is>
          <t>SKELLEFTEÅ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31419-2021</t>
        </is>
      </c>
      <c r="B873" s="1" t="n">
        <v>44368</v>
      </c>
      <c r="C873" s="1" t="n">
        <v>45566</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31395-2021</t>
        </is>
      </c>
      <c r="B874" s="1" t="n">
        <v>44369</v>
      </c>
      <c r="C874" s="1" t="n">
        <v>45566</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31766-2021</t>
        </is>
      </c>
      <c r="B875" s="1" t="n">
        <v>44369</v>
      </c>
      <c r="C875" s="1" t="n">
        <v>45566</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32114-2021</t>
        </is>
      </c>
      <c r="B876" s="1" t="n">
        <v>44371</v>
      </c>
      <c r="C876" s="1" t="n">
        <v>45566</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32439-2021</t>
        </is>
      </c>
      <c r="B877" s="1" t="n">
        <v>44371</v>
      </c>
      <c r="C877" s="1" t="n">
        <v>45566</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32438-2021</t>
        </is>
      </c>
      <c r="B878" s="1" t="n">
        <v>44371</v>
      </c>
      <c r="C878" s="1" t="n">
        <v>45566</v>
      </c>
      <c r="D878" t="inlineStr">
        <is>
          <t>VÄSTERBOTTENS LÄN</t>
        </is>
      </c>
      <c r="E878" t="inlineStr">
        <is>
          <t>SKELLEFTEÅ</t>
        </is>
      </c>
      <c r="G878" t="n">
        <v>4.7</v>
      </c>
      <c r="H878" t="n">
        <v>0</v>
      </c>
      <c r="I878" t="n">
        <v>0</v>
      </c>
      <c r="J878" t="n">
        <v>0</v>
      </c>
      <c r="K878" t="n">
        <v>0</v>
      </c>
      <c r="L878" t="n">
        <v>0</v>
      </c>
      <c r="M878" t="n">
        <v>0</v>
      </c>
      <c r="N878" t="n">
        <v>0</v>
      </c>
      <c r="O878" t="n">
        <v>0</v>
      </c>
      <c r="P878" t="n">
        <v>0</v>
      </c>
      <c r="Q878" t="n">
        <v>0</v>
      </c>
      <c r="R878" s="2" t="inlineStr"/>
    </row>
    <row r="879" ht="15" customHeight="1">
      <c r="A879" t="inlineStr">
        <is>
          <t>A 32616-2021</t>
        </is>
      </c>
      <c r="B879" s="1" t="n">
        <v>44371</v>
      </c>
      <c r="C879" s="1" t="n">
        <v>45566</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32585-2021</t>
        </is>
      </c>
      <c r="B880" s="1" t="n">
        <v>44375</v>
      </c>
      <c r="C880" s="1" t="n">
        <v>45566</v>
      </c>
      <c r="D880" t="inlineStr">
        <is>
          <t>VÄSTERBOTTENS LÄN</t>
        </is>
      </c>
      <c r="E880" t="inlineStr">
        <is>
          <t>SKELLEFTEÅ</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32917-2021</t>
        </is>
      </c>
      <c r="B881" s="1" t="n">
        <v>44375</v>
      </c>
      <c r="C881" s="1" t="n">
        <v>45566</v>
      </c>
      <c r="D881" t="inlineStr">
        <is>
          <t>VÄSTERBOTTENS LÄN</t>
        </is>
      </c>
      <c r="E881" t="inlineStr">
        <is>
          <t>SKELLEFTEÅ</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33236-2021</t>
        </is>
      </c>
      <c r="B882" s="1" t="n">
        <v>44376</v>
      </c>
      <c r="C882" s="1" t="n">
        <v>45566</v>
      </c>
      <c r="D882" t="inlineStr">
        <is>
          <t>VÄSTERBOTTENS LÄN</t>
        </is>
      </c>
      <c r="E882" t="inlineStr">
        <is>
          <t>SKELLEFTEÅ</t>
        </is>
      </c>
      <c r="G882" t="n">
        <v>5.4</v>
      </c>
      <c r="H882" t="n">
        <v>0</v>
      </c>
      <c r="I882" t="n">
        <v>0</v>
      </c>
      <c r="J882" t="n">
        <v>0</v>
      </c>
      <c r="K882" t="n">
        <v>0</v>
      </c>
      <c r="L882" t="n">
        <v>0</v>
      </c>
      <c r="M882" t="n">
        <v>0</v>
      </c>
      <c r="N882" t="n">
        <v>0</v>
      </c>
      <c r="O882" t="n">
        <v>0</v>
      </c>
      <c r="P882" t="n">
        <v>0</v>
      </c>
      <c r="Q882" t="n">
        <v>0</v>
      </c>
      <c r="R882" s="2" t="inlineStr"/>
    </row>
    <row r="883" ht="15" customHeight="1">
      <c r="A883" t="inlineStr">
        <is>
          <t>A 33283-2021</t>
        </is>
      </c>
      <c r="B883" s="1" t="n">
        <v>44377</v>
      </c>
      <c r="C883" s="1" t="n">
        <v>45566</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33284-2021</t>
        </is>
      </c>
      <c r="B884" s="1" t="n">
        <v>44377</v>
      </c>
      <c r="C884" s="1" t="n">
        <v>45566</v>
      </c>
      <c r="D884" t="inlineStr">
        <is>
          <t>VÄSTERBOTTENS LÄN</t>
        </is>
      </c>
      <c r="E884" t="inlineStr">
        <is>
          <t>SKELLEFTEÅ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33373-2021</t>
        </is>
      </c>
      <c r="B885" s="1" t="n">
        <v>44377</v>
      </c>
      <c r="C885" s="1" t="n">
        <v>45566</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33473-2021</t>
        </is>
      </c>
      <c r="B886" s="1" t="n">
        <v>44377</v>
      </c>
      <c r="C886" s="1" t="n">
        <v>45566</v>
      </c>
      <c r="D886" t="inlineStr">
        <is>
          <t>VÄSTERBOTTENS LÄN</t>
        </is>
      </c>
      <c r="E886" t="inlineStr">
        <is>
          <t>SKELLEFTEÅ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33520-2021</t>
        </is>
      </c>
      <c r="B887" s="1" t="n">
        <v>44377</v>
      </c>
      <c r="C887" s="1" t="n">
        <v>45566</v>
      </c>
      <c r="D887" t="inlineStr">
        <is>
          <t>VÄSTERBOTTENS LÄN</t>
        </is>
      </c>
      <c r="E887" t="inlineStr">
        <is>
          <t>SKELLEFTEÅ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33576-2021</t>
        </is>
      </c>
      <c r="B888" s="1" t="n">
        <v>44378</v>
      </c>
      <c r="C888" s="1" t="n">
        <v>45566</v>
      </c>
      <c r="D888" t="inlineStr">
        <is>
          <t>VÄSTERBOTTENS LÄN</t>
        </is>
      </c>
      <c r="E888" t="inlineStr">
        <is>
          <t>SKELLEFTEÅ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33519-2021</t>
        </is>
      </c>
      <c r="B889" s="1" t="n">
        <v>44377</v>
      </c>
      <c r="C889" s="1" t="n">
        <v>45566</v>
      </c>
      <c r="D889" t="inlineStr">
        <is>
          <t>VÄSTERBOTTENS LÄN</t>
        </is>
      </c>
      <c r="E889" t="inlineStr">
        <is>
          <t>SKELLEFTEÅ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33680-2021</t>
        </is>
      </c>
      <c r="B890" s="1" t="n">
        <v>44378</v>
      </c>
      <c r="C890" s="1" t="n">
        <v>45566</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33661-2021</t>
        </is>
      </c>
      <c r="B891" s="1" t="n">
        <v>44378</v>
      </c>
      <c r="C891" s="1" t="n">
        <v>45566</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33687-2021</t>
        </is>
      </c>
      <c r="B892" s="1" t="n">
        <v>44378</v>
      </c>
      <c r="C892" s="1" t="n">
        <v>45566</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33841-2021</t>
        </is>
      </c>
      <c r="B893" s="1" t="n">
        <v>44378</v>
      </c>
      <c r="C893" s="1" t="n">
        <v>45566</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34111-2021</t>
        </is>
      </c>
      <c r="B894" s="1" t="n">
        <v>44379</v>
      </c>
      <c r="C894" s="1" t="n">
        <v>45566</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34633-2021</t>
        </is>
      </c>
      <c r="B895" s="1" t="n">
        <v>44382</v>
      </c>
      <c r="C895" s="1" t="n">
        <v>45566</v>
      </c>
      <c r="D895" t="inlineStr">
        <is>
          <t>VÄSTERBOTTENS LÄN</t>
        </is>
      </c>
      <c r="E895" t="inlineStr">
        <is>
          <t>SKELLEFTEÅ</t>
        </is>
      </c>
      <c r="G895" t="n">
        <v>4.2</v>
      </c>
      <c r="H895" t="n">
        <v>0</v>
      </c>
      <c r="I895" t="n">
        <v>0</v>
      </c>
      <c r="J895" t="n">
        <v>0</v>
      </c>
      <c r="K895" t="n">
        <v>0</v>
      </c>
      <c r="L895" t="n">
        <v>0</v>
      </c>
      <c r="M895" t="n">
        <v>0</v>
      </c>
      <c r="N895" t="n">
        <v>0</v>
      </c>
      <c r="O895" t="n">
        <v>0</v>
      </c>
      <c r="P895" t="n">
        <v>0</v>
      </c>
      <c r="Q895" t="n">
        <v>0</v>
      </c>
      <c r="R895" s="2" t="inlineStr"/>
    </row>
    <row r="896" ht="15" customHeight="1">
      <c r="A896" t="inlineStr">
        <is>
          <t>A 34773-2021</t>
        </is>
      </c>
      <c r="B896" s="1" t="n">
        <v>44382</v>
      </c>
      <c r="C896" s="1" t="n">
        <v>45566</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35049-2021</t>
        </is>
      </c>
      <c r="B897" s="1" t="n">
        <v>44384</v>
      </c>
      <c r="C897" s="1" t="n">
        <v>45566</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35087-2021</t>
        </is>
      </c>
      <c r="B898" s="1" t="n">
        <v>44383</v>
      </c>
      <c r="C898" s="1" t="n">
        <v>45566</v>
      </c>
      <c r="D898" t="inlineStr">
        <is>
          <t>VÄSTERBOTTENS LÄN</t>
        </is>
      </c>
      <c r="E898" t="inlineStr">
        <is>
          <t>SKELLEFTEÅ</t>
        </is>
      </c>
      <c r="G898" t="n">
        <v>7</v>
      </c>
      <c r="H898" t="n">
        <v>0</v>
      </c>
      <c r="I898" t="n">
        <v>0</v>
      </c>
      <c r="J898" t="n">
        <v>0</v>
      </c>
      <c r="K898" t="n">
        <v>0</v>
      </c>
      <c r="L898" t="n">
        <v>0</v>
      </c>
      <c r="M898" t="n">
        <v>0</v>
      </c>
      <c r="N898" t="n">
        <v>0</v>
      </c>
      <c r="O898" t="n">
        <v>0</v>
      </c>
      <c r="P898" t="n">
        <v>0</v>
      </c>
      <c r="Q898" t="n">
        <v>0</v>
      </c>
      <c r="R898" s="2" t="inlineStr"/>
    </row>
    <row r="899" ht="15" customHeight="1">
      <c r="A899" t="inlineStr">
        <is>
          <t>A 35078-2021</t>
        </is>
      </c>
      <c r="B899" s="1" t="n">
        <v>44384</v>
      </c>
      <c r="C899" s="1" t="n">
        <v>45566</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35442-2021</t>
        </is>
      </c>
      <c r="B900" s="1" t="n">
        <v>44384</v>
      </c>
      <c r="C900" s="1" t="n">
        <v>45566</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35435-2021</t>
        </is>
      </c>
      <c r="B901" s="1" t="n">
        <v>44385</v>
      </c>
      <c r="C901" s="1" t="n">
        <v>45566</v>
      </c>
      <c r="D901" t="inlineStr">
        <is>
          <t>VÄSTERBOTTENS LÄN</t>
        </is>
      </c>
      <c r="E901" t="inlineStr">
        <is>
          <t>SKELLEFTEÅ</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35578-2021</t>
        </is>
      </c>
      <c r="B902" s="1" t="n">
        <v>44386</v>
      </c>
      <c r="C902" s="1" t="n">
        <v>45566</v>
      </c>
      <c r="D902" t="inlineStr">
        <is>
          <t>VÄSTERBOTTENS LÄN</t>
        </is>
      </c>
      <c r="E902" t="inlineStr">
        <is>
          <t>SKELLEFTEÅ</t>
        </is>
      </c>
      <c r="F902" t="inlineStr">
        <is>
          <t>Sveaskog</t>
        </is>
      </c>
      <c r="G902" t="n">
        <v>15.5</v>
      </c>
      <c r="H902" t="n">
        <v>0</v>
      </c>
      <c r="I902" t="n">
        <v>0</v>
      </c>
      <c r="J902" t="n">
        <v>0</v>
      </c>
      <c r="K902" t="n">
        <v>0</v>
      </c>
      <c r="L902" t="n">
        <v>0</v>
      </c>
      <c r="M902" t="n">
        <v>0</v>
      </c>
      <c r="N902" t="n">
        <v>0</v>
      </c>
      <c r="O902" t="n">
        <v>0</v>
      </c>
      <c r="P902" t="n">
        <v>0</v>
      </c>
      <c r="Q902" t="n">
        <v>0</v>
      </c>
      <c r="R902" s="2" t="inlineStr"/>
    </row>
    <row r="903" ht="15" customHeight="1">
      <c r="A903" t="inlineStr">
        <is>
          <t>A 35650-2021</t>
        </is>
      </c>
      <c r="B903" s="1" t="n">
        <v>44386</v>
      </c>
      <c r="C903" s="1" t="n">
        <v>45566</v>
      </c>
      <c r="D903" t="inlineStr">
        <is>
          <t>VÄSTERBOTTENS LÄN</t>
        </is>
      </c>
      <c r="E903" t="inlineStr">
        <is>
          <t>SKELLEFTEÅ</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36086-2021</t>
        </is>
      </c>
      <c r="B904" s="1" t="n">
        <v>44386</v>
      </c>
      <c r="C904" s="1" t="n">
        <v>45566</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36564-2021</t>
        </is>
      </c>
      <c r="B905" s="1" t="n">
        <v>44391</v>
      </c>
      <c r="C905" s="1" t="n">
        <v>45566</v>
      </c>
      <c r="D905" t="inlineStr">
        <is>
          <t>VÄSTERBOTTENS LÄN</t>
        </is>
      </c>
      <c r="E905" t="inlineStr">
        <is>
          <t>SKELLEFTEÅ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36588-2021</t>
        </is>
      </c>
      <c r="B906" s="1" t="n">
        <v>44391</v>
      </c>
      <c r="C906" s="1" t="n">
        <v>45566</v>
      </c>
      <c r="D906" t="inlineStr">
        <is>
          <t>VÄSTERBOTTENS LÄN</t>
        </is>
      </c>
      <c r="E906" t="inlineStr">
        <is>
          <t>SKELLEFTEÅ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36603-2021</t>
        </is>
      </c>
      <c r="B907" s="1" t="n">
        <v>44391</v>
      </c>
      <c r="C907" s="1" t="n">
        <v>45566</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36609-2021</t>
        </is>
      </c>
      <c r="B908" s="1" t="n">
        <v>44391</v>
      </c>
      <c r="C908" s="1" t="n">
        <v>45566</v>
      </c>
      <c r="D908" t="inlineStr">
        <is>
          <t>VÄSTERBOTTENS LÄN</t>
        </is>
      </c>
      <c r="E908" t="inlineStr">
        <is>
          <t>SKELLEFTEÅ</t>
        </is>
      </c>
      <c r="G908" t="n">
        <v>10.6</v>
      </c>
      <c r="H908" t="n">
        <v>0</v>
      </c>
      <c r="I908" t="n">
        <v>0</v>
      </c>
      <c r="J908" t="n">
        <v>0</v>
      </c>
      <c r="K908" t="n">
        <v>0</v>
      </c>
      <c r="L908" t="n">
        <v>0</v>
      </c>
      <c r="M908" t="n">
        <v>0</v>
      </c>
      <c r="N908" t="n">
        <v>0</v>
      </c>
      <c r="O908" t="n">
        <v>0</v>
      </c>
      <c r="P908" t="n">
        <v>0</v>
      </c>
      <c r="Q908" t="n">
        <v>0</v>
      </c>
      <c r="R908" s="2" t="inlineStr"/>
    </row>
    <row r="909" ht="15" customHeight="1">
      <c r="A909" t="inlineStr">
        <is>
          <t>A 37210-2021</t>
        </is>
      </c>
      <c r="B909" s="1" t="n">
        <v>44396</v>
      </c>
      <c r="C909" s="1" t="n">
        <v>45566</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37211-2021</t>
        </is>
      </c>
      <c r="B910" s="1" t="n">
        <v>44396</v>
      </c>
      <c r="C910" s="1" t="n">
        <v>45566</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37208-2021</t>
        </is>
      </c>
      <c r="B911" s="1" t="n">
        <v>44396</v>
      </c>
      <c r="C911" s="1" t="n">
        <v>45566</v>
      </c>
      <c r="D911" t="inlineStr">
        <is>
          <t>VÄSTERBOTTENS LÄN</t>
        </is>
      </c>
      <c r="E911" t="inlineStr">
        <is>
          <t>SKELLEFTEÅ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37498-2021</t>
        </is>
      </c>
      <c r="B912" s="1" t="n">
        <v>44399</v>
      </c>
      <c r="C912" s="1" t="n">
        <v>45566</v>
      </c>
      <c r="D912" t="inlineStr">
        <is>
          <t>VÄSTERBOTTENS LÄN</t>
        </is>
      </c>
      <c r="E912" t="inlineStr">
        <is>
          <t>SKELLEFTEÅ</t>
        </is>
      </c>
      <c r="G912" t="n">
        <v>12.8</v>
      </c>
      <c r="H912" t="n">
        <v>0</v>
      </c>
      <c r="I912" t="n">
        <v>0</v>
      </c>
      <c r="J912" t="n">
        <v>0</v>
      </c>
      <c r="K912" t="n">
        <v>0</v>
      </c>
      <c r="L912" t="n">
        <v>0</v>
      </c>
      <c r="M912" t="n">
        <v>0</v>
      </c>
      <c r="N912" t="n">
        <v>0</v>
      </c>
      <c r="O912" t="n">
        <v>0</v>
      </c>
      <c r="P912" t="n">
        <v>0</v>
      </c>
      <c r="Q912" t="n">
        <v>0</v>
      </c>
      <c r="R912" s="2" t="inlineStr"/>
    </row>
    <row r="913" ht="15" customHeight="1">
      <c r="A913" t="inlineStr">
        <is>
          <t>A 37792-2021</t>
        </is>
      </c>
      <c r="B913" s="1" t="n">
        <v>44401</v>
      </c>
      <c r="C913" s="1" t="n">
        <v>45566</v>
      </c>
      <c r="D913" t="inlineStr">
        <is>
          <t>VÄSTERBOTTENS LÄN</t>
        </is>
      </c>
      <c r="E913" t="inlineStr">
        <is>
          <t>SKELLEFTEÅ</t>
        </is>
      </c>
      <c r="G913" t="n">
        <v>2.5</v>
      </c>
      <c r="H913" t="n">
        <v>0</v>
      </c>
      <c r="I913" t="n">
        <v>0</v>
      </c>
      <c r="J913" t="n">
        <v>0</v>
      </c>
      <c r="K913" t="n">
        <v>0</v>
      </c>
      <c r="L913" t="n">
        <v>0</v>
      </c>
      <c r="M913" t="n">
        <v>0</v>
      </c>
      <c r="N913" t="n">
        <v>0</v>
      </c>
      <c r="O913" t="n">
        <v>0</v>
      </c>
      <c r="P913" t="n">
        <v>0</v>
      </c>
      <c r="Q913" t="n">
        <v>0</v>
      </c>
      <c r="R913" s="2" t="inlineStr"/>
    </row>
    <row r="914" ht="15" customHeight="1">
      <c r="A914" t="inlineStr">
        <is>
          <t>A 37937-2021</t>
        </is>
      </c>
      <c r="B914" s="1" t="n">
        <v>44403</v>
      </c>
      <c r="C914" s="1" t="n">
        <v>45566</v>
      </c>
      <c r="D914" t="inlineStr">
        <is>
          <t>VÄSTERBOTTENS LÄN</t>
        </is>
      </c>
      <c r="E914" t="inlineStr">
        <is>
          <t>SKELLEFTEÅ</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37938-2021</t>
        </is>
      </c>
      <c r="B915" s="1" t="n">
        <v>44403</v>
      </c>
      <c r="C915" s="1" t="n">
        <v>45566</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38026-2021</t>
        </is>
      </c>
      <c r="B916" s="1" t="n">
        <v>44404</v>
      </c>
      <c r="C916" s="1" t="n">
        <v>45566</v>
      </c>
      <c r="D916" t="inlineStr">
        <is>
          <t>VÄSTERBOTTENS LÄN</t>
        </is>
      </c>
      <c r="E916" t="inlineStr">
        <is>
          <t>SKELLEFTEÅ</t>
        </is>
      </c>
      <c r="F916" t="inlineStr">
        <is>
          <t>Holmen skog AB</t>
        </is>
      </c>
      <c r="G916" t="n">
        <v>7.8</v>
      </c>
      <c r="H916" t="n">
        <v>0</v>
      </c>
      <c r="I916" t="n">
        <v>0</v>
      </c>
      <c r="J916" t="n">
        <v>0</v>
      </c>
      <c r="K916" t="n">
        <v>0</v>
      </c>
      <c r="L916" t="n">
        <v>0</v>
      </c>
      <c r="M916" t="n">
        <v>0</v>
      </c>
      <c r="N916" t="n">
        <v>0</v>
      </c>
      <c r="O916" t="n">
        <v>0</v>
      </c>
      <c r="P916" t="n">
        <v>0</v>
      </c>
      <c r="Q916" t="n">
        <v>0</v>
      </c>
      <c r="R916" s="2" t="inlineStr"/>
    </row>
    <row r="917" ht="15" customHeight="1">
      <c r="A917" t="inlineStr">
        <is>
          <t>A 38260-2021</t>
        </is>
      </c>
      <c r="B917" s="1" t="n">
        <v>44405</v>
      </c>
      <c r="C917" s="1" t="n">
        <v>45566</v>
      </c>
      <c r="D917" t="inlineStr">
        <is>
          <t>VÄSTERBOTTENS LÄN</t>
        </is>
      </c>
      <c r="E917" t="inlineStr">
        <is>
          <t>SKELLEFTEÅ</t>
        </is>
      </c>
      <c r="G917" t="n">
        <v>8.5</v>
      </c>
      <c r="H917" t="n">
        <v>0</v>
      </c>
      <c r="I917" t="n">
        <v>0</v>
      </c>
      <c r="J917" t="n">
        <v>0</v>
      </c>
      <c r="K917" t="n">
        <v>0</v>
      </c>
      <c r="L917" t="n">
        <v>0</v>
      </c>
      <c r="M917" t="n">
        <v>0</v>
      </c>
      <c r="N917" t="n">
        <v>0</v>
      </c>
      <c r="O917" t="n">
        <v>0</v>
      </c>
      <c r="P917" t="n">
        <v>0</v>
      </c>
      <c r="Q917" t="n">
        <v>0</v>
      </c>
      <c r="R917" s="2" t="inlineStr"/>
    </row>
    <row r="918" ht="15" customHeight="1">
      <c r="A918" t="inlineStr">
        <is>
          <t>A 38504-2021</t>
        </is>
      </c>
      <c r="B918" s="1" t="n">
        <v>44407</v>
      </c>
      <c r="C918" s="1" t="n">
        <v>45566</v>
      </c>
      <c r="D918" t="inlineStr">
        <is>
          <t>VÄSTERBOTTENS LÄN</t>
        </is>
      </c>
      <c r="E918" t="inlineStr">
        <is>
          <t>SKELLEFTEÅ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38506-2021</t>
        </is>
      </c>
      <c r="B919" s="1" t="n">
        <v>44407</v>
      </c>
      <c r="C919" s="1" t="n">
        <v>45566</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38505-2021</t>
        </is>
      </c>
      <c r="B920" s="1" t="n">
        <v>44407</v>
      </c>
      <c r="C920" s="1" t="n">
        <v>45566</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39035-2021</t>
        </is>
      </c>
      <c r="B921" s="1" t="n">
        <v>44411</v>
      </c>
      <c r="C921" s="1" t="n">
        <v>45566</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39623-2021</t>
        </is>
      </c>
      <c r="B922" s="1" t="n">
        <v>44413</v>
      </c>
      <c r="C922" s="1" t="n">
        <v>45566</v>
      </c>
      <c r="D922" t="inlineStr">
        <is>
          <t>VÄSTERBOTTENS LÄN</t>
        </is>
      </c>
      <c r="E922" t="inlineStr">
        <is>
          <t>SKELLEFTEÅ</t>
        </is>
      </c>
      <c r="G922" t="n">
        <v>2.5</v>
      </c>
      <c r="H922" t="n">
        <v>0</v>
      </c>
      <c r="I922" t="n">
        <v>0</v>
      </c>
      <c r="J922" t="n">
        <v>0</v>
      </c>
      <c r="K922" t="n">
        <v>0</v>
      </c>
      <c r="L922" t="n">
        <v>0</v>
      </c>
      <c r="M922" t="n">
        <v>0</v>
      </c>
      <c r="N922" t="n">
        <v>0</v>
      </c>
      <c r="O922" t="n">
        <v>0</v>
      </c>
      <c r="P922" t="n">
        <v>0</v>
      </c>
      <c r="Q922" t="n">
        <v>0</v>
      </c>
      <c r="R922" s="2" t="inlineStr"/>
    </row>
    <row r="923" ht="15" customHeight="1">
      <c r="A923" t="inlineStr">
        <is>
          <t>A 39185-2021</t>
        </is>
      </c>
      <c r="B923" s="1" t="n">
        <v>44413</v>
      </c>
      <c r="C923" s="1" t="n">
        <v>45566</v>
      </c>
      <c r="D923" t="inlineStr">
        <is>
          <t>VÄSTERBOTTENS LÄN</t>
        </is>
      </c>
      <c r="E923" t="inlineStr">
        <is>
          <t>SKELLEFTEÅ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39277-2021</t>
        </is>
      </c>
      <c r="B924" s="1" t="n">
        <v>44413</v>
      </c>
      <c r="C924" s="1" t="n">
        <v>45566</v>
      </c>
      <c r="D924" t="inlineStr">
        <is>
          <t>VÄSTERBOTTENS LÄN</t>
        </is>
      </c>
      <c r="E924" t="inlineStr">
        <is>
          <t>SKELLEFTEÅ</t>
        </is>
      </c>
      <c r="F924" t="inlineStr">
        <is>
          <t>Holmen skog AB</t>
        </is>
      </c>
      <c r="G924" t="n">
        <v>6.3</v>
      </c>
      <c r="H924" t="n">
        <v>0</v>
      </c>
      <c r="I924" t="n">
        <v>0</v>
      </c>
      <c r="J924" t="n">
        <v>0</v>
      </c>
      <c r="K924" t="n">
        <v>0</v>
      </c>
      <c r="L924" t="n">
        <v>0</v>
      </c>
      <c r="M924" t="n">
        <v>0</v>
      </c>
      <c r="N924" t="n">
        <v>0</v>
      </c>
      <c r="O924" t="n">
        <v>0</v>
      </c>
      <c r="P924" t="n">
        <v>0</v>
      </c>
      <c r="Q924" t="n">
        <v>0</v>
      </c>
      <c r="R924" s="2" t="inlineStr"/>
    </row>
    <row r="925" ht="15" customHeight="1">
      <c r="A925" t="inlineStr">
        <is>
          <t>A 39192-2021</t>
        </is>
      </c>
      <c r="B925" s="1" t="n">
        <v>44413</v>
      </c>
      <c r="C925" s="1" t="n">
        <v>45566</v>
      </c>
      <c r="D925" t="inlineStr">
        <is>
          <t>VÄSTERBOTTENS LÄN</t>
        </is>
      </c>
      <c r="E925" t="inlineStr">
        <is>
          <t>SKELLEFTEÅ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39226-2021</t>
        </is>
      </c>
      <c r="B926" s="1" t="n">
        <v>44413</v>
      </c>
      <c r="C926" s="1" t="n">
        <v>45566</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39589-2021</t>
        </is>
      </c>
      <c r="B927" s="1" t="n">
        <v>44413</v>
      </c>
      <c r="C927" s="1" t="n">
        <v>45566</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39590-2021</t>
        </is>
      </c>
      <c r="B928" s="1" t="n">
        <v>44413</v>
      </c>
      <c r="C928" s="1" t="n">
        <v>45566</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39553-2021</t>
        </is>
      </c>
      <c r="B929" s="1" t="n">
        <v>44416</v>
      </c>
      <c r="C929" s="1" t="n">
        <v>45566</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39827-2021</t>
        </is>
      </c>
      <c r="B930" s="1" t="n">
        <v>44417</v>
      </c>
      <c r="C930" s="1" t="n">
        <v>45566</v>
      </c>
      <c r="D930" t="inlineStr">
        <is>
          <t>VÄSTERBOTTENS LÄN</t>
        </is>
      </c>
      <c r="E930" t="inlineStr">
        <is>
          <t>SKELLEFTEÅ</t>
        </is>
      </c>
      <c r="G930" t="n">
        <v>3.8</v>
      </c>
      <c r="H930" t="n">
        <v>0</v>
      </c>
      <c r="I930" t="n">
        <v>0</v>
      </c>
      <c r="J930" t="n">
        <v>0</v>
      </c>
      <c r="K930" t="n">
        <v>0</v>
      </c>
      <c r="L930" t="n">
        <v>0</v>
      </c>
      <c r="M930" t="n">
        <v>0</v>
      </c>
      <c r="N930" t="n">
        <v>0</v>
      </c>
      <c r="O930" t="n">
        <v>0</v>
      </c>
      <c r="P930" t="n">
        <v>0</v>
      </c>
      <c r="Q930" t="n">
        <v>0</v>
      </c>
      <c r="R930" s="2" t="inlineStr"/>
    </row>
    <row r="931" ht="15" customHeight="1">
      <c r="A931" t="inlineStr">
        <is>
          <t>A 40683-2021</t>
        </is>
      </c>
      <c r="B931" s="1" t="n">
        <v>44420</v>
      </c>
      <c r="C931" s="1" t="n">
        <v>45566</v>
      </c>
      <c r="D931" t="inlineStr">
        <is>
          <t>VÄSTERBOTTENS LÄN</t>
        </is>
      </c>
      <c r="E931" t="inlineStr">
        <is>
          <t>SKELLEFTEÅ</t>
        </is>
      </c>
      <c r="G931" t="n">
        <v>37</v>
      </c>
      <c r="H931" t="n">
        <v>0</v>
      </c>
      <c r="I931" t="n">
        <v>0</v>
      </c>
      <c r="J931" t="n">
        <v>0</v>
      </c>
      <c r="K931" t="n">
        <v>0</v>
      </c>
      <c r="L931" t="n">
        <v>0</v>
      </c>
      <c r="M931" t="n">
        <v>0</v>
      </c>
      <c r="N931" t="n">
        <v>0</v>
      </c>
      <c r="O931" t="n">
        <v>0</v>
      </c>
      <c r="P931" t="n">
        <v>0</v>
      </c>
      <c r="Q931" t="n">
        <v>0</v>
      </c>
      <c r="R931" s="2" t="inlineStr"/>
    </row>
    <row r="932" ht="15" customHeight="1">
      <c r="A932" t="inlineStr">
        <is>
          <t>A 40828-2021</t>
        </is>
      </c>
      <c r="B932" s="1" t="n">
        <v>44421</v>
      </c>
      <c r="C932" s="1" t="n">
        <v>45566</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40906-2021</t>
        </is>
      </c>
      <c r="B933" s="1" t="n">
        <v>44421</v>
      </c>
      <c r="C933" s="1" t="n">
        <v>45566</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40929-2021</t>
        </is>
      </c>
      <c r="B934" s="1" t="n">
        <v>44421</v>
      </c>
      <c r="C934" s="1" t="n">
        <v>45566</v>
      </c>
      <c r="D934" t="inlineStr">
        <is>
          <t>VÄSTERBOTTENS LÄN</t>
        </is>
      </c>
      <c r="E934" t="inlineStr">
        <is>
          <t>SKELLEFTEÅ</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40898-2021</t>
        </is>
      </c>
      <c r="B935" s="1" t="n">
        <v>44421</v>
      </c>
      <c r="C935" s="1" t="n">
        <v>45566</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41464-2021</t>
        </is>
      </c>
      <c r="B936" s="1" t="n">
        <v>44424</v>
      </c>
      <c r="C936" s="1" t="n">
        <v>45566</v>
      </c>
      <c r="D936" t="inlineStr">
        <is>
          <t>VÄSTERBOTTENS LÄN</t>
        </is>
      </c>
      <c r="E936" t="inlineStr">
        <is>
          <t>SKELLEFTEÅ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41507-2021</t>
        </is>
      </c>
      <c r="B937" s="1" t="n">
        <v>44425</v>
      </c>
      <c r="C937" s="1" t="n">
        <v>45566</v>
      </c>
      <c r="D937" t="inlineStr">
        <is>
          <t>VÄSTERBOTTENS LÄN</t>
        </is>
      </c>
      <c r="E937" t="inlineStr">
        <is>
          <t>SKELLEFTEÅ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42057-2021</t>
        </is>
      </c>
      <c r="B938" s="1" t="n">
        <v>44426</v>
      </c>
      <c r="C938" s="1" t="n">
        <v>45566</v>
      </c>
      <c r="D938" t="inlineStr">
        <is>
          <t>VÄSTERBOTTENS LÄN</t>
        </is>
      </c>
      <c r="E938" t="inlineStr">
        <is>
          <t>SKELLEFTEÅ</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41993-2021</t>
        </is>
      </c>
      <c r="B939" s="1" t="n">
        <v>44426</v>
      </c>
      <c r="C939" s="1" t="n">
        <v>45566</v>
      </c>
      <c r="D939" t="inlineStr">
        <is>
          <t>VÄSTERBOTTENS LÄN</t>
        </is>
      </c>
      <c r="E939" t="inlineStr">
        <is>
          <t>SKELLEFTEÅ</t>
        </is>
      </c>
      <c r="F939" t="inlineStr">
        <is>
          <t>Sveaskog</t>
        </is>
      </c>
      <c r="G939" t="n">
        <v>14.3</v>
      </c>
      <c r="H939" t="n">
        <v>0</v>
      </c>
      <c r="I939" t="n">
        <v>0</v>
      </c>
      <c r="J939" t="n">
        <v>0</v>
      </c>
      <c r="K939" t="n">
        <v>0</v>
      </c>
      <c r="L939" t="n">
        <v>0</v>
      </c>
      <c r="M939" t="n">
        <v>0</v>
      </c>
      <c r="N939" t="n">
        <v>0</v>
      </c>
      <c r="O939" t="n">
        <v>0</v>
      </c>
      <c r="P939" t="n">
        <v>0</v>
      </c>
      <c r="Q939" t="n">
        <v>0</v>
      </c>
      <c r="R939" s="2" t="inlineStr"/>
    </row>
    <row r="940" ht="15" customHeight="1">
      <c r="A940" t="inlineStr">
        <is>
          <t>A 42026-2021</t>
        </is>
      </c>
      <c r="B940" s="1" t="n">
        <v>44426</v>
      </c>
      <c r="C940" s="1" t="n">
        <v>45566</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42323-2021</t>
        </is>
      </c>
      <c r="B941" s="1" t="n">
        <v>44426</v>
      </c>
      <c r="C941" s="1" t="n">
        <v>45566</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42367-2021</t>
        </is>
      </c>
      <c r="B942" s="1" t="n">
        <v>44427</v>
      </c>
      <c r="C942" s="1" t="n">
        <v>45566</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42557-2021</t>
        </is>
      </c>
      <c r="B943" s="1" t="n">
        <v>44428</v>
      </c>
      <c r="C943" s="1" t="n">
        <v>45566</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42609-2021</t>
        </is>
      </c>
      <c r="B944" s="1" t="n">
        <v>44428</v>
      </c>
      <c r="C944" s="1" t="n">
        <v>45566</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43228-2021</t>
        </is>
      </c>
      <c r="B945" s="1" t="n">
        <v>44432</v>
      </c>
      <c r="C945" s="1" t="n">
        <v>45566</v>
      </c>
      <c r="D945" t="inlineStr">
        <is>
          <t>VÄSTERBOTTENS LÄN</t>
        </is>
      </c>
      <c r="E945" t="inlineStr">
        <is>
          <t>SKELLEFTEÅ</t>
        </is>
      </c>
      <c r="G945" t="n">
        <v>10.6</v>
      </c>
      <c r="H945" t="n">
        <v>0</v>
      </c>
      <c r="I945" t="n">
        <v>0</v>
      </c>
      <c r="J945" t="n">
        <v>0</v>
      </c>
      <c r="K945" t="n">
        <v>0</v>
      </c>
      <c r="L945" t="n">
        <v>0</v>
      </c>
      <c r="M945" t="n">
        <v>0</v>
      </c>
      <c r="N945" t="n">
        <v>0</v>
      </c>
      <c r="O945" t="n">
        <v>0</v>
      </c>
      <c r="P945" t="n">
        <v>0</v>
      </c>
      <c r="Q945" t="n">
        <v>0</v>
      </c>
      <c r="R945" s="2" t="inlineStr"/>
    </row>
    <row r="946" ht="15" customHeight="1">
      <c r="A946" t="inlineStr">
        <is>
          <t>A 43252-2021</t>
        </is>
      </c>
      <c r="B946" s="1" t="n">
        <v>44432</v>
      </c>
      <c r="C946" s="1" t="n">
        <v>45566</v>
      </c>
      <c r="D946" t="inlineStr">
        <is>
          <t>VÄSTERBOTTENS LÄN</t>
        </is>
      </c>
      <c r="E946" t="inlineStr">
        <is>
          <t>SKELLEFTEÅ</t>
        </is>
      </c>
      <c r="G946" t="n">
        <v>2.3</v>
      </c>
      <c r="H946" t="n">
        <v>0</v>
      </c>
      <c r="I946" t="n">
        <v>0</v>
      </c>
      <c r="J946" t="n">
        <v>0</v>
      </c>
      <c r="K946" t="n">
        <v>0</v>
      </c>
      <c r="L946" t="n">
        <v>0</v>
      </c>
      <c r="M946" t="n">
        <v>0</v>
      </c>
      <c r="N946" t="n">
        <v>0</v>
      </c>
      <c r="O946" t="n">
        <v>0</v>
      </c>
      <c r="P946" t="n">
        <v>0</v>
      </c>
      <c r="Q946" t="n">
        <v>0</v>
      </c>
      <c r="R946" s="2" t="inlineStr"/>
    </row>
    <row r="947" ht="15" customHeight="1">
      <c r="A947" t="inlineStr">
        <is>
          <t>A 43863-2021</t>
        </is>
      </c>
      <c r="B947" s="1" t="n">
        <v>44433</v>
      </c>
      <c r="C947" s="1" t="n">
        <v>45566</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44090-2021</t>
        </is>
      </c>
      <c r="B948" s="1" t="n">
        <v>44434</v>
      </c>
      <c r="C948" s="1" t="n">
        <v>45566</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44570-2021</t>
        </is>
      </c>
      <c r="B949" s="1" t="n">
        <v>44435</v>
      </c>
      <c r="C949" s="1" t="n">
        <v>45566</v>
      </c>
      <c r="D949" t="inlineStr">
        <is>
          <t>VÄSTERBOTTENS LÄN</t>
        </is>
      </c>
      <c r="E949" t="inlineStr">
        <is>
          <t>SKELLEFTEÅ</t>
        </is>
      </c>
      <c r="F949" t="inlineStr">
        <is>
          <t>Sveaskog</t>
        </is>
      </c>
      <c r="G949" t="n">
        <v>11.4</v>
      </c>
      <c r="H949" t="n">
        <v>0</v>
      </c>
      <c r="I949" t="n">
        <v>0</v>
      </c>
      <c r="J949" t="n">
        <v>0</v>
      </c>
      <c r="K949" t="n">
        <v>0</v>
      </c>
      <c r="L949" t="n">
        <v>0</v>
      </c>
      <c r="M949" t="n">
        <v>0</v>
      </c>
      <c r="N949" t="n">
        <v>0</v>
      </c>
      <c r="O949" t="n">
        <v>0</v>
      </c>
      <c r="P949" t="n">
        <v>0</v>
      </c>
      <c r="Q949" t="n">
        <v>0</v>
      </c>
      <c r="R949" s="2" t="inlineStr"/>
    </row>
    <row r="950" ht="15" customHeight="1">
      <c r="A950" t="inlineStr">
        <is>
          <t>A 45043-2021</t>
        </is>
      </c>
      <c r="B950" s="1" t="n">
        <v>44438</v>
      </c>
      <c r="C950" s="1" t="n">
        <v>45566</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45036-2021</t>
        </is>
      </c>
      <c r="B951" s="1" t="n">
        <v>44438</v>
      </c>
      <c r="C951" s="1" t="n">
        <v>45566</v>
      </c>
      <c r="D951" t="inlineStr">
        <is>
          <t>VÄSTERBOTTENS LÄN</t>
        </is>
      </c>
      <c r="E951" t="inlineStr">
        <is>
          <t>SKELLEFTEÅ</t>
        </is>
      </c>
      <c r="G951" t="n">
        <v>5.1</v>
      </c>
      <c r="H951" t="n">
        <v>0</v>
      </c>
      <c r="I951" t="n">
        <v>0</v>
      </c>
      <c r="J951" t="n">
        <v>0</v>
      </c>
      <c r="K951" t="n">
        <v>0</v>
      </c>
      <c r="L951" t="n">
        <v>0</v>
      </c>
      <c r="M951" t="n">
        <v>0</v>
      </c>
      <c r="N951" t="n">
        <v>0</v>
      </c>
      <c r="O951" t="n">
        <v>0</v>
      </c>
      <c r="P951" t="n">
        <v>0</v>
      </c>
      <c r="Q951" t="n">
        <v>0</v>
      </c>
      <c r="R951" s="2" t="inlineStr"/>
    </row>
    <row r="952" ht="15" customHeight="1">
      <c r="A952" t="inlineStr">
        <is>
          <t>A 45384-2021</t>
        </is>
      </c>
      <c r="B952" s="1" t="n">
        <v>44440</v>
      </c>
      <c r="C952" s="1" t="n">
        <v>45566</v>
      </c>
      <c r="D952" t="inlineStr">
        <is>
          <t>VÄSTERBOTTENS LÄN</t>
        </is>
      </c>
      <c r="E952" t="inlineStr">
        <is>
          <t>SKELLEFTEÅ</t>
        </is>
      </c>
      <c r="G952" t="n">
        <v>1.8</v>
      </c>
      <c r="H952" t="n">
        <v>0</v>
      </c>
      <c r="I952" t="n">
        <v>0</v>
      </c>
      <c r="J952" t="n">
        <v>0</v>
      </c>
      <c r="K952" t="n">
        <v>0</v>
      </c>
      <c r="L952" t="n">
        <v>0</v>
      </c>
      <c r="M952" t="n">
        <v>0</v>
      </c>
      <c r="N952" t="n">
        <v>0</v>
      </c>
      <c r="O952" t="n">
        <v>0</v>
      </c>
      <c r="P952" t="n">
        <v>0</v>
      </c>
      <c r="Q952" t="n">
        <v>0</v>
      </c>
      <c r="R952" s="2" t="inlineStr"/>
    </row>
    <row r="953" ht="15" customHeight="1">
      <c r="A953" t="inlineStr">
        <is>
          <t>A 45406-2021</t>
        </is>
      </c>
      <c r="B953" s="1" t="n">
        <v>44440</v>
      </c>
      <c r="C953" s="1" t="n">
        <v>45566</v>
      </c>
      <c r="D953" t="inlineStr">
        <is>
          <t>VÄSTERBOTTENS LÄN</t>
        </is>
      </c>
      <c r="E953" t="inlineStr">
        <is>
          <t>SKELLEFTEÅ</t>
        </is>
      </c>
      <c r="G953" t="n">
        <v>3.3</v>
      </c>
      <c r="H953" t="n">
        <v>0</v>
      </c>
      <c r="I953" t="n">
        <v>0</v>
      </c>
      <c r="J953" t="n">
        <v>0</v>
      </c>
      <c r="K953" t="n">
        <v>0</v>
      </c>
      <c r="L953" t="n">
        <v>0</v>
      </c>
      <c r="M953" t="n">
        <v>0</v>
      </c>
      <c r="N953" t="n">
        <v>0</v>
      </c>
      <c r="O953" t="n">
        <v>0</v>
      </c>
      <c r="P953" t="n">
        <v>0</v>
      </c>
      <c r="Q953" t="n">
        <v>0</v>
      </c>
      <c r="R953" s="2" t="inlineStr"/>
    </row>
    <row r="954" ht="15" customHeight="1">
      <c r="A954" t="inlineStr">
        <is>
          <t>A 45389-2021</t>
        </is>
      </c>
      <c r="B954" s="1" t="n">
        <v>44440</v>
      </c>
      <c r="C954" s="1" t="n">
        <v>45566</v>
      </c>
      <c r="D954" t="inlineStr">
        <is>
          <t>VÄSTERBOTTENS LÄN</t>
        </is>
      </c>
      <c r="E954" t="inlineStr">
        <is>
          <t>SKELLEFTEÅ</t>
        </is>
      </c>
      <c r="G954" t="n">
        <v>0.3</v>
      </c>
      <c r="H954" t="n">
        <v>0</v>
      </c>
      <c r="I954" t="n">
        <v>0</v>
      </c>
      <c r="J954" t="n">
        <v>0</v>
      </c>
      <c r="K954" t="n">
        <v>0</v>
      </c>
      <c r="L954" t="n">
        <v>0</v>
      </c>
      <c r="M954" t="n">
        <v>0</v>
      </c>
      <c r="N954" t="n">
        <v>0</v>
      </c>
      <c r="O954" t="n">
        <v>0</v>
      </c>
      <c r="P954" t="n">
        <v>0</v>
      </c>
      <c r="Q954" t="n">
        <v>0</v>
      </c>
      <c r="R954" s="2" t="inlineStr"/>
    </row>
    <row r="955" ht="15" customHeight="1">
      <c r="A955" t="inlineStr">
        <is>
          <t>A 46005-2021</t>
        </is>
      </c>
      <c r="B955" s="1" t="n">
        <v>44441</v>
      </c>
      <c r="C955" s="1" t="n">
        <v>45566</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46006-2021</t>
        </is>
      </c>
      <c r="B956" s="1" t="n">
        <v>44441</v>
      </c>
      <c r="C956" s="1" t="n">
        <v>45566</v>
      </c>
      <c r="D956" t="inlineStr">
        <is>
          <t>VÄSTERBOTTENS LÄN</t>
        </is>
      </c>
      <c r="E956" t="inlineStr">
        <is>
          <t>SKELLEFTEÅ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46178-2021</t>
        </is>
      </c>
      <c r="B957" s="1" t="n">
        <v>44441</v>
      </c>
      <c r="C957" s="1" t="n">
        <v>45566</v>
      </c>
      <c r="D957" t="inlineStr">
        <is>
          <t>VÄSTERBOTTENS LÄN</t>
        </is>
      </c>
      <c r="E957" t="inlineStr">
        <is>
          <t>SKELLEFTEÅ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46619-2021</t>
        </is>
      </c>
      <c r="B958" s="1" t="n">
        <v>44442</v>
      </c>
      <c r="C958" s="1" t="n">
        <v>45566</v>
      </c>
      <c r="D958" t="inlineStr">
        <is>
          <t>VÄSTERBOTTENS LÄN</t>
        </is>
      </c>
      <c r="E958" t="inlineStr">
        <is>
          <t>SKELLEFTEÅ</t>
        </is>
      </c>
      <c r="G958" t="n">
        <v>0</v>
      </c>
      <c r="H958" t="n">
        <v>0</v>
      </c>
      <c r="I958" t="n">
        <v>0</v>
      </c>
      <c r="J958" t="n">
        <v>0</v>
      </c>
      <c r="K958" t="n">
        <v>0</v>
      </c>
      <c r="L958" t="n">
        <v>0</v>
      </c>
      <c r="M958" t="n">
        <v>0</v>
      </c>
      <c r="N958" t="n">
        <v>0</v>
      </c>
      <c r="O958" t="n">
        <v>0</v>
      </c>
      <c r="P958" t="n">
        <v>0</v>
      </c>
      <c r="Q958" t="n">
        <v>0</v>
      </c>
      <c r="R958" s="2" t="inlineStr"/>
    </row>
    <row r="959" ht="15" customHeight="1">
      <c r="A959" t="inlineStr">
        <is>
          <t>A 46628-2021</t>
        </is>
      </c>
      <c r="B959" s="1" t="n">
        <v>44445</v>
      </c>
      <c r="C959" s="1" t="n">
        <v>45566</v>
      </c>
      <c r="D959" t="inlineStr">
        <is>
          <t>VÄSTERBOTTENS LÄN</t>
        </is>
      </c>
      <c r="E959" t="inlineStr">
        <is>
          <t>SKELLEFTEÅ</t>
        </is>
      </c>
      <c r="G959" t="n">
        <v>1.7</v>
      </c>
      <c r="H959" t="n">
        <v>0</v>
      </c>
      <c r="I959" t="n">
        <v>0</v>
      </c>
      <c r="J959" t="n">
        <v>0</v>
      </c>
      <c r="K959" t="n">
        <v>0</v>
      </c>
      <c r="L959" t="n">
        <v>0</v>
      </c>
      <c r="M959" t="n">
        <v>0</v>
      </c>
      <c r="N959" t="n">
        <v>0</v>
      </c>
      <c r="O959" t="n">
        <v>0</v>
      </c>
      <c r="P959" t="n">
        <v>0</v>
      </c>
      <c r="Q959" t="n">
        <v>0</v>
      </c>
      <c r="R959" s="2" t="inlineStr"/>
    </row>
    <row r="960" ht="15" customHeight="1">
      <c r="A960" t="inlineStr">
        <is>
          <t>A 47039-2021</t>
        </is>
      </c>
      <c r="B960" s="1" t="n">
        <v>44446</v>
      </c>
      <c r="C960" s="1" t="n">
        <v>45566</v>
      </c>
      <c r="D960" t="inlineStr">
        <is>
          <t>VÄSTERBOTTENS LÄN</t>
        </is>
      </c>
      <c r="E960" t="inlineStr">
        <is>
          <t>SKELLEFTEÅ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47610-2021</t>
        </is>
      </c>
      <c r="B961" s="1" t="n">
        <v>44448</v>
      </c>
      <c r="C961" s="1" t="n">
        <v>45566</v>
      </c>
      <c r="D961" t="inlineStr">
        <is>
          <t>VÄSTERBOTTENS LÄN</t>
        </is>
      </c>
      <c r="E961" t="inlineStr">
        <is>
          <t>SKELLEFTEÅ</t>
        </is>
      </c>
      <c r="G961" t="n">
        <v>7.9</v>
      </c>
      <c r="H961" t="n">
        <v>0</v>
      </c>
      <c r="I961" t="n">
        <v>0</v>
      </c>
      <c r="J961" t="n">
        <v>0</v>
      </c>
      <c r="K961" t="n">
        <v>0</v>
      </c>
      <c r="L961" t="n">
        <v>0</v>
      </c>
      <c r="M961" t="n">
        <v>0</v>
      </c>
      <c r="N961" t="n">
        <v>0</v>
      </c>
      <c r="O961" t="n">
        <v>0</v>
      </c>
      <c r="P961" t="n">
        <v>0</v>
      </c>
      <c r="Q961" t="n">
        <v>0</v>
      </c>
      <c r="R961" s="2" t="inlineStr"/>
    </row>
    <row r="962" ht="15" customHeight="1">
      <c r="A962" t="inlineStr">
        <is>
          <t>A 47974-2021</t>
        </is>
      </c>
      <c r="B962" s="1" t="n">
        <v>44448</v>
      </c>
      <c r="C962" s="1" t="n">
        <v>45566</v>
      </c>
      <c r="D962" t="inlineStr">
        <is>
          <t>VÄSTERBOTTENS LÄN</t>
        </is>
      </c>
      <c r="E962" t="inlineStr">
        <is>
          <t>SKELLEFTEÅ</t>
        </is>
      </c>
      <c r="G962" t="n">
        <v>5.9</v>
      </c>
      <c r="H962" t="n">
        <v>0</v>
      </c>
      <c r="I962" t="n">
        <v>0</v>
      </c>
      <c r="J962" t="n">
        <v>0</v>
      </c>
      <c r="K962" t="n">
        <v>0</v>
      </c>
      <c r="L962" t="n">
        <v>0</v>
      </c>
      <c r="M962" t="n">
        <v>0</v>
      </c>
      <c r="N962" t="n">
        <v>0</v>
      </c>
      <c r="O962" t="n">
        <v>0</v>
      </c>
      <c r="P962" t="n">
        <v>0</v>
      </c>
      <c r="Q962" t="n">
        <v>0</v>
      </c>
      <c r="R962" s="2" t="inlineStr"/>
    </row>
    <row r="963" ht="15" customHeight="1">
      <c r="A963" t="inlineStr">
        <is>
          <t>A 48015-2021</t>
        </is>
      </c>
      <c r="B963" s="1" t="n">
        <v>44449</v>
      </c>
      <c r="C963" s="1" t="n">
        <v>45566</v>
      </c>
      <c r="D963" t="inlineStr">
        <is>
          <t>VÄSTERBOTTENS LÄN</t>
        </is>
      </c>
      <c r="E963" t="inlineStr">
        <is>
          <t>SKELLEFTEÅ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48538-2021</t>
        </is>
      </c>
      <c r="B964" s="1" t="n">
        <v>44451</v>
      </c>
      <c r="C964" s="1" t="n">
        <v>45566</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50603-2021</t>
        </is>
      </c>
      <c r="B965" s="1" t="n">
        <v>44459</v>
      </c>
      <c r="C965" s="1" t="n">
        <v>45566</v>
      </c>
      <c r="D965" t="inlineStr">
        <is>
          <t>VÄSTERBOTTENS LÄN</t>
        </is>
      </c>
      <c r="E965" t="inlineStr">
        <is>
          <t>SKELLEFTEÅ</t>
        </is>
      </c>
      <c r="G965" t="n">
        <v>7.2</v>
      </c>
      <c r="H965" t="n">
        <v>0</v>
      </c>
      <c r="I965" t="n">
        <v>0</v>
      </c>
      <c r="J965" t="n">
        <v>0</v>
      </c>
      <c r="K965" t="n">
        <v>0</v>
      </c>
      <c r="L965" t="n">
        <v>0</v>
      </c>
      <c r="M965" t="n">
        <v>0</v>
      </c>
      <c r="N965" t="n">
        <v>0</v>
      </c>
      <c r="O965" t="n">
        <v>0</v>
      </c>
      <c r="P965" t="n">
        <v>0</v>
      </c>
      <c r="Q965" t="n">
        <v>0</v>
      </c>
      <c r="R965" s="2" t="inlineStr"/>
    </row>
    <row r="966" ht="15" customHeight="1">
      <c r="A966" t="inlineStr">
        <is>
          <t>A 50772-2021</t>
        </is>
      </c>
      <c r="B966" s="1" t="n">
        <v>44460</v>
      </c>
      <c r="C966" s="1" t="n">
        <v>45566</v>
      </c>
      <c r="D966" t="inlineStr">
        <is>
          <t>VÄSTERBOTTENS LÄN</t>
        </is>
      </c>
      <c r="E966" t="inlineStr">
        <is>
          <t>SKELLEFTEÅ</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51789-2021</t>
        </is>
      </c>
      <c r="B967" s="1" t="n">
        <v>44461</v>
      </c>
      <c r="C967" s="1" t="n">
        <v>45566</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51734-2021</t>
        </is>
      </c>
      <c r="B968" s="1" t="n">
        <v>44461</v>
      </c>
      <c r="C968" s="1" t="n">
        <v>45566</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51476-2021</t>
        </is>
      </c>
      <c r="B969" s="1" t="n">
        <v>44462</v>
      </c>
      <c r="C969" s="1" t="n">
        <v>45566</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51587-2021</t>
        </is>
      </c>
      <c r="B970" s="1" t="n">
        <v>44462</v>
      </c>
      <c r="C970" s="1" t="n">
        <v>45566</v>
      </c>
      <c r="D970" t="inlineStr">
        <is>
          <t>VÄSTERBOTTENS LÄN</t>
        </is>
      </c>
      <c r="E970" t="inlineStr">
        <is>
          <t>SKELLEFTEÅ</t>
        </is>
      </c>
      <c r="F970" t="inlineStr">
        <is>
          <t>Holmen skog AB</t>
        </is>
      </c>
      <c r="G970" t="n">
        <v>7.3</v>
      </c>
      <c r="H970" t="n">
        <v>0</v>
      </c>
      <c r="I970" t="n">
        <v>0</v>
      </c>
      <c r="J970" t="n">
        <v>0</v>
      </c>
      <c r="K970" t="n">
        <v>0</v>
      </c>
      <c r="L970" t="n">
        <v>0</v>
      </c>
      <c r="M970" t="n">
        <v>0</v>
      </c>
      <c r="N970" t="n">
        <v>0</v>
      </c>
      <c r="O970" t="n">
        <v>0</v>
      </c>
      <c r="P970" t="n">
        <v>0</v>
      </c>
      <c r="Q970" t="n">
        <v>0</v>
      </c>
      <c r="R970" s="2" t="inlineStr"/>
    </row>
    <row r="971" ht="15" customHeight="1">
      <c r="A971" t="inlineStr">
        <is>
          <t>A 51544-2021</t>
        </is>
      </c>
      <c r="B971" s="1" t="n">
        <v>44462</v>
      </c>
      <c r="C971" s="1" t="n">
        <v>45566</v>
      </c>
      <c r="D971" t="inlineStr">
        <is>
          <t>VÄSTERBOTTENS LÄN</t>
        </is>
      </c>
      <c r="E971" t="inlineStr">
        <is>
          <t>SKELLEFTEÅ</t>
        </is>
      </c>
      <c r="F971" t="inlineStr">
        <is>
          <t>Holmen skog AB</t>
        </is>
      </c>
      <c r="G971" t="n">
        <v>7</v>
      </c>
      <c r="H971" t="n">
        <v>0</v>
      </c>
      <c r="I971" t="n">
        <v>0</v>
      </c>
      <c r="J971" t="n">
        <v>0</v>
      </c>
      <c r="K971" t="n">
        <v>0</v>
      </c>
      <c r="L971" t="n">
        <v>0</v>
      </c>
      <c r="M971" t="n">
        <v>0</v>
      </c>
      <c r="N971" t="n">
        <v>0</v>
      </c>
      <c r="O971" t="n">
        <v>0</v>
      </c>
      <c r="P971" t="n">
        <v>0</v>
      </c>
      <c r="Q971" t="n">
        <v>0</v>
      </c>
      <c r="R971" s="2" t="inlineStr"/>
    </row>
    <row r="972" ht="15" customHeight="1">
      <c r="A972" t="inlineStr">
        <is>
          <t>A 52069-2021</t>
        </is>
      </c>
      <c r="B972" s="1" t="n">
        <v>44462</v>
      </c>
      <c r="C972" s="1" t="n">
        <v>45566</v>
      </c>
      <c r="D972" t="inlineStr">
        <is>
          <t>VÄSTERBOTTENS LÄN</t>
        </is>
      </c>
      <c r="E972" t="inlineStr">
        <is>
          <t>SKELLEFTEÅ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52080-2021</t>
        </is>
      </c>
      <c r="B973" s="1" t="n">
        <v>44463</v>
      </c>
      <c r="C973" s="1" t="n">
        <v>45566</v>
      </c>
      <c r="D973" t="inlineStr">
        <is>
          <t>VÄSTERBOTTENS LÄN</t>
        </is>
      </c>
      <c r="E973" t="inlineStr">
        <is>
          <t>SKELLEFTEÅ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52086-2021</t>
        </is>
      </c>
      <c r="B974" s="1" t="n">
        <v>44463</v>
      </c>
      <c r="C974" s="1" t="n">
        <v>45566</v>
      </c>
      <c r="D974" t="inlineStr">
        <is>
          <t>VÄSTERBOTTENS LÄN</t>
        </is>
      </c>
      <c r="E974" t="inlineStr">
        <is>
          <t>SKELLEFTEÅ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52453-2021</t>
        </is>
      </c>
      <c r="B975" s="1" t="n">
        <v>44463</v>
      </c>
      <c r="C975" s="1" t="n">
        <v>45566</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52462-2021</t>
        </is>
      </c>
      <c r="B976" s="1" t="n">
        <v>44463</v>
      </c>
      <c r="C976" s="1" t="n">
        <v>45566</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52746-2021</t>
        </is>
      </c>
      <c r="B977" s="1" t="n">
        <v>44467</v>
      </c>
      <c r="C977" s="1" t="n">
        <v>45566</v>
      </c>
      <c r="D977" t="inlineStr">
        <is>
          <t>VÄSTERBOTTENS LÄN</t>
        </is>
      </c>
      <c r="E977" t="inlineStr">
        <is>
          <t>SKELLEFTEÅ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53152-2021</t>
        </is>
      </c>
      <c r="B978" s="1" t="n">
        <v>44468</v>
      </c>
      <c r="C978" s="1" t="n">
        <v>45566</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54193-2021</t>
        </is>
      </c>
      <c r="B979" s="1" t="n">
        <v>44470</v>
      </c>
      <c r="C979" s="1" t="n">
        <v>45566</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54280-2021</t>
        </is>
      </c>
      <c r="B980" s="1" t="n">
        <v>44470</v>
      </c>
      <c r="C980" s="1" t="n">
        <v>45566</v>
      </c>
      <c r="D980" t="inlineStr">
        <is>
          <t>VÄSTERBOTTENS LÄN</t>
        </is>
      </c>
      <c r="E980" t="inlineStr">
        <is>
          <t>SKELLEFTEÅ</t>
        </is>
      </c>
      <c r="F980" t="inlineStr">
        <is>
          <t>Sveaskog</t>
        </is>
      </c>
      <c r="G980" t="n">
        <v>22.6</v>
      </c>
      <c r="H980" t="n">
        <v>0</v>
      </c>
      <c r="I980" t="n">
        <v>0</v>
      </c>
      <c r="J980" t="n">
        <v>0</v>
      </c>
      <c r="K980" t="n">
        <v>0</v>
      </c>
      <c r="L980" t="n">
        <v>0</v>
      </c>
      <c r="M980" t="n">
        <v>0</v>
      </c>
      <c r="N980" t="n">
        <v>0</v>
      </c>
      <c r="O980" t="n">
        <v>0</v>
      </c>
      <c r="P980" t="n">
        <v>0</v>
      </c>
      <c r="Q980" t="n">
        <v>0</v>
      </c>
      <c r="R980" s="2" t="inlineStr"/>
    </row>
    <row r="981" ht="15" customHeight="1">
      <c r="A981" t="inlineStr">
        <is>
          <t>A 54288-2021</t>
        </is>
      </c>
      <c r="B981" s="1" t="n">
        <v>44471</v>
      </c>
      <c r="C981" s="1" t="n">
        <v>45566</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54287-2021</t>
        </is>
      </c>
      <c r="B982" s="1" t="n">
        <v>44471</v>
      </c>
      <c r="C982" s="1" t="n">
        <v>45566</v>
      </c>
      <c r="D982" t="inlineStr">
        <is>
          <t>VÄSTERBOTTENS LÄN</t>
        </is>
      </c>
      <c r="E982" t="inlineStr">
        <is>
          <t>SKELLEFTEÅ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54384-2021</t>
        </is>
      </c>
      <c r="B983" s="1" t="n">
        <v>44473</v>
      </c>
      <c r="C983" s="1" t="n">
        <v>45566</v>
      </c>
      <c r="D983" t="inlineStr">
        <is>
          <t>VÄSTERBOTTENS LÄN</t>
        </is>
      </c>
      <c r="E983" t="inlineStr">
        <is>
          <t>SKELLEFTEÅ</t>
        </is>
      </c>
      <c r="G983" t="n">
        <v>3.5</v>
      </c>
      <c r="H983" t="n">
        <v>0</v>
      </c>
      <c r="I983" t="n">
        <v>0</v>
      </c>
      <c r="J983" t="n">
        <v>0</v>
      </c>
      <c r="K983" t="n">
        <v>0</v>
      </c>
      <c r="L983" t="n">
        <v>0</v>
      </c>
      <c r="M983" t="n">
        <v>0</v>
      </c>
      <c r="N983" t="n">
        <v>0</v>
      </c>
      <c r="O983" t="n">
        <v>0</v>
      </c>
      <c r="P983" t="n">
        <v>0</v>
      </c>
      <c r="Q983" t="n">
        <v>0</v>
      </c>
      <c r="R983" s="2" t="inlineStr"/>
    </row>
    <row r="984" ht="15" customHeight="1">
      <c r="A984" t="inlineStr">
        <is>
          <t>A 54863-2021</t>
        </is>
      </c>
      <c r="B984" s="1" t="n">
        <v>44473</v>
      </c>
      <c r="C984" s="1" t="n">
        <v>45566</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54850-2021</t>
        </is>
      </c>
      <c r="B985" s="1" t="n">
        <v>44473</v>
      </c>
      <c r="C985" s="1" t="n">
        <v>45566</v>
      </c>
      <c r="D985" t="inlineStr">
        <is>
          <t>VÄSTERBOTTENS LÄN</t>
        </is>
      </c>
      <c r="E985" t="inlineStr">
        <is>
          <t>SKELLEFTEÅ</t>
        </is>
      </c>
      <c r="G985" t="n">
        <v>18.4</v>
      </c>
      <c r="H985" t="n">
        <v>0</v>
      </c>
      <c r="I985" t="n">
        <v>0</v>
      </c>
      <c r="J985" t="n">
        <v>0</v>
      </c>
      <c r="K985" t="n">
        <v>0</v>
      </c>
      <c r="L985" t="n">
        <v>0</v>
      </c>
      <c r="M985" t="n">
        <v>0</v>
      </c>
      <c r="N985" t="n">
        <v>0</v>
      </c>
      <c r="O985" t="n">
        <v>0</v>
      </c>
      <c r="P985" t="n">
        <v>0</v>
      </c>
      <c r="Q985" t="n">
        <v>0</v>
      </c>
      <c r="R985" s="2" t="inlineStr"/>
    </row>
    <row r="986" ht="15" customHeight="1">
      <c r="A986" t="inlineStr">
        <is>
          <t>A 55067-2021</t>
        </is>
      </c>
      <c r="B986" s="1" t="n">
        <v>44474</v>
      </c>
      <c r="C986" s="1" t="n">
        <v>45566</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55032-2021</t>
        </is>
      </c>
      <c r="B987" s="1" t="n">
        <v>44474</v>
      </c>
      <c r="C987" s="1" t="n">
        <v>45566</v>
      </c>
      <c r="D987" t="inlineStr">
        <is>
          <t>VÄSTERBOTTENS LÄN</t>
        </is>
      </c>
      <c r="E987" t="inlineStr">
        <is>
          <t>SKELLEFTEÅ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55168-2021</t>
        </is>
      </c>
      <c r="B988" s="1" t="n">
        <v>44475</v>
      </c>
      <c r="C988" s="1" t="n">
        <v>45566</v>
      </c>
      <c r="D988" t="inlineStr">
        <is>
          <t>VÄSTERBOTTENS LÄN</t>
        </is>
      </c>
      <c r="E988" t="inlineStr">
        <is>
          <t>SKELLEFTEÅ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55206-2021</t>
        </is>
      </c>
      <c r="B989" s="1" t="n">
        <v>44475</v>
      </c>
      <c r="C989" s="1" t="n">
        <v>45566</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55182-2021</t>
        </is>
      </c>
      <c r="B990" s="1" t="n">
        <v>44475</v>
      </c>
      <c r="C990" s="1" t="n">
        <v>45566</v>
      </c>
      <c r="D990" t="inlineStr">
        <is>
          <t>VÄSTERBOTTENS LÄN</t>
        </is>
      </c>
      <c r="E990" t="inlineStr">
        <is>
          <t>SKELLEFTEÅ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55471-2021</t>
        </is>
      </c>
      <c r="B991" s="1" t="n">
        <v>44475</v>
      </c>
      <c r="C991" s="1" t="n">
        <v>45566</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55568-2021</t>
        </is>
      </c>
      <c r="B992" s="1" t="n">
        <v>44475</v>
      </c>
      <c r="C992" s="1" t="n">
        <v>45566</v>
      </c>
      <c r="D992" t="inlineStr">
        <is>
          <t>VÄSTERBOTTENS LÄN</t>
        </is>
      </c>
      <c r="E992" t="inlineStr">
        <is>
          <t>SKELLEFTEÅ</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55814-2021</t>
        </is>
      </c>
      <c r="B993" s="1" t="n">
        <v>44476</v>
      </c>
      <c r="C993" s="1" t="n">
        <v>45566</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56084-2021</t>
        </is>
      </c>
      <c r="B994" s="1" t="n">
        <v>44477</v>
      </c>
      <c r="C994" s="1" t="n">
        <v>45566</v>
      </c>
      <c r="D994" t="inlineStr">
        <is>
          <t>VÄSTERBOTTENS LÄN</t>
        </is>
      </c>
      <c r="E994" t="inlineStr">
        <is>
          <t>SKELLEFTEÅ</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56134-2021</t>
        </is>
      </c>
      <c r="B995" s="1" t="n">
        <v>44477</v>
      </c>
      <c r="C995" s="1" t="n">
        <v>45566</v>
      </c>
      <c r="D995" t="inlineStr">
        <is>
          <t>VÄSTERBOTTENS LÄN</t>
        </is>
      </c>
      <c r="E995" t="inlineStr">
        <is>
          <t>SKELLEFTEÅ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56001-2021</t>
        </is>
      </c>
      <c r="B996" s="1" t="n">
        <v>44477</v>
      </c>
      <c r="C996" s="1" t="n">
        <v>45566</v>
      </c>
      <c r="D996" t="inlineStr">
        <is>
          <t>VÄSTERBOTTENS LÄN</t>
        </is>
      </c>
      <c r="E996" t="inlineStr">
        <is>
          <t>SKELLEFTEÅ</t>
        </is>
      </c>
      <c r="G996" t="n">
        <v>7.6</v>
      </c>
      <c r="H996" t="n">
        <v>0</v>
      </c>
      <c r="I996" t="n">
        <v>0</v>
      </c>
      <c r="J996" t="n">
        <v>0</v>
      </c>
      <c r="K996" t="n">
        <v>0</v>
      </c>
      <c r="L996" t="n">
        <v>0</v>
      </c>
      <c r="M996" t="n">
        <v>0</v>
      </c>
      <c r="N996" t="n">
        <v>0</v>
      </c>
      <c r="O996" t="n">
        <v>0</v>
      </c>
      <c r="P996" t="n">
        <v>0</v>
      </c>
      <c r="Q996" t="n">
        <v>0</v>
      </c>
      <c r="R996" s="2" t="inlineStr"/>
    </row>
    <row r="997" ht="15" customHeight="1">
      <c r="A997" t="inlineStr">
        <is>
          <t>A 56536-2021</t>
        </is>
      </c>
      <c r="B997" s="1" t="n">
        <v>44480</v>
      </c>
      <c r="C997" s="1" t="n">
        <v>45566</v>
      </c>
      <c r="D997" t="inlineStr">
        <is>
          <t>VÄSTERBOTTENS LÄN</t>
        </is>
      </c>
      <c r="E997" t="inlineStr">
        <is>
          <t>SKELLEFTEÅ</t>
        </is>
      </c>
      <c r="F997" t="inlineStr">
        <is>
          <t>Holmen skog AB</t>
        </is>
      </c>
      <c r="G997" t="n">
        <v>8</v>
      </c>
      <c r="H997" t="n">
        <v>0</v>
      </c>
      <c r="I997" t="n">
        <v>0</v>
      </c>
      <c r="J997" t="n">
        <v>0</v>
      </c>
      <c r="K997" t="n">
        <v>0</v>
      </c>
      <c r="L997" t="n">
        <v>0</v>
      </c>
      <c r="M997" t="n">
        <v>0</v>
      </c>
      <c r="N997" t="n">
        <v>0</v>
      </c>
      <c r="O997" t="n">
        <v>0</v>
      </c>
      <c r="P997" t="n">
        <v>0</v>
      </c>
      <c r="Q997" t="n">
        <v>0</v>
      </c>
      <c r="R997" s="2" t="inlineStr"/>
    </row>
    <row r="998" ht="15" customHeight="1">
      <c r="A998" t="inlineStr">
        <is>
          <t>A 56540-2021</t>
        </is>
      </c>
      <c r="B998" s="1" t="n">
        <v>44480</v>
      </c>
      <c r="C998" s="1" t="n">
        <v>45566</v>
      </c>
      <c r="D998" t="inlineStr">
        <is>
          <t>VÄSTERBOTTENS LÄN</t>
        </is>
      </c>
      <c r="E998" t="inlineStr">
        <is>
          <t>SKELLEFTEÅ</t>
        </is>
      </c>
      <c r="G998" t="n">
        <v>10.5</v>
      </c>
      <c r="H998" t="n">
        <v>0</v>
      </c>
      <c r="I998" t="n">
        <v>0</v>
      </c>
      <c r="J998" t="n">
        <v>0</v>
      </c>
      <c r="K998" t="n">
        <v>0</v>
      </c>
      <c r="L998" t="n">
        <v>0</v>
      </c>
      <c r="M998" t="n">
        <v>0</v>
      </c>
      <c r="N998" t="n">
        <v>0</v>
      </c>
      <c r="O998" t="n">
        <v>0</v>
      </c>
      <c r="P998" t="n">
        <v>0</v>
      </c>
      <c r="Q998" t="n">
        <v>0</v>
      </c>
      <c r="R998" s="2" t="inlineStr"/>
    </row>
    <row r="999" ht="15" customHeight="1">
      <c r="A999" t="inlineStr">
        <is>
          <t>A 56627-2021</t>
        </is>
      </c>
      <c r="B999" s="1" t="n">
        <v>44480</v>
      </c>
      <c r="C999" s="1" t="n">
        <v>45566</v>
      </c>
      <c r="D999" t="inlineStr">
        <is>
          <t>VÄSTERBOTTENS LÄN</t>
        </is>
      </c>
      <c r="E999" t="inlineStr">
        <is>
          <t>SKELLEFTEÅ</t>
        </is>
      </c>
      <c r="F999" t="inlineStr">
        <is>
          <t>Sveaskog</t>
        </is>
      </c>
      <c r="G999" t="n">
        <v>20.1</v>
      </c>
      <c r="H999" t="n">
        <v>0</v>
      </c>
      <c r="I999" t="n">
        <v>0</v>
      </c>
      <c r="J999" t="n">
        <v>0</v>
      </c>
      <c r="K999" t="n">
        <v>0</v>
      </c>
      <c r="L999" t="n">
        <v>0</v>
      </c>
      <c r="M999" t="n">
        <v>0</v>
      </c>
      <c r="N999" t="n">
        <v>0</v>
      </c>
      <c r="O999" t="n">
        <v>0</v>
      </c>
      <c r="P999" t="n">
        <v>0</v>
      </c>
      <c r="Q999" t="n">
        <v>0</v>
      </c>
      <c r="R999" s="2" t="inlineStr"/>
    </row>
    <row r="1000" ht="15" customHeight="1">
      <c r="A1000" t="inlineStr">
        <is>
          <t>A 57197-2021</t>
        </is>
      </c>
      <c r="B1000" s="1" t="n">
        <v>44483</v>
      </c>
      <c r="C1000" s="1" t="n">
        <v>45566</v>
      </c>
      <c r="D1000" t="inlineStr">
        <is>
          <t>VÄSTERBOTTENS LÄN</t>
        </is>
      </c>
      <c r="E1000" t="inlineStr">
        <is>
          <t>SKELLEFTEÅ</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57370-2021</t>
        </is>
      </c>
      <c r="B1001" s="1" t="n">
        <v>44483</v>
      </c>
      <c r="C1001" s="1" t="n">
        <v>45566</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57530-2021</t>
        </is>
      </c>
      <c r="B1002" s="1" t="n">
        <v>44483</v>
      </c>
      <c r="C1002" s="1" t="n">
        <v>45566</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57978-2021</t>
        </is>
      </c>
      <c r="B1003" s="1" t="n">
        <v>44484</v>
      </c>
      <c r="C1003" s="1" t="n">
        <v>45566</v>
      </c>
      <c r="D1003" t="inlineStr">
        <is>
          <t>VÄSTERBOTTENS LÄN</t>
        </is>
      </c>
      <c r="E1003" t="inlineStr">
        <is>
          <t>SKELLEFTEÅ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57714-2021</t>
        </is>
      </c>
      <c r="B1004" s="1" t="n">
        <v>44484</v>
      </c>
      <c r="C1004" s="1" t="n">
        <v>45566</v>
      </c>
      <c r="D1004" t="inlineStr">
        <is>
          <t>VÄSTERBOTTENS LÄN</t>
        </is>
      </c>
      <c r="E1004" t="inlineStr">
        <is>
          <t>SKELLEFTEÅ</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57966-2021</t>
        </is>
      </c>
      <c r="B1005" s="1" t="n">
        <v>44484</v>
      </c>
      <c r="C1005" s="1" t="n">
        <v>45566</v>
      </c>
      <c r="D1005" t="inlineStr">
        <is>
          <t>VÄSTERBOTTENS LÄN</t>
        </is>
      </c>
      <c r="E1005" t="inlineStr">
        <is>
          <t>SKELLEFTEÅ</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58303-2021</t>
        </is>
      </c>
      <c r="B1006" s="1" t="n">
        <v>44488</v>
      </c>
      <c r="C1006" s="1" t="n">
        <v>45566</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58570-2021</t>
        </is>
      </c>
      <c r="B1007" s="1" t="n">
        <v>44489</v>
      </c>
      <c r="C1007" s="1" t="n">
        <v>45566</v>
      </c>
      <c r="D1007" t="inlineStr">
        <is>
          <t>VÄSTERBOTTENS LÄN</t>
        </is>
      </c>
      <c r="E1007" t="inlineStr">
        <is>
          <t>SKELLEFTEÅ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58808-2021</t>
        </is>
      </c>
      <c r="B1008" s="1" t="n">
        <v>44489</v>
      </c>
      <c r="C1008" s="1" t="n">
        <v>45566</v>
      </c>
      <c r="D1008" t="inlineStr">
        <is>
          <t>VÄSTERBOTTENS LÄN</t>
        </is>
      </c>
      <c r="E1008" t="inlineStr">
        <is>
          <t>SKELLEFTEÅ</t>
        </is>
      </c>
      <c r="F1008" t="inlineStr">
        <is>
          <t>Sveaskog</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58844-2021</t>
        </is>
      </c>
      <c r="B1009" s="1" t="n">
        <v>44489</v>
      </c>
      <c r="C1009" s="1" t="n">
        <v>45566</v>
      </c>
      <c r="D1009" t="inlineStr">
        <is>
          <t>VÄSTERBOTTENS LÄN</t>
        </is>
      </c>
      <c r="E1009" t="inlineStr">
        <is>
          <t>SKELLEFTEÅ</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58813-2021</t>
        </is>
      </c>
      <c r="B1010" s="1" t="n">
        <v>44489</v>
      </c>
      <c r="C1010" s="1" t="n">
        <v>45566</v>
      </c>
      <c r="D1010" t="inlineStr">
        <is>
          <t>VÄSTERBOTTENS LÄN</t>
        </is>
      </c>
      <c r="E1010" t="inlineStr">
        <is>
          <t>SKELLEFTEÅ</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58847-2021</t>
        </is>
      </c>
      <c r="B1011" s="1" t="n">
        <v>44489</v>
      </c>
      <c r="C1011" s="1" t="n">
        <v>45566</v>
      </c>
      <c r="D1011" t="inlineStr">
        <is>
          <t>VÄSTERBOTTENS LÄN</t>
        </is>
      </c>
      <c r="E1011" t="inlineStr">
        <is>
          <t>SKELLEFTEÅ</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58872-2021</t>
        </is>
      </c>
      <c r="B1012" s="1" t="n">
        <v>44489</v>
      </c>
      <c r="C1012" s="1" t="n">
        <v>45566</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58811-2021</t>
        </is>
      </c>
      <c r="B1013" s="1" t="n">
        <v>44489</v>
      </c>
      <c r="C1013" s="1" t="n">
        <v>45566</v>
      </c>
      <c r="D1013" t="inlineStr">
        <is>
          <t>VÄSTERBOTTENS LÄN</t>
        </is>
      </c>
      <c r="E1013" t="inlineStr">
        <is>
          <t>SKELLEFTEÅ</t>
        </is>
      </c>
      <c r="F1013" t="inlineStr">
        <is>
          <t>Holmen skog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59180-2021</t>
        </is>
      </c>
      <c r="B1014" s="1" t="n">
        <v>44489</v>
      </c>
      <c r="C1014" s="1" t="n">
        <v>45566</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59171-2021</t>
        </is>
      </c>
      <c r="B1015" s="1" t="n">
        <v>44489</v>
      </c>
      <c r="C1015" s="1" t="n">
        <v>45566</v>
      </c>
      <c r="D1015" t="inlineStr">
        <is>
          <t>VÄSTERBOTTENS LÄN</t>
        </is>
      </c>
      <c r="E1015" t="inlineStr">
        <is>
          <t>SKELLEFTEÅ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58892-2021</t>
        </is>
      </c>
      <c r="B1016" s="1" t="n">
        <v>44489</v>
      </c>
      <c r="C1016" s="1" t="n">
        <v>45566</v>
      </c>
      <c r="D1016" t="inlineStr">
        <is>
          <t>VÄSTERBOTTENS LÄN</t>
        </is>
      </c>
      <c r="E1016" t="inlineStr">
        <is>
          <t>SKELLEFTEÅ</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59457-2021</t>
        </is>
      </c>
      <c r="B1017" s="1" t="n">
        <v>44491</v>
      </c>
      <c r="C1017" s="1" t="n">
        <v>45566</v>
      </c>
      <c r="D1017" t="inlineStr">
        <is>
          <t>VÄSTERBOTTENS LÄN</t>
        </is>
      </c>
      <c r="E1017" t="inlineStr">
        <is>
          <t>SKELLEFTEÅ</t>
        </is>
      </c>
      <c r="F1017" t="inlineStr">
        <is>
          <t>Sveaskog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59372-2021</t>
        </is>
      </c>
      <c r="B1018" s="1" t="n">
        <v>44491</v>
      </c>
      <c r="C1018" s="1" t="n">
        <v>45566</v>
      </c>
      <c r="D1018" t="inlineStr">
        <is>
          <t>VÄSTERBOTTENS LÄN</t>
        </is>
      </c>
      <c r="E1018" t="inlineStr">
        <is>
          <t>SKELLEFTEÅ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59851-2021</t>
        </is>
      </c>
      <c r="B1019" s="1" t="n">
        <v>44491</v>
      </c>
      <c r="C1019" s="1" t="n">
        <v>45566</v>
      </c>
      <c r="D1019" t="inlineStr">
        <is>
          <t>VÄSTERBOTTENS LÄN</t>
        </is>
      </c>
      <c r="E1019" t="inlineStr">
        <is>
          <t>SKELLEFTEÅ</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59522-2021</t>
        </is>
      </c>
      <c r="B1020" s="1" t="n">
        <v>44491</v>
      </c>
      <c r="C1020" s="1" t="n">
        <v>45566</v>
      </c>
      <c r="D1020" t="inlineStr">
        <is>
          <t>VÄSTERBOTTENS LÄN</t>
        </is>
      </c>
      <c r="E1020" t="inlineStr">
        <is>
          <t>SKELLEFTEÅ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59659-2021</t>
        </is>
      </c>
      <c r="B1021" s="1" t="n">
        <v>44491</v>
      </c>
      <c r="C1021" s="1" t="n">
        <v>45566</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59647-2021</t>
        </is>
      </c>
      <c r="B1022" s="1" t="n">
        <v>44493</v>
      </c>
      <c r="C1022" s="1" t="n">
        <v>45566</v>
      </c>
      <c r="D1022" t="inlineStr">
        <is>
          <t>VÄSTERBOTTENS LÄN</t>
        </is>
      </c>
      <c r="E1022" t="inlineStr">
        <is>
          <t>SKELLEFTEÅ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59711-2021</t>
        </is>
      </c>
      <c r="B1023" s="1" t="n">
        <v>44494</v>
      </c>
      <c r="C1023" s="1" t="n">
        <v>45566</v>
      </c>
      <c r="D1023" t="inlineStr">
        <is>
          <t>VÄSTERBOTTENS LÄN</t>
        </is>
      </c>
      <c r="E1023" t="inlineStr">
        <is>
          <t>SKELLEFTEÅ</t>
        </is>
      </c>
      <c r="F1023" t="inlineStr">
        <is>
          <t>Sveaskog</t>
        </is>
      </c>
      <c r="G1023" t="n">
        <v>33.9</v>
      </c>
      <c r="H1023" t="n">
        <v>0</v>
      </c>
      <c r="I1023" t="n">
        <v>0</v>
      </c>
      <c r="J1023" t="n">
        <v>0</v>
      </c>
      <c r="K1023" t="n">
        <v>0</v>
      </c>
      <c r="L1023" t="n">
        <v>0</v>
      </c>
      <c r="M1023" t="n">
        <v>0</v>
      </c>
      <c r="N1023" t="n">
        <v>0</v>
      </c>
      <c r="O1023" t="n">
        <v>0</v>
      </c>
      <c r="P1023" t="n">
        <v>0</v>
      </c>
      <c r="Q1023" t="n">
        <v>0</v>
      </c>
      <c r="R1023" s="2" t="inlineStr"/>
    </row>
    <row r="1024" ht="15" customHeight="1">
      <c r="A1024" t="inlineStr">
        <is>
          <t>A 59748-2021</t>
        </is>
      </c>
      <c r="B1024" s="1" t="n">
        <v>44494</v>
      </c>
      <c r="C1024" s="1" t="n">
        <v>45566</v>
      </c>
      <c r="D1024" t="inlineStr">
        <is>
          <t>VÄSTERBOTTENS LÄN</t>
        </is>
      </c>
      <c r="E1024" t="inlineStr">
        <is>
          <t>SKELLEFTEÅ</t>
        </is>
      </c>
      <c r="F1024" t="inlineStr">
        <is>
          <t>Sveaskog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59717-2021</t>
        </is>
      </c>
      <c r="B1025" s="1" t="n">
        <v>44494</v>
      </c>
      <c r="C1025" s="1" t="n">
        <v>45566</v>
      </c>
      <c r="D1025" t="inlineStr">
        <is>
          <t>VÄSTERBOTTENS LÄN</t>
        </is>
      </c>
      <c r="E1025" t="inlineStr">
        <is>
          <t>SKELLEFTEÅ</t>
        </is>
      </c>
      <c r="F1025" t="inlineStr">
        <is>
          <t>Sveaskog</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59736-2021</t>
        </is>
      </c>
      <c r="B1026" s="1" t="n">
        <v>44494</v>
      </c>
      <c r="C1026" s="1" t="n">
        <v>45566</v>
      </c>
      <c r="D1026" t="inlineStr">
        <is>
          <t>VÄSTERBOTTENS LÄN</t>
        </is>
      </c>
      <c r="E1026" t="inlineStr">
        <is>
          <t>SKELLEFTEÅ</t>
        </is>
      </c>
      <c r="F1026" t="inlineStr">
        <is>
          <t>Sveaskog</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59859-2021</t>
        </is>
      </c>
      <c r="B1027" s="1" t="n">
        <v>44494</v>
      </c>
      <c r="C1027" s="1" t="n">
        <v>45566</v>
      </c>
      <c r="D1027" t="inlineStr">
        <is>
          <t>VÄSTERBOTTENS LÄN</t>
        </is>
      </c>
      <c r="E1027" t="inlineStr">
        <is>
          <t>SKELLEFTEÅ</t>
        </is>
      </c>
      <c r="F1027" t="inlineStr">
        <is>
          <t>Holmen skog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60066-2021</t>
        </is>
      </c>
      <c r="B1028" s="1" t="n">
        <v>44494</v>
      </c>
      <c r="C1028" s="1" t="n">
        <v>45566</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60107-2021</t>
        </is>
      </c>
      <c r="B1029" s="1" t="n">
        <v>44495</v>
      </c>
      <c r="C1029" s="1" t="n">
        <v>45566</v>
      </c>
      <c r="D1029" t="inlineStr">
        <is>
          <t>VÄSTERBOTTENS LÄN</t>
        </is>
      </c>
      <c r="E1029" t="inlineStr">
        <is>
          <t>SKELLEFTEÅ</t>
        </is>
      </c>
      <c r="F1029" t="inlineStr">
        <is>
          <t>Holmen skog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60539-2021</t>
        </is>
      </c>
      <c r="B1030" s="1" t="n">
        <v>44495</v>
      </c>
      <c r="C1030" s="1" t="n">
        <v>45566</v>
      </c>
      <c r="D1030" t="inlineStr">
        <is>
          <t>VÄSTERBOTTENS LÄN</t>
        </is>
      </c>
      <c r="E1030" t="inlineStr">
        <is>
          <t>SKELLEFTEÅ</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61656-2021</t>
        </is>
      </c>
      <c r="B1031" s="1" t="n">
        <v>44501</v>
      </c>
      <c r="C1031" s="1" t="n">
        <v>45566</v>
      </c>
      <c r="D1031" t="inlineStr">
        <is>
          <t>VÄSTERBOTTENS LÄN</t>
        </is>
      </c>
      <c r="E1031" t="inlineStr">
        <is>
          <t>SKELLEFTEÅ</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61811-2021</t>
        </is>
      </c>
      <c r="B1032" s="1" t="n">
        <v>44501</v>
      </c>
      <c r="C1032" s="1" t="n">
        <v>45566</v>
      </c>
      <c r="D1032" t="inlineStr">
        <is>
          <t>VÄSTERBOTTENS LÄN</t>
        </is>
      </c>
      <c r="E1032" t="inlineStr">
        <is>
          <t>SKELLEFTEÅ</t>
        </is>
      </c>
      <c r="F1032" t="inlineStr">
        <is>
          <t>Sveaskog</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61844-2021</t>
        </is>
      </c>
      <c r="B1033" s="1" t="n">
        <v>44501</v>
      </c>
      <c r="C1033" s="1" t="n">
        <v>45566</v>
      </c>
      <c r="D1033" t="inlineStr">
        <is>
          <t>VÄSTERBOTTENS LÄN</t>
        </is>
      </c>
      <c r="E1033" t="inlineStr">
        <is>
          <t>SKELLEFTEÅ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62227-2021</t>
        </is>
      </c>
      <c r="B1034" s="1" t="n">
        <v>44501</v>
      </c>
      <c r="C1034" s="1" t="n">
        <v>45566</v>
      </c>
      <c r="D1034" t="inlineStr">
        <is>
          <t>VÄSTERBOTTENS LÄN</t>
        </is>
      </c>
      <c r="E1034" t="inlineStr">
        <is>
          <t>SKELLEFTEÅ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62345-2021</t>
        </is>
      </c>
      <c r="B1035" s="1" t="n">
        <v>44503</v>
      </c>
      <c r="C1035" s="1" t="n">
        <v>45566</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62486-2021</t>
        </is>
      </c>
      <c r="B1036" s="1" t="n">
        <v>44503</v>
      </c>
      <c r="C1036" s="1" t="n">
        <v>45566</v>
      </c>
      <c r="D1036" t="inlineStr">
        <is>
          <t>VÄSTERBOTTENS LÄN</t>
        </is>
      </c>
      <c r="E1036" t="inlineStr">
        <is>
          <t>SKELLEFTEÅ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62651-2021</t>
        </is>
      </c>
      <c r="B1037" s="1" t="n">
        <v>44503</v>
      </c>
      <c r="C1037" s="1" t="n">
        <v>45566</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63145-2021</t>
        </is>
      </c>
      <c r="B1038" s="1" t="n">
        <v>44505</v>
      </c>
      <c r="C1038" s="1" t="n">
        <v>45566</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63171-2021</t>
        </is>
      </c>
      <c r="B1039" s="1" t="n">
        <v>44506</v>
      </c>
      <c r="C1039" s="1" t="n">
        <v>45566</v>
      </c>
      <c r="D1039" t="inlineStr">
        <is>
          <t>VÄSTERBOTTENS LÄN</t>
        </is>
      </c>
      <c r="E1039" t="inlineStr">
        <is>
          <t>SKELLEFTEÅ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63502-2021</t>
        </is>
      </c>
      <c r="B1040" s="1" t="n">
        <v>44508</v>
      </c>
      <c r="C1040" s="1" t="n">
        <v>45566</v>
      </c>
      <c r="D1040" t="inlineStr">
        <is>
          <t>VÄSTERBOTTENS LÄN</t>
        </is>
      </c>
      <c r="E1040" t="inlineStr">
        <is>
          <t>SKELLEFTEÅ</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63801-2021</t>
        </is>
      </c>
      <c r="B1041" s="1" t="n">
        <v>44508</v>
      </c>
      <c r="C1041" s="1" t="n">
        <v>45566</v>
      </c>
      <c r="D1041" t="inlineStr">
        <is>
          <t>VÄSTERBOTTENS LÄN</t>
        </is>
      </c>
      <c r="E1041" t="inlineStr">
        <is>
          <t>SKELLEFTEÅ</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63620-2021</t>
        </is>
      </c>
      <c r="B1042" s="1" t="n">
        <v>44509</v>
      </c>
      <c r="C1042" s="1" t="n">
        <v>45566</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64087-2021</t>
        </is>
      </c>
      <c r="B1043" s="1" t="n">
        <v>44509</v>
      </c>
      <c r="C1043" s="1" t="n">
        <v>45566</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64409-2021</t>
        </is>
      </c>
      <c r="B1044" s="1" t="n">
        <v>44510</v>
      </c>
      <c r="C1044" s="1" t="n">
        <v>45566</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64316-2021</t>
        </is>
      </c>
      <c r="B1045" s="1" t="n">
        <v>44510</v>
      </c>
      <c r="C1045" s="1" t="n">
        <v>45566</v>
      </c>
      <c r="D1045" t="inlineStr">
        <is>
          <t>VÄSTERBOTTENS LÄN</t>
        </is>
      </c>
      <c r="E1045" t="inlineStr">
        <is>
          <t>SKELLEFTEÅ</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64391-2021</t>
        </is>
      </c>
      <c r="B1046" s="1" t="n">
        <v>44511</v>
      </c>
      <c r="C1046" s="1" t="n">
        <v>45566</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64399-2021</t>
        </is>
      </c>
      <c r="B1047" s="1" t="n">
        <v>44511</v>
      </c>
      <c r="C1047" s="1" t="n">
        <v>45566</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64593-2021</t>
        </is>
      </c>
      <c r="B1048" s="1" t="n">
        <v>44511</v>
      </c>
      <c r="C1048" s="1" t="n">
        <v>45566</v>
      </c>
      <c r="D1048" t="inlineStr">
        <is>
          <t>VÄSTERBOTTENS LÄN</t>
        </is>
      </c>
      <c r="E1048" t="inlineStr">
        <is>
          <t>SKELLEFTEÅ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64580-2021</t>
        </is>
      </c>
      <c r="B1049" s="1" t="n">
        <v>44511</v>
      </c>
      <c r="C1049" s="1" t="n">
        <v>45566</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64761-2021</t>
        </is>
      </c>
      <c r="B1050" s="1" t="n">
        <v>44511</v>
      </c>
      <c r="C1050" s="1" t="n">
        <v>45566</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64765-2021</t>
        </is>
      </c>
      <c r="B1051" s="1" t="n">
        <v>44511</v>
      </c>
      <c r="C1051" s="1" t="n">
        <v>45566</v>
      </c>
      <c r="D1051" t="inlineStr">
        <is>
          <t>VÄSTERBOTTENS LÄN</t>
        </is>
      </c>
      <c r="E1051" t="inlineStr">
        <is>
          <t>SKELLEFTEÅ</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65455-2021</t>
        </is>
      </c>
      <c r="B1052" s="1" t="n">
        <v>44516</v>
      </c>
      <c r="C1052" s="1" t="n">
        <v>45566</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66250-2021</t>
        </is>
      </c>
      <c r="B1053" s="1" t="n">
        <v>44518</v>
      </c>
      <c r="C1053" s="1" t="n">
        <v>45566</v>
      </c>
      <c r="D1053" t="inlineStr">
        <is>
          <t>VÄSTERBOTTENS LÄN</t>
        </is>
      </c>
      <c r="E1053" t="inlineStr">
        <is>
          <t>SKELLEFTEÅ</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66463-2021</t>
        </is>
      </c>
      <c r="B1054" s="1" t="n">
        <v>44518</v>
      </c>
      <c r="C1054" s="1" t="n">
        <v>45566</v>
      </c>
      <c r="D1054" t="inlineStr">
        <is>
          <t>VÄSTERBOTTENS LÄN</t>
        </is>
      </c>
      <c r="E1054" t="inlineStr">
        <is>
          <t>SKELLEFTEÅ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66465-2021</t>
        </is>
      </c>
      <c r="B1055" s="1" t="n">
        <v>44518</v>
      </c>
      <c r="C1055" s="1" t="n">
        <v>45566</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66501-2021</t>
        </is>
      </c>
      <c r="B1056" s="1" t="n">
        <v>44519</v>
      </c>
      <c r="C1056" s="1" t="n">
        <v>45566</v>
      </c>
      <c r="D1056" t="inlineStr">
        <is>
          <t>VÄSTERBOTTENS LÄN</t>
        </is>
      </c>
      <c r="E1056" t="inlineStr">
        <is>
          <t>SKELLEFTEÅ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66500-2021</t>
        </is>
      </c>
      <c r="B1057" s="1" t="n">
        <v>44519</v>
      </c>
      <c r="C1057" s="1" t="n">
        <v>45566</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66499-2021</t>
        </is>
      </c>
      <c r="B1058" s="1" t="n">
        <v>44519</v>
      </c>
      <c r="C1058" s="1" t="n">
        <v>45566</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66502-2021</t>
        </is>
      </c>
      <c r="B1059" s="1" t="n">
        <v>44519</v>
      </c>
      <c r="C1059" s="1" t="n">
        <v>45566</v>
      </c>
      <c r="D1059" t="inlineStr">
        <is>
          <t>VÄSTERBOTTENS LÄN</t>
        </is>
      </c>
      <c r="E1059" t="inlineStr">
        <is>
          <t>SKELLEFTEÅ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66756-2021</t>
        </is>
      </c>
      <c r="B1060" s="1" t="n">
        <v>44521</v>
      </c>
      <c r="C1060" s="1" t="n">
        <v>45566</v>
      </c>
      <c r="D1060" t="inlineStr">
        <is>
          <t>VÄSTERBOTTENS LÄN</t>
        </is>
      </c>
      <c r="E1060" t="inlineStr">
        <is>
          <t>SKELLEFTEÅ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66949-2021</t>
        </is>
      </c>
      <c r="B1061" s="1" t="n">
        <v>44522</v>
      </c>
      <c r="C1061" s="1" t="n">
        <v>45566</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c r="U1061">
        <f>HYPERLINK("https://klasma.github.io/Logging_2482/knärot/A 66949-2021 karta knärot.png", "A 66949-2021")</f>
        <v/>
      </c>
      <c r="V1061">
        <f>HYPERLINK("https://klasma.github.io/Logging_2482/klagomål/A 66949-2021 FSC-klagomål.docx", "A 66949-2021")</f>
        <v/>
      </c>
      <c r="W1061">
        <f>HYPERLINK("https://klasma.github.io/Logging_2482/klagomålsmail/A 66949-2021 FSC-klagomål mail.docx", "A 66949-2021")</f>
        <v/>
      </c>
      <c r="X1061">
        <f>HYPERLINK("https://klasma.github.io/Logging_2482/tillsyn/A 66949-2021 tillsynsbegäran.docx", "A 66949-2021")</f>
        <v/>
      </c>
      <c r="Y1061">
        <f>HYPERLINK("https://klasma.github.io/Logging_2482/tillsynsmail/A 66949-2021 tillsynsbegäran mail.docx", "A 66949-2021")</f>
        <v/>
      </c>
    </row>
    <row r="1062" ht="15" customHeight="1">
      <c r="A1062" t="inlineStr">
        <is>
          <t>A 67450-2021</t>
        </is>
      </c>
      <c r="B1062" s="1" t="n">
        <v>44524</v>
      </c>
      <c r="C1062" s="1" t="n">
        <v>45566</v>
      </c>
      <c r="D1062" t="inlineStr">
        <is>
          <t>VÄSTERBOTTENS LÄN</t>
        </is>
      </c>
      <c r="E1062" t="inlineStr">
        <is>
          <t>SKELLEFTEÅ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67893-2021</t>
        </is>
      </c>
      <c r="B1063" s="1" t="n">
        <v>44525</v>
      </c>
      <c r="C1063" s="1" t="n">
        <v>45566</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68251-2021</t>
        </is>
      </c>
      <c r="B1064" s="1" t="n">
        <v>44525</v>
      </c>
      <c r="C1064" s="1" t="n">
        <v>45566</v>
      </c>
      <c r="D1064" t="inlineStr">
        <is>
          <t>VÄSTERBOTTENS LÄN</t>
        </is>
      </c>
      <c r="E1064" t="inlineStr">
        <is>
          <t>SKELLEFTEÅ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68334-2021</t>
        </is>
      </c>
      <c r="B1065" s="1" t="n">
        <v>44527</v>
      </c>
      <c r="C1065" s="1" t="n">
        <v>45566</v>
      </c>
      <c r="D1065" t="inlineStr">
        <is>
          <t>VÄSTERBOTTENS LÄN</t>
        </is>
      </c>
      <c r="E1065" t="inlineStr">
        <is>
          <t>SKELLEFTEÅ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69106-2021</t>
        </is>
      </c>
      <c r="B1066" s="1" t="n">
        <v>44530</v>
      </c>
      <c r="C1066" s="1" t="n">
        <v>45566</v>
      </c>
      <c r="D1066" t="inlineStr">
        <is>
          <t>VÄSTERBOTTENS LÄN</t>
        </is>
      </c>
      <c r="E1066" t="inlineStr">
        <is>
          <t>SKELLEFTEÅ</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69262-2021</t>
        </is>
      </c>
      <c r="B1067" s="1" t="n">
        <v>44531</v>
      </c>
      <c r="C1067" s="1" t="n">
        <v>45566</v>
      </c>
      <c r="D1067" t="inlineStr">
        <is>
          <t>VÄSTERBOTTENS LÄN</t>
        </is>
      </c>
      <c r="E1067" t="inlineStr">
        <is>
          <t>SKELLEFTEÅ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69315-2021</t>
        </is>
      </c>
      <c r="B1068" s="1" t="n">
        <v>44531</v>
      </c>
      <c r="C1068" s="1" t="n">
        <v>45566</v>
      </c>
      <c r="D1068" t="inlineStr">
        <is>
          <t>VÄSTERBOTTENS LÄN</t>
        </is>
      </c>
      <c r="E1068" t="inlineStr">
        <is>
          <t>SKELLEFTEÅ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70168-2021</t>
        </is>
      </c>
      <c r="B1069" s="1" t="n">
        <v>44533</v>
      </c>
      <c r="C1069" s="1" t="n">
        <v>45566</v>
      </c>
      <c r="D1069" t="inlineStr">
        <is>
          <t>VÄSTERBOTTENS LÄN</t>
        </is>
      </c>
      <c r="E1069" t="inlineStr">
        <is>
          <t>SKELLEFTEÅ</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70176-2021</t>
        </is>
      </c>
      <c r="B1070" s="1" t="n">
        <v>44533</v>
      </c>
      <c r="C1070" s="1" t="n">
        <v>45566</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70029-2021</t>
        </is>
      </c>
      <c r="B1071" s="1" t="n">
        <v>44533</v>
      </c>
      <c r="C1071" s="1" t="n">
        <v>45566</v>
      </c>
      <c r="D1071" t="inlineStr">
        <is>
          <t>VÄSTERBOTTENS LÄN</t>
        </is>
      </c>
      <c r="E1071" t="inlineStr">
        <is>
          <t>SKELLEFTEÅ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69992-2021</t>
        </is>
      </c>
      <c r="B1072" s="1" t="n">
        <v>44533</v>
      </c>
      <c r="C1072" s="1" t="n">
        <v>45566</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69996-2021</t>
        </is>
      </c>
      <c r="B1073" s="1" t="n">
        <v>44533</v>
      </c>
      <c r="C1073" s="1" t="n">
        <v>45566</v>
      </c>
      <c r="D1073" t="inlineStr">
        <is>
          <t>VÄSTERBOTTENS LÄN</t>
        </is>
      </c>
      <c r="E1073" t="inlineStr">
        <is>
          <t>SKELLEFTEÅ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69991-2021</t>
        </is>
      </c>
      <c r="B1074" s="1" t="n">
        <v>44533</v>
      </c>
      <c r="C1074" s="1" t="n">
        <v>45566</v>
      </c>
      <c r="D1074" t="inlineStr">
        <is>
          <t>VÄSTERBOTTENS LÄN</t>
        </is>
      </c>
      <c r="E1074" t="inlineStr">
        <is>
          <t>SKELLEFTEÅ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69978-2021</t>
        </is>
      </c>
      <c r="B1075" s="1" t="n">
        <v>44533</v>
      </c>
      <c r="C1075" s="1" t="n">
        <v>45566</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70229-2021</t>
        </is>
      </c>
      <c r="B1076" s="1" t="n">
        <v>44533</v>
      </c>
      <c r="C1076" s="1" t="n">
        <v>45566</v>
      </c>
      <c r="D1076" t="inlineStr">
        <is>
          <t>VÄSTERBOTTENS LÄN</t>
        </is>
      </c>
      <c r="E1076" t="inlineStr">
        <is>
          <t>SKELLEFTEÅ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70272-2021</t>
        </is>
      </c>
      <c r="B1077" s="1" t="n">
        <v>44536</v>
      </c>
      <c r="C1077" s="1" t="n">
        <v>45566</v>
      </c>
      <c r="D1077" t="inlineStr">
        <is>
          <t>VÄSTERBOTTENS LÄN</t>
        </is>
      </c>
      <c r="E1077" t="inlineStr">
        <is>
          <t>SKELLEFTEÅ</t>
        </is>
      </c>
      <c r="F1077" t="inlineStr">
        <is>
          <t>Kyrkan</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70339-2021</t>
        </is>
      </c>
      <c r="B1078" s="1" t="n">
        <v>44536</v>
      </c>
      <c r="C1078" s="1" t="n">
        <v>45566</v>
      </c>
      <c r="D1078" t="inlineStr">
        <is>
          <t>VÄSTERBOTTENS LÄN</t>
        </is>
      </c>
      <c r="E1078" t="inlineStr">
        <is>
          <t>SKELLEFTEÅ</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70508-2021</t>
        </is>
      </c>
      <c r="B1079" s="1" t="n">
        <v>44536</v>
      </c>
      <c r="C1079" s="1" t="n">
        <v>45566</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70703-2021</t>
        </is>
      </c>
      <c r="B1080" s="1" t="n">
        <v>44536</v>
      </c>
      <c r="C1080" s="1" t="n">
        <v>45566</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70718-2021</t>
        </is>
      </c>
      <c r="B1081" s="1" t="n">
        <v>44536</v>
      </c>
      <c r="C1081" s="1" t="n">
        <v>45566</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70851-2021</t>
        </is>
      </c>
      <c r="B1082" s="1" t="n">
        <v>44536</v>
      </c>
      <c r="C1082" s="1" t="n">
        <v>45566</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70558-2021</t>
        </is>
      </c>
      <c r="B1083" s="1" t="n">
        <v>44537</v>
      </c>
      <c r="C1083" s="1" t="n">
        <v>45566</v>
      </c>
      <c r="D1083" t="inlineStr">
        <is>
          <t>VÄSTERBOTTENS LÄN</t>
        </is>
      </c>
      <c r="E1083" t="inlineStr">
        <is>
          <t>SKELLEFTEÅ</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70748-2021</t>
        </is>
      </c>
      <c r="B1084" s="1" t="n">
        <v>44537</v>
      </c>
      <c r="C1084" s="1" t="n">
        <v>45566</v>
      </c>
      <c r="D1084" t="inlineStr">
        <is>
          <t>VÄSTERBOTTENS LÄN</t>
        </is>
      </c>
      <c r="E1084" t="inlineStr">
        <is>
          <t>SKELLEFTEÅ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71019-2021</t>
        </is>
      </c>
      <c r="B1085" s="1" t="n">
        <v>44538</v>
      </c>
      <c r="C1085" s="1" t="n">
        <v>45566</v>
      </c>
      <c r="D1085" t="inlineStr">
        <is>
          <t>VÄSTERBOTTENS LÄN</t>
        </is>
      </c>
      <c r="E1085" t="inlineStr">
        <is>
          <t>SKELLEFTEÅ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71410-2021</t>
        </is>
      </c>
      <c r="B1086" s="1" t="n">
        <v>44540</v>
      </c>
      <c r="C1086" s="1" t="n">
        <v>45566</v>
      </c>
      <c r="D1086" t="inlineStr">
        <is>
          <t>VÄSTERBOTTENS LÄN</t>
        </is>
      </c>
      <c r="E1086" t="inlineStr">
        <is>
          <t>SKELLEFTEÅ</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71422-2021</t>
        </is>
      </c>
      <c r="B1087" s="1" t="n">
        <v>44540</v>
      </c>
      <c r="C1087" s="1" t="n">
        <v>45566</v>
      </c>
      <c r="D1087" t="inlineStr">
        <is>
          <t>VÄSTERBOTTENS LÄN</t>
        </is>
      </c>
      <c r="E1087" t="inlineStr">
        <is>
          <t>SKELLEFTEÅ</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71445-2021</t>
        </is>
      </c>
      <c r="B1088" s="1" t="n">
        <v>44540</v>
      </c>
      <c r="C1088" s="1" t="n">
        <v>45566</v>
      </c>
      <c r="D1088" t="inlineStr">
        <is>
          <t>VÄSTERBOTTENS LÄN</t>
        </is>
      </c>
      <c r="E1088" t="inlineStr">
        <is>
          <t>SKELLEFTEÅ</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71464-2021</t>
        </is>
      </c>
      <c r="B1089" s="1" t="n">
        <v>44540</v>
      </c>
      <c r="C1089" s="1" t="n">
        <v>45566</v>
      </c>
      <c r="D1089" t="inlineStr">
        <is>
          <t>VÄSTERBOTTENS LÄN</t>
        </is>
      </c>
      <c r="E1089" t="inlineStr">
        <is>
          <t>SKELLEFTEÅ</t>
        </is>
      </c>
      <c r="F1089" t="inlineStr">
        <is>
          <t>Sveaskog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71434-2021</t>
        </is>
      </c>
      <c r="B1090" s="1" t="n">
        <v>44540</v>
      </c>
      <c r="C1090" s="1" t="n">
        <v>45566</v>
      </c>
      <c r="D1090" t="inlineStr">
        <is>
          <t>VÄSTERBOTTENS LÄN</t>
        </is>
      </c>
      <c r="E1090" t="inlineStr">
        <is>
          <t>SKELLEFTEÅ</t>
        </is>
      </c>
      <c r="F1090" t="inlineStr">
        <is>
          <t>Sveaskog</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71565-2021</t>
        </is>
      </c>
      <c r="B1091" s="1" t="n">
        <v>44540</v>
      </c>
      <c r="C1091" s="1" t="n">
        <v>45566</v>
      </c>
      <c r="D1091" t="inlineStr">
        <is>
          <t>VÄSTERBOTTENS LÄN</t>
        </is>
      </c>
      <c r="E1091" t="inlineStr">
        <is>
          <t>SKELLEFTEÅ</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71400-2021</t>
        </is>
      </c>
      <c r="B1092" s="1" t="n">
        <v>44540</v>
      </c>
      <c r="C1092" s="1" t="n">
        <v>45566</v>
      </c>
      <c r="D1092" t="inlineStr">
        <is>
          <t>VÄSTERBOTTENS LÄN</t>
        </is>
      </c>
      <c r="E1092" t="inlineStr">
        <is>
          <t>SKELLEFTEÅ</t>
        </is>
      </c>
      <c r="F1092" t="inlineStr">
        <is>
          <t>Sveaskog</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71460-2021</t>
        </is>
      </c>
      <c r="B1093" s="1" t="n">
        <v>44540</v>
      </c>
      <c r="C1093" s="1" t="n">
        <v>45566</v>
      </c>
      <c r="D1093" t="inlineStr">
        <is>
          <t>VÄSTERBOTTENS LÄN</t>
        </is>
      </c>
      <c r="E1093" t="inlineStr">
        <is>
          <t>SKELLEFTEÅ</t>
        </is>
      </c>
      <c r="F1093" t="inlineStr">
        <is>
          <t>Sveaskog</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71459-2021</t>
        </is>
      </c>
      <c r="B1094" s="1" t="n">
        <v>44540</v>
      </c>
      <c r="C1094" s="1" t="n">
        <v>45566</v>
      </c>
      <c r="D1094" t="inlineStr">
        <is>
          <t>VÄSTERBOTTENS LÄN</t>
        </is>
      </c>
      <c r="E1094" t="inlineStr">
        <is>
          <t>SKELLEFTEÅ</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71798-2021</t>
        </is>
      </c>
      <c r="B1095" s="1" t="n">
        <v>44543</v>
      </c>
      <c r="C1095" s="1" t="n">
        <v>45566</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71924-2021</t>
        </is>
      </c>
      <c r="B1096" s="1" t="n">
        <v>44543</v>
      </c>
      <c r="C1096" s="1" t="n">
        <v>45566</v>
      </c>
      <c r="D1096" t="inlineStr">
        <is>
          <t>VÄSTERBOTTENS LÄN</t>
        </is>
      </c>
      <c r="E1096" t="inlineStr">
        <is>
          <t>SKELLEFTEÅ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71943-2021</t>
        </is>
      </c>
      <c r="B1097" s="1" t="n">
        <v>44543</v>
      </c>
      <c r="C1097" s="1" t="n">
        <v>45566</v>
      </c>
      <c r="D1097" t="inlineStr">
        <is>
          <t>VÄSTERBOTTENS LÄN</t>
        </is>
      </c>
      <c r="E1097" t="inlineStr">
        <is>
          <t>SKELLEFTEÅ</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71931-2021</t>
        </is>
      </c>
      <c r="B1098" s="1" t="n">
        <v>44543</v>
      </c>
      <c r="C1098" s="1" t="n">
        <v>45566</v>
      </c>
      <c r="D1098" t="inlineStr">
        <is>
          <t>VÄSTERBOTTENS LÄN</t>
        </is>
      </c>
      <c r="E1098" t="inlineStr">
        <is>
          <t>SKELLEFTEÅ</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72203-2021</t>
        </is>
      </c>
      <c r="B1099" s="1" t="n">
        <v>44543</v>
      </c>
      <c r="C1099" s="1" t="n">
        <v>45566</v>
      </c>
      <c r="D1099" t="inlineStr">
        <is>
          <t>VÄSTERBOTTENS LÄN</t>
        </is>
      </c>
      <c r="E1099" t="inlineStr">
        <is>
          <t>SKELLEFTEÅ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71934-2021</t>
        </is>
      </c>
      <c r="B1100" s="1" t="n">
        <v>44543</v>
      </c>
      <c r="C1100" s="1" t="n">
        <v>45566</v>
      </c>
      <c r="D1100" t="inlineStr">
        <is>
          <t>VÄSTERBOTTENS LÄN</t>
        </is>
      </c>
      <c r="E1100" t="inlineStr">
        <is>
          <t>SKELLEFTEÅ</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72033-2021</t>
        </is>
      </c>
      <c r="B1101" s="1" t="n">
        <v>44544</v>
      </c>
      <c r="C1101" s="1" t="n">
        <v>45566</v>
      </c>
      <c r="D1101" t="inlineStr">
        <is>
          <t>VÄSTERBOTTENS LÄN</t>
        </is>
      </c>
      <c r="E1101" t="inlineStr">
        <is>
          <t>SKELLEFTEÅ</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72183-2021</t>
        </is>
      </c>
      <c r="B1102" s="1" t="n">
        <v>44544</v>
      </c>
      <c r="C1102" s="1" t="n">
        <v>45566</v>
      </c>
      <c r="D1102" t="inlineStr">
        <is>
          <t>VÄSTERBOTTENS LÄN</t>
        </is>
      </c>
      <c r="E1102" t="inlineStr">
        <is>
          <t>SKELLEFTEÅ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72692-2021</t>
        </is>
      </c>
      <c r="B1103" s="1" t="n">
        <v>44545</v>
      </c>
      <c r="C1103" s="1" t="n">
        <v>45566</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72545-2021</t>
        </is>
      </c>
      <c r="B1104" s="1" t="n">
        <v>44546</v>
      </c>
      <c r="C1104" s="1" t="n">
        <v>45566</v>
      </c>
      <c r="D1104" t="inlineStr">
        <is>
          <t>VÄSTERBOTTENS LÄN</t>
        </is>
      </c>
      <c r="E1104" t="inlineStr">
        <is>
          <t>SKELLEFTEÅ</t>
        </is>
      </c>
      <c r="F1104" t="inlineStr">
        <is>
          <t>Holmen skog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73159-2021</t>
        </is>
      </c>
      <c r="B1105" s="1" t="n">
        <v>44550</v>
      </c>
      <c r="C1105" s="1" t="n">
        <v>45566</v>
      </c>
      <c r="D1105" t="inlineStr">
        <is>
          <t>VÄSTERBOTTENS LÄN</t>
        </is>
      </c>
      <c r="E1105" t="inlineStr">
        <is>
          <t>SKELLEFTEÅ</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73556-2021</t>
        </is>
      </c>
      <c r="B1106" s="1" t="n">
        <v>44551</v>
      </c>
      <c r="C1106" s="1" t="n">
        <v>45566</v>
      </c>
      <c r="D1106" t="inlineStr">
        <is>
          <t>VÄSTERBOTTENS LÄN</t>
        </is>
      </c>
      <c r="E1106" t="inlineStr">
        <is>
          <t>SKELLEFTEÅ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73614-2021</t>
        </is>
      </c>
      <c r="B1107" s="1" t="n">
        <v>44551</v>
      </c>
      <c r="C1107" s="1" t="n">
        <v>45566</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73684-2021</t>
        </is>
      </c>
      <c r="B1108" s="1" t="n">
        <v>44551</v>
      </c>
      <c r="C1108" s="1" t="n">
        <v>45566</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73833-2021</t>
        </is>
      </c>
      <c r="B1109" s="1" t="n">
        <v>44552</v>
      </c>
      <c r="C1109" s="1" t="n">
        <v>45566</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73956-2021</t>
        </is>
      </c>
      <c r="B1110" s="1" t="n">
        <v>44553</v>
      </c>
      <c r="C1110" s="1" t="n">
        <v>45566</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73957-2021</t>
        </is>
      </c>
      <c r="B1111" s="1" t="n">
        <v>44553</v>
      </c>
      <c r="C1111" s="1" t="n">
        <v>45566</v>
      </c>
      <c r="D1111" t="inlineStr">
        <is>
          <t>VÄSTERBOTTENS LÄN</t>
        </is>
      </c>
      <c r="E1111" t="inlineStr">
        <is>
          <t>SKELLEFTEÅ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73950-2021</t>
        </is>
      </c>
      <c r="B1112" s="1" t="n">
        <v>44553</v>
      </c>
      <c r="C1112" s="1" t="n">
        <v>45566</v>
      </c>
      <c r="D1112" t="inlineStr">
        <is>
          <t>VÄSTERBOTTENS LÄN</t>
        </is>
      </c>
      <c r="E1112" t="inlineStr">
        <is>
          <t>SKELLEFTEÅ</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73985-2021</t>
        </is>
      </c>
      <c r="B1113" s="1" t="n">
        <v>44555</v>
      </c>
      <c r="C1113" s="1" t="n">
        <v>45566</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74077-2021</t>
        </is>
      </c>
      <c r="B1114" s="1" t="n">
        <v>44557</v>
      </c>
      <c r="C1114" s="1" t="n">
        <v>45566</v>
      </c>
      <c r="D1114" t="inlineStr">
        <is>
          <t>VÄSTERBOTTENS LÄN</t>
        </is>
      </c>
      <c r="E1114" t="inlineStr">
        <is>
          <t>SKELLEFTEÅ</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74205-2021</t>
        </is>
      </c>
      <c r="B1115" s="1" t="n">
        <v>44558</v>
      </c>
      <c r="C1115" s="1" t="n">
        <v>45566</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528-2022</t>
        </is>
      </c>
      <c r="B1116" s="1" t="n">
        <v>44566</v>
      </c>
      <c r="C1116" s="1" t="n">
        <v>45566</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808-2022</t>
        </is>
      </c>
      <c r="B1117" s="1" t="n">
        <v>44568</v>
      </c>
      <c r="C1117" s="1" t="n">
        <v>45566</v>
      </c>
      <c r="D1117" t="inlineStr">
        <is>
          <t>VÄSTERBOTTENS LÄN</t>
        </is>
      </c>
      <c r="E1117" t="inlineStr">
        <is>
          <t>SKELLEFTEÅ</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1626-2022</t>
        </is>
      </c>
      <c r="B1118" s="1" t="n">
        <v>44573</v>
      </c>
      <c r="C1118" s="1" t="n">
        <v>45566</v>
      </c>
      <c r="D1118" t="inlineStr">
        <is>
          <t>VÄSTERBOTTENS LÄN</t>
        </is>
      </c>
      <c r="E1118" t="inlineStr">
        <is>
          <t>SKELLEFTEÅ</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1750-2022</t>
        </is>
      </c>
      <c r="B1119" s="1" t="n">
        <v>44574</v>
      </c>
      <c r="C1119" s="1" t="n">
        <v>45566</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1834-2022</t>
        </is>
      </c>
      <c r="B1120" s="1" t="n">
        <v>44574</v>
      </c>
      <c r="C1120" s="1" t="n">
        <v>45566</v>
      </c>
      <c r="D1120" t="inlineStr">
        <is>
          <t>VÄSTERBOTTENS LÄN</t>
        </is>
      </c>
      <c r="E1120" t="inlineStr">
        <is>
          <t>SKELLEFTEÅ</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2486-2022</t>
        </is>
      </c>
      <c r="B1121" s="1" t="n">
        <v>44579</v>
      </c>
      <c r="C1121" s="1" t="n">
        <v>45566</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2607-2022</t>
        </is>
      </c>
      <c r="B1122" s="1" t="n">
        <v>44580</v>
      </c>
      <c r="C1122" s="1" t="n">
        <v>45566</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2813-2022</t>
        </is>
      </c>
      <c r="B1123" s="1" t="n">
        <v>44580</v>
      </c>
      <c r="C1123" s="1" t="n">
        <v>45566</v>
      </c>
      <c r="D1123" t="inlineStr">
        <is>
          <t>VÄSTERBOTTENS LÄN</t>
        </is>
      </c>
      <c r="E1123" t="inlineStr">
        <is>
          <t>SKELLEFTEÅ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3006-2022</t>
        </is>
      </c>
      <c r="B1124" s="1" t="n">
        <v>44581</v>
      </c>
      <c r="C1124" s="1" t="n">
        <v>45566</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3009-2022</t>
        </is>
      </c>
      <c r="B1125" s="1" t="n">
        <v>44581</v>
      </c>
      <c r="C1125" s="1" t="n">
        <v>45566</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3268-2022</t>
        </is>
      </c>
      <c r="B1126" s="1" t="n">
        <v>44583</v>
      </c>
      <c r="C1126" s="1" t="n">
        <v>45566</v>
      </c>
      <c r="D1126" t="inlineStr">
        <is>
          <t>VÄSTERBOTTENS LÄN</t>
        </is>
      </c>
      <c r="E1126" t="inlineStr">
        <is>
          <t>SKELLEFTEÅ</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3265-2022</t>
        </is>
      </c>
      <c r="B1127" s="1" t="n">
        <v>44583</v>
      </c>
      <c r="C1127" s="1" t="n">
        <v>45566</v>
      </c>
      <c r="D1127" t="inlineStr">
        <is>
          <t>VÄSTERBOTTENS LÄN</t>
        </is>
      </c>
      <c r="E1127" t="inlineStr">
        <is>
          <t>SKELLEFTEÅ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3266-2022</t>
        </is>
      </c>
      <c r="B1128" s="1" t="n">
        <v>44583</v>
      </c>
      <c r="C1128" s="1" t="n">
        <v>45566</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3362-2022</t>
        </is>
      </c>
      <c r="B1129" s="1" t="n">
        <v>44585</v>
      </c>
      <c r="C1129" s="1" t="n">
        <v>45566</v>
      </c>
      <c r="D1129" t="inlineStr">
        <is>
          <t>VÄSTERBOTTENS LÄN</t>
        </is>
      </c>
      <c r="E1129" t="inlineStr">
        <is>
          <t>SKELLEFTEÅ</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3616-2022</t>
        </is>
      </c>
      <c r="B1130" s="1" t="n">
        <v>44586</v>
      </c>
      <c r="C1130" s="1" t="n">
        <v>45566</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3600-2022</t>
        </is>
      </c>
      <c r="B1131" s="1" t="n">
        <v>44586</v>
      </c>
      <c r="C1131" s="1" t="n">
        <v>45566</v>
      </c>
      <c r="D1131" t="inlineStr">
        <is>
          <t>VÄSTERBOTTENS LÄN</t>
        </is>
      </c>
      <c r="E1131" t="inlineStr">
        <is>
          <t>SKELLEFTEÅ</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3876-2022</t>
        </is>
      </c>
      <c r="B1132" s="1" t="n">
        <v>44587</v>
      </c>
      <c r="C1132" s="1" t="n">
        <v>45566</v>
      </c>
      <c r="D1132" t="inlineStr">
        <is>
          <t>VÄSTERBOTTENS LÄN</t>
        </is>
      </c>
      <c r="E1132" t="inlineStr">
        <is>
          <t>SKELLEFTEÅ</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3924-2022</t>
        </is>
      </c>
      <c r="B1133" s="1" t="n">
        <v>44587</v>
      </c>
      <c r="C1133" s="1" t="n">
        <v>45566</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3882-2022</t>
        </is>
      </c>
      <c r="B1134" s="1" t="n">
        <v>44587</v>
      </c>
      <c r="C1134" s="1" t="n">
        <v>45566</v>
      </c>
      <c r="D1134" t="inlineStr">
        <is>
          <t>VÄSTERBOTTENS LÄN</t>
        </is>
      </c>
      <c r="E1134" t="inlineStr">
        <is>
          <t>SKELLEFTEÅ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3944-2022</t>
        </is>
      </c>
      <c r="B1135" s="1" t="n">
        <v>44587</v>
      </c>
      <c r="C1135" s="1" t="n">
        <v>45566</v>
      </c>
      <c r="D1135" t="inlineStr">
        <is>
          <t>VÄSTERBOTTENS LÄN</t>
        </is>
      </c>
      <c r="E1135" t="inlineStr">
        <is>
          <t>SKELLEFTEÅ</t>
        </is>
      </c>
      <c r="F1135" t="inlineStr">
        <is>
          <t>Kommuner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3987-2022</t>
        </is>
      </c>
      <c r="B1136" s="1" t="n">
        <v>44587</v>
      </c>
      <c r="C1136" s="1" t="n">
        <v>45566</v>
      </c>
      <c r="D1136" t="inlineStr">
        <is>
          <t>VÄSTERBOTTENS LÄN</t>
        </is>
      </c>
      <c r="E1136" t="inlineStr">
        <is>
          <t>SKELLEFTEÅ</t>
        </is>
      </c>
      <c r="F1136" t="inlineStr">
        <is>
          <t>Sveaskog</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4008-2022</t>
        </is>
      </c>
      <c r="B1137" s="1" t="n">
        <v>44587</v>
      </c>
      <c r="C1137" s="1" t="n">
        <v>45566</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3963-2022</t>
        </is>
      </c>
      <c r="B1138" s="1" t="n">
        <v>44587</v>
      </c>
      <c r="C1138" s="1" t="n">
        <v>45566</v>
      </c>
      <c r="D1138" t="inlineStr">
        <is>
          <t>VÄSTERBOTTENS LÄN</t>
        </is>
      </c>
      <c r="E1138" t="inlineStr">
        <is>
          <t>SKELLEFTEÅ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4005-2022</t>
        </is>
      </c>
      <c r="B1139" s="1" t="n">
        <v>44587</v>
      </c>
      <c r="C1139" s="1" t="n">
        <v>45566</v>
      </c>
      <c r="D1139" t="inlineStr">
        <is>
          <t>VÄSTERBOTTENS LÄN</t>
        </is>
      </c>
      <c r="E1139" t="inlineStr">
        <is>
          <t>SKELLEFTEÅ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4603-2022</t>
        </is>
      </c>
      <c r="B1140" s="1" t="n">
        <v>44592</v>
      </c>
      <c r="C1140" s="1" t="n">
        <v>45566</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4653-2022</t>
        </is>
      </c>
      <c r="B1141" s="1" t="n">
        <v>44592</v>
      </c>
      <c r="C1141" s="1" t="n">
        <v>45566</v>
      </c>
      <c r="D1141" t="inlineStr">
        <is>
          <t>VÄSTERBOTTENS LÄN</t>
        </is>
      </c>
      <c r="E1141" t="inlineStr">
        <is>
          <t>SKELLEFTEÅ</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4762-2022</t>
        </is>
      </c>
      <c r="B1142" s="1" t="n">
        <v>44592</v>
      </c>
      <c r="C1142" s="1" t="n">
        <v>45566</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4844-2022</t>
        </is>
      </c>
      <c r="B1143" s="1" t="n">
        <v>44592</v>
      </c>
      <c r="C1143" s="1" t="n">
        <v>45566</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4791-2022</t>
        </is>
      </c>
      <c r="B1144" s="1" t="n">
        <v>44592</v>
      </c>
      <c r="C1144" s="1" t="n">
        <v>45566</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5817-2022</t>
        </is>
      </c>
      <c r="B1145" s="1" t="n">
        <v>44596</v>
      </c>
      <c r="C1145" s="1" t="n">
        <v>45566</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5826-2022</t>
        </is>
      </c>
      <c r="B1146" s="1" t="n">
        <v>44596</v>
      </c>
      <c r="C1146" s="1" t="n">
        <v>45566</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5828-2022</t>
        </is>
      </c>
      <c r="B1147" s="1" t="n">
        <v>44596</v>
      </c>
      <c r="C1147" s="1" t="n">
        <v>45566</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5972-2022</t>
        </is>
      </c>
      <c r="B1148" s="1" t="n">
        <v>44599</v>
      </c>
      <c r="C1148" s="1" t="n">
        <v>45566</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6635-2022</t>
        </is>
      </c>
      <c r="B1149" s="1" t="n">
        <v>44601</v>
      </c>
      <c r="C1149" s="1" t="n">
        <v>45566</v>
      </c>
      <c r="D1149" t="inlineStr">
        <is>
          <t>VÄSTERBOTTENS LÄN</t>
        </is>
      </c>
      <c r="E1149" t="inlineStr">
        <is>
          <t>SKELLEFTEÅ</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6666-2022</t>
        </is>
      </c>
      <c r="B1150" s="1" t="n">
        <v>44602</v>
      </c>
      <c r="C1150" s="1" t="n">
        <v>45566</v>
      </c>
      <c r="D1150" t="inlineStr">
        <is>
          <t>VÄSTERBOTTENS LÄN</t>
        </is>
      </c>
      <c r="E1150" t="inlineStr">
        <is>
          <t>SKELLEFTEÅ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6837-2022</t>
        </is>
      </c>
      <c r="B1151" s="1" t="n">
        <v>44602</v>
      </c>
      <c r="C1151" s="1" t="n">
        <v>45566</v>
      </c>
      <c r="D1151" t="inlineStr">
        <is>
          <t>VÄSTERBOTTENS LÄN</t>
        </is>
      </c>
      <c r="E1151" t="inlineStr">
        <is>
          <t>SKELLEFTEÅ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6834-2022</t>
        </is>
      </c>
      <c r="B1152" s="1" t="n">
        <v>44602</v>
      </c>
      <c r="C1152" s="1" t="n">
        <v>45566</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7006-2022</t>
        </is>
      </c>
      <c r="B1153" s="1" t="n">
        <v>44602</v>
      </c>
      <c r="C1153" s="1" t="n">
        <v>45566</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7052-2022</t>
        </is>
      </c>
      <c r="B1154" s="1" t="n">
        <v>44603</v>
      </c>
      <c r="C1154" s="1" t="n">
        <v>45566</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7127-2022</t>
        </is>
      </c>
      <c r="B1155" s="1" t="n">
        <v>44603</v>
      </c>
      <c r="C1155" s="1" t="n">
        <v>45566</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7462-2022</t>
        </is>
      </c>
      <c r="B1156" s="1" t="n">
        <v>44606</v>
      </c>
      <c r="C1156" s="1" t="n">
        <v>45566</v>
      </c>
      <c r="D1156" t="inlineStr">
        <is>
          <t>VÄSTERBOTTENS LÄN</t>
        </is>
      </c>
      <c r="E1156" t="inlineStr">
        <is>
          <t>SKELLEFTEÅ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7495-2022</t>
        </is>
      </c>
      <c r="B1157" s="1" t="n">
        <v>44607</v>
      </c>
      <c r="C1157" s="1" t="n">
        <v>45566</v>
      </c>
      <c r="D1157" t="inlineStr">
        <is>
          <t>VÄSTERBOTTENS LÄN</t>
        </is>
      </c>
      <c r="E1157" t="inlineStr">
        <is>
          <t>SKELLEFTEÅ</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7518-2022</t>
        </is>
      </c>
      <c r="B1158" s="1" t="n">
        <v>44607</v>
      </c>
      <c r="C1158" s="1" t="n">
        <v>45566</v>
      </c>
      <c r="D1158" t="inlineStr">
        <is>
          <t>VÄSTERBOTTENS LÄN</t>
        </is>
      </c>
      <c r="E1158" t="inlineStr">
        <is>
          <t>SKELLEFTEÅ</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7579-2022</t>
        </is>
      </c>
      <c r="B1159" s="1" t="n">
        <v>44607</v>
      </c>
      <c r="C1159" s="1" t="n">
        <v>45566</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8023-2022</t>
        </is>
      </c>
      <c r="B1160" s="1" t="n">
        <v>44609</v>
      </c>
      <c r="C1160" s="1" t="n">
        <v>45566</v>
      </c>
      <c r="D1160" t="inlineStr">
        <is>
          <t>VÄSTERBOTTENS LÄN</t>
        </is>
      </c>
      <c r="E1160" t="inlineStr">
        <is>
          <t>SKELLEFTEÅ</t>
        </is>
      </c>
      <c r="F1160" t="inlineStr">
        <is>
          <t>Kyrkan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8203-2022</t>
        </is>
      </c>
      <c r="B1161" s="1" t="n">
        <v>44609</v>
      </c>
      <c r="C1161" s="1" t="n">
        <v>45566</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8456-2022</t>
        </is>
      </c>
      <c r="B1162" s="1" t="n">
        <v>44612</v>
      </c>
      <c r="C1162" s="1" t="n">
        <v>45566</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8436-2022</t>
        </is>
      </c>
      <c r="B1163" s="1" t="n">
        <v>44612</v>
      </c>
      <c r="C1163" s="1" t="n">
        <v>45566</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8600-2022</t>
        </is>
      </c>
      <c r="B1164" s="1" t="n">
        <v>44613</v>
      </c>
      <c r="C1164" s="1" t="n">
        <v>45566</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8603-2022</t>
        </is>
      </c>
      <c r="B1165" s="1" t="n">
        <v>44613</v>
      </c>
      <c r="C1165" s="1" t="n">
        <v>45566</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8598-2022</t>
        </is>
      </c>
      <c r="B1166" s="1" t="n">
        <v>44613</v>
      </c>
      <c r="C1166" s="1" t="n">
        <v>45566</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8595-2022</t>
        </is>
      </c>
      <c r="B1167" s="1" t="n">
        <v>44613</v>
      </c>
      <c r="C1167" s="1" t="n">
        <v>45566</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8539-2022</t>
        </is>
      </c>
      <c r="B1168" s="1" t="n">
        <v>44613</v>
      </c>
      <c r="C1168" s="1" t="n">
        <v>45566</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9053-2022</t>
        </is>
      </c>
      <c r="B1169" s="1" t="n">
        <v>44615</v>
      </c>
      <c r="C1169" s="1" t="n">
        <v>45566</v>
      </c>
      <c r="D1169" t="inlineStr">
        <is>
          <t>VÄSTERBOTTENS LÄN</t>
        </is>
      </c>
      <c r="E1169" t="inlineStr">
        <is>
          <t>SKELLEFTEÅ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9500-2022</t>
        </is>
      </c>
      <c r="B1170" s="1" t="n">
        <v>44616</v>
      </c>
      <c r="C1170" s="1" t="n">
        <v>45566</v>
      </c>
      <c r="D1170" t="inlineStr">
        <is>
          <t>VÄSTERBOTTENS LÄN</t>
        </is>
      </c>
      <c r="E1170" t="inlineStr">
        <is>
          <t>SKELLEFTEÅ</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9579-2022</t>
        </is>
      </c>
      <c r="B1171" s="1" t="n">
        <v>44617</v>
      </c>
      <c r="C1171" s="1" t="n">
        <v>45566</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9925-2022</t>
        </is>
      </c>
      <c r="B1172" s="1" t="n">
        <v>44620</v>
      </c>
      <c r="C1172" s="1" t="n">
        <v>45566</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9950-2022</t>
        </is>
      </c>
      <c r="B1173" s="1" t="n">
        <v>44620</v>
      </c>
      <c r="C1173" s="1" t="n">
        <v>45566</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10132-2022</t>
        </is>
      </c>
      <c r="B1174" s="1" t="n">
        <v>44621</v>
      </c>
      <c r="C1174" s="1" t="n">
        <v>45566</v>
      </c>
      <c r="D1174" t="inlineStr">
        <is>
          <t>VÄSTERBOTTENS LÄN</t>
        </is>
      </c>
      <c r="E1174" t="inlineStr">
        <is>
          <t>SKELLEFTEÅ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10578-2022</t>
        </is>
      </c>
      <c r="B1175" s="1" t="n">
        <v>44624</v>
      </c>
      <c r="C1175" s="1" t="n">
        <v>45566</v>
      </c>
      <c r="D1175" t="inlineStr">
        <is>
          <t>VÄSTERBOTTENS LÄN</t>
        </is>
      </c>
      <c r="E1175" t="inlineStr">
        <is>
          <t>SKELLEFTEÅ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10568-2022</t>
        </is>
      </c>
      <c r="B1176" s="1" t="n">
        <v>44624</v>
      </c>
      <c r="C1176" s="1" t="n">
        <v>45566</v>
      </c>
      <c r="D1176" t="inlineStr">
        <is>
          <t>VÄSTERBOTTENS LÄN</t>
        </is>
      </c>
      <c r="E1176" t="inlineStr">
        <is>
          <t>SKELLEFTEÅ</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10723-2022</t>
        </is>
      </c>
      <c r="B1177" s="1" t="n">
        <v>44624</v>
      </c>
      <c r="C1177" s="1" t="n">
        <v>45566</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11226-2022</t>
        </is>
      </c>
      <c r="B1178" s="1" t="n">
        <v>44624</v>
      </c>
      <c r="C1178" s="1" t="n">
        <v>45566</v>
      </c>
      <c r="D1178" t="inlineStr">
        <is>
          <t>VÄSTERBOTTENS LÄN</t>
        </is>
      </c>
      <c r="E1178" t="inlineStr">
        <is>
          <t>SKELLEFTEÅ</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11260-2022</t>
        </is>
      </c>
      <c r="B1179" s="1" t="n">
        <v>44629</v>
      </c>
      <c r="C1179" s="1" t="n">
        <v>45566</v>
      </c>
      <c r="D1179" t="inlineStr">
        <is>
          <t>VÄSTERBOTTENS LÄN</t>
        </is>
      </c>
      <c r="E1179" t="inlineStr">
        <is>
          <t>SKELLEFTEÅ</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11468-2022</t>
        </is>
      </c>
      <c r="B1180" s="1" t="n">
        <v>44630</v>
      </c>
      <c r="C1180" s="1" t="n">
        <v>45566</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11685-2022</t>
        </is>
      </c>
      <c r="B1181" s="1" t="n">
        <v>44634</v>
      </c>
      <c r="C1181" s="1" t="n">
        <v>45566</v>
      </c>
      <c r="D1181" t="inlineStr">
        <is>
          <t>VÄSTERBOTTENS LÄN</t>
        </is>
      </c>
      <c r="E1181" t="inlineStr">
        <is>
          <t>SKELLEFTEÅ</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11790-2022</t>
        </is>
      </c>
      <c r="B1182" s="1" t="n">
        <v>44634</v>
      </c>
      <c r="C1182" s="1" t="n">
        <v>45566</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11879-2022</t>
        </is>
      </c>
      <c r="B1183" s="1" t="n">
        <v>44635</v>
      </c>
      <c r="C1183" s="1" t="n">
        <v>45566</v>
      </c>
      <c r="D1183" t="inlineStr">
        <is>
          <t>VÄSTERBOTTENS LÄN</t>
        </is>
      </c>
      <c r="E1183" t="inlineStr">
        <is>
          <t>SKELLEFTEÅ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12009-2022</t>
        </is>
      </c>
      <c r="B1184" s="1" t="n">
        <v>44635</v>
      </c>
      <c r="C1184" s="1" t="n">
        <v>45566</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12326-2022</t>
        </is>
      </c>
      <c r="B1185" s="1" t="n">
        <v>44637</v>
      </c>
      <c r="C1185" s="1" t="n">
        <v>45566</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12512-2022</t>
        </is>
      </c>
      <c r="B1186" s="1" t="n">
        <v>44638</v>
      </c>
      <c r="C1186" s="1" t="n">
        <v>45566</v>
      </c>
      <c r="D1186" t="inlineStr">
        <is>
          <t>VÄSTERBOTTENS LÄN</t>
        </is>
      </c>
      <c r="E1186" t="inlineStr">
        <is>
          <t>SKELLEFTEÅ</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12518-2022</t>
        </is>
      </c>
      <c r="B1187" s="1" t="n">
        <v>44638</v>
      </c>
      <c r="C1187" s="1" t="n">
        <v>45566</v>
      </c>
      <c r="D1187" t="inlineStr">
        <is>
          <t>VÄSTERBOTTENS LÄN</t>
        </is>
      </c>
      <c r="E1187" t="inlineStr">
        <is>
          <t>SKELLEFTEÅ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12529-2022</t>
        </is>
      </c>
      <c r="B1188" s="1" t="n">
        <v>44638</v>
      </c>
      <c r="C1188" s="1" t="n">
        <v>45566</v>
      </c>
      <c r="D1188" t="inlineStr">
        <is>
          <t>VÄSTERBOTTENS LÄN</t>
        </is>
      </c>
      <c r="E1188" t="inlineStr">
        <is>
          <t>SKELLEFTEÅ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12516-2022</t>
        </is>
      </c>
      <c r="B1189" s="1" t="n">
        <v>44638</v>
      </c>
      <c r="C1189" s="1" t="n">
        <v>45566</v>
      </c>
      <c r="D1189" t="inlineStr">
        <is>
          <t>VÄSTERBOTTENS LÄN</t>
        </is>
      </c>
      <c r="E1189" t="inlineStr">
        <is>
          <t>SKELLEFTEÅ</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12511-2022</t>
        </is>
      </c>
      <c r="B1190" s="1" t="n">
        <v>44638</v>
      </c>
      <c r="C1190" s="1" t="n">
        <v>45566</v>
      </c>
      <c r="D1190" t="inlineStr">
        <is>
          <t>VÄSTERBOTTENS LÄN</t>
        </is>
      </c>
      <c r="E1190" t="inlineStr">
        <is>
          <t>SKELLEFTEÅ</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12509-2022</t>
        </is>
      </c>
      <c r="B1191" s="1" t="n">
        <v>44638</v>
      </c>
      <c r="C1191" s="1" t="n">
        <v>45566</v>
      </c>
      <c r="D1191" t="inlineStr">
        <is>
          <t>VÄSTERBOTTENS LÄN</t>
        </is>
      </c>
      <c r="E1191" t="inlineStr">
        <is>
          <t>SKELLEFTEÅ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12715-2022</t>
        </is>
      </c>
      <c r="B1192" s="1" t="n">
        <v>44641</v>
      </c>
      <c r="C1192" s="1" t="n">
        <v>45566</v>
      </c>
      <c r="D1192" t="inlineStr">
        <is>
          <t>VÄSTERBOTTENS LÄN</t>
        </is>
      </c>
      <c r="E1192" t="inlineStr">
        <is>
          <t>SKELLEFTEÅ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13131-2022</t>
        </is>
      </c>
      <c r="B1193" s="1" t="n">
        <v>44644</v>
      </c>
      <c r="C1193" s="1" t="n">
        <v>45566</v>
      </c>
      <c r="D1193" t="inlineStr">
        <is>
          <t>VÄSTERBOTTENS LÄN</t>
        </is>
      </c>
      <c r="E1193" t="inlineStr">
        <is>
          <t>SKELLEFTEÅ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13430-2022</t>
        </is>
      </c>
      <c r="B1194" s="1" t="n">
        <v>44645</v>
      </c>
      <c r="C1194" s="1" t="n">
        <v>45566</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13391-2022</t>
        </is>
      </c>
      <c r="B1195" s="1" t="n">
        <v>44645</v>
      </c>
      <c r="C1195" s="1" t="n">
        <v>45566</v>
      </c>
      <c r="D1195" t="inlineStr">
        <is>
          <t>VÄSTERBOTTENS LÄN</t>
        </is>
      </c>
      <c r="E1195" t="inlineStr">
        <is>
          <t>SKELLEFTEÅ</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13530-2022</t>
        </is>
      </c>
      <c r="B1196" s="1" t="n">
        <v>44648</v>
      </c>
      <c r="C1196" s="1" t="n">
        <v>45566</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13693-2022</t>
        </is>
      </c>
      <c r="B1197" s="1" t="n">
        <v>44648</v>
      </c>
      <c r="C1197" s="1" t="n">
        <v>45566</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14088-2022</t>
        </is>
      </c>
      <c r="B1198" s="1" t="n">
        <v>44650</v>
      </c>
      <c r="C1198" s="1" t="n">
        <v>45566</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14096-2022</t>
        </is>
      </c>
      <c r="B1199" s="1" t="n">
        <v>44651</v>
      </c>
      <c r="C1199" s="1" t="n">
        <v>45566</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14627-2022</t>
        </is>
      </c>
      <c r="B1200" s="1" t="n">
        <v>44655</v>
      </c>
      <c r="C1200" s="1" t="n">
        <v>45566</v>
      </c>
      <c r="D1200" t="inlineStr">
        <is>
          <t>VÄSTERBOTTENS LÄN</t>
        </is>
      </c>
      <c r="E1200" t="inlineStr">
        <is>
          <t>SKELLEFTEÅ</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14759-2022</t>
        </is>
      </c>
      <c r="B1201" s="1" t="n">
        <v>44656</v>
      </c>
      <c r="C1201" s="1" t="n">
        <v>45566</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14756-2022</t>
        </is>
      </c>
      <c r="B1202" s="1" t="n">
        <v>44656</v>
      </c>
      <c r="C1202" s="1" t="n">
        <v>45566</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14952-2022</t>
        </is>
      </c>
      <c r="B1203" s="1" t="n">
        <v>44657</v>
      </c>
      <c r="C1203" s="1" t="n">
        <v>45566</v>
      </c>
      <c r="D1203" t="inlineStr">
        <is>
          <t>VÄSTERBOTTENS LÄN</t>
        </is>
      </c>
      <c r="E1203" t="inlineStr">
        <is>
          <t>SKELLEFTEÅ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15441-2022</t>
        </is>
      </c>
      <c r="B1204" s="1" t="n">
        <v>44659</v>
      </c>
      <c r="C1204" s="1" t="n">
        <v>45566</v>
      </c>
      <c r="D1204" t="inlineStr">
        <is>
          <t>VÄSTERBOTTENS LÄN</t>
        </is>
      </c>
      <c r="E1204" t="inlineStr">
        <is>
          <t>SKELLEFTEÅ</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15740-2022</t>
        </is>
      </c>
      <c r="B1205" s="1" t="n">
        <v>44663</v>
      </c>
      <c r="C1205" s="1" t="n">
        <v>45566</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16139-2022</t>
        </is>
      </c>
      <c r="B1206" s="1" t="n">
        <v>44665</v>
      </c>
      <c r="C1206" s="1" t="n">
        <v>45566</v>
      </c>
      <c r="D1206" t="inlineStr">
        <is>
          <t>VÄSTERBOTTENS LÄN</t>
        </is>
      </c>
      <c r="E1206" t="inlineStr">
        <is>
          <t>SKELLEFTEÅ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16198-2022</t>
        </is>
      </c>
      <c r="B1207" s="1" t="n">
        <v>44665</v>
      </c>
      <c r="C1207" s="1" t="n">
        <v>45566</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16653-2022</t>
        </is>
      </c>
      <c r="B1208" s="1" t="n">
        <v>44672</v>
      </c>
      <c r="C1208" s="1" t="n">
        <v>45566</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16802-2022</t>
        </is>
      </c>
      <c r="B1209" s="1" t="n">
        <v>44673</v>
      </c>
      <c r="C1209" s="1" t="n">
        <v>45566</v>
      </c>
      <c r="D1209" t="inlineStr">
        <is>
          <t>VÄSTERBOTTENS LÄN</t>
        </is>
      </c>
      <c r="E1209" t="inlineStr">
        <is>
          <t>SKELLEFTEÅ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16837-2022</t>
        </is>
      </c>
      <c r="B1210" s="1" t="n">
        <v>44674</v>
      </c>
      <c r="C1210" s="1" t="n">
        <v>45566</v>
      </c>
      <c r="D1210" t="inlineStr">
        <is>
          <t>VÄSTERBOTTENS LÄN</t>
        </is>
      </c>
      <c r="E1210" t="inlineStr">
        <is>
          <t>SKELLEFTEÅ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16750-2022</t>
        </is>
      </c>
      <c r="B1211" s="1" t="n">
        <v>44673</v>
      </c>
      <c r="C1211" s="1" t="n">
        <v>45566</v>
      </c>
      <c r="D1211" t="inlineStr">
        <is>
          <t>VÄSTERBOTTENS LÄN</t>
        </is>
      </c>
      <c r="E1211" t="inlineStr">
        <is>
          <t>SKELLEFTEÅ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16842-2022</t>
        </is>
      </c>
      <c r="B1212" s="1" t="n">
        <v>44674</v>
      </c>
      <c r="C1212" s="1" t="n">
        <v>45566</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17197-2022</t>
        </is>
      </c>
      <c r="B1213" s="1" t="n">
        <v>44677</v>
      </c>
      <c r="C1213" s="1" t="n">
        <v>45566</v>
      </c>
      <c r="D1213" t="inlineStr">
        <is>
          <t>VÄSTERBOTTENS LÄN</t>
        </is>
      </c>
      <c r="E1213" t="inlineStr">
        <is>
          <t>SKELLEFTEÅ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17257-2022</t>
        </is>
      </c>
      <c r="B1214" s="1" t="n">
        <v>44678</v>
      </c>
      <c r="C1214" s="1" t="n">
        <v>45566</v>
      </c>
      <c r="D1214" t="inlineStr">
        <is>
          <t>VÄSTERBOTTENS LÄN</t>
        </is>
      </c>
      <c r="E1214" t="inlineStr">
        <is>
          <t>SKELLEFTEÅ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17251-2022</t>
        </is>
      </c>
      <c r="B1215" s="1" t="n">
        <v>44678</v>
      </c>
      <c r="C1215" s="1" t="n">
        <v>45566</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18056-2022</t>
        </is>
      </c>
      <c r="B1216" s="1" t="n">
        <v>44684</v>
      </c>
      <c r="C1216" s="1" t="n">
        <v>45566</v>
      </c>
      <c r="D1216" t="inlineStr">
        <is>
          <t>VÄSTERBOTTENS LÄN</t>
        </is>
      </c>
      <c r="E1216" t="inlineStr">
        <is>
          <t>SKELLEFTEÅ</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18070-2022</t>
        </is>
      </c>
      <c r="B1217" s="1" t="n">
        <v>44684</v>
      </c>
      <c r="C1217" s="1" t="n">
        <v>45566</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18046-2022</t>
        </is>
      </c>
      <c r="B1218" s="1" t="n">
        <v>44684</v>
      </c>
      <c r="C1218" s="1" t="n">
        <v>45566</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18081-2022</t>
        </is>
      </c>
      <c r="B1219" s="1" t="n">
        <v>44684</v>
      </c>
      <c r="C1219" s="1" t="n">
        <v>45566</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18255-2022</t>
        </is>
      </c>
      <c r="B1220" s="1" t="n">
        <v>44685</v>
      </c>
      <c r="C1220" s="1" t="n">
        <v>45566</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18584-2022</t>
        </is>
      </c>
      <c r="B1221" s="1" t="n">
        <v>44687</v>
      </c>
      <c r="C1221" s="1" t="n">
        <v>45566</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18661-2022</t>
        </is>
      </c>
      <c r="B1222" s="1" t="n">
        <v>44687</v>
      </c>
      <c r="C1222" s="1" t="n">
        <v>45566</v>
      </c>
      <c r="D1222" t="inlineStr">
        <is>
          <t>VÄSTERBOTTENS LÄN</t>
        </is>
      </c>
      <c r="E1222" t="inlineStr">
        <is>
          <t>SKELLEFTEÅ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19804-2022</t>
        </is>
      </c>
      <c r="B1223" s="1" t="n">
        <v>44694</v>
      </c>
      <c r="C1223" s="1" t="n">
        <v>45566</v>
      </c>
      <c r="D1223" t="inlineStr">
        <is>
          <t>VÄSTERBOTTENS LÄN</t>
        </is>
      </c>
      <c r="E1223" t="inlineStr">
        <is>
          <t>SKELLEFTEÅ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19805-2022</t>
        </is>
      </c>
      <c r="B1224" s="1" t="n">
        <v>44694</v>
      </c>
      <c r="C1224" s="1" t="n">
        <v>45566</v>
      </c>
      <c r="D1224" t="inlineStr">
        <is>
          <t>VÄSTERBOTTENS LÄN</t>
        </is>
      </c>
      <c r="E1224" t="inlineStr">
        <is>
          <t>SKELLEFTEÅ</t>
        </is>
      </c>
      <c r="F1224" t="inlineStr">
        <is>
          <t>SCA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19870-2022</t>
        </is>
      </c>
      <c r="B1225" s="1" t="n">
        <v>44694</v>
      </c>
      <c r="C1225" s="1" t="n">
        <v>45566</v>
      </c>
      <c r="D1225" t="inlineStr">
        <is>
          <t>VÄSTERBOTTENS LÄN</t>
        </is>
      </c>
      <c r="E1225" t="inlineStr">
        <is>
          <t>SKELLEFTEÅ</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20515-2022</t>
        </is>
      </c>
      <c r="B1226" s="1" t="n">
        <v>44699</v>
      </c>
      <c r="C1226" s="1" t="n">
        <v>45566</v>
      </c>
      <c r="D1226" t="inlineStr">
        <is>
          <t>VÄSTERBOTTENS LÄN</t>
        </is>
      </c>
      <c r="E1226" t="inlineStr">
        <is>
          <t>SKELLEFTEÅ</t>
        </is>
      </c>
      <c r="G1226" t="n">
        <v>21.5</v>
      </c>
      <c r="H1226" t="n">
        <v>0</v>
      </c>
      <c r="I1226" t="n">
        <v>0</v>
      </c>
      <c r="J1226" t="n">
        <v>0</v>
      </c>
      <c r="K1226" t="n">
        <v>0</v>
      </c>
      <c r="L1226" t="n">
        <v>0</v>
      </c>
      <c r="M1226" t="n">
        <v>0</v>
      </c>
      <c r="N1226" t="n">
        <v>0</v>
      </c>
      <c r="O1226" t="n">
        <v>0</v>
      </c>
      <c r="P1226" t="n">
        <v>0</v>
      </c>
      <c r="Q1226" t="n">
        <v>0</v>
      </c>
      <c r="R1226" s="2" t="inlineStr"/>
    </row>
    <row r="1227" ht="15" customHeight="1">
      <c r="A1227" t="inlineStr">
        <is>
          <t>A 20638-2022</t>
        </is>
      </c>
      <c r="B1227" s="1" t="n">
        <v>44700</v>
      </c>
      <c r="C1227" s="1" t="n">
        <v>45566</v>
      </c>
      <c r="D1227" t="inlineStr">
        <is>
          <t>VÄSTERBOTTENS LÄN</t>
        </is>
      </c>
      <c r="E1227" t="inlineStr">
        <is>
          <t>SKELLEFTEÅ</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20654-2022</t>
        </is>
      </c>
      <c r="B1228" s="1" t="n">
        <v>44700</v>
      </c>
      <c r="C1228" s="1" t="n">
        <v>45566</v>
      </c>
      <c r="D1228" t="inlineStr">
        <is>
          <t>VÄSTERBOTTENS LÄN</t>
        </is>
      </c>
      <c r="E1228" t="inlineStr">
        <is>
          <t>SKELLEFTEÅ</t>
        </is>
      </c>
      <c r="F1228" t="inlineStr">
        <is>
          <t>Holmen skog AB</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20610-2022</t>
        </is>
      </c>
      <c r="B1229" s="1" t="n">
        <v>44700</v>
      </c>
      <c r="C1229" s="1" t="n">
        <v>45566</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21035-2022</t>
        </is>
      </c>
      <c r="B1230" s="1" t="n">
        <v>44704</v>
      </c>
      <c r="C1230" s="1" t="n">
        <v>45566</v>
      </c>
      <c r="D1230" t="inlineStr">
        <is>
          <t>VÄSTERBOTTENS LÄN</t>
        </is>
      </c>
      <c r="E1230" t="inlineStr">
        <is>
          <t>SKELLEFTEÅ</t>
        </is>
      </c>
      <c r="G1230" t="n">
        <v>26.9</v>
      </c>
      <c r="H1230" t="n">
        <v>0</v>
      </c>
      <c r="I1230" t="n">
        <v>0</v>
      </c>
      <c r="J1230" t="n">
        <v>0</v>
      </c>
      <c r="K1230" t="n">
        <v>0</v>
      </c>
      <c r="L1230" t="n">
        <v>0</v>
      </c>
      <c r="M1230" t="n">
        <v>0</v>
      </c>
      <c r="N1230" t="n">
        <v>0</v>
      </c>
      <c r="O1230" t="n">
        <v>0</v>
      </c>
      <c r="P1230" t="n">
        <v>0</v>
      </c>
      <c r="Q1230" t="n">
        <v>0</v>
      </c>
      <c r="R1230" s="2" t="inlineStr"/>
    </row>
    <row r="1231" ht="15" customHeight="1">
      <c r="A1231" t="inlineStr">
        <is>
          <t>A 21136-2022</t>
        </is>
      </c>
      <c r="B1231" s="1" t="n">
        <v>44704</v>
      </c>
      <c r="C1231" s="1" t="n">
        <v>45566</v>
      </c>
      <c r="D1231" t="inlineStr">
        <is>
          <t>VÄSTERBOTTENS LÄN</t>
        </is>
      </c>
      <c r="E1231" t="inlineStr">
        <is>
          <t>SKELLEFTEÅ</t>
        </is>
      </c>
      <c r="F1231" t="inlineStr">
        <is>
          <t>Holmen skog AB</t>
        </is>
      </c>
      <c r="G1231" t="n">
        <v>22.6</v>
      </c>
      <c r="H1231" t="n">
        <v>0</v>
      </c>
      <c r="I1231" t="n">
        <v>0</v>
      </c>
      <c r="J1231" t="n">
        <v>0</v>
      </c>
      <c r="K1231" t="n">
        <v>0</v>
      </c>
      <c r="L1231" t="n">
        <v>0</v>
      </c>
      <c r="M1231" t="n">
        <v>0</v>
      </c>
      <c r="N1231" t="n">
        <v>0</v>
      </c>
      <c r="O1231" t="n">
        <v>0</v>
      </c>
      <c r="P1231" t="n">
        <v>0</v>
      </c>
      <c r="Q1231" t="n">
        <v>0</v>
      </c>
      <c r="R1231" s="2" t="inlineStr"/>
    </row>
    <row r="1232" ht="15" customHeight="1">
      <c r="A1232" t="inlineStr">
        <is>
          <t>A 21395-2022</t>
        </is>
      </c>
      <c r="B1232" s="1" t="n">
        <v>44706</v>
      </c>
      <c r="C1232" s="1" t="n">
        <v>45566</v>
      </c>
      <c r="D1232" t="inlineStr">
        <is>
          <t>VÄSTERBOTTENS LÄN</t>
        </is>
      </c>
      <c r="E1232" t="inlineStr">
        <is>
          <t>SKELLEFTEÅ</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45566</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21843-2022</t>
        </is>
      </c>
      <c r="B1234" s="1" t="n">
        <v>44711</v>
      </c>
      <c r="C1234" s="1" t="n">
        <v>45566</v>
      </c>
      <c r="D1234" t="inlineStr">
        <is>
          <t>VÄSTERBOTTENS LÄN</t>
        </is>
      </c>
      <c r="E1234" t="inlineStr">
        <is>
          <t>SKELLEFTEÅ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21882-2022</t>
        </is>
      </c>
      <c r="B1235" s="1" t="n">
        <v>44711</v>
      </c>
      <c r="C1235" s="1" t="n">
        <v>45566</v>
      </c>
      <c r="D1235" t="inlineStr">
        <is>
          <t>VÄSTERBOTTENS LÄN</t>
        </is>
      </c>
      <c r="E1235" t="inlineStr">
        <is>
          <t>SKELLEFTEÅ</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21883-2022</t>
        </is>
      </c>
      <c r="B1236" s="1" t="n">
        <v>44711</v>
      </c>
      <c r="C1236" s="1" t="n">
        <v>45566</v>
      </c>
      <c r="D1236" t="inlineStr">
        <is>
          <t>VÄSTERBOTTENS LÄN</t>
        </is>
      </c>
      <c r="E1236" t="inlineStr">
        <is>
          <t>SKELLEFTEÅ</t>
        </is>
      </c>
      <c r="F1236" t="inlineStr">
        <is>
          <t>Holmen skog AB</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21842-2022</t>
        </is>
      </c>
      <c r="B1237" s="1" t="n">
        <v>44711</v>
      </c>
      <c r="C1237" s="1" t="n">
        <v>45566</v>
      </c>
      <c r="D1237" t="inlineStr">
        <is>
          <t>VÄSTERBOTTENS LÄN</t>
        </is>
      </c>
      <c r="E1237" t="inlineStr">
        <is>
          <t>SKELLEFTEÅ</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21996-2022</t>
        </is>
      </c>
      <c r="B1238" s="1" t="n">
        <v>44711</v>
      </c>
      <c r="C1238" s="1" t="n">
        <v>45566</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22373-2022</t>
        </is>
      </c>
      <c r="B1239" s="1" t="n">
        <v>44713</v>
      </c>
      <c r="C1239" s="1" t="n">
        <v>45566</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22364-2022</t>
        </is>
      </c>
      <c r="B1240" s="1" t="n">
        <v>44713</v>
      </c>
      <c r="C1240" s="1" t="n">
        <v>45566</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22661-2022</t>
        </is>
      </c>
      <c r="B1241" s="1" t="n">
        <v>44714</v>
      </c>
      <c r="C1241" s="1" t="n">
        <v>45566</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22618-2022</t>
        </is>
      </c>
      <c r="B1242" s="1" t="n">
        <v>44714</v>
      </c>
      <c r="C1242" s="1" t="n">
        <v>45566</v>
      </c>
      <c r="D1242" t="inlineStr">
        <is>
          <t>VÄSTERBOTTENS LÄN</t>
        </is>
      </c>
      <c r="E1242" t="inlineStr">
        <is>
          <t>SKELLEFTEÅ</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22758-2022</t>
        </is>
      </c>
      <c r="B1243" s="1" t="n">
        <v>44714</v>
      </c>
      <c r="C1243" s="1" t="n">
        <v>45566</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22760-2022</t>
        </is>
      </c>
      <c r="B1244" s="1" t="n">
        <v>44714</v>
      </c>
      <c r="C1244" s="1" t="n">
        <v>45566</v>
      </c>
      <c r="D1244" t="inlineStr">
        <is>
          <t>VÄSTERBOTTENS LÄN</t>
        </is>
      </c>
      <c r="E1244" t="inlineStr">
        <is>
          <t>SKELLEFTEÅ</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22822-2022</t>
        </is>
      </c>
      <c r="B1245" s="1" t="n">
        <v>44714</v>
      </c>
      <c r="C1245" s="1" t="n">
        <v>45566</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22763-2022</t>
        </is>
      </c>
      <c r="B1246" s="1" t="n">
        <v>44715</v>
      </c>
      <c r="C1246" s="1" t="n">
        <v>45566</v>
      </c>
      <c r="D1246" t="inlineStr">
        <is>
          <t>VÄSTERBOTTENS LÄN</t>
        </is>
      </c>
      <c r="E1246" t="inlineStr">
        <is>
          <t>SKELLEFTEÅ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22828-2022</t>
        </is>
      </c>
      <c r="B1247" s="1" t="n">
        <v>44714</v>
      </c>
      <c r="C1247" s="1" t="n">
        <v>45566</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22896-2022</t>
        </is>
      </c>
      <c r="B1248" s="1" t="n">
        <v>44715</v>
      </c>
      <c r="C1248" s="1" t="n">
        <v>45566</v>
      </c>
      <c r="D1248" t="inlineStr">
        <is>
          <t>VÄSTERBOTTENS LÄN</t>
        </is>
      </c>
      <c r="E1248" t="inlineStr">
        <is>
          <t>SKELLEFTEÅ</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23042-2022</t>
        </is>
      </c>
      <c r="B1249" s="1" t="n">
        <v>44719</v>
      </c>
      <c r="C1249" s="1" t="n">
        <v>45566</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23046-2022</t>
        </is>
      </c>
      <c r="B1250" s="1" t="n">
        <v>44719</v>
      </c>
      <c r="C1250" s="1" t="n">
        <v>45566</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23513-2022</t>
        </is>
      </c>
      <c r="B1251" s="1" t="n">
        <v>44721</v>
      </c>
      <c r="C1251" s="1" t="n">
        <v>45566</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23715-2022</t>
        </is>
      </c>
      <c r="B1252" s="1" t="n">
        <v>44721</v>
      </c>
      <c r="C1252" s="1" t="n">
        <v>45566</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23729-2022</t>
        </is>
      </c>
      <c r="B1253" s="1" t="n">
        <v>44722</v>
      </c>
      <c r="C1253" s="1" t="n">
        <v>45566</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24238-2022</t>
        </is>
      </c>
      <c r="B1254" s="1" t="n">
        <v>44725</v>
      </c>
      <c r="C1254" s="1" t="n">
        <v>45566</v>
      </c>
      <c r="D1254" t="inlineStr">
        <is>
          <t>VÄSTERBOTTENS LÄN</t>
        </is>
      </c>
      <c r="E1254" t="inlineStr">
        <is>
          <t>SKELLEFTEÅ</t>
        </is>
      </c>
      <c r="F1254" t="inlineStr">
        <is>
          <t>Övriga Aktiebolag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24323-2022</t>
        </is>
      </c>
      <c r="B1255" s="1" t="n">
        <v>44725</v>
      </c>
      <c r="C1255" s="1" t="n">
        <v>45566</v>
      </c>
      <c r="D1255" t="inlineStr">
        <is>
          <t>VÄSTERBOTTENS LÄN</t>
        </is>
      </c>
      <c r="E1255" t="inlineStr">
        <is>
          <t>SKELLEFTEÅ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24242-2022</t>
        </is>
      </c>
      <c r="B1256" s="1" t="n">
        <v>44725</v>
      </c>
      <c r="C1256" s="1" t="n">
        <v>45566</v>
      </c>
      <c r="D1256" t="inlineStr">
        <is>
          <t>VÄSTERBOTTENS LÄN</t>
        </is>
      </c>
      <c r="E1256" t="inlineStr">
        <is>
          <t>SKELLEFTEÅ</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24505-2022</t>
        </is>
      </c>
      <c r="B1257" s="1" t="n">
        <v>44727</v>
      </c>
      <c r="C1257" s="1" t="n">
        <v>45566</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24577-2022</t>
        </is>
      </c>
      <c r="B1258" s="1" t="n">
        <v>44727</v>
      </c>
      <c r="C1258" s="1" t="n">
        <v>45566</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24583-2022</t>
        </is>
      </c>
      <c r="B1259" s="1" t="n">
        <v>44727</v>
      </c>
      <c r="C1259" s="1" t="n">
        <v>45566</v>
      </c>
      <c r="D1259" t="inlineStr">
        <is>
          <t>VÄSTERBOTTENS LÄN</t>
        </is>
      </c>
      <c r="E1259" t="inlineStr">
        <is>
          <t>SKELLEFTEÅ</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24663-2022</t>
        </is>
      </c>
      <c r="B1260" s="1" t="n">
        <v>44728</v>
      </c>
      <c r="C1260" s="1" t="n">
        <v>45566</v>
      </c>
      <c r="D1260" t="inlineStr">
        <is>
          <t>VÄSTERBOTTENS LÄN</t>
        </is>
      </c>
      <c r="E1260" t="inlineStr">
        <is>
          <t>SKELLEFTEÅ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24832-2022</t>
        </is>
      </c>
      <c r="B1261" s="1" t="n">
        <v>44728</v>
      </c>
      <c r="C1261" s="1" t="n">
        <v>45566</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24899-2022</t>
        </is>
      </c>
      <c r="B1262" s="1" t="n">
        <v>44728</v>
      </c>
      <c r="C1262" s="1" t="n">
        <v>45566</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24941-2022</t>
        </is>
      </c>
      <c r="B1263" s="1" t="n">
        <v>44728</v>
      </c>
      <c r="C1263" s="1" t="n">
        <v>45566</v>
      </c>
      <c r="D1263" t="inlineStr">
        <is>
          <t>VÄSTERBOTTENS LÄN</t>
        </is>
      </c>
      <c r="E1263" t="inlineStr">
        <is>
          <t>SKELLEFTEÅ</t>
        </is>
      </c>
      <c r="F1263" t="inlineStr">
        <is>
          <t>Holmen skog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25009-2022</t>
        </is>
      </c>
      <c r="B1264" s="1" t="n">
        <v>44729</v>
      </c>
      <c r="C1264" s="1" t="n">
        <v>45566</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25182-2022</t>
        </is>
      </c>
      <c r="B1265" s="1" t="n">
        <v>44729</v>
      </c>
      <c r="C1265" s="1" t="n">
        <v>45566</v>
      </c>
      <c r="D1265" t="inlineStr">
        <is>
          <t>VÄSTERBOTTENS LÄN</t>
        </is>
      </c>
      <c r="E1265" t="inlineStr">
        <is>
          <t>SKELLEFTEÅ</t>
        </is>
      </c>
      <c r="F1265" t="inlineStr">
        <is>
          <t>Holmen skog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25207-2022</t>
        </is>
      </c>
      <c r="B1266" s="1" t="n">
        <v>44729</v>
      </c>
      <c r="C1266" s="1" t="n">
        <v>45566</v>
      </c>
      <c r="D1266" t="inlineStr">
        <is>
          <t>VÄSTERBOTTENS LÄN</t>
        </is>
      </c>
      <c r="E1266" t="inlineStr">
        <is>
          <t>SKELLEFTEÅ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25336-2022</t>
        </is>
      </c>
      <c r="B1267" s="1" t="n">
        <v>44732</v>
      </c>
      <c r="C1267" s="1" t="n">
        <v>45566</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25404-2022</t>
        </is>
      </c>
      <c r="B1268" s="1" t="n">
        <v>44732</v>
      </c>
      <c r="C1268" s="1" t="n">
        <v>45566</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25568-2022</t>
        </is>
      </c>
      <c r="B1269" s="1" t="n">
        <v>44732</v>
      </c>
      <c r="C1269" s="1" t="n">
        <v>45566</v>
      </c>
      <c r="D1269" t="inlineStr">
        <is>
          <t>VÄSTERBOTTENS LÄN</t>
        </is>
      </c>
      <c r="E1269" t="inlineStr">
        <is>
          <t>SKELLEFTEÅ</t>
        </is>
      </c>
      <c r="F1269" t="inlineStr">
        <is>
          <t>Holmen skog AB</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25596-2022</t>
        </is>
      </c>
      <c r="B1270" s="1" t="n">
        <v>44732</v>
      </c>
      <c r="C1270" s="1" t="n">
        <v>45566</v>
      </c>
      <c r="D1270" t="inlineStr">
        <is>
          <t>VÄSTERBOTTENS LÄN</t>
        </is>
      </c>
      <c r="E1270" t="inlineStr">
        <is>
          <t>SKELLEFTEÅ</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25674-2022</t>
        </is>
      </c>
      <c r="B1271" s="1" t="n">
        <v>44732</v>
      </c>
      <c r="C1271" s="1" t="n">
        <v>45566</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26031-2022</t>
        </is>
      </c>
      <c r="B1272" s="1" t="n">
        <v>44734</v>
      </c>
      <c r="C1272" s="1" t="n">
        <v>45566</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26203-2022</t>
        </is>
      </c>
      <c r="B1273" s="1" t="n">
        <v>44735</v>
      </c>
      <c r="C1273" s="1" t="n">
        <v>45566</v>
      </c>
      <c r="D1273" t="inlineStr">
        <is>
          <t>VÄSTERBOTTENS LÄN</t>
        </is>
      </c>
      <c r="E1273" t="inlineStr">
        <is>
          <t>SKELLEFTEÅ</t>
        </is>
      </c>
      <c r="F1273" t="inlineStr">
        <is>
          <t>Kommuner</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26166-2022</t>
        </is>
      </c>
      <c r="B1274" s="1" t="n">
        <v>44735</v>
      </c>
      <c r="C1274" s="1" t="n">
        <v>45566</v>
      </c>
      <c r="D1274" t="inlineStr">
        <is>
          <t>VÄSTERBOTTENS LÄN</t>
        </is>
      </c>
      <c r="E1274" t="inlineStr">
        <is>
          <t>SKELLEFTEÅ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26545-2022</t>
        </is>
      </c>
      <c r="B1275" s="1" t="n">
        <v>44739</v>
      </c>
      <c r="C1275" s="1" t="n">
        <v>45566</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26483-2022</t>
        </is>
      </c>
      <c r="B1276" s="1" t="n">
        <v>44739</v>
      </c>
      <c r="C1276" s="1" t="n">
        <v>45566</v>
      </c>
      <c r="D1276" t="inlineStr">
        <is>
          <t>VÄSTERBOTTENS LÄN</t>
        </is>
      </c>
      <c r="E1276" t="inlineStr">
        <is>
          <t>SKELLEFTEÅ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26798-2022</t>
        </is>
      </c>
      <c r="B1277" s="1" t="n">
        <v>44740</v>
      </c>
      <c r="C1277" s="1" t="n">
        <v>45566</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26807-2022</t>
        </is>
      </c>
      <c r="B1278" s="1" t="n">
        <v>44740</v>
      </c>
      <c r="C1278" s="1" t="n">
        <v>45566</v>
      </c>
      <c r="D1278" t="inlineStr">
        <is>
          <t>VÄSTERBOTTENS LÄN</t>
        </is>
      </c>
      <c r="E1278" t="inlineStr">
        <is>
          <t>SKELLEFTEÅ</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26803-2022</t>
        </is>
      </c>
      <c r="B1279" s="1" t="n">
        <v>44740</v>
      </c>
      <c r="C1279" s="1" t="n">
        <v>45566</v>
      </c>
      <c r="D1279" t="inlineStr">
        <is>
          <t>VÄSTERBOTTENS LÄN</t>
        </is>
      </c>
      <c r="E1279" t="inlineStr">
        <is>
          <t>SKELLEFTEÅ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26881-2022</t>
        </is>
      </c>
      <c r="B1280" s="1" t="n">
        <v>44740</v>
      </c>
      <c r="C1280" s="1" t="n">
        <v>45566</v>
      </c>
      <c r="D1280" t="inlineStr">
        <is>
          <t>VÄSTERBOTTENS LÄN</t>
        </is>
      </c>
      <c r="E1280" t="inlineStr">
        <is>
          <t>SKELLEFTEÅ</t>
        </is>
      </c>
      <c r="F1280" t="inlineStr">
        <is>
          <t>Holmen skog AB</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26999-2022</t>
        </is>
      </c>
      <c r="B1281" s="1" t="n">
        <v>44740</v>
      </c>
      <c r="C1281" s="1" t="n">
        <v>45566</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27003-2022</t>
        </is>
      </c>
      <c r="B1282" s="1" t="n">
        <v>44741</v>
      </c>
      <c r="C1282" s="1" t="n">
        <v>45566</v>
      </c>
      <c r="D1282" t="inlineStr">
        <is>
          <t>VÄSTERBOTTENS LÄN</t>
        </is>
      </c>
      <c r="E1282" t="inlineStr">
        <is>
          <t>SKELLEFTEÅ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27028-2022</t>
        </is>
      </c>
      <c r="B1283" s="1" t="n">
        <v>44740</v>
      </c>
      <c r="C1283" s="1" t="n">
        <v>45566</v>
      </c>
      <c r="D1283" t="inlineStr">
        <is>
          <t>VÄSTERBOTTENS LÄN</t>
        </is>
      </c>
      <c r="E1283" t="inlineStr">
        <is>
          <t>SKELLEFTEÅ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27002-2022</t>
        </is>
      </c>
      <c r="B1284" s="1" t="n">
        <v>44740</v>
      </c>
      <c r="C1284" s="1" t="n">
        <v>45566</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v>
      </c>
      <c r="C1285" s="1" t="n">
        <v>45566</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27555-2022</t>
        </is>
      </c>
      <c r="B1286" s="1" t="n">
        <v>44743</v>
      </c>
      <c r="C1286" s="1" t="n">
        <v>45566</v>
      </c>
      <c r="D1286" t="inlineStr">
        <is>
          <t>VÄSTERBOTTENS LÄN</t>
        </is>
      </c>
      <c r="E1286" t="inlineStr">
        <is>
          <t>SKELLEFTEÅ</t>
        </is>
      </c>
      <c r="F1286" t="inlineStr">
        <is>
          <t>Kommuner</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27560-2022</t>
        </is>
      </c>
      <c r="B1287" s="1" t="n">
        <v>44743</v>
      </c>
      <c r="C1287" s="1" t="n">
        <v>45566</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27817-2022</t>
        </is>
      </c>
      <c r="B1288" s="1" t="n">
        <v>44743</v>
      </c>
      <c r="C1288" s="1" t="n">
        <v>45566</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27637-2022</t>
        </is>
      </c>
      <c r="B1289" s="1" t="n">
        <v>44743</v>
      </c>
      <c r="C1289" s="1" t="n">
        <v>45566</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27672-2022</t>
        </is>
      </c>
      <c r="B1290" s="1" t="n">
        <v>44743</v>
      </c>
      <c r="C1290" s="1" t="n">
        <v>45566</v>
      </c>
      <c r="D1290" t="inlineStr">
        <is>
          <t>VÄSTERBOTTENS LÄN</t>
        </is>
      </c>
      <c r="E1290" t="inlineStr">
        <is>
          <t>SKELLEFTEÅ</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27631-2022</t>
        </is>
      </c>
      <c r="B1291" s="1" t="n">
        <v>44743</v>
      </c>
      <c r="C1291" s="1" t="n">
        <v>45566</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27636-2022</t>
        </is>
      </c>
      <c r="B1292" s="1" t="n">
        <v>44743</v>
      </c>
      <c r="C1292" s="1" t="n">
        <v>45566</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27907-2022</t>
        </is>
      </c>
      <c r="B1293" s="1" t="n">
        <v>44743</v>
      </c>
      <c r="C1293" s="1" t="n">
        <v>45566</v>
      </c>
      <c r="D1293" t="inlineStr">
        <is>
          <t>VÄSTERBOTTENS LÄN</t>
        </is>
      </c>
      <c r="E1293" t="inlineStr">
        <is>
          <t>SKELLEFTEÅ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27901-2022</t>
        </is>
      </c>
      <c r="B1294" s="1" t="n">
        <v>44743</v>
      </c>
      <c r="C1294" s="1" t="n">
        <v>45566</v>
      </c>
      <c r="D1294" t="inlineStr">
        <is>
          <t>VÄSTERBOTTENS LÄN</t>
        </is>
      </c>
      <c r="E1294" t="inlineStr">
        <is>
          <t>SKELLEFTEÅ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28352-2022</t>
        </is>
      </c>
      <c r="B1295" s="1" t="n">
        <v>44747</v>
      </c>
      <c r="C1295" s="1" t="n">
        <v>45566</v>
      </c>
      <c r="D1295" t="inlineStr">
        <is>
          <t>VÄSTERBOTTENS LÄN</t>
        </is>
      </c>
      <c r="E1295" t="inlineStr">
        <is>
          <t>SKELLEFTEÅ</t>
        </is>
      </c>
      <c r="F1295" t="inlineStr">
        <is>
          <t>Holmen skog AB</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29085-2022</t>
        </is>
      </c>
      <c r="B1296" s="1" t="n">
        <v>44749</v>
      </c>
      <c r="C1296" s="1" t="n">
        <v>45566</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29030-2022</t>
        </is>
      </c>
      <c r="B1297" s="1" t="n">
        <v>44749</v>
      </c>
      <c r="C1297" s="1" t="n">
        <v>45566</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29028-2022</t>
        </is>
      </c>
      <c r="B1298" s="1" t="n">
        <v>44749</v>
      </c>
      <c r="C1298" s="1" t="n">
        <v>45566</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29029-2022</t>
        </is>
      </c>
      <c r="B1299" s="1" t="n">
        <v>44749</v>
      </c>
      <c r="C1299" s="1" t="n">
        <v>45566</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29092-2022</t>
        </is>
      </c>
      <c r="B1300" s="1" t="n">
        <v>44750</v>
      </c>
      <c r="C1300" s="1" t="n">
        <v>45566</v>
      </c>
      <c r="D1300" t="inlineStr">
        <is>
          <t>VÄSTERBOTTENS LÄN</t>
        </is>
      </c>
      <c r="E1300" t="inlineStr">
        <is>
          <t>SKELLEFTEÅ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29164-2022</t>
        </is>
      </c>
      <c r="B1301" s="1" t="n">
        <v>44750</v>
      </c>
      <c r="C1301" s="1" t="n">
        <v>45566</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29161-2022</t>
        </is>
      </c>
      <c r="B1302" s="1" t="n">
        <v>44750</v>
      </c>
      <c r="C1302" s="1" t="n">
        <v>45566</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29802-2022</t>
        </is>
      </c>
      <c r="B1303" s="1" t="n">
        <v>44755</v>
      </c>
      <c r="C1303" s="1" t="n">
        <v>45566</v>
      </c>
      <c r="D1303" t="inlineStr">
        <is>
          <t>VÄSTERBOTTENS LÄN</t>
        </is>
      </c>
      <c r="E1303" t="inlineStr">
        <is>
          <t>SKELLEFTEÅ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30184-2022</t>
        </is>
      </c>
      <c r="B1304" s="1" t="n">
        <v>44757</v>
      </c>
      <c r="C1304" s="1" t="n">
        <v>45566</v>
      </c>
      <c r="D1304" t="inlineStr">
        <is>
          <t>VÄSTERBOTTENS LÄN</t>
        </is>
      </c>
      <c r="E1304" t="inlineStr">
        <is>
          <t>SKELLEFTEÅ</t>
        </is>
      </c>
      <c r="F1304" t="inlineStr">
        <is>
          <t>Holmen skog AB</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30278-2022</t>
        </is>
      </c>
      <c r="B1305" s="1" t="n">
        <v>44759</v>
      </c>
      <c r="C1305" s="1" t="n">
        <v>45566</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30905-2022</t>
        </is>
      </c>
      <c r="B1306" s="1" t="n">
        <v>44767</v>
      </c>
      <c r="C1306" s="1" t="n">
        <v>45566</v>
      </c>
      <c r="D1306" t="inlineStr">
        <is>
          <t>VÄSTERBOTTENS LÄN</t>
        </is>
      </c>
      <c r="E1306" t="inlineStr">
        <is>
          <t>SKELLEFTEÅ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31124-2022</t>
        </is>
      </c>
      <c r="B1307" s="1" t="n">
        <v>44770</v>
      </c>
      <c r="C1307" s="1" t="n">
        <v>45566</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31234-2022</t>
        </is>
      </c>
      <c r="B1308" s="1" t="n">
        <v>44771</v>
      </c>
      <c r="C1308" s="1" t="n">
        <v>45566</v>
      </c>
      <c r="D1308" t="inlineStr">
        <is>
          <t>VÄSTERBOTTENS LÄN</t>
        </is>
      </c>
      <c r="E1308" t="inlineStr">
        <is>
          <t>SKELLEFTEÅ</t>
        </is>
      </c>
      <c r="F1308" t="inlineStr">
        <is>
          <t>Holmen skog AB</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31955-2022</t>
        </is>
      </c>
      <c r="B1309" s="1" t="n">
        <v>44778</v>
      </c>
      <c r="C1309" s="1" t="n">
        <v>45566</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31960-2022</t>
        </is>
      </c>
      <c r="B1310" s="1" t="n">
        <v>44778</v>
      </c>
      <c r="C1310" s="1" t="n">
        <v>45566</v>
      </c>
      <c r="D1310" t="inlineStr">
        <is>
          <t>VÄSTERBOTTENS LÄN</t>
        </is>
      </c>
      <c r="E1310" t="inlineStr">
        <is>
          <t>SKELLEFTEÅ</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31954-2022</t>
        </is>
      </c>
      <c r="B1311" s="1" t="n">
        <v>44778</v>
      </c>
      <c r="C1311" s="1" t="n">
        <v>45566</v>
      </c>
      <c r="D1311" t="inlineStr">
        <is>
          <t>VÄSTERBOTTENS LÄN</t>
        </is>
      </c>
      <c r="E1311" t="inlineStr">
        <is>
          <t>SKELLEFTEÅ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32173-2022</t>
        </is>
      </c>
      <c r="B1312" s="1" t="n">
        <v>44781</v>
      </c>
      <c r="C1312" s="1" t="n">
        <v>45566</v>
      </c>
      <c r="D1312" t="inlineStr">
        <is>
          <t>VÄSTERBOTTENS LÄN</t>
        </is>
      </c>
      <c r="E1312" t="inlineStr">
        <is>
          <t>SKELLEFTEÅ</t>
        </is>
      </c>
      <c r="F1312" t="inlineStr">
        <is>
          <t>Kommuner</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32244-2022</t>
        </is>
      </c>
      <c r="B1313" s="1" t="n">
        <v>44781</v>
      </c>
      <c r="C1313" s="1" t="n">
        <v>45566</v>
      </c>
      <c r="D1313" t="inlineStr">
        <is>
          <t>VÄSTERBOTTENS LÄN</t>
        </is>
      </c>
      <c r="E1313" t="inlineStr">
        <is>
          <t>SKELLEFTEÅ</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32279-2022</t>
        </is>
      </c>
      <c r="B1314" s="1" t="n">
        <v>44781</v>
      </c>
      <c r="C1314" s="1" t="n">
        <v>45566</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32200-2022</t>
        </is>
      </c>
      <c r="B1315" s="1" t="n">
        <v>44781</v>
      </c>
      <c r="C1315" s="1" t="n">
        <v>45566</v>
      </c>
      <c r="D1315" t="inlineStr">
        <is>
          <t>VÄSTERBOTTENS LÄN</t>
        </is>
      </c>
      <c r="E1315" t="inlineStr">
        <is>
          <t>SKELLEFTEÅ</t>
        </is>
      </c>
      <c r="F1315" t="inlineStr">
        <is>
          <t>Kommuner</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32344-2022</t>
        </is>
      </c>
      <c r="B1316" s="1" t="n">
        <v>44781</v>
      </c>
      <c r="C1316" s="1" t="n">
        <v>45566</v>
      </c>
      <c r="D1316" t="inlineStr">
        <is>
          <t>VÄSTERBOTTENS LÄN</t>
        </is>
      </c>
      <c r="E1316" t="inlineStr">
        <is>
          <t>SKELLEFTEÅ</t>
        </is>
      </c>
      <c r="F1316" t="inlineStr">
        <is>
          <t>Sveaskog</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32427-2022</t>
        </is>
      </c>
      <c r="B1317" s="1" t="n">
        <v>44782</v>
      </c>
      <c r="C1317" s="1" t="n">
        <v>45566</v>
      </c>
      <c r="D1317" t="inlineStr">
        <is>
          <t>VÄSTERBOTTENS LÄN</t>
        </is>
      </c>
      <c r="E1317" t="inlineStr">
        <is>
          <t>SKELLEFTEÅ</t>
        </is>
      </c>
      <c r="F1317" t="inlineStr">
        <is>
          <t>Kommuner</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32434-2022</t>
        </is>
      </c>
      <c r="B1318" s="1" t="n">
        <v>44782</v>
      </c>
      <c r="C1318" s="1" t="n">
        <v>45566</v>
      </c>
      <c r="D1318" t="inlineStr">
        <is>
          <t>VÄSTERBOTTENS LÄN</t>
        </is>
      </c>
      <c r="E1318" t="inlineStr">
        <is>
          <t>SKELLEFTEÅ</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32415-2022</t>
        </is>
      </c>
      <c r="B1319" s="1" t="n">
        <v>44782</v>
      </c>
      <c r="C1319" s="1" t="n">
        <v>45566</v>
      </c>
      <c r="D1319" t="inlineStr">
        <is>
          <t>VÄSTERBOTTENS LÄN</t>
        </is>
      </c>
      <c r="E1319" t="inlineStr">
        <is>
          <t>SKELLEFTEÅ</t>
        </is>
      </c>
      <c r="F1319" t="inlineStr">
        <is>
          <t>Kommuner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32436-2022</t>
        </is>
      </c>
      <c r="B1320" s="1" t="n">
        <v>44782</v>
      </c>
      <c r="C1320" s="1" t="n">
        <v>45566</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32420-2022</t>
        </is>
      </c>
      <c r="B1321" s="1" t="n">
        <v>44782</v>
      </c>
      <c r="C1321" s="1" t="n">
        <v>45566</v>
      </c>
      <c r="D1321" t="inlineStr">
        <is>
          <t>VÄSTERBOTTENS LÄN</t>
        </is>
      </c>
      <c r="E1321" t="inlineStr">
        <is>
          <t>SKELLEFTEÅ</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32448-2022</t>
        </is>
      </c>
      <c r="B1322" s="1" t="n">
        <v>44782</v>
      </c>
      <c r="C1322" s="1" t="n">
        <v>45566</v>
      </c>
      <c r="D1322" t="inlineStr">
        <is>
          <t>VÄSTERBOTTENS LÄN</t>
        </is>
      </c>
      <c r="E1322" t="inlineStr">
        <is>
          <t>SKELLEFTEÅ</t>
        </is>
      </c>
      <c r="F1322" t="inlineStr">
        <is>
          <t>Kommuner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32560-2022</t>
        </is>
      </c>
      <c r="B1323" s="1" t="n">
        <v>44783</v>
      </c>
      <c r="C1323" s="1" t="n">
        <v>45566</v>
      </c>
      <c r="D1323" t="inlineStr">
        <is>
          <t>VÄSTERBOTTENS LÄN</t>
        </is>
      </c>
      <c r="E1323" t="inlineStr">
        <is>
          <t>SKELLEFTEÅ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32677-2022</t>
        </is>
      </c>
      <c r="B1324" s="1" t="n">
        <v>44783</v>
      </c>
      <c r="C1324" s="1" t="n">
        <v>45566</v>
      </c>
      <c r="D1324" t="inlineStr">
        <is>
          <t>VÄSTERBOTTENS LÄN</t>
        </is>
      </c>
      <c r="E1324" t="inlineStr">
        <is>
          <t>SKELLEFTEÅ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32539-2022</t>
        </is>
      </c>
      <c r="B1325" s="1" t="n">
        <v>44783</v>
      </c>
      <c r="C1325" s="1" t="n">
        <v>45566</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32657-2022</t>
        </is>
      </c>
      <c r="B1326" s="1" t="n">
        <v>44783</v>
      </c>
      <c r="C1326" s="1" t="n">
        <v>45566</v>
      </c>
      <c r="D1326" t="inlineStr">
        <is>
          <t>VÄSTERBOTTENS LÄN</t>
        </is>
      </c>
      <c r="E1326" t="inlineStr">
        <is>
          <t>SKELLEFTEÅ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32985-2022</t>
        </is>
      </c>
      <c r="B1327" s="1" t="n">
        <v>44785</v>
      </c>
      <c r="C1327" s="1" t="n">
        <v>45566</v>
      </c>
      <c r="D1327" t="inlineStr">
        <is>
          <t>VÄSTERBOTTENS LÄN</t>
        </is>
      </c>
      <c r="E1327" t="inlineStr">
        <is>
          <t>SKELLEFTEÅ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32984-2022</t>
        </is>
      </c>
      <c r="B1328" s="1" t="n">
        <v>44784</v>
      </c>
      <c r="C1328" s="1" t="n">
        <v>45566</v>
      </c>
      <c r="D1328" t="inlineStr">
        <is>
          <t>VÄSTERBOTTENS LÄN</t>
        </is>
      </c>
      <c r="E1328" t="inlineStr">
        <is>
          <t>SKELLEFTEÅ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33268-2022</t>
        </is>
      </c>
      <c r="B1329" s="1" t="n">
        <v>44788</v>
      </c>
      <c r="C1329" s="1" t="n">
        <v>45566</v>
      </c>
      <c r="D1329" t="inlineStr">
        <is>
          <t>VÄSTERBOTTENS LÄN</t>
        </is>
      </c>
      <c r="E1329" t="inlineStr">
        <is>
          <t>SKELLEFTEÅ</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33324-2022</t>
        </is>
      </c>
      <c r="B1330" s="1" t="n">
        <v>44788</v>
      </c>
      <c r="C1330" s="1" t="n">
        <v>45566</v>
      </c>
      <c r="D1330" t="inlineStr">
        <is>
          <t>VÄSTERBOTTENS LÄN</t>
        </is>
      </c>
      <c r="E1330" t="inlineStr">
        <is>
          <t>SKELLEFTEÅ</t>
        </is>
      </c>
      <c r="F1330" t="inlineStr">
        <is>
          <t>Holmen skog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33629-2022</t>
        </is>
      </c>
      <c r="B1331" s="1" t="n">
        <v>44789</v>
      </c>
      <c r="C1331" s="1" t="n">
        <v>45566</v>
      </c>
      <c r="D1331" t="inlineStr">
        <is>
          <t>VÄSTERBOTTENS LÄN</t>
        </is>
      </c>
      <c r="E1331" t="inlineStr">
        <is>
          <t>SKELLEFTEÅ</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33984-2022</t>
        </is>
      </c>
      <c r="B1332" s="1" t="n">
        <v>44791</v>
      </c>
      <c r="C1332" s="1" t="n">
        <v>45566</v>
      </c>
      <c r="D1332" t="inlineStr">
        <is>
          <t>VÄSTERBOTTENS LÄN</t>
        </is>
      </c>
      <c r="E1332" t="inlineStr">
        <is>
          <t>SKELLEFTEÅ</t>
        </is>
      </c>
      <c r="F1332" t="inlineStr">
        <is>
          <t>Sveaskog</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34094-2022</t>
        </is>
      </c>
      <c r="B1333" s="1" t="n">
        <v>44791</v>
      </c>
      <c r="C1333" s="1" t="n">
        <v>45566</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34104-2022</t>
        </is>
      </c>
      <c r="B1334" s="1" t="n">
        <v>44791</v>
      </c>
      <c r="C1334" s="1" t="n">
        <v>45566</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34082-2022</t>
        </is>
      </c>
      <c r="B1335" s="1" t="n">
        <v>44791</v>
      </c>
      <c r="C1335" s="1" t="n">
        <v>45566</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34547-2022</t>
        </is>
      </c>
      <c r="B1336" s="1" t="n">
        <v>44794</v>
      </c>
      <c r="C1336" s="1" t="n">
        <v>45566</v>
      </c>
      <c r="D1336" t="inlineStr">
        <is>
          <t>VÄSTERBOTTENS LÄN</t>
        </is>
      </c>
      <c r="E1336" t="inlineStr">
        <is>
          <t>SKELLEFTEÅ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34639-2022</t>
        </is>
      </c>
      <c r="B1337" s="1" t="n">
        <v>44795</v>
      </c>
      <c r="C1337" s="1" t="n">
        <v>45566</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34895-2022</t>
        </is>
      </c>
      <c r="B1338" s="1" t="n">
        <v>44796</v>
      </c>
      <c r="C1338" s="1" t="n">
        <v>45566</v>
      </c>
      <c r="D1338" t="inlineStr">
        <is>
          <t>VÄSTERBOTTENS LÄN</t>
        </is>
      </c>
      <c r="E1338" t="inlineStr">
        <is>
          <t>SKELLEFTEÅ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35001-2022</t>
        </is>
      </c>
      <c r="B1339" s="1" t="n">
        <v>44797</v>
      </c>
      <c r="C1339" s="1" t="n">
        <v>45566</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35119-2022</t>
        </is>
      </c>
      <c r="B1340" s="1" t="n">
        <v>44797</v>
      </c>
      <c r="C1340" s="1" t="n">
        <v>45566</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35189-2022</t>
        </is>
      </c>
      <c r="B1341" s="1" t="n">
        <v>44797</v>
      </c>
      <c r="C1341" s="1" t="n">
        <v>45566</v>
      </c>
      <c r="D1341" t="inlineStr">
        <is>
          <t>VÄSTERBOTTENS LÄN</t>
        </is>
      </c>
      <c r="E1341" t="inlineStr">
        <is>
          <t>SKELLEFTEÅ</t>
        </is>
      </c>
      <c r="F1341" t="inlineStr">
        <is>
          <t>Holmen skog AB</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35491-2022</t>
        </is>
      </c>
      <c r="B1342" s="1" t="n">
        <v>44798</v>
      </c>
      <c r="C1342" s="1" t="n">
        <v>45566</v>
      </c>
      <c r="D1342" t="inlineStr">
        <is>
          <t>VÄSTERBOTTENS LÄN</t>
        </is>
      </c>
      <c r="E1342" t="inlineStr">
        <is>
          <t>SKELLEFTEÅ</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35558-2022</t>
        </is>
      </c>
      <c r="B1343" s="1" t="n">
        <v>44799</v>
      </c>
      <c r="C1343" s="1" t="n">
        <v>45566</v>
      </c>
      <c r="D1343" t="inlineStr">
        <is>
          <t>VÄSTERBOTTENS LÄN</t>
        </is>
      </c>
      <c r="E1343" t="inlineStr">
        <is>
          <t>SKELLEFTEÅ</t>
        </is>
      </c>
      <c r="F1343" t="inlineStr">
        <is>
          <t>Sveaskog</t>
        </is>
      </c>
      <c r="G1343" t="n">
        <v>21.8</v>
      </c>
      <c r="H1343" t="n">
        <v>0</v>
      </c>
      <c r="I1343" t="n">
        <v>0</v>
      </c>
      <c r="J1343" t="n">
        <v>0</v>
      </c>
      <c r="K1343" t="n">
        <v>0</v>
      </c>
      <c r="L1343" t="n">
        <v>0</v>
      </c>
      <c r="M1343" t="n">
        <v>0</v>
      </c>
      <c r="N1343" t="n">
        <v>0</v>
      </c>
      <c r="O1343" t="n">
        <v>0</v>
      </c>
      <c r="P1343" t="n">
        <v>0</v>
      </c>
      <c r="Q1343" t="n">
        <v>0</v>
      </c>
      <c r="R1343" s="2" t="inlineStr"/>
    </row>
    <row r="1344" ht="15" customHeight="1">
      <c r="A1344" t="inlineStr">
        <is>
          <t>A 35609-2022</t>
        </is>
      </c>
      <c r="B1344" s="1" t="n">
        <v>44799</v>
      </c>
      <c r="C1344" s="1" t="n">
        <v>45566</v>
      </c>
      <c r="D1344" t="inlineStr">
        <is>
          <t>VÄSTERBOTTENS LÄN</t>
        </is>
      </c>
      <c r="E1344" t="inlineStr">
        <is>
          <t>SKELLEFTEÅ</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35652-2022</t>
        </is>
      </c>
      <c r="B1345" s="1" t="n">
        <v>44799</v>
      </c>
      <c r="C1345" s="1" t="n">
        <v>45566</v>
      </c>
      <c r="D1345" t="inlineStr">
        <is>
          <t>VÄSTERBOTTENS LÄN</t>
        </is>
      </c>
      <c r="E1345" t="inlineStr">
        <is>
          <t>SKELLEFTEÅ</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35635-2022</t>
        </is>
      </c>
      <c r="B1346" s="1" t="n">
        <v>44799</v>
      </c>
      <c r="C1346" s="1" t="n">
        <v>45566</v>
      </c>
      <c r="D1346" t="inlineStr">
        <is>
          <t>VÄSTERBOTTENS LÄN</t>
        </is>
      </c>
      <c r="E1346" t="inlineStr">
        <is>
          <t>SKELLEFTEÅ</t>
        </is>
      </c>
      <c r="F1346" t="inlineStr">
        <is>
          <t>Holmen skog AB</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35608-2022</t>
        </is>
      </c>
      <c r="B1347" s="1" t="n">
        <v>44799</v>
      </c>
      <c r="C1347" s="1" t="n">
        <v>45566</v>
      </c>
      <c r="D1347" t="inlineStr">
        <is>
          <t>VÄSTERBOTTENS LÄN</t>
        </is>
      </c>
      <c r="E1347" t="inlineStr">
        <is>
          <t>SKELLEFTEÅ</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35794-2022</t>
        </is>
      </c>
      <c r="B1348" s="1" t="n">
        <v>44801</v>
      </c>
      <c r="C1348" s="1" t="n">
        <v>45566</v>
      </c>
      <c r="D1348" t="inlineStr">
        <is>
          <t>VÄSTERBOTTENS LÄN</t>
        </is>
      </c>
      <c r="E1348" t="inlineStr">
        <is>
          <t>SKELLEFTEÅ</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35771-2022</t>
        </is>
      </c>
      <c r="B1349" s="1" t="n">
        <v>44801</v>
      </c>
      <c r="C1349" s="1" t="n">
        <v>45566</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35809-2022</t>
        </is>
      </c>
      <c r="B1350" s="1" t="n">
        <v>44802</v>
      </c>
      <c r="C1350" s="1" t="n">
        <v>45566</v>
      </c>
      <c r="D1350" t="inlineStr">
        <is>
          <t>VÄSTERBOTTENS LÄN</t>
        </is>
      </c>
      <c r="E1350" t="inlineStr">
        <is>
          <t>SKELLEFTEÅ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36208-2022</t>
        </is>
      </c>
      <c r="B1351" s="1" t="n">
        <v>44803</v>
      </c>
      <c r="C1351" s="1" t="n">
        <v>45566</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35888-2022</t>
        </is>
      </c>
      <c r="B1352" s="1" t="n">
        <v>44803</v>
      </c>
      <c r="C1352" s="1" t="n">
        <v>45566</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36723-2022</t>
        </is>
      </c>
      <c r="B1353" s="1" t="n">
        <v>44804</v>
      </c>
      <c r="C1353" s="1" t="n">
        <v>45566</v>
      </c>
      <c r="D1353" t="inlineStr">
        <is>
          <t>VÄSTERBOTTENS LÄN</t>
        </is>
      </c>
      <c r="E1353" t="inlineStr">
        <is>
          <t>SKELLEFTEÅ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36539-2022</t>
        </is>
      </c>
      <c r="B1354" s="1" t="n">
        <v>44804</v>
      </c>
      <c r="C1354" s="1" t="n">
        <v>45566</v>
      </c>
      <c r="D1354" t="inlineStr">
        <is>
          <t>VÄSTERBOTTENS LÄN</t>
        </is>
      </c>
      <c r="E1354" t="inlineStr">
        <is>
          <t>SKELLEFTEÅ</t>
        </is>
      </c>
      <c r="F1354" t="inlineStr">
        <is>
          <t>Kommuner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36728-2022</t>
        </is>
      </c>
      <c r="B1355" s="1" t="n">
        <v>44804</v>
      </c>
      <c r="C1355" s="1" t="n">
        <v>45566</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37669-2022</t>
        </is>
      </c>
      <c r="B1356" s="1" t="n">
        <v>44810</v>
      </c>
      <c r="C1356" s="1" t="n">
        <v>45566</v>
      </c>
      <c r="D1356" t="inlineStr">
        <is>
          <t>VÄSTERBOTTENS LÄN</t>
        </is>
      </c>
      <c r="E1356" t="inlineStr">
        <is>
          <t>SKELLEFTEÅ</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37823-2022</t>
        </is>
      </c>
      <c r="B1357" s="1" t="n">
        <v>44811</v>
      </c>
      <c r="C1357" s="1" t="n">
        <v>45566</v>
      </c>
      <c r="D1357" t="inlineStr">
        <is>
          <t>VÄSTERBOTTENS LÄN</t>
        </is>
      </c>
      <c r="E1357" t="inlineStr">
        <is>
          <t>SKELLEFTEÅ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37819-2022</t>
        </is>
      </c>
      <c r="B1358" s="1" t="n">
        <v>44810</v>
      </c>
      <c r="C1358" s="1" t="n">
        <v>45566</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37825-2022</t>
        </is>
      </c>
      <c r="B1359" s="1" t="n">
        <v>44811</v>
      </c>
      <c r="C1359" s="1" t="n">
        <v>45566</v>
      </c>
      <c r="D1359" t="inlineStr">
        <is>
          <t>VÄSTERBOTTENS LÄN</t>
        </is>
      </c>
      <c r="E1359" t="inlineStr">
        <is>
          <t>SKELLEFTEÅ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37944-2022</t>
        </is>
      </c>
      <c r="B1360" s="1" t="n">
        <v>44811</v>
      </c>
      <c r="C1360" s="1" t="n">
        <v>45566</v>
      </c>
      <c r="D1360" t="inlineStr">
        <is>
          <t>VÄSTERBOTTENS LÄN</t>
        </is>
      </c>
      <c r="E1360" t="inlineStr">
        <is>
          <t>SKELLEFTEÅ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37940-2022</t>
        </is>
      </c>
      <c r="B1361" s="1" t="n">
        <v>44811</v>
      </c>
      <c r="C1361" s="1" t="n">
        <v>45566</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37950-2022</t>
        </is>
      </c>
      <c r="B1362" s="1" t="n">
        <v>44811</v>
      </c>
      <c r="C1362" s="1" t="n">
        <v>45566</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38275-2022</t>
        </is>
      </c>
      <c r="B1363" s="1" t="n">
        <v>44812</v>
      </c>
      <c r="C1363" s="1" t="n">
        <v>45566</v>
      </c>
      <c r="D1363" t="inlineStr">
        <is>
          <t>VÄSTERBOTTENS LÄN</t>
        </is>
      </c>
      <c r="E1363" t="inlineStr">
        <is>
          <t>SKELLEFTEÅ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38457-2022</t>
        </is>
      </c>
      <c r="B1364" s="1" t="n">
        <v>44813</v>
      </c>
      <c r="C1364" s="1" t="n">
        <v>45566</v>
      </c>
      <c r="D1364" t="inlineStr">
        <is>
          <t>VÄSTERBOTTENS LÄN</t>
        </is>
      </c>
      <c r="E1364" t="inlineStr">
        <is>
          <t>SKELLEFTEÅ</t>
        </is>
      </c>
      <c r="F1364" t="inlineStr">
        <is>
          <t>Holmen skog AB</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38578-2022</t>
        </is>
      </c>
      <c r="B1365" s="1" t="n">
        <v>44813</v>
      </c>
      <c r="C1365" s="1" t="n">
        <v>45566</v>
      </c>
      <c r="D1365" t="inlineStr">
        <is>
          <t>VÄSTERBOTTENS LÄN</t>
        </is>
      </c>
      <c r="E1365" t="inlineStr">
        <is>
          <t>SKELLEFTEÅ</t>
        </is>
      </c>
      <c r="F1365" t="inlineStr">
        <is>
          <t>Holmen skog AB</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38514-2022</t>
        </is>
      </c>
      <c r="B1366" s="1" t="n">
        <v>44813</v>
      </c>
      <c r="C1366" s="1" t="n">
        <v>45566</v>
      </c>
      <c r="D1366" t="inlineStr">
        <is>
          <t>VÄSTERBOTTENS LÄN</t>
        </is>
      </c>
      <c r="E1366" t="inlineStr">
        <is>
          <t>SKELLEFTEÅ</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38728-2022</t>
        </is>
      </c>
      <c r="B1367" s="1" t="n">
        <v>44816</v>
      </c>
      <c r="C1367" s="1" t="n">
        <v>45566</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38727-2022</t>
        </is>
      </c>
      <c r="B1368" s="1" t="n">
        <v>44816</v>
      </c>
      <c r="C1368" s="1" t="n">
        <v>45566</v>
      </c>
      <c r="D1368" t="inlineStr">
        <is>
          <t>VÄSTERBOTTENS LÄN</t>
        </is>
      </c>
      <c r="E1368" t="inlineStr">
        <is>
          <t>SKELLEFTEÅ</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38767-2022</t>
        </is>
      </c>
      <c r="B1369" s="1" t="n">
        <v>44816</v>
      </c>
      <c r="C1369" s="1" t="n">
        <v>45566</v>
      </c>
      <c r="D1369" t="inlineStr">
        <is>
          <t>VÄSTERBOTTENS LÄN</t>
        </is>
      </c>
      <c r="E1369" t="inlineStr">
        <is>
          <t>SKELLEFTEÅ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38873-2022</t>
        </is>
      </c>
      <c r="B1370" s="1" t="n">
        <v>44816</v>
      </c>
      <c r="C1370" s="1" t="n">
        <v>45566</v>
      </c>
      <c r="D1370" t="inlineStr">
        <is>
          <t>VÄSTERBOTTENS LÄN</t>
        </is>
      </c>
      <c r="E1370" t="inlineStr">
        <is>
          <t>SKELLEFTEÅ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38876-2022</t>
        </is>
      </c>
      <c r="B1371" s="1" t="n">
        <v>44816</v>
      </c>
      <c r="C1371" s="1" t="n">
        <v>45566</v>
      </c>
      <c r="D1371" t="inlineStr">
        <is>
          <t>VÄSTERBOTTENS LÄN</t>
        </is>
      </c>
      <c r="E1371" t="inlineStr">
        <is>
          <t>SKELLEFTEÅ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38932-2022</t>
        </is>
      </c>
      <c r="B1372" s="1" t="n">
        <v>44816</v>
      </c>
      <c r="C1372" s="1" t="n">
        <v>45566</v>
      </c>
      <c r="D1372" t="inlineStr">
        <is>
          <t>VÄSTERBOTTENS LÄN</t>
        </is>
      </c>
      <c r="E1372" t="inlineStr">
        <is>
          <t>SKELLEFTEÅ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38940-2022</t>
        </is>
      </c>
      <c r="B1373" s="1" t="n">
        <v>44816</v>
      </c>
      <c r="C1373" s="1" t="n">
        <v>45566</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38995-2022</t>
        </is>
      </c>
      <c r="B1374" s="1" t="n">
        <v>44816</v>
      </c>
      <c r="C1374" s="1" t="n">
        <v>45566</v>
      </c>
      <c r="D1374" t="inlineStr">
        <is>
          <t>VÄSTERBOTTENS LÄN</t>
        </is>
      </c>
      <c r="E1374" t="inlineStr">
        <is>
          <t>SKELLEFTEÅ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38997-2022</t>
        </is>
      </c>
      <c r="B1375" s="1" t="n">
        <v>44817</v>
      </c>
      <c r="C1375" s="1" t="n">
        <v>45566</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38998-2022</t>
        </is>
      </c>
      <c r="B1376" s="1" t="n">
        <v>44817</v>
      </c>
      <c r="C1376" s="1" t="n">
        <v>45566</v>
      </c>
      <c r="D1376" t="inlineStr">
        <is>
          <t>VÄSTERBOTTENS LÄN</t>
        </is>
      </c>
      <c r="E1376" t="inlineStr">
        <is>
          <t>SKELLEFTEÅ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38993-2022</t>
        </is>
      </c>
      <c r="B1377" s="1" t="n">
        <v>44816</v>
      </c>
      <c r="C1377" s="1" t="n">
        <v>45566</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39019-2022</t>
        </is>
      </c>
      <c r="B1378" s="1" t="n">
        <v>44817</v>
      </c>
      <c r="C1378" s="1" t="n">
        <v>45566</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39668-2022</t>
        </is>
      </c>
      <c r="B1379" s="1" t="n">
        <v>44818</v>
      </c>
      <c r="C1379" s="1" t="n">
        <v>45566</v>
      </c>
      <c r="D1379" t="inlineStr">
        <is>
          <t>VÄSTERBOTTENS LÄN</t>
        </is>
      </c>
      <c r="E1379" t="inlineStr">
        <is>
          <t>SKELLEFTEÅ</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39794-2022</t>
        </is>
      </c>
      <c r="B1380" s="1" t="n">
        <v>44819</v>
      </c>
      <c r="C1380" s="1" t="n">
        <v>45566</v>
      </c>
      <c r="D1380" t="inlineStr">
        <is>
          <t>VÄSTERBOTTENS LÄN</t>
        </is>
      </c>
      <c r="E1380" t="inlineStr">
        <is>
          <t>SKELLEFTEÅ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39732-2022</t>
        </is>
      </c>
      <c r="B1381" s="1" t="n">
        <v>44819</v>
      </c>
      <c r="C1381" s="1" t="n">
        <v>45566</v>
      </c>
      <c r="D1381" t="inlineStr">
        <is>
          <t>VÄSTERBOTTENS LÄN</t>
        </is>
      </c>
      <c r="E1381" t="inlineStr">
        <is>
          <t>SKELLEFTEÅ</t>
        </is>
      </c>
      <c r="F1381" t="inlineStr">
        <is>
          <t>Holmen skog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39918-2022</t>
        </is>
      </c>
      <c r="B1382" s="1" t="n">
        <v>44819</v>
      </c>
      <c r="C1382" s="1" t="n">
        <v>45566</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v>
      </c>
      <c r="C1383" s="1" t="n">
        <v>45566</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v>
      </c>
      <c r="C1384" s="1" t="n">
        <v>45566</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40013-2022</t>
        </is>
      </c>
      <c r="B1385" s="1" t="n">
        <v>44820</v>
      </c>
      <c r="C1385" s="1" t="n">
        <v>45566</v>
      </c>
      <c r="D1385" t="inlineStr">
        <is>
          <t>VÄSTERBOTTENS LÄN</t>
        </is>
      </c>
      <c r="E1385" t="inlineStr">
        <is>
          <t>SKELLEFTEÅ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v>
      </c>
      <c r="C1386" s="1" t="n">
        <v>45566</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39985-2022</t>
        </is>
      </c>
      <c r="B1387" s="1" t="n">
        <v>44820</v>
      </c>
      <c r="C1387" s="1" t="n">
        <v>45566</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40219-2022</t>
        </is>
      </c>
      <c r="B1388" s="1" t="n">
        <v>44820</v>
      </c>
      <c r="C1388" s="1" t="n">
        <v>45566</v>
      </c>
      <c r="D1388" t="inlineStr">
        <is>
          <t>VÄSTERBOTTENS LÄN</t>
        </is>
      </c>
      <c r="E1388" t="inlineStr">
        <is>
          <t>SKELLEFTEÅ</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40905-2022</t>
        </is>
      </c>
      <c r="B1389" s="1" t="n">
        <v>44820</v>
      </c>
      <c r="C1389" s="1" t="n">
        <v>45566</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40345-2022</t>
        </is>
      </c>
      <c r="B1390" s="1" t="n">
        <v>44823</v>
      </c>
      <c r="C1390" s="1" t="n">
        <v>45566</v>
      </c>
      <c r="D1390" t="inlineStr">
        <is>
          <t>VÄSTERBOTTENS LÄN</t>
        </is>
      </c>
      <c r="E1390" t="inlineStr">
        <is>
          <t>SKELLEFTEÅ</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40314-2022</t>
        </is>
      </c>
      <c r="B1391" s="1" t="n">
        <v>44823</v>
      </c>
      <c r="C1391" s="1" t="n">
        <v>45566</v>
      </c>
      <c r="D1391" t="inlineStr">
        <is>
          <t>VÄSTERBOTTENS LÄN</t>
        </is>
      </c>
      <c r="E1391" t="inlineStr">
        <is>
          <t>SKELLEFTEÅ</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40329-2022</t>
        </is>
      </c>
      <c r="B1392" s="1" t="n">
        <v>44823</v>
      </c>
      <c r="C1392" s="1" t="n">
        <v>45566</v>
      </c>
      <c r="D1392" t="inlineStr">
        <is>
          <t>VÄSTERBOTTENS LÄN</t>
        </is>
      </c>
      <c r="E1392" t="inlineStr">
        <is>
          <t>SKELLEFTEÅ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40964-2022</t>
        </is>
      </c>
      <c r="B1393" s="1" t="n">
        <v>44823</v>
      </c>
      <c r="C1393" s="1" t="n">
        <v>45566</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40969-2022</t>
        </is>
      </c>
      <c r="B1394" s="1" t="n">
        <v>44824</v>
      </c>
      <c r="C1394" s="1" t="n">
        <v>45566</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41010-2022</t>
        </is>
      </c>
      <c r="B1395" s="1" t="n">
        <v>44825</v>
      </c>
      <c r="C1395" s="1" t="n">
        <v>45566</v>
      </c>
      <c r="D1395" t="inlineStr">
        <is>
          <t>VÄSTERBOTTENS LÄN</t>
        </is>
      </c>
      <c r="E1395" t="inlineStr">
        <is>
          <t>SKELLEFTEÅ</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40851-2022</t>
        </is>
      </c>
      <c r="B1396" s="1" t="n">
        <v>44825</v>
      </c>
      <c r="C1396" s="1" t="n">
        <v>45566</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41360-2022</t>
        </is>
      </c>
      <c r="B1397" s="1" t="n">
        <v>44825</v>
      </c>
      <c r="C1397" s="1" t="n">
        <v>45566</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41409-2022</t>
        </is>
      </c>
      <c r="B1398" s="1" t="n">
        <v>44826</v>
      </c>
      <c r="C1398" s="1" t="n">
        <v>45566</v>
      </c>
      <c r="D1398" t="inlineStr">
        <is>
          <t>VÄSTERBOTTENS LÄN</t>
        </is>
      </c>
      <c r="E1398" t="inlineStr">
        <is>
          <t>SKELLEFTEÅ</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41513-2022</t>
        </is>
      </c>
      <c r="B1399" s="1" t="n">
        <v>44827</v>
      </c>
      <c r="C1399" s="1" t="n">
        <v>45566</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41802-2022</t>
        </is>
      </c>
      <c r="B1400" s="1" t="n">
        <v>44827</v>
      </c>
      <c r="C1400" s="1" t="n">
        <v>45566</v>
      </c>
      <c r="D1400" t="inlineStr">
        <is>
          <t>VÄSTERBOTTENS LÄN</t>
        </is>
      </c>
      <c r="E1400" t="inlineStr">
        <is>
          <t>SKELLEFTEÅ</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41803-2022</t>
        </is>
      </c>
      <c r="B1401" s="1" t="n">
        <v>44828</v>
      </c>
      <c r="C1401" s="1" t="n">
        <v>45566</v>
      </c>
      <c r="D1401" t="inlineStr">
        <is>
          <t>VÄSTERBOTTENS LÄN</t>
        </is>
      </c>
      <c r="E1401" t="inlineStr">
        <is>
          <t>SKELLEFTEÅ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41801-2022</t>
        </is>
      </c>
      <c r="B1402" s="1" t="n">
        <v>44828</v>
      </c>
      <c r="C1402" s="1" t="n">
        <v>45566</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42357-2022</t>
        </is>
      </c>
      <c r="B1403" s="1" t="n">
        <v>44827</v>
      </c>
      <c r="C1403" s="1" t="n">
        <v>45566</v>
      </c>
      <c r="D1403" t="inlineStr">
        <is>
          <t>VÄSTERBOTTENS LÄN</t>
        </is>
      </c>
      <c r="E1403" t="inlineStr">
        <is>
          <t>SKELLEFTEÅ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42348-2022</t>
        </is>
      </c>
      <c r="B1404" s="1" t="n">
        <v>44827</v>
      </c>
      <c r="C1404" s="1" t="n">
        <v>45566</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42109-2022</t>
        </is>
      </c>
      <c r="B1405" s="1" t="n">
        <v>44827</v>
      </c>
      <c r="C1405" s="1" t="n">
        <v>45566</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42099-2022</t>
        </is>
      </c>
      <c r="B1406" s="1" t="n">
        <v>44827</v>
      </c>
      <c r="C1406" s="1" t="n">
        <v>45566</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41889-2022</t>
        </is>
      </c>
      <c r="B1407" s="1" t="n">
        <v>44830</v>
      </c>
      <c r="C1407" s="1" t="n">
        <v>45566</v>
      </c>
      <c r="D1407" t="inlineStr">
        <is>
          <t>VÄSTERBOTTENS LÄN</t>
        </is>
      </c>
      <c r="E1407" t="inlineStr">
        <is>
          <t>SKELLEFTEÅ</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41956-2022</t>
        </is>
      </c>
      <c r="B1408" s="1" t="n">
        <v>44830</v>
      </c>
      <c r="C1408" s="1" t="n">
        <v>45566</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41883-2022</t>
        </is>
      </c>
      <c r="B1409" s="1" t="n">
        <v>44830</v>
      </c>
      <c r="C1409" s="1" t="n">
        <v>45566</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42255-2022</t>
        </is>
      </c>
      <c r="B1410" s="1" t="n">
        <v>44830</v>
      </c>
      <c r="C1410" s="1" t="n">
        <v>45566</v>
      </c>
      <c r="D1410" t="inlineStr">
        <is>
          <t>VÄSTERBOTTENS LÄN</t>
        </is>
      </c>
      <c r="E1410" t="inlineStr">
        <is>
          <t>SKELLEFTEÅ</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42260-2022</t>
        </is>
      </c>
      <c r="B1411" s="1" t="n">
        <v>44830</v>
      </c>
      <c r="C1411" s="1" t="n">
        <v>45566</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42682-2022</t>
        </is>
      </c>
      <c r="B1412" s="1" t="n">
        <v>44831</v>
      </c>
      <c r="C1412" s="1" t="n">
        <v>45566</v>
      </c>
      <c r="D1412" t="inlineStr">
        <is>
          <t>VÄSTERBOTTENS LÄN</t>
        </is>
      </c>
      <c r="E1412" t="inlineStr">
        <is>
          <t>SKELLEFTEÅ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42798-2022</t>
        </is>
      </c>
      <c r="B1413" s="1" t="n">
        <v>44832</v>
      </c>
      <c r="C1413" s="1" t="n">
        <v>45566</v>
      </c>
      <c r="D1413" t="inlineStr">
        <is>
          <t>VÄSTERBOTTENS LÄN</t>
        </is>
      </c>
      <c r="E1413" t="inlineStr">
        <is>
          <t>SKELLEFTEÅ</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42808-2022</t>
        </is>
      </c>
      <c r="B1414" s="1" t="n">
        <v>44832</v>
      </c>
      <c r="C1414" s="1" t="n">
        <v>45566</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42946-2022</t>
        </is>
      </c>
      <c r="B1415" s="1" t="n">
        <v>44833</v>
      </c>
      <c r="C1415" s="1" t="n">
        <v>45566</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43069-2022</t>
        </is>
      </c>
      <c r="B1416" s="1" t="n">
        <v>44833</v>
      </c>
      <c r="C1416" s="1" t="n">
        <v>45566</v>
      </c>
      <c r="D1416" t="inlineStr">
        <is>
          <t>VÄSTERBOTTENS LÄN</t>
        </is>
      </c>
      <c r="E1416" t="inlineStr">
        <is>
          <t>SKELLEFTEÅ</t>
        </is>
      </c>
      <c r="F1416" t="inlineStr">
        <is>
          <t>Sveaskog</t>
        </is>
      </c>
      <c r="G1416" t="n">
        <v>19.6</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v>
      </c>
      <c r="C1417" s="1" t="n">
        <v>45566</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43515-2022</t>
        </is>
      </c>
      <c r="B1418" s="1" t="n">
        <v>44837</v>
      </c>
      <c r="C1418" s="1" t="n">
        <v>45566</v>
      </c>
      <c r="D1418" t="inlineStr">
        <is>
          <t>VÄSTERBOTTENS LÄN</t>
        </is>
      </c>
      <c r="E1418" t="inlineStr">
        <is>
          <t>SKELLEFTEÅ</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43544-2022</t>
        </is>
      </c>
      <c r="B1419" s="1" t="n">
        <v>44837</v>
      </c>
      <c r="C1419" s="1" t="n">
        <v>45566</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43763-2022</t>
        </is>
      </c>
      <c r="B1420" s="1" t="n">
        <v>44838</v>
      </c>
      <c r="C1420" s="1" t="n">
        <v>45566</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43917-2022</t>
        </is>
      </c>
      <c r="B1421" s="1" t="n">
        <v>44838</v>
      </c>
      <c r="C1421" s="1" t="n">
        <v>45566</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44621-2022</t>
        </is>
      </c>
      <c r="B1422" s="1" t="n">
        <v>44838</v>
      </c>
      <c r="C1422" s="1" t="n">
        <v>45566</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44397-2022</t>
        </is>
      </c>
      <c r="B1423" s="1" t="n">
        <v>44839</v>
      </c>
      <c r="C1423" s="1" t="n">
        <v>45566</v>
      </c>
      <c r="D1423" t="inlineStr">
        <is>
          <t>VÄSTERBOTTENS LÄN</t>
        </is>
      </c>
      <c r="E1423" t="inlineStr">
        <is>
          <t>SKELLEFTEÅ</t>
        </is>
      </c>
      <c r="F1423" t="inlineStr">
        <is>
          <t>Sveaskog</t>
        </is>
      </c>
      <c r="G1423" t="n">
        <v>31.1</v>
      </c>
      <c r="H1423" t="n">
        <v>0</v>
      </c>
      <c r="I1423" t="n">
        <v>0</v>
      </c>
      <c r="J1423" t="n">
        <v>0</v>
      </c>
      <c r="K1423" t="n">
        <v>0</v>
      </c>
      <c r="L1423" t="n">
        <v>0</v>
      </c>
      <c r="M1423" t="n">
        <v>0</v>
      </c>
      <c r="N1423" t="n">
        <v>0</v>
      </c>
      <c r="O1423" t="n">
        <v>0</v>
      </c>
      <c r="P1423" t="n">
        <v>0</v>
      </c>
      <c r="Q1423" t="n">
        <v>0</v>
      </c>
      <c r="R1423" s="2" t="inlineStr"/>
    </row>
    <row r="1424" ht="15" customHeight="1">
      <c r="A1424" t="inlineStr">
        <is>
          <t>A 44398-2022</t>
        </is>
      </c>
      <c r="B1424" s="1" t="n">
        <v>44839</v>
      </c>
      <c r="C1424" s="1" t="n">
        <v>45566</v>
      </c>
      <c r="D1424" t="inlineStr">
        <is>
          <t>VÄSTERBOTTENS LÄN</t>
        </is>
      </c>
      <c r="E1424" t="inlineStr">
        <is>
          <t>SKELLEFTEÅ</t>
        </is>
      </c>
      <c r="F1424" t="inlineStr">
        <is>
          <t>Sveaskog</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44616-2022</t>
        </is>
      </c>
      <c r="B1425" s="1" t="n">
        <v>44839</v>
      </c>
      <c r="C1425" s="1" t="n">
        <v>45566</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44959-2022</t>
        </is>
      </c>
      <c r="B1426" s="1" t="n">
        <v>44839</v>
      </c>
      <c r="C1426" s="1" t="n">
        <v>45566</v>
      </c>
      <c r="D1426" t="inlineStr">
        <is>
          <t>VÄSTERBOTTENS LÄN</t>
        </is>
      </c>
      <c r="E1426" t="inlineStr">
        <is>
          <t>SKELLEFTEÅ</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44724-2022</t>
        </is>
      </c>
      <c r="B1427" s="1" t="n">
        <v>44840</v>
      </c>
      <c r="C1427" s="1" t="n">
        <v>45566</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44722-2022</t>
        </is>
      </c>
      <c r="B1428" s="1" t="n">
        <v>44840</v>
      </c>
      <c r="C1428" s="1" t="n">
        <v>45566</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45011-2022</t>
        </is>
      </c>
      <c r="B1429" s="1" t="n">
        <v>44840</v>
      </c>
      <c r="C1429" s="1" t="n">
        <v>45566</v>
      </c>
      <c r="D1429" t="inlineStr">
        <is>
          <t>VÄSTERBOTTENS LÄN</t>
        </is>
      </c>
      <c r="E1429" t="inlineStr">
        <is>
          <t>SKELLEFTEÅ</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45266-2022</t>
        </is>
      </c>
      <c r="B1430" s="1" t="n">
        <v>44844</v>
      </c>
      <c r="C1430" s="1" t="n">
        <v>45566</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45250-2022</t>
        </is>
      </c>
      <c r="B1431" s="1" t="n">
        <v>44844</v>
      </c>
      <c r="C1431" s="1" t="n">
        <v>45566</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45985-2022</t>
        </is>
      </c>
      <c r="B1432" s="1" t="n">
        <v>44844</v>
      </c>
      <c r="C1432" s="1" t="n">
        <v>45566</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45566</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45495-2022</t>
        </is>
      </c>
      <c r="B1434" s="1" t="n">
        <v>44845</v>
      </c>
      <c r="C1434" s="1" t="n">
        <v>45566</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45554-2022</t>
        </is>
      </c>
      <c r="B1435" s="1" t="n">
        <v>44845</v>
      </c>
      <c r="C1435" s="1" t="n">
        <v>45566</v>
      </c>
      <c r="D1435" t="inlineStr">
        <is>
          <t>VÄSTERBOTTENS LÄN</t>
        </is>
      </c>
      <c r="E1435" t="inlineStr">
        <is>
          <t>SKELLEFTEÅ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45619-2022</t>
        </is>
      </c>
      <c r="B1436" s="1" t="n">
        <v>44845</v>
      </c>
      <c r="C1436" s="1" t="n">
        <v>45566</v>
      </c>
      <c r="D1436" t="inlineStr">
        <is>
          <t>VÄSTERBOTTENS LÄN</t>
        </is>
      </c>
      <c r="E1436" t="inlineStr">
        <is>
          <t>SKELLEFTEÅ</t>
        </is>
      </c>
      <c r="F1436" t="inlineStr">
        <is>
          <t>Holmen skog AB</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46181-2022</t>
        </is>
      </c>
      <c r="B1437" s="1" t="n">
        <v>44845</v>
      </c>
      <c r="C1437" s="1" t="n">
        <v>45566</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46218-2022</t>
        </is>
      </c>
      <c r="B1438" s="1" t="n">
        <v>44845</v>
      </c>
      <c r="C1438" s="1" t="n">
        <v>45566</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45748-2022</t>
        </is>
      </c>
      <c r="B1439" s="1" t="n">
        <v>44846</v>
      </c>
      <c r="C1439" s="1" t="n">
        <v>45566</v>
      </c>
      <c r="D1439" t="inlineStr">
        <is>
          <t>VÄSTERBOTTENS LÄN</t>
        </is>
      </c>
      <c r="E1439" t="inlineStr">
        <is>
          <t>SKELLEFTEÅ</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46233-2022</t>
        </is>
      </c>
      <c r="B1440" s="1" t="n">
        <v>44847</v>
      </c>
      <c r="C1440" s="1" t="n">
        <v>45566</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46216-2022</t>
        </is>
      </c>
      <c r="B1441" s="1" t="n">
        <v>44847</v>
      </c>
      <c r="C1441" s="1" t="n">
        <v>45566</v>
      </c>
      <c r="D1441" t="inlineStr">
        <is>
          <t>VÄSTERBOTTENS LÄN</t>
        </is>
      </c>
      <c r="E1441" t="inlineStr">
        <is>
          <t>SKELLEFTEÅ</t>
        </is>
      </c>
      <c r="F1441" t="inlineStr">
        <is>
          <t>Holmen skog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46409-2022</t>
        </is>
      </c>
      <c r="B1442" s="1" t="n">
        <v>44848</v>
      </c>
      <c r="C1442" s="1" t="n">
        <v>45566</v>
      </c>
      <c r="D1442" t="inlineStr">
        <is>
          <t>VÄSTERBOTTENS LÄN</t>
        </is>
      </c>
      <c r="E1442" t="inlineStr">
        <is>
          <t>SKELLEFTEÅ</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46445-2022</t>
        </is>
      </c>
      <c r="B1443" s="1" t="n">
        <v>44848</v>
      </c>
      <c r="C1443" s="1" t="n">
        <v>45566</v>
      </c>
      <c r="D1443" t="inlineStr">
        <is>
          <t>VÄSTERBOTTENS LÄN</t>
        </is>
      </c>
      <c r="E1443" t="inlineStr">
        <is>
          <t>SKELLEFTEÅ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46868-2022</t>
        </is>
      </c>
      <c r="B1444" s="1" t="n">
        <v>44848</v>
      </c>
      <c r="C1444" s="1" t="n">
        <v>45566</v>
      </c>
      <c r="D1444" t="inlineStr">
        <is>
          <t>VÄSTERBOTTENS LÄN</t>
        </is>
      </c>
      <c r="E1444" t="inlineStr">
        <is>
          <t>SKELLEFTEÅ</t>
        </is>
      </c>
      <c r="G1444" t="n">
        <v>11.8</v>
      </c>
      <c r="H1444" t="n">
        <v>0</v>
      </c>
      <c r="I1444" t="n">
        <v>0</v>
      </c>
      <c r="J1444" t="n">
        <v>0</v>
      </c>
      <c r="K1444" t="n">
        <v>0</v>
      </c>
      <c r="L1444" t="n">
        <v>0</v>
      </c>
      <c r="M1444" t="n">
        <v>0</v>
      </c>
      <c r="N1444" t="n">
        <v>0</v>
      </c>
      <c r="O1444" t="n">
        <v>0</v>
      </c>
      <c r="P1444" t="n">
        <v>0</v>
      </c>
      <c r="Q1444" t="n">
        <v>0</v>
      </c>
      <c r="R1444" s="2" t="inlineStr"/>
    </row>
    <row r="1445" ht="15" customHeight="1">
      <c r="A1445" t="inlineStr">
        <is>
          <t>A 47637-2022</t>
        </is>
      </c>
      <c r="B1445" s="1" t="n">
        <v>44852</v>
      </c>
      <c r="C1445" s="1" t="n">
        <v>45566</v>
      </c>
      <c r="D1445" t="inlineStr">
        <is>
          <t>VÄSTERBOTTENS LÄN</t>
        </is>
      </c>
      <c r="E1445" t="inlineStr">
        <is>
          <t>SKELLEFTEÅ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47500-2022</t>
        </is>
      </c>
      <c r="B1446" s="1" t="n">
        <v>44852</v>
      </c>
      <c r="C1446" s="1" t="n">
        <v>45566</v>
      </c>
      <c r="D1446" t="inlineStr">
        <is>
          <t>VÄSTERBOTTENS LÄN</t>
        </is>
      </c>
      <c r="E1446" t="inlineStr">
        <is>
          <t>SKELLEFTEÅ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47410-2022</t>
        </is>
      </c>
      <c r="B1447" s="1" t="n">
        <v>44853</v>
      </c>
      <c r="C1447" s="1" t="n">
        <v>45566</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47548-2022</t>
        </is>
      </c>
      <c r="B1448" s="1" t="n">
        <v>44854</v>
      </c>
      <c r="C1448" s="1" t="n">
        <v>45566</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47554-2022</t>
        </is>
      </c>
      <c r="B1449" s="1" t="n">
        <v>44854</v>
      </c>
      <c r="C1449" s="1" t="n">
        <v>45566</v>
      </c>
      <c r="D1449" t="inlineStr">
        <is>
          <t>VÄSTERBOTTENS LÄN</t>
        </is>
      </c>
      <c r="E1449" t="inlineStr">
        <is>
          <t>SKELLEFTEÅ</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47988-2022</t>
        </is>
      </c>
      <c r="B1450" s="1" t="n">
        <v>44853</v>
      </c>
      <c r="C1450" s="1" t="n">
        <v>45566</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47984-2022</t>
        </is>
      </c>
      <c r="B1451" s="1" t="n">
        <v>44853</v>
      </c>
      <c r="C1451" s="1" t="n">
        <v>45566</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47991-2022</t>
        </is>
      </c>
      <c r="B1452" s="1" t="n">
        <v>44853</v>
      </c>
      <c r="C1452" s="1" t="n">
        <v>45566</v>
      </c>
      <c r="D1452" t="inlineStr">
        <is>
          <t>VÄSTERBOTTENS LÄN</t>
        </is>
      </c>
      <c r="E1452" t="inlineStr">
        <is>
          <t>SKELLEFTEÅ</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47696-2022</t>
        </is>
      </c>
      <c r="B1453" s="1" t="n">
        <v>44854</v>
      </c>
      <c r="C1453" s="1" t="n">
        <v>45566</v>
      </c>
      <c r="D1453" t="inlineStr">
        <is>
          <t>VÄSTERBOTTENS LÄN</t>
        </is>
      </c>
      <c r="E1453" t="inlineStr">
        <is>
          <t>SKELLEFTEÅ</t>
        </is>
      </c>
      <c r="F1453" t="inlineStr">
        <is>
          <t>Holmen skog AB</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48011-2022</t>
        </is>
      </c>
      <c r="B1454" s="1" t="n">
        <v>44855</v>
      </c>
      <c r="C1454" s="1" t="n">
        <v>45566</v>
      </c>
      <c r="D1454" t="inlineStr">
        <is>
          <t>VÄSTERBOTTENS LÄN</t>
        </is>
      </c>
      <c r="E1454" t="inlineStr">
        <is>
          <t>SKELLEFTEÅ</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48082-2022</t>
        </is>
      </c>
      <c r="B1455" s="1" t="n">
        <v>44856</v>
      </c>
      <c r="C1455" s="1" t="n">
        <v>45566</v>
      </c>
      <c r="D1455" t="inlineStr">
        <is>
          <t>VÄSTERBOTTENS LÄN</t>
        </is>
      </c>
      <c r="E1455" t="inlineStr">
        <is>
          <t>SKELLEFTEÅ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48722-2022</t>
        </is>
      </c>
      <c r="B1456" s="1" t="n">
        <v>44855</v>
      </c>
      <c r="C1456" s="1" t="n">
        <v>45566</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48125-2022</t>
        </is>
      </c>
      <c r="B1457" s="1" t="n">
        <v>44857</v>
      </c>
      <c r="C1457" s="1" t="n">
        <v>45566</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48133-2022</t>
        </is>
      </c>
      <c r="B1458" s="1" t="n">
        <v>44857</v>
      </c>
      <c r="C1458" s="1" t="n">
        <v>45566</v>
      </c>
      <c r="D1458" t="inlineStr">
        <is>
          <t>VÄSTERBOTTENS LÄN</t>
        </is>
      </c>
      <c r="E1458" t="inlineStr">
        <is>
          <t>SKELLEFTEÅ</t>
        </is>
      </c>
      <c r="F1458" t="inlineStr">
        <is>
          <t>Sveaskog</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49241-2022</t>
        </is>
      </c>
      <c r="B1459" s="1" t="n">
        <v>44858</v>
      </c>
      <c r="C1459" s="1" t="n">
        <v>45566</v>
      </c>
      <c r="D1459" t="inlineStr">
        <is>
          <t>VÄSTERBOTTENS LÄN</t>
        </is>
      </c>
      <c r="E1459" t="inlineStr">
        <is>
          <t>SKELLEFTEÅ</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49992-2022</t>
        </is>
      </c>
      <c r="B1460" s="1" t="n">
        <v>44860</v>
      </c>
      <c r="C1460" s="1" t="n">
        <v>45566</v>
      </c>
      <c r="D1460" t="inlineStr">
        <is>
          <t>VÄSTERBOTTENS LÄN</t>
        </is>
      </c>
      <c r="E1460" t="inlineStr">
        <is>
          <t>SKELLEFTEÅ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49246-2022</t>
        </is>
      </c>
      <c r="B1461" s="1" t="n">
        <v>44861</v>
      </c>
      <c r="C1461" s="1" t="n">
        <v>45566</v>
      </c>
      <c r="D1461" t="inlineStr">
        <is>
          <t>VÄSTERBOTTENS LÄN</t>
        </is>
      </c>
      <c r="E1461" t="inlineStr">
        <is>
          <t>SKELLEFTEÅ</t>
        </is>
      </c>
      <c r="F1461" t="inlineStr">
        <is>
          <t>Holmen skog AB</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49328-2022</t>
        </is>
      </c>
      <c r="B1462" s="1" t="n">
        <v>44861</v>
      </c>
      <c r="C1462" s="1" t="n">
        <v>45566</v>
      </c>
      <c r="D1462" t="inlineStr">
        <is>
          <t>VÄSTERBOTTENS LÄN</t>
        </is>
      </c>
      <c r="E1462" t="inlineStr">
        <is>
          <t>SKELLEFTEÅ</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49382-2022</t>
        </is>
      </c>
      <c r="B1463" s="1" t="n">
        <v>44861</v>
      </c>
      <c r="C1463" s="1" t="n">
        <v>45566</v>
      </c>
      <c r="D1463" t="inlineStr">
        <is>
          <t>VÄSTERBOTTENS LÄN</t>
        </is>
      </c>
      <c r="E1463" t="inlineStr">
        <is>
          <t>SKELLEFTEÅ</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49277-2022</t>
        </is>
      </c>
      <c r="B1464" s="1" t="n">
        <v>44861</v>
      </c>
      <c r="C1464" s="1" t="n">
        <v>45566</v>
      </c>
      <c r="D1464" t="inlineStr">
        <is>
          <t>VÄSTERBOTTENS LÄN</t>
        </is>
      </c>
      <c r="E1464" t="inlineStr">
        <is>
          <t>SKELLEFTEÅ</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49757-2022</t>
        </is>
      </c>
      <c r="B1465" s="1" t="n">
        <v>44862</v>
      </c>
      <c r="C1465" s="1" t="n">
        <v>45566</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49749-2022</t>
        </is>
      </c>
      <c r="B1466" s="1" t="n">
        <v>44862</v>
      </c>
      <c r="C1466" s="1" t="n">
        <v>45566</v>
      </c>
      <c r="D1466" t="inlineStr">
        <is>
          <t>VÄSTERBOTTENS LÄN</t>
        </is>
      </c>
      <c r="E1466" t="inlineStr">
        <is>
          <t>SKELLEFTEÅ</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49876-2022</t>
        </is>
      </c>
      <c r="B1467" s="1" t="n">
        <v>44864</v>
      </c>
      <c r="C1467" s="1" t="n">
        <v>45566</v>
      </c>
      <c r="D1467" t="inlineStr">
        <is>
          <t>VÄSTERBOTTENS LÄN</t>
        </is>
      </c>
      <c r="E1467" t="inlineStr">
        <is>
          <t>SKELLEFTEÅ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49875-2022</t>
        </is>
      </c>
      <c r="B1468" s="1" t="n">
        <v>44864</v>
      </c>
      <c r="C1468" s="1" t="n">
        <v>45566</v>
      </c>
      <c r="D1468" t="inlineStr">
        <is>
          <t>VÄSTERBOTTENS LÄN</t>
        </is>
      </c>
      <c r="E1468" t="inlineStr">
        <is>
          <t>SKELLEFTEÅ</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49906-2022</t>
        </is>
      </c>
      <c r="B1469" s="1" t="n">
        <v>44864</v>
      </c>
      <c r="C1469" s="1" t="n">
        <v>45566</v>
      </c>
      <c r="D1469" t="inlineStr">
        <is>
          <t>VÄSTERBOTTENS LÄN</t>
        </is>
      </c>
      <c r="E1469" t="inlineStr">
        <is>
          <t>SKELLEFTEÅ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49908-2022</t>
        </is>
      </c>
      <c r="B1470" s="1" t="n">
        <v>44864</v>
      </c>
      <c r="C1470" s="1" t="n">
        <v>45566</v>
      </c>
      <c r="D1470" t="inlineStr">
        <is>
          <t>VÄSTERBOTTENS LÄN</t>
        </is>
      </c>
      <c r="E1470" t="inlineStr">
        <is>
          <t>SKELLEFTEÅ</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49905-2022</t>
        </is>
      </c>
      <c r="B1471" s="1" t="n">
        <v>44864</v>
      </c>
      <c r="C1471" s="1" t="n">
        <v>45566</v>
      </c>
      <c r="D1471" t="inlineStr">
        <is>
          <t>VÄSTERBOTTENS LÄN</t>
        </is>
      </c>
      <c r="E1471" t="inlineStr">
        <is>
          <t>SKELLEFTEÅ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49907-2022</t>
        </is>
      </c>
      <c r="B1472" s="1" t="n">
        <v>44864</v>
      </c>
      <c r="C1472" s="1" t="n">
        <v>45566</v>
      </c>
      <c r="D1472" t="inlineStr">
        <is>
          <t>VÄSTERBOTTENS LÄN</t>
        </is>
      </c>
      <c r="E1472" t="inlineStr">
        <is>
          <t>SKELLEFTEÅ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50055-2022</t>
        </is>
      </c>
      <c r="B1473" s="1" t="n">
        <v>44865</v>
      </c>
      <c r="C1473" s="1" t="n">
        <v>45566</v>
      </c>
      <c r="D1473" t="inlineStr">
        <is>
          <t>VÄSTERBOTTENS LÄN</t>
        </is>
      </c>
      <c r="E1473" t="inlineStr">
        <is>
          <t>SKELLEFTEÅ</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49961-2022</t>
        </is>
      </c>
      <c r="B1474" s="1" t="n">
        <v>44865</v>
      </c>
      <c r="C1474" s="1" t="n">
        <v>45566</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50371-2022</t>
        </is>
      </c>
      <c r="B1475" s="1" t="n">
        <v>44866</v>
      </c>
      <c r="C1475" s="1" t="n">
        <v>45566</v>
      </c>
      <c r="D1475" t="inlineStr">
        <is>
          <t>VÄSTERBOTTENS LÄN</t>
        </is>
      </c>
      <c r="E1475" t="inlineStr">
        <is>
          <t>SKELLEFTEÅ</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50366-2022</t>
        </is>
      </c>
      <c r="B1476" s="1" t="n">
        <v>44866</v>
      </c>
      <c r="C1476" s="1" t="n">
        <v>45566</v>
      </c>
      <c r="D1476" t="inlineStr">
        <is>
          <t>VÄSTERBOTTENS LÄN</t>
        </is>
      </c>
      <c r="E1476" t="inlineStr">
        <is>
          <t>SKELLEFTEÅ</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50529-2022</t>
        </is>
      </c>
      <c r="B1477" s="1" t="n">
        <v>44866</v>
      </c>
      <c r="C1477" s="1" t="n">
        <v>45566</v>
      </c>
      <c r="D1477" t="inlineStr">
        <is>
          <t>VÄSTERBOTTENS LÄN</t>
        </is>
      </c>
      <c r="E1477" t="inlineStr">
        <is>
          <t>SKELLEFTEÅ</t>
        </is>
      </c>
      <c r="F1477" t="inlineStr">
        <is>
          <t>Holmen skog AB</t>
        </is>
      </c>
      <c r="G1477" t="n">
        <v>20.7</v>
      </c>
      <c r="H1477" t="n">
        <v>0</v>
      </c>
      <c r="I1477" t="n">
        <v>0</v>
      </c>
      <c r="J1477" t="n">
        <v>0</v>
      </c>
      <c r="K1477" t="n">
        <v>0</v>
      </c>
      <c r="L1477" t="n">
        <v>0</v>
      </c>
      <c r="M1477" t="n">
        <v>0</v>
      </c>
      <c r="N1477" t="n">
        <v>0</v>
      </c>
      <c r="O1477" t="n">
        <v>0</v>
      </c>
      <c r="P1477" t="n">
        <v>0</v>
      </c>
      <c r="Q1477" t="n">
        <v>0</v>
      </c>
      <c r="R1477" s="2" t="inlineStr"/>
    </row>
    <row r="1478" ht="15" customHeight="1">
      <c r="A1478" t="inlineStr">
        <is>
          <t>A 50409-2022</t>
        </is>
      </c>
      <c r="B1478" s="1" t="n">
        <v>44866</v>
      </c>
      <c r="C1478" s="1" t="n">
        <v>45566</v>
      </c>
      <c r="D1478" t="inlineStr">
        <is>
          <t>VÄSTERBOTTENS LÄN</t>
        </is>
      </c>
      <c r="E1478" t="inlineStr">
        <is>
          <t>SKELLEFTEÅ</t>
        </is>
      </c>
      <c r="F1478" t="inlineStr">
        <is>
          <t>Holmen skog AB</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50538-2022</t>
        </is>
      </c>
      <c r="B1479" s="1" t="n">
        <v>44866</v>
      </c>
      <c r="C1479" s="1" t="n">
        <v>45566</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50549-2022</t>
        </is>
      </c>
      <c r="B1480" s="1" t="n">
        <v>44866</v>
      </c>
      <c r="C1480" s="1" t="n">
        <v>45566</v>
      </c>
      <c r="D1480" t="inlineStr">
        <is>
          <t>VÄSTERBOTTENS LÄN</t>
        </is>
      </c>
      <c r="E1480" t="inlineStr">
        <is>
          <t>SKELLEFTEÅ</t>
        </is>
      </c>
      <c r="F1480" t="inlineStr">
        <is>
          <t>Kommuner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50531-2022</t>
        </is>
      </c>
      <c r="B1481" s="1" t="n">
        <v>44866</v>
      </c>
      <c r="C1481" s="1" t="n">
        <v>45566</v>
      </c>
      <c r="D1481" t="inlineStr">
        <is>
          <t>VÄSTERBOTTENS LÄN</t>
        </is>
      </c>
      <c r="E1481" t="inlineStr">
        <is>
          <t>SKELLEFTEÅ</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50554-2022</t>
        </is>
      </c>
      <c r="B1482" s="1" t="n">
        <v>44866</v>
      </c>
      <c r="C1482" s="1" t="n">
        <v>45566</v>
      </c>
      <c r="D1482" t="inlineStr">
        <is>
          <t>VÄSTERBOTTENS LÄN</t>
        </is>
      </c>
      <c r="E1482" t="inlineStr">
        <is>
          <t>SKELLEFTEÅ</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50872-2022</t>
        </is>
      </c>
      <c r="B1483" s="1" t="n">
        <v>44867</v>
      </c>
      <c r="C1483" s="1" t="n">
        <v>45566</v>
      </c>
      <c r="D1483" t="inlineStr">
        <is>
          <t>VÄSTERBOTTENS LÄN</t>
        </is>
      </c>
      <c r="E1483" t="inlineStr">
        <is>
          <t>SKELLEFTEÅ</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50838-2022</t>
        </is>
      </c>
      <c r="B1484" s="1" t="n">
        <v>44867</v>
      </c>
      <c r="C1484" s="1" t="n">
        <v>45566</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51222-2022</t>
        </is>
      </c>
      <c r="B1485" s="1" t="n">
        <v>44868</v>
      </c>
      <c r="C1485" s="1" t="n">
        <v>45566</v>
      </c>
      <c r="D1485" t="inlineStr">
        <is>
          <t>VÄSTERBOTTENS LÄN</t>
        </is>
      </c>
      <c r="E1485" t="inlineStr">
        <is>
          <t>SKELLEFTEÅ</t>
        </is>
      </c>
      <c r="F1485" t="inlineStr">
        <is>
          <t>Holmen skog AB</t>
        </is>
      </c>
      <c r="G1485" t="n">
        <v>16.4</v>
      </c>
      <c r="H1485" t="n">
        <v>0</v>
      </c>
      <c r="I1485" t="n">
        <v>0</v>
      </c>
      <c r="J1485" t="n">
        <v>0</v>
      </c>
      <c r="K1485" t="n">
        <v>0</v>
      </c>
      <c r="L1485" t="n">
        <v>0</v>
      </c>
      <c r="M1485" t="n">
        <v>0</v>
      </c>
      <c r="N1485" t="n">
        <v>0</v>
      </c>
      <c r="O1485" t="n">
        <v>0</v>
      </c>
      <c r="P1485" t="n">
        <v>0</v>
      </c>
      <c r="Q1485" t="n">
        <v>0</v>
      </c>
      <c r="R1485" s="2" t="inlineStr"/>
    </row>
    <row r="1486" ht="15" customHeight="1">
      <c r="A1486" t="inlineStr">
        <is>
          <t>A 51160-2022</t>
        </is>
      </c>
      <c r="B1486" s="1" t="n">
        <v>44868</v>
      </c>
      <c r="C1486" s="1" t="n">
        <v>45566</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51240-2022</t>
        </is>
      </c>
      <c r="B1487" s="1" t="n">
        <v>44868</v>
      </c>
      <c r="C1487" s="1" t="n">
        <v>45566</v>
      </c>
      <c r="D1487" t="inlineStr">
        <is>
          <t>VÄSTERBOTTENS LÄN</t>
        </is>
      </c>
      <c r="E1487" t="inlineStr">
        <is>
          <t>SKELLEFTEÅ</t>
        </is>
      </c>
      <c r="F1487" t="inlineStr">
        <is>
          <t>Holmen skog AB</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52129-2022</t>
        </is>
      </c>
      <c r="B1488" s="1" t="n">
        <v>44868</v>
      </c>
      <c r="C1488" s="1" t="n">
        <v>45566</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52141-2022</t>
        </is>
      </c>
      <c r="B1489" s="1" t="n">
        <v>44868</v>
      </c>
      <c r="C1489" s="1" t="n">
        <v>45566</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52148-2022</t>
        </is>
      </c>
      <c r="B1490" s="1" t="n">
        <v>44868</v>
      </c>
      <c r="C1490" s="1" t="n">
        <v>45566</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52135-2022</t>
        </is>
      </c>
      <c r="B1491" s="1" t="n">
        <v>44868</v>
      </c>
      <c r="C1491" s="1" t="n">
        <v>45566</v>
      </c>
      <c r="D1491" t="inlineStr">
        <is>
          <t>VÄSTERBOTTENS LÄN</t>
        </is>
      </c>
      <c r="E1491" t="inlineStr">
        <is>
          <t>SKELLEFTEÅ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51486-2022</t>
        </is>
      </c>
      <c r="B1492" s="1" t="n">
        <v>44869</v>
      </c>
      <c r="C1492" s="1" t="n">
        <v>45566</v>
      </c>
      <c r="D1492" t="inlineStr">
        <is>
          <t>VÄSTERBOTTENS LÄN</t>
        </is>
      </c>
      <c r="E1492" t="inlineStr">
        <is>
          <t>SKELLEFTEÅ</t>
        </is>
      </c>
      <c r="F1492" t="inlineStr">
        <is>
          <t>Holmen skog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51427-2022</t>
        </is>
      </c>
      <c r="B1493" s="1" t="n">
        <v>44869</v>
      </c>
      <c r="C1493" s="1" t="n">
        <v>45566</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51438-2022</t>
        </is>
      </c>
      <c r="B1494" s="1" t="n">
        <v>44869</v>
      </c>
      <c r="C1494" s="1" t="n">
        <v>45566</v>
      </c>
      <c r="D1494" t="inlineStr">
        <is>
          <t>VÄSTERBOTTENS LÄN</t>
        </is>
      </c>
      <c r="E1494" t="inlineStr">
        <is>
          <t>SKELLEFTEÅ</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52482-2022</t>
        </is>
      </c>
      <c r="B1495" s="1" t="n">
        <v>44869</v>
      </c>
      <c r="C1495" s="1" t="n">
        <v>45566</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52500-2022</t>
        </is>
      </c>
      <c r="B1496" s="1" t="n">
        <v>44869</v>
      </c>
      <c r="C1496" s="1" t="n">
        <v>45566</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52475-2022</t>
        </is>
      </c>
      <c r="B1497" s="1" t="n">
        <v>44869</v>
      </c>
      <c r="C1497" s="1" t="n">
        <v>45566</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52497-2022</t>
        </is>
      </c>
      <c r="B1498" s="1" t="n">
        <v>44869</v>
      </c>
      <c r="C1498" s="1" t="n">
        <v>45566</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52459-2022</t>
        </is>
      </c>
      <c r="B1499" s="1" t="n">
        <v>44869</v>
      </c>
      <c r="C1499" s="1" t="n">
        <v>45566</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52492-2022</t>
        </is>
      </c>
      <c r="B1500" s="1" t="n">
        <v>44869</v>
      </c>
      <c r="C1500" s="1" t="n">
        <v>45566</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52488-2022</t>
        </is>
      </c>
      <c r="B1501" s="1" t="n">
        <v>44869</v>
      </c>
      <c r="C1501" s="1" t="n">
        <v>45566</v>
      </c>
      <c r="D1501" t="inlineStr">
        <is>
          <t>VÄSTERBOTTENS LÄN</t>
        </is>
      </c>
      <c r="E1501" t="inlineStr">
        <is>
          <t>SKELLEFTEÅ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51919-2022</t>
        </is>
      </c>
      <c r="B1502" s="1" t="n">
        <v>44872</v>
      </c>
      <c r="C1502" s="1" t="n">
        <v>45566</v>
      </c>
      <c r="D1502" t="inlineStr">
        <is>
          <t>VÄSTERBOTTENS LÄN</t>
        </is>
      </c>
      <c r="E1502" t="inlineStr">
        <is>
          <t>SKELLEFTEÅ</t>
        </is>
      </c>
      <c r="F1502" t="inlineStr">
        <is>
          <t>Holmen skog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51951-2022</t>
        </is>
      </c>
      <c r="B1503" s="1" t="n">
        <v>44872</v>
      </c>
      <c r="C1503" s="1" t="n">
        <v>45566</v>
      </c>
      <c r="D1503" t="inlineStr">
        <is>
          <t>VÄSTERBOTTENS LÄN</t>
        </is>
      </c>
      <c r="E1503" t="inlineStr">
        <is>
          <t>SKELLEFTEÅ</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52009-2022</t>
        </is>
      </c>
      <c r="B1504" s="1" t="n">
        <v>44872</v>
      </c>
      <c r="C1504" s="1" t="n">
        <v>45566</v>
      </c>
      <c r="D1504" t="inlineStr">
        <is>
          <t>VÄSTERBOTTENS LÄN</t>
        </is>
      </c>
      <c r="E1504" t="inlineStr">
        <is>
          <t>SKELLEFTEÅ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51982-2022</t>
        </is>
      </c>
      <c r="B1505" s="1" t="n">
        <v>44872</v>
      </c>
      <c r="C1505" s="1" t="n">
        <v>45566</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51874-2022</t>
        </is>
      </c>
      <c r="B1506" s="1" t="n">
        <v>44872</v>
      </c>
      <c r="C1506" s="1" t="n">
        <v>45566</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52864-2022</t>
        </is>
      </c>
      <c r="B1507" s="1" t="n">
        <v>44872</v>
      </c>
      <c r="C1507" s="1" t="n">
        <v>45566</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52003-2022</t>
        </is>
      </c>
      <c r="B1508" s="1" t="n">
        <v>44872</v>
      </c>
      <c r="C1508" s="1" t="n">
        <v>45566</v>
      </c>
      <c r="D1508" t="inlineStr">
        <is>
          <t>VÄSTERBOTTENS LÄN</t>
        </is>
      </c>
      <c r="E1508" t="inlineStr">
        <is>
          <t>SKELLEFTEÅ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52817-2022</t>
        </is>
      </c>
      <c r="B1509" s="1" t="n">
        <v>44872</v>
      </c>
      <c r="C1509" s="1" t="n">
        <v>45566</v>
      </c>
      <c r="D1509" t="inlineStr">
        <is>
          <t>VÄSTERBOTTENS LÄN</t>
        </is>
      </c>
      <c r="E1509" t="inlineStr">
        <is>
          <t>SKELLEFTEÅ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53753-2022</t>
        </is>
      </c>
      <c r="B1510" s="1" t="n">
        <v>44872</v>
      </c>
      <c r="C1510" s="1" t="n">
        <v>45566</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52871-2022</t>
        </is>
      </c>
      <c r="B1511" s="1" t="n">
        <v>44872</v>
      </c>
      <c r="C1511" s="1" t="n">
        <v>45566</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53743-2022</t>
        </is>
      </c>
      <c r="B1512" s="1" t="n">
        <v>44872</v>
      </c>
      <c r="C1512" s="1" t="n">
        <v>45566</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52855-2022</t>
        </is>
      </c>
      <c r="B1513" s="1" t="n">
        <v>44872</v>
      </c>
      <c r="C1513" s="1" t="n">
        <v>45566</v>
      </c>
      <c r="D1513" t="inlineStr">
        <is>
          <t>VÄSTERBOTTENS LÄN</t>
        </is>
      </c>
      <c r="E1513" t="inlineStr">
        <is>
          <t>SKELLEFTEÅ</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52043-2022</t>
        </is>
      </c>
      <c r="B1514" s="1" t="n">
        <v>44873</v>
      </c>
      <c r="C1514" s="1" t="n">
        <v>45566</v>
      </c>
      <c r="D1514" t="inlineStr">
        <is>
          <t>VÄSTERBOTTENS LÄN</t>
        </is>
      </c>
      <c r="E1514" t="inlineStr">
        <is>
          <t>SKELLEFTEÅ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52589-2022</t>
        </is>
      </c>
      <c r="B1515" s="1" t="n">
        <v>44874</v>
      </c>
      <c r="C1515" s="1" t="n">
        <v>45566</v>
      </c>
      <c r="D1515" t="inlineStr">
        <is>
          <t>VÄSTERBOTTENS LÄN</t>
        </is>
      </c>
      <c r="E1515" t="inlineStr">
        <is>
          <t>SKELLEFTEÅ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52548-2022</t>
        </is>
      </c>
      <c r="B1516" s="1" t="n">
        <v>44874</v>
      </c>
      <c r="C1516" s="1" t="n">
        <v>45566</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52555-2022</t>
        </is>
      </c>
      <c r="B1517" s="1" t="n">
        <v>44874</v>
      </c>
      <c r="C1517" s="1" t="n">
        <v>45566</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52835-2022</t>
        </is>
      </c>
      <c r="B1518" s="1" t="n">
        <v>44875</v>
      </c>
      <c r="C1518" s="1" t="n">
        <v>45566</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52869-2022</t>
        </is>
      </c>
      <c r="B1519" s="1" t="n">
        <v>44875</v>
      </c>
      <c r="C1519" s="1" t="n">
        <v>45566</v>
      </c>
      <c r="D1519" t="inlineStr">
        <is>
          <t>VÄSTERBOTTENS LÄN</t>
        </is>
      </c>
      <c r="E1519" t="inlineStr">
        <is>
          <t>SKELLEFTEÅ</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52986-2022</t>
        </is>
      </c>
      <c r="B1520" s="1" t="n">
        <v>44875</v>
      </c>
      <c r="C1520" s="1" t="n">
        <v>45566</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52988-2022</t>
        </is>
      </c>
      <c r="B1521" s="1" t="n">
        <v>44875</v>
      </c>
      <c r="C1521" s="1" t="n">
        <v>45566</v>
      </c>
      <c r="D1521" t="inlineStr">
        <is>
          <t>VÄSTERBOTTENS LÄN</t>
        </is>
      </c>
      <c r="E1521" t="inlineStr">
        <is>
          <t>SKELLEFTEÅ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53033-2022</t>
        </is>
      </c>
      <c r="B1522" s="1" t="n">
        <v>44876</v>
      </c>
      <c r="C1522" s="1" t="n">
        <v>45566</v>
      </c>
      <c r="D1522" t="inlineStr">
        <is>
          <t>VÄSTERBOTTENS LÄN</t>
        </is>
      </c>
      <c r="E1522" t="inlineStr">
        <is>
          <t>SKELLEFTEÅ</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53075-2022</t>
        </is>
      </c>
      <c r="B1523" s="1" t="n">
        <v>44876</v>
      </c>
      <c r="C1523" s="1" t="n">
        <v>45566</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53089-2022</t>
        </is>
      </c>
      <c r="B1524" s="1" t="n">
        <v>44876</v>
      </c>
      <c r="C1524" s="1" t="n">
        <v>45566</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53092-2022</t>
        </is>
      </c>
      <c r="B1525" s="1" t="n">
        <v>44876</v>
      </c>
      <c r="C1525" s="1" t="n">
        <v>45566</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53083-2022</t>
        </is>
      </c>
      <c r="B1526" s="1" t="n">
        <v>44876</v>
      </c>
      <c r="C1526" s="1" t="n">
        <v>45566</v>
      </c>
      <c r="D1526" t="inlineStr">
        <is>
          <t>VÄSTERBOTTENS LÄN</t>
        </is>
      </c>
      <c r="E1526" t="inlineStr">
        <is>
          <t>SKELLEFTEÅ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53639-2022</t>
        </is>
      </c>
      <c r="B1527" s="1" t="n">
        <v>44879</v>
      </c>
      <c r="C1527" s="1" t="n">
        <v>45566</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53646-2022</t>
        </is>
      </c>
      <c r="B1528" s="1" t="n">
        <v>44879</v>
      </c>
      <c r="C1528" s="1" t="n">
        <v>45566</v>
      </c>
      <c r="D1528" t="inlineStr">
        <is>
          <t>VÄSTERBOTTENS LÄN</t>
        </is>
      </c>
      <c r="E1528" t="inlineStr">
        <is>
          <t>SKELLEFTEÅ</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53642-2022</t>
        </is>
      </c>
      <c r="B1529" s="1" t="n">
        <v>44879</v>
      </c>
      <c r="C1529" s="1" t="n">
        <v>45566</v>
      </c>
      <c r="D1529" t="inlineStr">
        <is>
          <t>VÄSTERBOTTENS LÄN</t>
        </is>
      </c>
      <c r="E1529" t="inlineStr">
        <is>
          <t>SKELLEFTEÅ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53641-2022</t>
        </is>
      </c>
      <c r="B1530" s="1" t="n">
        <v>44879</v>
      </c>
      <c r="C1530" s="1" t="n">
        <v>45566</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54316-2022</t>
        </is>
      </c>
      <c r="B1531" s="1" t="n">
        <v>44879</v>
      </c>
      <c r="C1531" s="1" t="n">
        <v>45566</v>
      </c>
      <c r="D1531" t="inlineStr">
        <is>
          <t>VÄSTERBOTTENS LÄN</t>
        </is>
      </c>
      <c r="E1531" t="inlineStr">
        <is>
          <t>SKELLEFTEÅ</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54438-2022</t>
        </is>
      </c>
      <c r="B1532" s="1" t="n">
        <v>44880</v>
      </c>
      <c r="C1532" s="1" t="n">
        <v>45566</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53903-2022</t>
        </is>
      </c>
      <c r="B1533" s="1" t="n">
        <v>44880</v>
      </c>
      <c r="C1533" s="1" t="n">
        <v>45566</v>
      </c>
      <c r="D1533" t="inlineStr">
        <is>
          <t>VÄSTERBOTTENS LÄN</t>
        </is>
      </c>
      <c r="E1533" t="inlineStr">
        <is>
          <t>SKELLEFTEÅ</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54456-2022</t>
        </is>
      </c>
      <c r="B1534" s="1" t="n">
        <v>44880</v>
      </c>
      <c r="C1534" s="1" t="n">
        <v>45566</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54081-2022</t>
        </is>
      </c>
      <c r="B1535" s="1" t="n">
        <v>44881</v>
      </c>
      <c r="C1535" s="1" t="n">
        <v>45566</v>
      </c>
      <c r="D1535" t="inlineStr">
        <is>
          <t>VÄSTERBOTTENS LÄN</t>
        </is>
      </c>
      <c r="E1535" t="inlineStr">
        <is>
          <t>SKELLEFTEÅ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54825-2022</t>
        </is>
      </c>
      <c r="B1536" s="1" t="n">
        <v>44883</v>
      </c>
      <c r="C1536" s="1" t="n">
        <v>45566</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54635-2022</t>
        </is>
      </c>
      <c r="B1537" s="1" t="n">
        <v>44883</v>
      </c>
      <c r="C1537" s="1" t="n">
        <v>45566</v>
      </c>
      <c r="D1537" t="inlineStr">
        <is>
          <t>VÄSTERBOTTENS LÄN</t>
        </is>
      </c>
      <c r="E1537" t="inlineStr">
        <is>
          <t>SKELLEFTEÅ</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55018-2022</t>
        </is>
      </c>
      <c r="B1538" s="1" t="n">
        <v>44886</v>
      </c>
      <c r="C1538" s="1" t="n">
        <v>45566</v>
      </c>
      <c r="D1538" t="inlineStr">
        <is>
          <t>VÄSTERBOTTENS LÄN</t>
        </is>
      </c>
      <c r="E1538" t="inlineStr">
        <is>
          <t>SKELLEFTEÅ</t>
        </is>
      </c>
      <c r="F1538" t="inlineStr">
        <is>
          <t>Holmen skog AB</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55063-2022</t>
        </is>
      </c>
      <c r="B1539" s="1" t="n">
        <v>44886</v>
      </c>
      <c r="C1539" s="1" t="n">
        <v>45566</v>
      </c>
      <c r="D1539" t="inlineStr">
        <is>
          <t>VÄSTERBOTTENS LÄN</t>
        </is>
      </c>
      <c r="E1539" t="inlineStr">
        <is>
          <t>SKELLEFTEÅ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55037-2022</t>
        </is>
      </c>
      <c r="B1540" s="1" t="n">
        <v>44886</v>
      </c>
      <c r="C1540" s="1" t="n">
        <v>45566</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55176-2022</t>
        </is>
      </c>
      <c r="B1541" s="1" t="n">
        <v>44886</v>
      </c>
      <c r="C1541" s="1" t="n">
        <v>45566</v>
      </c>
      <c r="D1541" t="inlineStr">
        <is>
          <t>VÄSTERBOTTENS LÄN</t>
        </is>
      </c>
      <c r="E1541" t="inlineStr">
        <is>
          <t>SKELLEFTEÅ</t>
        </is>
      </c>
      <c r="F1541" t="inlineStr">
        <is>
          <t>Sveaskog</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56313-2022</t>
        </is>
      </c>
      <c r="B1542" s="1" t="n">
        <v>44887</v>
      </c>
      <c r="C1542" s="1" t="n">
        <v>45566</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56299-2022</t>
        </is>
      </c>
      <c r="B1543" s="1" t="n">
        <v>44887</v>
      </c>
      <c r="C1543" s="1" t="n">
        <v>45566</v>
      </c>
      <c r="D1543" t="inlineStr">
        <is>
          <t>VÄSTERBOTTENS LÄN</t>
        </is>
      </c>
      <c r="E1543" t="inlineStr">
        <is>
          <t>SKELLEFTEÅ</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55611-2022</t>
        </is>
      </c>
      <c r="B1544" s="1" t="n">
        <v>44888</v>
      </c>
      <c r="C1544" s="1" t="n">
        <v>45566</v>
      </c>
      <c r="D1544" t="inlineStr">
        <is>
          <t>VÄSTERBOTTENS LÄN</t>
        </is>
      </c>
      <c r="E1544" t="inlineStr">
        <is>
          <t>SKELLEFTEÅ</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55584-2022</t>
        </is>
      </c>
      <c r="B1545" s="1" t="n">
        <v>44888</v>
      </c>
      <c r="C1545" s="1" t="n">
        <v>45566</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55603-2022</t>
        </is>
      </c>
      <c r="B1546" s="1" t="n">
        <v>44888</v>
      </c>
      <c r="C1546" s="1" t="n">
        <v>45566</v>
      </c>
      <c r="D1546" t="inlineStr">
        <is>
          <t>VÄSTERBOTTENS LÄN</t>
        </is>
      </c>
      <c r="E1546" t="inlineStr">
        <is>
          <t>SKELLEFTEÅ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55623-2022</t>
        </is>
      </c>
      <c r="B1547" s="1" t="n">
        <v>44888</v>
      </c>
      <c r="C1547" s="1" t="n">
        <v>45566</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55815-2022</t>
        </is>
      </c>
      <c r="B1548" s="1" t="n">
        <v>44888</v>
      </c>
      <c r="C1548" s="1" t="n">
        <v>45566</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55827-2022</t>
        </is>
      </c>
      <c r="B1549" s="1" t="n">
        <v>44888</v>
      </c>
      <c r="C1549" s="1" t="n">
        <v>45566</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56824-2022</t>
        </is>
      </c>
      <c r="B1550" s="1" t="n">
        <v>44888</v>
      </c>
      <c r="C1550" s="1" t="n">
        <v>45566</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56031-2022</t>
        </is>
      </c>
      <c r="B1551" s="1" t="n">
        <v>44889</v>
      </c>
      <c r="C1551" s="1" t="n">
        <v>45566</v>
      </c>
      <c r="D1551" t="inlineStr">
        <is>
          <t>VÄSTERBOTTENS LÄN</t>
        </is>
      </c>
      <c r="E1551" t="inlineStr">
        <is>
          <t>SKELLEFTEÅ</t>
        </is>
      </c>
      <c r="F1551" t="inlineStr">
        <is>
          <t>Sveaskog</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55982-2022</t>
        </is>
      </c>
      <c r="B1552" s="1" t="n">
        <v>44889</v>
      </c>
      <c r="C1552" s="1" t="n">
        <v>45566</v>
      </c>
      <c r="D1552" t="inlineStr">
        <is>
          <t>VÄSTERBOTTENS LÄN</t>
        </is>
      </c>
      <c r="E1552" t="inlineStr">
        <is>
          <t>SKELLEFTEÅ</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55999-2022</t>
        </is>
      </c>
      <c r="B1553" s="1" t="n">
        <v>44889</v>
      </c>
      <c r="C1553" s="1" t="n">
        <v>45566</v>
      </c>
      <c r="D1553" t="inlineStr">
        <is>
          <t>VÄSTERBOTTENS LÄN</t>
        </is>
      </c>
      <c r="E1553" t="inlineStr">
        <is>
          <t>SKELLEFTEÅ</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56072-2022</t>
        </is>
      </c>
      <c r="B1554" s="1" t="n">
        <v>44889</v>
      </c>
      <c r="C1554" s="1" t="n">
        <v>45566</v>
      </c>
      <c r="D1554" t="inlineStr">
        <is>
          <t>VÄSTERBOTTENS LÄN</t>
        </is>
      </c>
      <c r="E1554" t="inlineStr">
        <is>
          <t>SKELLEFTEÅ</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56141-2022</t>
        </is>
      </c>
      <c r="B1555" s="1" t="n">
        <v>44889</v>
      </c>
      <c r="C1555" s="1" t="n">
        <v>45566</v>
      </c>
      <c r="D1555" t="inlineStr">
        <is>
          <t>VÄSTERBOTTENS LÄN</t>
        </is>
      </c>
      <c r="E1555" t="inlineStr">
        <is>
          <t>SKELLEFTEÅ</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56155-2022</t>
        </is>
      </c>
      <c r="B1556" s="1" t="n">
        <v>44889</v>
      </c>
      <c r="C1556" s="1" t="n">
        <v>45566</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56113-2022</t>
        </is>
      </c>
      <c r="B1557" s="1" t="n">
        <v>44889</v>
      </c>
      <c r="C1557" s="1" t="n">
        <v>45566</v>
      </c>
      <c r="D1557" t="inlineStr">
        <is>
          <t>VÄSTERBOTTENS LÄN</t>
        </is>
      </c>
      <c r="E1557" t="inlineStr">
        <is>
          <t>SKELLEFTEÅ</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56156-2022</t>
        </is>
      </c>
      <c r="B1558" s="1" t="n">
        <v>44889</v>
      </c>
      <c r="C1558" s="1" t="n">
        <v>45566</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57405-2022</t>
        </is>
      </c>
      <c r="B1559" s="1" t="n">
        <v>44889</v>
      </c>
      <c r="C1559" s="1" t="n">
        <v>45566</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57432-2022</t>
        </is>
      </c>
      <c r="B1560" s="1" t="n">
        <v>44889</v>
      </c>
      <c r="C1560" s="1" t="n">
        <v>45566</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56284-2022</t>
        </is>
      </c>
      <c r="B1561" s="1" t="n">
        <v>44890</v>
      </c>
      <c r="C1561" s="1" t="n">
        <v>45566</v>
      </c>
      <c r="D1561" t="inlineStr">
        <is>
          <t>VÄSTERBOTTENS LÄN</t>
        </is>
      </c>
      <c r="E1561" t="inlineStr">
        <is>
          <t>SKELLEFTEÅ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56394-2022</t>
        </is>
      </c>
      <c r="B1562" s="1" t="n">
        <v>44890</v>
      </c>
      <c r="C1562" s="1" t="n">
        <v>45566</v>
      </c>
      <c r="D1562" t="inlineStr">
        <is>
          <t>VÄSTERBOTTENS LÄN</t>
        </is>
      </c>
      <c r="E1562" t="inlineStr">
        <is>
          <t>SKELLEFTEÅ</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56435-2022</t>
        </is>
      </c>
      <c r="B1563" s="1" t="n">
        <v>44892</v>
      </c>
      <c r="C1563" s="1" t="n">
        <v>45566</v>
      </c>
      <c r="D1563" t="inlineStr">
        <is>
          <t>VÄSTERBOTTENS LÄN</t>
        </is>
      </c>
      <c r="E1563" t="inlineStr">
        <is>
          <t>SKELLEFTEÅ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56503-2022</t>
        </is>
      </c>
      <c r="B1564" s="1" t="n">
        <v>44893</v>
      </c>
      <c r="C1564" s="1" t="n">
        <v>45566</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57406-2022</t>
        </is>
      </c>
      <c r="B1565" s="1" t="n">
        <v>44893</v>
      </c>
      <c r="C1565" s="1" t="n">
        <v>45566</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58114-2022</t>
        </is>
      </c>
      <c r="B1566" s="1" t="n">
        <v>44893</v>
      </c>
      <c r="C1566" s="1" t="n">
        <v>45566</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56993-2022</t>
        </is>
      </c>
      <c r="B1567" s="1" t="n">
        <v>44894</v>
      </c>
      <c r="C1567" s="1" t="n">
        <v>45566</v>
      </c>
      <c r="D1567" t="inlineStr">
        <is>
          <t>VÄSTERBOTTENS LÄN</t>
        </is>
      </c>
      <c r="E1567" t="inlineStr">
        <is>
          <t>SKELLEFTEÅ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56960-2022</t>
        </is>
      </c>
      <c r="B1568" s="1" t="n">
        <v>44894</v>
      </c>
      <c r="C1568" s="1" t="n">
        <v>45566</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56995-2022</t>
        </is>
      </c>
      <c r="B1569" s="1" t="n">
        <v>44894</v>
      </c>
      <c r="C1569" s="1" t="n">
        <v>45566</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58250-2022</t>
        </is>
      </c>
      <c r="B1570" s="1" t="n">
        <v>44894</v>
      </c>
      <c r="C1570" s="1" t="n">
        <v>45566</v>
      </c>
      <c r="D1570" t="inlineStr">
        <is>
          <t>VÄSTERBOTTENS LÄN</t>
        </is>
      </c>
      <c r="E1570" t="inlineStr">
        <is>
          <t>SKELLEFTEÅ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58634-2022</t>
        </is>
      </c>
      <c r="B1571" s="1" t="n">
        <v>44894</v>
      </c>
      <c r="C1571" s="1" t="n">
        <v>45566</v>
      </c>
      <c r="D1571" t="inlineStr">
        <is>
          <t>VÄSTERBOTTENS LÄN</t>
        </is>
      </c>
      <c r="E1571" t="inlineStr">
        <is>
          <t>SKELLEFTEÅ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57059-2022</t>
        </is>
      </c>
      <c r="B1572" s="1" t="n">
        <v>44895</v>
      </c>
      <c r="C1572" s="1" t="n">
        <v>45566</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57103-2022</t>
        </is>
      </c>
      <c r="B1573" s="1" t="n">
        <v>44895</v>
      </c>
      <c r="C1573" s="1" t="n">
        <v>45566</v>
      </c>
      <c r="D1573" t="inlineStr">
        <is>
          <t>VÄSTERBOTTENS LÄN</t>
        </is>
      </c>
      <c r="E1573" t="inlineStr">
        <is>
          <t>SKELLEFTEÅ</t>
        </is>
      </c>
      <c r="F1573" t="inlineStr">
        <is>
          <t>Holmen skog AB</t>
        </is>
      </c>
      <c r="G1573" t="n">
        <v>18.7</v>
      </c>
      <c r="H1573" t="n">
        <v>0</v>
      </c>
      <c r="I1573" t="n">
        <v>0</v>
      </c>
      <c r="J1573" t="n">
        <v>0</v>
      </c>
      <c r="K1573" t="n">
        <v>0</v>
      </c>
      <c r="L1573" t="n">
        <v>0</v>
      </c>
      <c r="M1573" t="n">
        <v>0</v>
      </c>
      <c r="N1573" t="n">
        <v>0</v>
      </c>
      <c r="O1573" t="n">
        <v>0</v>
      </c>
      <c r="P1573" t="n">
        <v>0</v>
      </c>
      <c r="Q1573" t="n">
        <v>0</v>
      </c>
      <c r="R1573" s="2" t="inlineStr"/>
    </row>
    <row r="1574" ht="15" customHeight="1">
      <c r="A1574" t="inlineStr">
        <is>
          <t>A 57057-2022</t>
        </is>
      </c>
      <c r="B1574" s="1" t="n">
        <v>44895</v>
      </c>
      <c r="C1574" s="1" t="n">
        <v>45566</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57054-2022</t>
        </is>
      </c>
      <c r="B1575" s="1" t="n">
        <v>44895</v>
      </c>
      <c r="C1575" s="1" t="n">
        <v>45566</v>
      </c>
      <c r="D1575" t="inlineStr">
        <is>
          <t>VÄSTERBOTTENS LÄN</t>
        </is>
      </c>
      <c r="E1575" t="inlineStr">
        <is>
          <t>SKELLEFTEÅ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57152-2022</t>
        </is>
      </c>
      <c r="B1576" s="1" t="n">
        <v>44895</v>
      </c>
      <c r="C1576" s="1" t="n">
        <v>45566</v>
      </c>
      <c r="D1576" t="inlineStr">
        <is>
          <t>VÄSTERBOTTENS LÄN</t>
        </is>
      </c>
      <c r="E1576" t="inlineStr">
        <is>
          <t>SKELLEFTEÅ</t>
        </is>
      </c>
      <c r="F1576" t="inlineStr">
        <is>
          <t>Holmen skog AB</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57187-2022</t>
        </is>
      </c>
      <c r="B1577" s="1" t="n">
        <v>44895</v>
      </c>
      <c r="C1577" s="1" t="n">
        <v>45566</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58897-2022</t>
        </is>
      </c>
      <c r="B1578" s="1" t="n">
        <v>44895</v>
      </c>
      <c r="C1578" s="1" t="n">
        <v>45566</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58814-2022</t>
        </is>
      </c>
      <c r="B1579" s="1" t="n">
        <v>44895</v>
      </c>
      <c r="C1579" s="1" t="n">
        <v>45566</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57364-2022</t>
        </is>
      </c>
      <c r="B1580" s="1" t="n">
        <v>44896</v>
      </c>
      <c r="C1580" s="1" t="n">
        <v>45566</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57417-2022</t>
        </is>
      </c>
      <c r="B1581" s="1" t="n">
        <v>44896</v>
      </c>
      <c r="C1581" s="1" t="n">
        <v>45566</v>
      </c>
      <c r="D1581" t="inlineStr">
        <is>
          <t>VÄSTERBOTTENS LÄN</t>
        </is>
      </c>
      <c r="E1581" t="inlineStr">
        <is>
          <t>SKELLEFTEÅ</t>
        </is>
      </c>
      <c r="F1581" t="inlineStr">
        <is>
          <t>Holmen skog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57579-2022</t>
        </is>
      </c>
      <c r="B1582" s="1" t="n">
        <v>44896</v>
      </c>
      <c r="C1582" s="1" t="n">
        <v>45566</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57362-2022</t>
        </is>
      </c>
      <c r="B1583" s="1" t="n">
        <v>44896</v>
      </c>
      <c r="C1583" s="1" t="n">
        <v>45566</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57457-2022</t>
        </is>
      </c>
      <c r="B1584" s="1" t="n">
        <v>44896</v>
      </c>
      <c r="C1584" s="1" t="n">
        <v>45566</v>
      </c>
      <c r="D1584" t="inlineStr">
        <is>
          <t>VÄSTERBOTTENS LÄN</t>
        </is>
      </c>
      <c r="E1584" t="inlineStr">
        <is>
          <t>SKELLEFTEÅ</t>
        </is>
      </c>
      <c r="F1584" t="inlineStr">
        <is>
          <t>Holmen skog AB</t>
        </is>
      </c>
      <c r="G1584" t="n">
        <v>16.2</v>
      </c>
      <c r="H1584" t="n">
        <v>0</v>
      </c>
      <c r="I1584" t="n">
        <v>0</v>
      </c>
      <c r="J1584" t="n">
        <v>0</v>
      </c>
      <c r="K1584" t="n">
        <v>0</v>
      </c>
      <c r="L1584" t="n">
        <v>0</v>
      </c>
      <c r="M1584" t="n">
        <v>0</v>
      </c>
      <c r="N1584" t="n">
        <v>0</v>
      </c>
      <c r="O1584" t="n">
        <v>0</v>
      </c>
      <c r="P1584" t="n">
        <v>0</v>
      </c>
      <c r="Q1584" t="n">
        <v>0</v>
      </c>
      <c r="R1584" s="2" t="inlineStr"/>
    </row>
    <row r="1585" ht="15" customHeight="1">
      <c r="A1585" t="inlineStr">
        <is>
          <t>A 57569-2022</t>
        </is>
      </c>
      <c r="B1585" s="1" t="n">
        <v>44896</v>
      </c>
      <c r="C1585" s="1" t="n">
        <v>45566</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57570-2022</t>
        </is>
      </c>
      <c r="B1586" s="1" t="n">
        <v>44896</v>
      </c>
      <c r="C1586" s="1" t="n">
        <v>45566</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57577-2022</t>
        </is>
      </c>
      <c r="B1587" s="1" t="n">
        <v>44896</v>
      </c>
      <c r="C1587" s="1" t="n">
        <v>45566</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57583-2022</t>
        </is>
      </c>
      <c r="B1588" s="1" t="n">
        <v>44896</v>
      </c>
      <c r="C1588" s="1" t="n">
        <v>45566</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57582-2022</t>
        </is>
      </c>
      <c r="B1589" s="1" t="n">
        <v>44896</v>
      </c>
      <c r="C1589" s="1" t="n">
        <v>45566</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57571-2022</t>
        </is>
      </c>
      <c r="B1590" s="1" t="n">
        <v>44896</v>
      </c>
      <c r="C1590" s="1" t="n">
        <v>45566</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57578-2022</t>
        </is>
      </c>
      <c r="B1591" s="1" t="n">
        <v>44896</v>
      </c>
      <c r="C1591" s="1" t="n">
        <v>45566</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57584-2022</t>
        </is>
      </c>
      <c r="B1592" s="1" t="n">
        <v>44896</v>
      </c>
      <c r="C1592" s="1" t="n">
        <v>45566</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58877-2022</t>
        </is>
      </c>
      <c r="B1593" s="1" t="n">
        <v>44896</v>
      </c>
      <c r="C1593" s="1" t="n">
        <v>45566</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58926-2022</t>
        </is>
      </c>
      <c r="B1594" s="1" t="n">
        <v>44896</v>
      </c>
      <c r="C1594" s="1" t="n">
        <v>45566</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57646-2022</t>
        </is>
      </c>
      <c r="B1595" s="1" t="n">
        <v>44897</v>
      </c>
      <c r="C1595" s="1" t="n">
        <v>45566</v>
      </c>
      <c r="D1595" t="inlineStr">
        <is>
          <t>VÄSTERBOTTENS LÄN</t>
        </is>
      </c>
      <c r="E1595" t="inlineStr">
        <is>
          <t>SKELLEFTEÅ</t>
        </is>
      </c>
      <c r="F1595" t="inlineStr">
        <is>
          <t>Holmen skog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57770-2022</t>
        </is>
      </c>
      <c r="B1596" s="1" t="n">
        <v>44897</v>
      </c>
      <c r="C1596" s="1" t="n">
        <v>45566</v>
      </c>
      <c r="D1596" t="inlineStr">
        <is>
          <t>VÄSTERBOTTENS LÄN</t>
        </is>
      </c>
      <c r="E1596" t="inlineStr">
        <is>
          <t>SKELLEFTEÅ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57654-2022</t>
        </is>
      </c>
      <c r="B1597" s="1" t="n">
        <v>44897</v>
      </c>
      <c r="C1597" s="1" t="n">
        <v>45566</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57659-2022</t>
        </is>
      </c>
      <c r="B1598" s="1" t="n">
        <v>44897</v>
      </c>
      <c r="C1598" s="1" t="n">
        <v>45566</v>
      </c>
      <c r="D1598" t="inlineStr">
        <is>
          <t>VÄSTERBOTTENS LÄN</t>
        </is>
      </c>
      <c r="E1598" t="inlineStr">
        <is>
          <t>SKELLEFTEÅ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59020-2022</t>
        </is>
      </c>
      <c r="B1599" s="1" t="n">
        <v>44897</v>
      </c>
      <c r="C1599" s="1" t="n">
        <v>45566</v>
      </c>
      <c r="D1599" t="inlineStr">
        <is>
          <t>VÄSTERBOTTENS LÄN</t>
        </is>
      </c>
      <c r="E1599" t="inlineStr">
        <is>
          <t>SKELLEFTEÅ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57847-2022</t>
        </is>
      </c>
      <c r="B1600" s="1" t="n">
        <v>44898</v>
      </c>
      <c r="C1600" s="1" t="n">
        <v>45566</v>
      </c>
      <c r="D1600" t="inlineStr">
        <is>
          <t>VÄSTERBOTTENS LÄN</t>
        </is>
      </c>
      <c r="E1600" t="inlineStr">
        <is>
          <t>SKELLEFTEÅ</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57849-2022</t>
        </is>
      </c>
      <c r="B1601" s="1" t="n">
        <v>44898</v>
      </c>
      <c r="C1601" s="1" t="n">
        <v>45566</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57848-2022</t>
        </is>
      </c>
      <c r="B1602" s="1" t="n">
        <v>44898</v>
      </c>
      <c r="C1602" s="1" t="n">
        <v>45566</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57851-2022</t>
        </is>
      </c>
      <c r="B1603" s="1" t="n">
        <v>44898</v>
      </c>
      <c r="C1603" s="1" t="n">
        <v>45566</v>
      </c>
      <c r="D1603" t="inlineStr">
        <is>
          <t>VÄSTERBOTTENS LÄN</t>
        </is>
      </c>
      <c r="E1603" t="inlineStr">
        <is>
          <t>SKELLEFTEÅ</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57908-2022</t>
        </is>
      </c>
      <c r="B1604" s="1" t="n">
        <v>44900</v>
      </c>
      <c r="C1604" s="1" t="n">
        <v>45566</v>
      </c>
      <c r="D1604" t="inlineStr">
        <is>
          <t>VÄSTERBOTTENS LÄN</t>
        </is>
      </c>
      <c r="E1604" t="inlineStr">
        <is>
          <t>SKELLEFTEÅ</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58053-2022</t>
        </is>
      </c>
      <c r="B1605" s="1" t="n">
        <v>44900</v>
      </c>
      <c r="C1605" s="1" t="n">
        <v>45566</v>
      </c>
      <c r="D1605" t="inlineStr">
        <is>
          <t>VÄSTERBOTTENS LÄN</t>
        </is>
      </c>
      <c r="E1605" t="inlineStr">
        <is>
          <t>SKELLEFTEÅ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57899-2022</t>
        </is>
      </c>
      <c r="B1606" s="1" t="n">
        <v>44900</v>
      </c>
      <c r="C1606" s="1" t="n">
        <v>45566</v>
      </c>
      <c r="D1606" t="inlineStr">
        <is>
          <t>VÄSTERBOTTENS LÄN</t>
        </is>
      </c>
      <c r="E1606" t="inlineStr">
        <is>
          <t>SKELLEFTEÅ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58063-2022</t>
        </is>
      </c>
      <c r="B1607" s="1" t="n">
        <v>44900</v>
      </c>
      <c r="C1607" s="1" t="n">
        <v>45566</v>
      </c>
      <c r="D1607" t="inlineStr">
        <is>
          <t>VÄSTERBOTTENS LÄN</t>
        </is>
      </c>
      <c r="E1607" t="inlineStr">
        <is>
          <t>SKELLEFTEÅ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59754-2022</t>
        </is>
      </c>
      <c r="B1608" s="1" t="n">
        <v>44900</v>
      </c>
      <c r="C1608" s="1" t="n">
        <v>45566</v>
      </c>
      <c r="D1608" t="inlineStr">
        <is>
          <t>VÄSTERBOTTENS LÄN</t>
        </is>
      </c>
      <c r="E1608" t="inlineStr">
        <is>
          <t>SKELLEFTEÅ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58298-2022</t>
        </is>
      </c>
      <c r="B1609" s="1" t="n">
        <v>44901</v>
      </c>
      <c r="C1609" s="1" t="n">
        <v>45566</v>
      </c>
      <c r="D1609" t="inlineStr">
        <is>
          <t>VÄSTERBOTTENS LÄN</t>
        </is>
      </c>
      <c r="E1609" t="inlineStr">
        <is>
          <t>SKELLEFTEÅ</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58325-2022</t>
        </is>
      </c>
      <c r="B1610" s="1" t="n">
        <v>44901</v>
      </c>
      <c r="C1610" s="1" t="n">
        <v>45566</v>
      </c>
      <c r="D1610" t="inlineStr">
        <is>
          <t>VÄSTERBOTTENS LÄN</t>
        </is>
      </c>
      <c r="E1610" t="inlineStr">
        <is>
          <t>SKELLEFTEÅ</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58376-2022</t>
        </is>
      </c>
      <c r="B1611" s="1" t="n">
        <v>44901</v>
      </c>
      <c r="C1611" s="1" t="n">
        <v>45566</v>
      </c>
      <c r="D1611" t="inlineStr">
        <is>
          <t>VÄSTERBOTTENS LÄN</t>
        </is>
      </c>
      <c r="E1611" t="inlineStr">
        <is>
          <t>SKELLEFTEÅ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58429-2022</t>
        </is>
      </c>
      <c r="B1612" s="1" t="n">
        <v>44901</v>
      </c>
      <c r="C1612" s="1" t="n">
        <v>45566</v>
      </c>
      <c r="D1612" t="inlineStr">
        <is>
          <t>VÄSTERBOTTENS LÄN</t>
        </is>
      </c>
      <c r="E1612" t="inlineStr">
        <is>
          <t>SKELLEFTEÅ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58304-2022</t>
        </is>
      </c>
      <c r="B1613" s="1" t="n">
        <v>44901</v>
      </c>
      <c r="C1613" s="1" t="n">
        <v>45566</v>
      </c>
      <c r="D1613" t="inlineStr">
        <is>
          <t>VÄSTERBOTTENS LÄN</t>
        </is>
      </c>
      <c r="E1613" t="inlineStr">
        <is>
          <t>SKELLEFTEÅ</t>
        </is>
      </c>
      <c r="F1613" t="inlineStr">
        <is>
          <t>Sveaskog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58197-2022</t>
        </is>
      </c>
      <c r="B1614" s="1" t="n">
        <v>44901</v>
      </c>
      <c r="C1614" s="1" t="n">
        <v>45566</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58295-2022</t>
        </is>
      </c>
      <c r="B1615" s="1" t="n">
        <v>44901</v>
      </c>
      <c r="C1615" s="1" t="n">
        <v>45566</v>
      </c>
      <c r="D1615" t="inlineStr">
        <is>
          <t>VÄSTERBOTTENS LÄN</t>
        </is>
      </c>
      <c r="E1615" t="inlineStr">
        <is>
          <t>SKELLEFTEÅ</t>
        </is>
      </c>
      <c r="F1615" t="inlineStr">
        <is>
          <t>Sveaskog</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58349-2022</t>
        </is>
      </c>
      <c r="B1616" s="1" t="n">
        <v>44901</v>
      </c>
      <c r="C1616" s="1" t="n">
        <v>45566</v>
      </c>
      <c r="D1616" t="inlineStr">
        <is>
          <t>VÄSTERBOTTENS LÄN</t>
        </is>
      </c>
      <c r="E1616" t="inlineStr">
        <is>
          <t>SKELLEFTEÅ</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58464-2022</t>
        </is>
      </c>
      <c r="B1617" s="1" t="n">
        <v>44902</v>
      </c>
      <c r="C1617" s="1" t="n">
        <v>45566</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58572-2022</t>
        </is>
      </c>
      <c r="B1618" s="1" t="n">
        <v>44902</v>
      </c>
      <c r="C1618" s="1" t="n">
        <v>45566</v>
      </c>
      <c r="D1618" t="inlineStr">
        <is>
          <t>VÄSTERBOTTENS LÄN</t>
        </is>
      </c>
      <c r="E1618" t="inlineStr">
        <is>
          <t>SKELLEFTEÅ</t>
        </is>
      </c>
      <c r="F1618" t="inlineStr">
        <is>
          <t>Sveaskog</t>
        </is>
      </c>
      <c r="G1618" t="n">
        <v>14.7</v>
      </c>
      <c r="H1618" t="n">
        <v>0</v>
      </c>
      <c r="I1618" t="n">
        <v>0</v>
      </c>
      <c r="J1618" t="n">
        <v>0</v>
      </c>
      <c r="K1618" t="n">
        <v>0</v>
      </c>
      <c r="L1618" t="n">
        <v>0</v>
      </c>
      <c r="M1618" t="n">
        <v>0</v>
      </c>
      <c r="N1618" t="n">
        <v>0</v>
      </c>
      <c r="O1618" t="n">
        <v>0</v>
      </c>
      <c r="P1618" t="n">
        <v>0</v>
      </c>
      <c r="Q1618" t="n">
        <v>0</v>
      </c>
      <c r="R1618" s="2" t="inlineStr"/>
    </row>
    <row r="1619" ht="15" customHeight="1">
      <c r="A1619" t="inlineStr">
        <is>
          <t>A 58676-2022</t>
        </is>
      </c>
      <c r="B1619" s="1" t="n">
        <v>44902</v>
      </c>
      <c r="C1619" s="1" t="n">
        <v>45566</v>
      </c>
      <c r="D1619" t="inlineStr">
        <is>
          <t>VÄSTERBOTTENS LÄN</t>
        </is>
      </c>
      <c r="E1619" t="inlineStr">
        <is>
          <t>SKELLEFTEÅ</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58803-2022</t>
        </is>
      </c>
      <c r="B1620" s="1" t="n">
        <v>44903</v>
      </c>
      <c r="C1620" s="1" t="n">
        <v>45566</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60237-2022</t>
        </is>
      </c>
      <c r="B1621" s="1" t="n">
        <v>44903</v>
      </c>
      <c r="C1621" s="1" t="n">
        <v>45566</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59067-2022</t>
        </is>
      </c>
      <c r="B1622" s="1" t="n">
        <v>44904</v>
      </c>
      <c r="C1622" s="1" t="n">
        <v>45566</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60558-2022</t>
        </is>
      </c>
      <c r="B1623" s="1" t="n">
        <v>44904</v>
      </c>
      <c r="C1623" s="1" t="n">
        <v>45566</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60356-2022</t>
        </is>
      </c>
      <c r="B1624" s="1" t="n">
        <v>44904</v>
      </c>
      <c r="C1624" s="1" t="n">
        <v>45566</v>
      </c>
      <c r="D1624" t="inlineStr">
        <is>
          <t>VÄSTERBOTTENS LÄN</t>
        </is>
      </c>
      <c r="E1624" t="inlineStr">
        <is>
          <t>SKELLEFTEÅ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59531-2022</t>
        </is>
      </c>
      <c r="B1625" s="1" t="n">
        <v>44907</v>
      </c>
      <c r="C1625" s="1" t="n">
        <v>45566</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60981-2022</t>
        </is>
      </c>
      <c r="B1626" s="1" t="n">
        <v>44907</v>
      </c>
      <c r="C1626" s="1" t="n">
        <v>45566</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60785-2022</t>
        </is>
      </c>
      <c r="B1627" s="1" t="n">
        <v>44907</v>
      </c>
      <c r="C1627" s="1" t="n">
        <v>45566</v>
      </c>
      <c r="D1627" t="inlineStr">
        <is>
          <t>VÄSTERBOTTENS LÄN</t>
        </is>
      </c>
      <c r="E1627" t="inlineStr">
        <is>
          <t>SKELLEFTEÅ</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60970-2022</t>
        </is>
      </c>
      <c r="B1628" s="1" t="n">
        <v>44907</v>
      </c>
      <c r="C1628" s="1" t="n">
        <v>45566</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59666-2022</t>
        </is>
      </c>
      <c r="B1629" s="1" t="n">
        <v>44908</v>
      </c>
      <c r="C1629" s="1" t="n">
        <v>45566</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59744-2022</t>
        </is>
      </c>
      <c r="B1630" s="1" t="n">
        <v>44908</v>
      </c>
      <c r="C1630" s="1" t="n">
        <v>45566</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59664-2022</t>
        </is>
      </c>
      <c r="B1631" s="1" t="n">
        <v>44908</v>
      </c>
      <c r="C1631" s="1" t="n">
        <v>45566</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59748-2022</t>
        </is>
      </c>
      <c r="B1632" s="1" t="n">
        <v>44908</v>
      </c>
      <c r="C1632" s="1" t="n">
        <v>45566</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61153-2022</t>
        </is>
      </c>
      <c r="B1633" s="1" t="n">
        <v>44908</v>
      </c>
      <c r="C1633" s="1" t="n">
        <v>45566</v>
      </c>
      <c r="D1633" t="inlineStr">
        <is>
          <t>VÄSTERBOTTENS LÄN</t>
        </is>
      </c>
      <c r="E1633" t="inlineStr">
        <is>
          <t>SKELLEFTEÅ</t>
        </is>
      </c>
      <c r="G1633" t="n">
        <v>18.3</v>
      </c>
      <c r="H1633" t="n">
        <v>0</v>
      </c>
      <c r="I1633" t="n">
        <v>0</v>
      </c>
      <c r="J1633" t="n">
        <v>0</v>
      </c>
      <c r="K1633" t="n">
        <v>0</v>
      </c>
      <c r="L1633" t="n">
        <v>0</v>
      </c>
      <c r="M1633" t="n">
        <v>0</v>
      </c>
      <c r="N1633" t="n">
        <v>0</v>
      </c>
      <c r="O1633" t="n">
        <v>0</v>
      </c>
      <c r="P1633" t="n">
        <v>0</v>
      </c>
      <c r="Q1633" t="n">
        <v>0</v>
      </c>
      <c r="R1633" s="2" t="inlineStr"/>
    </row>
    <row r="1634" ht="15" customHeight="1">
      <c r="A1634" t="inlineStr">
        <is>
          <t>A 60000-2022</t>
        </is>
      </c>
      <c r="B1634" s="1" t="n">
        <v>44909</v>
      </c>
      <c r="C1634" s="1" t="n">
        <v>45566</v>
      </c>
      <c r="D1634" t="inlineStr">
        <is>
          <t>VÄSTERBOTTENS LÄN</t>
        </is>
      </c>
      <c r="E1634" t="inlineStr">
        <is>
          <t>SKELLEFTEÅ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61275-2022</t>
        </is>
      </c>
      <c r="B1635" s="1" t="n">
        <v>44909</v>
      </c>
      <c r="C1635" s="1" t="n">
        <v>45566</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60378-2022</t>
        </is>
      </c>
      <c r="B1636" s="1" t="n">
        <v>44910</v>
      </c>
      <c r="C1636" s="1" t="n">
        <v>45566</v>
      </c>
      <c r="D1636" t="inlineStr">
        <is>
          <t>VÄSTERBOTTENS LÄN</t>
        </is>
      </c>
      <c r="E1636" t="inlineStr">
        <is>
          <t>SKELLEFTEÅ</t>
        </is>
      </c>
      <c r="F1636" t="inlineStr">
        <is>
          <t>Holmen skog AB</t>
        </is>
      </c>
      <c r="G1636" t="n">
        <v>18.8</v>
      </c>
      <c r="H1636" t="n">
        <v>0</v>
      </c>
      <c r="I1636" t="n">
        <v>0</v>
      </c>
      <c r="J1636" t="n">
        <v>0</v>
      </c>
      <c r="K1636" t="n">
        <v>0</v>
      </c>
      <c r="L1636" t="n">
        <v>0</v>
      </c>
      <c r="M1636" t="n">
        <v>0</v>
      </c>
      <c r="N1636" t="n">
        <v>0</v>
      </c>
      <c r="O1636" t="n">
        <v>0</v>
      </c>
      <c r="P1636" t="n">
        <v>0</v>
      </c>
      <c r="Q1636" t="n">
        <v>0</v>
      </c>
      <c r="R1636" s="2" t="inlineStr"/>
    </row>
    <row r="1637" ht="15" customHeight="1">
      <c r="A1637" t="inlineStr">
        <is>
          <t>A 60488-2022</t>
        </is>
      </c>
      <c r="B1637" s="1" t="n">
        <v>44911</v>
      </c>
      <c r="C1637" s="1" t="n">
        <v>45566</v>
      </c>
      <c r="D1637" t="inlineStr">
        <is>
          <t>VÄSTERBOTTENS LÄN</t>
        </is>
      </c>
      <c r="E1637" t="inlineStr">
        <is>
          <t>SKELLEFTEÅ</t>
        </is>
      </c>
      <c r="F1637" t="inlineStr">
        <is>
          <t>Sveaskog</t>
        </is>
      </c>
      <c r="G1637" t="n">
        <v>11.6</v>
      </c>
      <c r="H1637" t="n">
        <v>0</v>
      </c>
      <c r="I1637" t="n">
        <v>0</v>
      </c>
      <c r="J1637" t="n">
        <v>0</v>
      </c>
      <c r="K1637" t="n">
        <v>0</v>
      </c>
      <c r="L1637" t="n">
        <v>0</v>
      </c>
      <c r="M1637" t="n">
        <v>0</v>
      </c>
      <c r="N1637" t="n">
        <v>0</v>
      </c>
      <c r="O1637" t="n">
        <v>0</v>
      </c>
      <c r="P1637" t="n">
        <v>0</v>
      </c>
      <c r="Q1637" t="n">
        <v>0</v>
      </c>
      <c r="R1637" s="2" t="inlineStr"/>
      <c r="U1637">
        <f>HYPERLINK("https://klasma.github.io/Logging_2482/knärot/A 60488-2022 karta knärot.png", "A 60488-2022")</f>
        <v/>
      </c>
      <c r="V1637">
        <f>HYPERLINK("https://klasma.github.io/Logging_2482/klagomål/A 60488-2022 FSC-klagomål.docx", "A 60488-2022")</f>
        <v/>
      </c>
      <c r="W1637">
        <f>HYPERLINK("https://klasma.github.io/Logging_2482/klagomålsmail/A 60488-2022 FSC-klagomål mail.docx", "A 60488-2022")</f>
        <v/>
      </c>
      <c r="X1637">
        <f>HYPERLINK("https://klasma.github.io/Logging_2482/tillsyn/A 60488-2022 tillsynsbegäran.docx", "A 60488-2022")</f>
        <v/>
      </c>
      <c r="Y1637">
        <f>HYPERLINK("https://klasma.github.io/Logging_2482/tillsynsmail/A 60488-2022 tillsynsbegäran mail.docx", "A 60488-2022")</f>
        <v/>
      </c>
    </row>
    <row r="1638" ht="15" customHeight="1">
      <c r="A1638" t="inlineStr">
        <is>
          <t>A 60498-2022</t>
        </is>
      </c>
      <c r="B1638" s="1" t="n">
        <v>44911</v>
      </c>
      <c r="C1638" s="1" t="n">
        <v>45566</v>
      </c>
      <c r="D1638" t="inlineStr">
        <is>
          <t>VÄSTERBOTTENS LÄN</t>
        </is>
      </c>
      <c r="E1638" t="inlineStr">
        <is>
          <t>SKELLEFTEÅ</t>
        </is>
      </c>
      <c r="F1638" t="inlineStr">
        <is>
          <t>Sveaskog</t>
        </is>
      </c>
      <c r="G1638" t="n">
        <v>21.2</v>
      </c>
      <c r="H1638" t="n">
        <v>0</v>
      </c>
      <c r="I1638" t="n">
        <v>0</v>
      </c>
      <c r="J1638" t="n">
        <v>0</v>
      </c>
      <c r="K1638" t="n">
        <v>0</v>
      </c>
      <c r="L1638" t="n">
        <v>0</v>
      </c>
      <c r="M1638" t="n">
        <v>0</v>
      </c>
      <c r="N1638" t="n">
        <v>0</v>
      </c>
      <c r="O1638" t="n">
        <v>0</v>
      </c>
      <c r="P1638" t="n">
        <v>0</v>
      </c>
      <c r="Q1638" t="n">
        <v>0</v>
      </c>
      <c r="R1638" s="2" t="inlineStr"/>
    </row>
    <row r="1639" ht="15" customHeight="1">
      <c r="A1639" t="inlineStr">
        <is>
          <t>A 60582-2022</t>
        </is>
      </c>
      <c r="B1639" s="1" t="n">
        <v>44911</v>
      </c>
      <c r="C1639" s="1" t="n">
        <v>45566</v>
      </c>
      <c r="D1639" t="inlineStr">
        <is>
          <t>VÄSTERBOTTENS LÄN</t>
        </is>
      </c>
      <c r="E1639" t="inlineStr">
        <is>
          <t>SKELLEFTEÅ</t>
        </is>
      </c>
      <c r="F1639" t="inlineStr">
        <is>
          <t>Sveaskog</t>
        </is>
      </c>
      <c r="G1639" t="n">
        <v>27.3</v>
      </c>
      <c r="H1639" t="n">
        <v>0</v>
      </c>
      <c r="I1639" t="n">
        <v>0</v>
      </c>
      <c r="J1639" t="n">
        <v>0</v>
      </c>
      <c r="K1639" t="n">
        <v>0</v>
      </c>
      <c r="L1639" t="n">
        <v>0</v>
      </c>
      <c r="M1639" t="n">
        <v>0</v>
      </c>
      <c r="N1639" t="n">
        <v>0</v>
      </c>
      <c r="O1639" t="n">
        <v>0</v>
      </c>
      <c r="P1639" t="n">
        <v>0</v>
      </c>
      <c r="Q1639" t="n">
        <v>0</v>
      </c>
      <c r="R1639" s="2" t="inlineStr"/>
    </row>
    <row r="1640" ht="15" customHeight="1">
      <c r="A1640" t="inlineStr">
        <is>
          <t>A 60656-2022</t>
        </is>
      </c>
      <c r="B1640" s="1" t="n">
        <v>44911</v>
      </c>
      <c r="C1640" s="1" t="n">
        <v>45566</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60452-2022</t>
        </is>
      </c>
      <c r="B1641" s="1" t="n">
        <v>44911</v>
      </c>
      <c r="C1641" s="1" t="n">
        <v>45566</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60502-2022</t>
        </is>
      </c>
      <c r="B1642" s="1" t="n">
        <v>44911</v>
      </c>
      <c r="C1642" s="1" t="n">
        <v>45566</v>
      </c>
      <c r="D1642" t="inlineStr">
        <is>
          <t>VÄSTERBOTTENS LÄN</t>
        </is>
      </c>
      <c r="E1642" t="inlineStr">
        <is>
          <t>SKELLEFTEÅ</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60524-2022</t>
        </is>
      </c>
      <c r="B1643" s="1" t="n">
        <v>44911</v>
      </c>
      <c r="C1643" s="1" t="n">
        <v>45566</v>
      </c>
      <c r="D1643" t="inlineStr">
        <is>
          <t>VÄSTERBOTTENS LÄN</t>
        </is>
      </c>
      <c r="E1643" t="inlineStr">
        <is>
          <t>SKELLEFTEÅ</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60581-2022</t>
        </is>
      </c>
      <c r="B1644" s="1" t="n">
        <v>44911</v>
      </c>
      <c r="C1644" s="1" t="n">
        <v>45566</v>
      </c>
      <c r="D1644" t="inlineStr">
        <is>
          <t>VÄSTERBOTTENS LÄN</t>
        </is>
      </c>
      <c r="E1644" t="inlineStr">
        <is>
          <t>SKELLEFTEÅ</t>
        </is>
      </c>
      <c r="F1644" t="inlineStr">
        <is>
          <t>Sveaskog</t>
        </is>
      </c>
      <c r="G1644" t="n">
        <v>13.9</v>
      </c>
      <c r="H1644" t="n">
        <v>0</v>
      </c>
      <c r="I1644" t="n">
        <v>0</v>
      </c>
      <c r="J1644" t="n">
        <v>0</v>
      </c>
      <c r="K1644" t="n">
        <v>0</v>
      </c>
      <c r="L1644" t="n">
        <v>0</v>
      </c>
      <c r="M1644" t="n">
        <v>0</v>
      </c>
      <c r="N1644" t="n">
        <v>0</v>
      </c>
      <c r="O1644" t="n">
        <v>0</v>
      </c>
      <c r="P1644" t="n">
        <v>0</v>
      </c>
      <c r="Q1644" t="n">
        <v>0</v>
      </c>
      <c r="R1644" s="2" t="inlineStr"/>
    </row>
    <row r="1645" ht="15" customHeight="1">
      <c r="A1645" t="inlineStr">
        <is>
          <t>A 60655-2022</t>
        </is>
      </c>
      <c r="B1645" s="1" t="n">
        <v>44911</v>
      </c>
      <c r="C1645" s="1" t="n">
        <v>45566</v>
      </c>
      <c r="D1645" t="inlineStr">
        <is>
          <t>VÄSTERBOTTENS LÄN</t>
        </is>
      </c>
      <c r="E1645" t="inlineStr">
        <is>
          <t>SKELLEFTEÅ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60506-2022</t>
        </is>
      </c>
      <c r="B1646" s="1" t="n">
        <v>44911</v>
      </c>
      <c r="C1646" s="1" t="n">
        <v>45566</v>
      </c>
      <c r="D1646" t="inlineStr">
        <is>
          <t>VÄSTERBOTTENS LÄN</t>
        </is>
      </c>
      <c r="E1646" t="inlineStr">
        <is>
          <t>SKELLEFTEÅ</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60484-2022</t>
        </is>
      </c>
      <c r="B1647" s="1" t="n">
        <v>44911</v>
      </c>
      <c r="C1647" s="1" t="n">
        <v>45566</v>
      </c>
      <c r="D1647" t="inlineStr">
        <is>
          <t>VÄSTERBOTTENS LÄN</t>
        </is>
      </c>
      <c r="E1647" t="inlineStr">
        <is>
          <t>SKELLEFTEÅ</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60585-2022</t>
        </is>
      </c>
      <c r="B1648" s="1" t="n">
        <v>44911</v>
      </c>
      <c r="C1648" s="1" t="n">
        <v>45566</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60590-2022</t>
        </is>
      </c>
      <c r="B1649" s="1" t="n">
        <v>44911</v>
      </c>
      <c r="C1649" s="1" t="n">
        <v>45566</v>
      </c>
      <c r="D1649" t="inlineStr">
        <is>
          <t>VÄSTERBOTTENS LÄN</t>
        </is>
      </c>
      <c r="E1649" t="inlineStr">
        <is>
          <t>SKELLEFTEÅ</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61697-2022</t>
        </is>
      </c>
      <c r="B1650" s="1" t="n">
        <v>44911</v>
      </c>
      <c r="C1650" s="1" t="n">
        <v>45566</v>
      </c>
      <c r="D1650" t="inlineStr">
        <is>
          <t>VÄSTERBOTTENS LÄN</t>
        </is>
      </c>
      <c r="E1650" t="inlineStr">
        <is>
          <t>SKELLEFTEÅ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61700-2022</t>
        </is>
      </c>
      <c r="B1651" s="1" t="n">
        <v>44911</v>
      </c>
      <c r="C1651" s="1" t="n">
        <v>45566</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60787-2022</t>
        </is>
      </c>
      <c r="B1652" s="1" t="n">
        <v>44914</v>
      </c>
      <c r="C1652" s="1" t="n">
        <v>45566</v>
      </c>
      <c r="D1652" t="inlineStr">
        <is>
          <t>VÄSTERBOTTENS LÄN</t>
        </is>
      </c>
      <c r="E1652" t="inlineStr">
        <is>
          <t>SKELLEFTEÅ</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60853-2022</t>
        </is>
      </c>
      <c r="B1653" s="1" t="n">
        <v>44914</v>
      </c>
      <c r="C1653" s="1" t="n">
        <v>45566</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60858-2022</t>
        </is>
      </c>
      <c r="B1654" s="1" t="n">
        <v>44914</v>
      </c>
      <c r="C1654" s="1" t="n">
        <v>45566</v>
      </c>
      <c r="D1654" t="inlineStr">
        <is>
          <t>VÄSTERBOTTENS LÄN</t>
        </is>
      </c>
      <c r="E1654" t="inlineStr">
        <is>
          <t>SKELLEFTEÅ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60789-2022</t>
        </is>
      </c>
      <c r="B1655" s="1" t="n">
        <v>44914</v>
      </c>
      <c r="C1655" s="1" t="n">
        <v>45566</v>
      </c>
      <c r="D1655" t="inlineStr">
        <is>
          <t>VÄSTERBOTTENS LÄN</t>
        </is>
      </c>
      <c r="E1655" t="inlineStr">
        <is>
          <t>SKELLEFTEÅ</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62028-2022</t>
        </is>
      </c>
      <c r="B1656" s="1" t="n">
        <v>44914</v>
      </c>
      <c r="C1656" s="1" t="n">
        <v>45566</v>
      </c>
      <c r="D1656" t="inlineStr">
        <is>
          <t>VÄSTERBOTTENS LÄN</t>
        </is>
      </c>
      <c r="E1656" t="inlineStr">
        <is>
          <t>SKELLEFTEÅ</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62027-2022</t>
        </is>
      </c>
      <c r="B1657" s="1" t="n">
        <v>44914</v>
      </c>
      <c r="C1657" s="1" t="n">
        <v>45566</v>
      </c>
      <c r="D1657" t="inlineStr">
        <is>
          <t>VÄSTERBOTTENS LÄN</t>
        </is>
      </c>
      <c r="E1657" t="inlineStr">
        <is>
          <t>SKELLEFTEÅ</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62025-2022</t>
        </is>
      </c>
      <c r="B1658" s="1" t="n">
        <v>44914</v>
      </c>
      <c r="C1658" s="1" t="n">
        <v>45566</v>
      </c>
      <c r="D1658" t="inlineStr">
        <is>
          <t>VÄSTERBOTTENS LÄN</t>
        </is>
      </c>
      <c r="E1658" t="inlineStr">
        <is>
          <t>SKELLEFTEÅ</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61105-2022</t>
        </is>
      </c>
      <c r="B1659" s="1" t="n">
        <v>44915</v>
      </c>
      <c r="C1659" s="1" t="n">
        <v>45566</v>
      </c>
      <c r="D1659" t="inlineStr">
        <is>
          <t>VÄSTERBOTTENS LÄN</t>
        </is>
      </c>
      <c r="E1659" t="inlineStr">
        <is>
          <t>SKELLEFTEÅ</t>
        </is>
      </c>
      <c r="F1659" t="inlineStr">
        <is>
          <t>Sveaskog</t>
        </is>
      </c>
      <c r="G1659" t="n">
        <v>19.5</v>
      </c>
      <c r="H1659" t="n">
        <v>0</v>
      </c>
      <c r="I1659" t="n">
        <v>0</v>
      </c>
      <c r="J1659" t="n">
        <v>0</v>
      </c>
      <c r="K1659" t="n">
        <v>0</v>
      </c>
      <c r="L1659" t="n">
        <v>0</v>
      </c>
      <c r="M1659" t="n">
        <v>0</v>
      </c>
      <c r="N1659" t="n">
        <v>0</v>
      </c>
      <c r="O1659" t="n">
        <v>0</v>
      </c>
      <c r="P1659" t="n">
        <v>0</v>
      </c>
      <c r="Q1659" t="n">
        <v>0</v>
      </c>
      <c r="R1659" s="2" t="inlineStr"/>
    </row>
    <row r="1660" ht="15" customHeight="1">
      <c r="A1660" t="inlineStr">
        <is>
          <t>A 61101-2022</t>
        </is>
      </c>
      <c r="B1660" s="1" t="n">
        <v>44915</v>
      </c>
      <c r="C1660" s="1" t="n">
        <v>45566</v>
      </c>
      <c r="D1660" t="inlineStr">
        <is>
          <t>VÄSTERBOTTENS LÄN</t>
        </is>
      </c>
      <c r="E1660" t="inlineStr">
        <is>
          <t>SKELLEFTEÅ</t>
        </is>
      </c>
      <c r="F1660" t="inlineStr">
        <is>
          <t>Sveaskog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61132-2022</t>
        </is>
      </c>
      <c r="B1661" s="1" t="n">
        <v>44915</v>
      </c>
      <c r="C1661" s="1" t="n">
        <v>45566</v>
      </c>
      <c r="D1661" t="inlineStr">
        <is>
          <t>VÄSTERBOTTENS LÄN</t>
        </is>
      </c>
      <c r="E1661" t="inlineStr">
        <is>
          <t>SKELLEFTEÅ</t>
        </is>
      </c>
      <c r="F1661" t="inlineStr">
        <is>
          <t>Sveaskog</t>
        </is>
      </c>
      <c r="G1661" t="n">
        <v>14.5</v>
      </c>
      <c r="H1661" t="n">
        <v>0</v>
      </c>
      <c r="I1661" t="n">
        <v>0</v>
      </c>
      <c r="J1661" t="n">
        <v>0</v>
      </c>
      <c r="K1661" t="n">
        <v>0</v>
      </c>
      <c r="L1661" t="n">
        <v>0</v>
      </c>
      <c r="M1661" t="n">
        <v>0</v>
      </c>
      <c r="N1661" t="n">
        <v>0</v>
      </c>
      <c r="O1661" t="n">
        <v>0</v>
      </c>
      <c r="P1661" t="n">
        <v>0</v>
      </c>
      <c r="Q1661" t="n">
        <v>0</v>
      </c>
      <c r="R1661" s="2" t="inlineStr"/>
    </row>
    <row r="1662" ht="15" customHeight="1">
      <c r="A1662" t="inlineStr">
        <is>
          <t>A 61348-2022</t>
        </is>
      </c>
      <c r="B1662" s="1" t="n">
        <v>44915</v>
      </c>
      <c r="C1662" s="1" t="n">
        <v>45566</v>
      </c>
      <c r="D1662" t="inlineStr">
        <is>
          <t>VÄSTERBOTTENS LÄN</t>
        </is>
      </c>
      <c r="E1662" t="inlineStr">
        <is>
          <t>SKELLEFTEÅ</t>
        </is>
      </c>
      <c r="F1662" t="inlineStr">
        <is>
          <t>Sveaskog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61467-2022</t>
        </is>
      </c>
      <c r="B1663" s="1" t="n">
        <v>44916</v>
      </c>
      <c r="C1663" s="1" t="n">
        <v>45566</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61635-2022</t>
        </is>
      </c>
      <c r="B1664" s="1" t="n">
        <v>44916</v>
      </c>
      <c r="C1664" s="1" t="n">
        <v>45566</v>
      </c>
      <c r="D1664" t="inlineStr">
        <is>
          <t>VÄSTERBOTTENS LÄN</t>
        </is>
      </c>
      <c r="E1664" t="inlineStr">
        <is>
          <t>SKELLEFTEÅ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61634-2022</t>
        </is>
      </c>
      <c r="B1665" s="1" t="n">
        <v>44916</v>
      </c>
      <c r="C1665" s="1" t="n">
        <v>45566</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61569-2022</t>
        </is>
      </c>
      <c r="B1666" s="1" t="n">
        <v>44916</v>
      </c>
      <c r="C1666" s="1" t="n">
        <v>45566</v>
      </c>
      <c r="D1666" t="inlineStr">
        <is>
          <t>VÄSTERBOTTENS LÄN</t>
        </is>
      </c>
      <c r="E1666" t="inlineStr">
        <is>
          <t>SKELLEFTEÅ</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61631-2022</t>
        </is>
      </c>
      <c r="B1667" s="1" t="n">
        <v>44916</v>
      </c>
      <c r="C1667" s="1" t="n">
        <v>45566</v>
      </c>
      <c r="D1667" t="inlineStr">
        <is>
          <t>VÄSTERBOTTENS LÄN</t>
        </is>
      </c>
      <c r="E1667" t="inlineStr">
        <is>
          <t>SKELLEFTEÅ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62325-2022</t>
        </is>
      </c>
      <c r="B1668" s="1" t="n">
        <v>44916</v>
      </c>
      <c r="C1668" s="1" t="n">
        <v>45566</v>
      </c>
      <c r="D1668" t="inlineStr">
        <is>
          <t>VÄSTERBOTTENS LÄN</t>
        </is>
      </c>
      <c r="E1668" t="inlineStr">
        <is>
          <t>SKELLEFTEÅ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62323-2022</t>
        </is>
      </c>
      <c r="B1669" s="1" t="n">
        <v>44916</v>
      </c>
      <c r="C1669" s="1" t="n">
        <v>45566</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62536-2022</t>
        </is>
      </c>
      <c r="B1670" s="1" t="n">
        <v>44917</v>
      </c>
      <c r="C1670" s="1" t="n">
        <v>45566</v>
      </c>
      <c r="D1670" t="inlineStr">
        <is>
          <t>VÄSTERBOTTENS LÄN</t>
        </is>
      </c>
      <c r="E1670" t="inlineStr">
        <is>
          <t>SKELLEFTEÅ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121-2023</t>
        </is>
      </c>
      <c r="B1671" s="1" t="n">
        <v>44918</v>
      </c>
      <c r="C1671" s="1" t="n">
        <v>45566</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62249-2022</t>
        </is>
      </c>
      <c r="B1672" s="1" t="n">
        <v>44922</v>
      </c>
      <c r="C1672" s="1" t="n">
        <v>45566</v>
      </c>
      <c r="D1672" t="inlineStr">
        <is>
          <t>VÄSTERBOTTENS LÄN</t>
        </is>
      </c>
      <c r="E1672" t="inlineStr">
        <is>
          <t>SKELLEFTEÅ</t>
        </is>
      </c>
      <c r="G1672" t="n">
        <v>18.2</v>
      </c>
      <c r="H1672" t="n">
        <v>0</v>
      </c>
      <c r="I1672" t="n">
        <v>0</v>
      </c>
      <c r="J1672" t="n">
        <v>0</v>
      </c>
      <c r="K1672" t="n">
        <v>0</v>
      </c>
      <c r="L1672" t="n">
        <v>0</v>
      </c>
      <c r="M1672" t="n">
        <v>0</v>
      </c>
      <c r="N1672" t="n">
        <v>0</v>
      </c>
      <c r="O1672" t="n">
        <v>0</v>
      </c>
      <c r="P1672" t="n">
        <v>0</v>
      </c>
      <c r="Q1672" t="n">
        <v>0</v>
      </c>
      <c r="R1672" s="2" t="inlineStr"/>
    </row>
    <row r="1673" ht="15" customHeight="1">
      <c r="A1673" t="inlineStr">
        <is>
          <t>A 62279-2022</t>
        </is>
      </c>
      <c r="B1673" s="1" t="n">
        <v>44923</v>
      </c>
      <c r="C1673" s="1" t="n">
        <v>45566</v>
      </c>
      <c r="D1673" t="inlineStr">
        <is>
          <t>VÄSTERBOTTENS LÄN</t>
        </is>
      </c>
      <c r="E1673" t="inlineStr">
        <is>
          <t>SKELLEFTEÅ</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62284-2022</t>
        </is>
      </c>
      <c r="B1674" s="1" t="n">
        <v>44923</v>
      </c>
      <c r="C1674" s="1" t="n">
        <v>45566</v>
      </c>
      <c r="D1674" t="inlineStr">
        <is>
          <t>VÄSTERBOTTENS LÄN</t>
        </is>
      </c>
      <c r="E1674" t="inlineStr">
        <is>
          <t>SKELLEFTEÅ</t>
        </is>
      </c>
      <c r="F1674" t="inlineStr">
        <is>
          <t>Sveaskog</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62308-2022</t>
        </is>
      </c>
      <c r="B1675" s="1" t="n">
        <v>44923</v>
      </c>
      <c r="C1675" s="1" t="n">
        <v>45566</v>
      </c>
      <c r="D1675" t="inlineStr">
        <is>
          <t>VÄSTERBOTTENS LÄN</t>
        </is>
      </c>
      <c r="E1675" t="inlineStr">
        <is>
          <t>SKELLEFTEÅ</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62319-2022</t>
        </is>
      </c>
      <c r="B1676" s="1" t="n">
        <v>44923</v>
      </c>
      <c r="C1676" s="1" t="n">
        <v>45566</v>
      </c>
      <c r="D1676" t="inlineStr">
        <is>
          <t>VÄSTERBOTTENS LÄN</t>
        </is>
      </c>
      <c r="E1676" t="inlineStr">
        <is>
          <t>SKELLEFTEÅ</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62483-2022</t>
        </is>
      </c>
      <c r="B1677" s="1" t="n">
        <v>44924</v>
      </c>
      <c r="C1677" s="1" t="n">
        <v>45566</v>
      </c>
      <c r="D1677" t="inlineStr">
        <is>
          <t>VÄSTERBOTTENS LÄN</t>
        </is>
      </c>
      <c r="E1677" t="inlineStr">
        <is>
          <t>SKELLEFTEÅ</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62577-2022</t>
        </is>
      </c>
      <c r="B1678" s="1" t="n">
        <v>44924</v>
      </c>
      <c r="C1678" s="1" t="n">
        <v>45566</v>
      </c>
      <c r="D1678" t="inlineStr">
        <is>
          <t>VÄSTERBOTTENS LÄN</t>
        </is>
      </c>
      <c r="E1678" t="inlineStr">
        <is>
          <t>SKELLEFTEÅ</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62642-2022</t>
        </is>
      </c>
      <c r="B1679" s="1" t="n">
        <v>44925</v>
      </c>
      <c r="C1679" s="1" t="n">
        <v>45566</v>
      </c>
      <c r="D1679" t="inlineStr">
        <is>
          <t>VÄSTERBOTTENS LÄN</t>
        </is>
      </c>
      <c r="E1679" t="inlineStr">
        <is>
          <t>SKELLEFTEÅ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531-2023</t>
        </is>
      </c>
      <c r="B1680" s="1" t="n">
        <v>44925</v>
      </c>
      <c r="C1680" s="1" t="n">
        <v>45566</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639-2023</t>
        </is>
      </c>
      <c r="B1681" s="1" t="n">
        <v>44928</v>
      </c>
      <c r="C1681" s="1" t="n">
        <v>45566</v>
      </c>
      <c r="D1681" t="inlineStr">
        <is>
          <t>VÄSTERBOTTENS LÄN</t>
        </is>
      </c>
      <c r="E1681" t="inlineStr">
        <is>
          <t>SKELLEFTEÅ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640-2023</t>
        </is>
      </c>
      <c r="B1682" s="1" t="n">
        <v>44928</v>
      </c>
      <c r="C1682" s="1" t="n">
        <v>45566</v>
      </c>
      <c r="D1682" t="inlineStr">
        <is>
          <t>VÄSTERBOTTENS LÄN</t>
        </is>
      </c>
      <c r="E1682" t="inlineStr">
        <is>
          <t>SKELLEFTEÅ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1076-2023</t>
        </is>
      </c>
      <c r="B1683" s="1" t="n">
        <v>44929</v>
      </c>
      <c r="C1683" s="1" t="n">
        <v>45566</v>
      </c>
      <c r="D1683" t="inlineStr">
        <is>
          <t>VÄSTERBOTTENS LÄN</t>
        </is>
      </c>
      <c r="E1683" t="inlineStr">
        <is>
          <t>SKELLEFTEÅ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547-2023</t>
        </is>
      </c>
      <c r="B1684" s="1" t="n">
        <v>44930</v>
      </c>
      <c r="C1684" s="1" t="n">
        <v>45566</v>
      </c>
      <c r="D1684" t="inlineStr">
        <is>
          <t>VÄSTERBOTTENS LÄN</t>
        </is>
      </c>
      <c r="E1684" t="inlineStr">
        <is>
          <t>SKELLEFTEÅ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589-2023</t>
        </is>
      </c>
      <c r="B1685" s="1" t="n">
        <v>44930</v>
      </c>
      <c r="C1685" s="1" t="n">
        <v>45566</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703-2023</t>
        </is>
      </c>
      <c r="B1686" s="1" t="n">
        <v>44930</v>
      </c>
      <c r="C1686" s="1" t="n">
        <v>45566</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707-2023</t>
        </is>
      </c>
      <c r="B1687" s="1" t="n">
        <v>44930</v>
      </c>
      <c r="C1687" s="1" t="n">
        <v>45566</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702-2023</t>
        </is>
      </c>
      <c r="B1688" s="1" t="n">
        <v>44930</v>
      </c>
      <c r="C1688" s="1" t="n">
        <v>45566</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706-2023</t>
        </is>
      </c>
      <c r="B1689" s="1" t="n">
        <v>44930</v>
      </c>
      <c r="C1689" s="1" t="n">
        <v>45566</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1206-2023</t>
        </is>
      </c>
      <c r="B1690" s="1" t="n">
        <v>44930</v>
      </c>
      <c r="C1690" s="1" t="n">
        <v>45566</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911-2023</t>
        </is>
      </c>
      <c r="B1691" s="1" t="n">
        <v>44931</v>
      </c>
      <c r="C1691" s="1" t="n">
        <v>45566</v>
      </c>
      <c r="D1691" t="inlineStr">
        <is>
          <t>VÄSTERBOTTENS LÄN</t>
        </is>
      </c>
      <c r="E1691" t="inlineStr">
        <is>
          <t>SKELLEFTEÅ</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900-2023</t>
        </is>
      </c>
      <c r="B1692" s="1" t="n">
        <v>44931</v>
      </c>
      <c r="C1692" s="1" t="n">
        <v>45566</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904-2023</t>
        </is>
      </c>
      <c r="B1693" s="1" t="n">
        <v>44931</v>
      </c>
      <c r="C1693" s="1" t="n">
        <v>45566</v>
      </c>
      <c r="D1693" t="inlineStr">
        <is>
          <t>VÄSTERBOTTENS LÄN</t>
        </is>
      </c>
      <c r="E1693" t="inlineStr">
        <is>
          <t>SKELLEFTEÅ</t>
        </is>
      </c>
      <c r="G1693" t="n">
        <v>22.2</v>
      </c>
      <c r="H1693" t="n">
        <v>0</v>
      </c>
      <c r="I1693" t="n">
        <v>0</v>
      </c>
      <c r="J1693" t="n">
        <v>0</v>
      </c>
      <c r="K1693" t="n">
        <v>0</v>
      </c>
      <c r="L1693" t="n">
        <v>0</v>
      </c>
      <c r="M1693" t="n">
        <v>0</v>
      </c>
      <c r="N1693" t="n">
        <v>0</v>
      </c>
      <c r="O1693" t="n">
        <v>0</v>
      </c>
      <c r="P1693" t="n">
        <v>0</v>
      </c>
      <c r="Q1693" t="n">
        <v>0</v>
      </c>
      <c r="R1693" s="2" t="inlineStr"/>
    </row>
    <row r="1694" ht="15" customHeight="1">
      <c r="A1694" t="inlineStr">
        <is>
          <t>A 913-2023</t>
        </is>
      </c>
      <c r="B1694" s="1" t="n">
        <v>44931</v>
      </c>
      <c r="C1694" s="1" t="n">
        <v>45566</v>
      </c>
      <c r="D1694" t="inlineStr">
        <is>
          <t>VÄSTERBOTTENS LÄN</t>
        </is>
      </c>
      <c r="E1694" t="inlineStr">
        <is>
          <t>SKELLEFTEÅ</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909-2023</t>
        </is>
      </c>
      <c r="B1695" s="1" t="n">
        <v>44931</v>
      </c>
      <c r="C1695" s="1" t="n">
        <v>45566</v>
      </c>
      <c r="D1695" t="inlineStr">
        <is>
          <t>VÄSTERBOTTENS LÄN</t>
        </is>
      </c>
      <c r="E1695" t="inlineStr">
        <is>
          <t>SKELLEFTEÅ</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903-2023</t>
        </is>
      </c>
      <c r="B1696" s="1" t="n">
        <v>44931</v>
      </c>
      <c r="C1696" s="1" t="n">
        <v>45566</v>
      </c>
      <c r="D1696" t="inlineStr">
        <is>
          <t>VÄSTERBOTTENS LÄN</t>
        </is>
      </c>
      <c r="E1696" t="inlineStr">
        <is>
          <t>SKELLEFTEÅ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1113-2023</t>
        </is>
      </c>
      <c r="B1697" s="1" t="n">
        <v>44935</v>
      </c>
      <c r="C1697" s="1" t="n">
        <v>45566</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1134-2023</t>
        </is>
      </c>
      <c r="B1698" s="1" t="n">
        <v>44935</v>
      </c>
      <c r="C1698" s="1" t="n">
        <v>45566</v>
      </c>
      <c r="D1698" t="inlineStr">
        <is>
          <t>VÄSTERBOTTENS LÄN</t>
        </is>
      </c>
      <c r="E1698" t="inlineStr">
        <is>
          <t>SKELLEFTEÅ</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1111-2023</t>
        </is>
      </c>
      <c r="B1699" s="1" t="n">
        <v>44935</v>
      </c>
      <c r="C1699" s="1" t="n">
        <v>45566</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1612-2023</t>
        </is>
      </c>
      <c r="B1700" s="1" t="n">
        <v>44935</v>
      </c>
      <c r="C1700" s="1" t="n">
        <v>45566</v>
      </c>
      <c r="D1700" t="inlineStr">
        <is>
          <t>VÄSTERBOTTENS LÄN</t>
        </is>
      </c>
      <c r="E1700" t="inlineStr">
        <is>
          <t>SKELLEFTEÅ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1528-2023</t>
        </is>
      </c>
      <c r="B1701" s="1" t="n">
        <v>44935</v>
      </c>
      <c r="C1701" s="1" t="n">
        <v>45566</v>
      </c>
      <c r="D1701" t="inlineStr">
        <is>
          <t>VÄSTERBOTTENS LÄN</t>
        </is>
      </c>
      <c r="E1701" t="inlineStr">
        <is>
          <t>SKELLEFTEÅ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1419-2023</t>
        </is>
      </c>
      <c r="B1702" s="1" t="n">
        <v>44936</v>
      </c>
      <c r="C1702" s="1" t="n">
        <v>45566</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1639-2023</t>
        </is>
      </c>
      <c r="B1703" s="1" t="n">
        <v>44937</v>
      </c>
      <c r="C1703" s="1" t="n">
        <v>45566</v>
      </c>
      <c r="D1703" t="inlineStr">
        <is>
          <t>VÄSTERBOTTENS LÄN</t>
        </is>
      </c>
      <c r="E1703" t="inlineStr">
        <is>
          <t>SKELLEFTEÅ</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1640-2023</t>
        </is>
      </c>
      <c r="B1704" s="1" t="n">
        <v>44937</v>
      </c>
      <c r="C1704" s="1" t="n">
        <v>45566</v>
      </c>
      <c r="D1704" t="inlineStr">
        <is>
          <t>VÄSTERBOTTENS LÄN</t>
        </is>
      </c>
      <c r="E1704" t="inlineStr">
        <is>
          <t>SKELLEFTEÅ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1978-2023</t>
        </is>
      </c>
      <c r="B1705" s="1" t="n">
        <v>44937</v>
      </c>
      <c r="C1705" s="1" t="n">
        <v>45566</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1988-2023</t>
        </is>
      </c>
      <c r="B1706" s="1" t="n">
        <v>44937</v>
      </c>
      <c r="C1706" s="1" t="n">
        <v>45566</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1666-2023</t>
        </is>
      </c>
      <c r="B1707" s="1" t="n">
        <v>44938</v>
      </c>
      <c r="C1707" s="1" t="n">
        <v>45566</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1858-2023</t>
        </is>
      </c>
      <c r="B1708" s="1" t="n">
        <v>44938</v>
      </c>
      <c r="C1708" s="1" t="n">
        <v>45566</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1933-2023</t>
        </is>
      </c>
      <c r="B1709" s="1" t="n">
        <v>44938</v>
      </c>
      <c r="C1709" s="1" t="n">
        <v>45566</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1853-2023</t>
        </is>
      </c>
      <c r="B1710" s="1" t="n">
        <v>44938</v>
      </c>
      <c r="C1710" s="1" t="n">
        <v>45566</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1859-2023</t>
        </is>
      </c>
      <c r="B1711" s="1" t="n">
        <v>44938</v>
      </c>
      <c r="C1711" s="1" t="n">
        <v>45566</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1854-2023</t>
        </is>
      </c>
      <c r="B1712" s="1" t="n">
        <v>44938</v>
      </c>
      <c r="C1712" s="1" t="n">
        <v>45566</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1860-2023</t>
        </is>
      </c>
      <c r="B1713" s="1" t="n">
        <v>44938</v>
      </c>
      <c r="C1713" s="1" t="n">
        <v>45566</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1942-2023</t>
        </is>
      </c>
      <c r="B1714" s="1" t="n">
        <v>44938</v>
      </c>
      <c r="C1714" s="1" t="n">
        <v>45566</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2112-2023</t>
        </is>
      </c>
      <c r="B1715" s="1" t="n">
        <v>44939</v>
      </c>
      <c r="C1715" s="1" t="n">
        <v>45566</v>
      </c>
      <c r="D1715" t="inlineStr">
        <is>
          <t>VÄSTERBOTTENS LÄN</t>
        </is>
      </c>
      <c r="E1715" t="inlineStr">
        <is>
          <t>SKELLEFTEÅ</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2177-2023</t>
        </is>
      </c>
      <c r="B1716" s="1" t="n">
        <v>44942</v>
      </c>
      <c r="C1716" s="1" t="n">
        <v>45566</v>
      </c>
      <c r="D1716" t="inlineStr">
        <is>
          <t>VÄSTERBOTTENS LÄN</t>
        </is>
      </c>
      <c r="E1716" t="inlineStr">
        <is>
          <t>SKELLEFTEÅ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2336-2023</t>
        </is>
      </c>
      <c r="B1717" s="1" t="n">
        <v>44942</v>
      </c>
      <c r="C1717" s="1" t="n">
        <v>45566</v>
      </c>
      <c r="D1717" t="inlineStr">
        <is>
          <t>VÄSTERBOTTENS LÄN</t>
        </is>
      </c>
      <c r="E1717" t="inlineStr">
        <is>
          <t>SKELLEFTEÅ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2395-2023</t>
        </is>
      </c>
      <c r="B1718" s="1" t="n">
        <v>44942</v>
      </c>
      <c r="C1718" s="1" t="n">
        <v>45566</v>
      </c>
      <c r="D1718" t="inlineStr">
        <is>
          <t>VÄSTERBOTTENS LÄN</t>
        </is>
      </c>
      <c r="E1718" t="inlineStr">
        <is>
          <t>SKELLEFTEÅ</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2393-2023</t>
        </is>
      </c>
      <c r="B1719" s="1" t="n">
        <v>44942</v>
      </c>
      <c r="C1719" s="1" t="n">
        <v>45566</v>
      </c>
      <c r="D1719" t="inlineStr">
        <is>
          <t>VÄSTERBOTTENS LÄN</t>
        </is>
      </c>
      <c r="E1719" t="inlineStr">
        <is>
          <t>SKELLEFTEÅ</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2439-2023</t>
        </is>
      </c>
      <c r="B1720" s="1" t="n">
        <v>44942</v>
      </c>
      <c r="C1720" s="1" t="n">
        <v>45566</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2718-2023</t>
        </is>
      </c>
      <c r="B1721" s="1" t="n">
        <v>44942</v>
      </c>
      <c r="C1721" s="1" t="n">
        <v>45566</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2496-2023</t>
        </is>
      </c>
      <c r="B1722" s="1" t="n">
        <v>44943</v>
      </c>
      <c r="C1722" s="1" t="n">
        <v>45566</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2444-2023</t>
        </is>
      </c>
      <c r="B1723" s="1" t="n">
        <v>44943</v>
      </c>
      <c r="C1723" s="1" t="n">
        <v>45566</v>
      </c>
      <c r="D1723" t="inlineStr">
        <is>
          <t>VÄSTERBOTTENS LÄN</t>
        </is>
      </c>
      <c r="E1723" t="inlineStr">
        <is>
          <t>SKELLEFTEÅ</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2720-2023</t>
        </is>
      </c>
      <c r="B1724" s="1" t="n">
        <v>44944</v>
      </c>
      <c r="C1724" s="1" t="n">
        <v>45566</v>
      </c>
      <c r="D1724" t="inlineStr">
        <is>
          <t>VÄSTERBOTTENS LÄN</t>
        </is>
      </c>
      <c r="E1724" t="inlineStr">
        <is>
          <t>SKELLEFTEÅ</t>
        </is>
      </c>
      <c r="G1724" t="n">
        <v>31.7</v>
      </c>
      <c r="H1724" t="n">
        <v>0</v>
      </c>
      <c r="I1724" t="n">
        <v>0</v>
      </c>
      <c r="J1724" t="n">
        <v>0</v>
      </c>
      <c r="K1724" t="n">
        <v>0</v>
      </c>
      <c r="L1724" t="n">
        <v>0</v>
      </c>
      <c r="M1724" t="n">
        <v>0</v>
      </c>
      <c r="N1724" t="n">
        <v>0</v>
      </c>
      <c r="O1724" t="n">
        <v>0</v>
      </c>
      <c r="P1724" t="n">
        <v>0</v>
      </c>
      <c r="Q1724" t="n">
        <v>0</v>
      </c>
      <c r="R1724" s="2" t="inlineStr"/>
    </row>
    <row r="1725" ht="15" customHeight="1">
      <c r="A1725" t="inlineStr">
        <is>
          <t>A 2895-2023</t>
        </is>
      </c>
      <c r="B1725" s="1" t="n">
        <v>44945</v>
      </c>
      <c r="C1725" s="1" t="n">
        <v>45566</v>
      </c>
      <c r="D1725" t="inlineStr">
        <is>
          <t>VÄSTERBOTTENS LÄN</t>
        </is>
      </c>
      <c r="E1725" t="inlineStr">
        <is>
          <t>SKELLEFTEÅ</t>
        </is>
      </c>
      <c r="F1725" t="inlineStr">
        <is>
          <t>Sveaskog</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3277-2023</t>
        </is>
      </c>
      <c r="B1726" s="1" t="n">
        <v>44945</v>
      </c>
      <c r="C1726" s="1" t="n">
        <v>45566</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3603-2023</t>
        </is>
      </c>
      <c r="B1727" s="1" t="n">
        <v>44946</v>
      </c>
      <c r="C1727" s="1" t="n">
        <v>45566</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3600-2023</t>
        </is>
      </c>
      <c r="B1728" s="1" t="n">
        <v>44946</v>
      </c>
      <c r="C1728" s="1" t="n">
        <v>45566</v>
      </c>
      <c r="D1728" t="inlineStr">
        <is>
          <t>VÄSTERBOTTENS LÄN</t>
        </is>
      </c>
      <c r="E1728" t="inlineStr">
        <is>
          <t>SKELLEFTEÅ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3852-2023</t>
        </is>
      </c>
      <c r="B1729" s="1" t="n">
        <v>44950</v>
      </c>
      <c r="C1729" s="1" t="n">
        <v>45566</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3848-2023</t>
        </is>
      </c>
      <c r="B1730" s="1" t="n">
        <v>44950</v>
      </c>
      <c r="C1730" s="1" t="n">
        <v>45566</v>
      </c>
      <c r="D1730" t="inlineStr">
        <is>
          <t>VÄSTERBOTTENS LÄN</t>
        </is>
      </c>
      <c r="E1730" t="inlineStr">
        <is>
          <t>SKELLEFTEÅ</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3744-2023</t>
        </is>
      </c>
      <c r="B1731" s="1" t="n">
        <v>44951</v>
      </c>
      <c r="C1731" s="1" t="n">
        <v>45566</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4447-2023</t>
        </is>
      </c>
      <c r="B1732" s="1" t="n">
        <v>44951</v>
      </c>
      <c r="C1732" s="1" t="n">
        <v>45566</v>
      </c>
      <c r="D1732" t="inlineStr">
        <is>
          <t>VÄSTERBOTTENS LÄN</t>
        </is>
      </c>
      <c r="E1732" t="inlineStr">
        <is>
          <t>SKELLEFTEÅ</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4104-2023</t>
        </is>
      </c>
      <c r="B1733" s="1" t="n">
        <v>44952</v>
      </c>
      <c r="C1733" s="1" t="n">
        <v>45566</v>
      </c>
      <c r="D1733" t="inlineStr">
        <is>
          <t>VÄSTERBOTTENS LÄN</t>
        </is>
      </c>
      <c r="E1733" t="inlineStr">
        <is>
          <t>SKELLEFTEÅ</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4031-2023</t>
        </is>
      </c>
      <c r="B1734" s="1" t="n">
        <v>44952</v>
      </c>
      <c r="C1734" s="1" t="n">
        <v>45566</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4102-2023</t>
        </is>
      </c>
      <c r="B1735" s="1" t="n">
        <v>44952</v>
      </c>
      <c r="C1735" s="1" t="n">
        <v>45566</v>
      </c>
      <c r="D1735" t="inlineStr">
        <is>
          <t>VÄSTERBOTTENS LÄN</t>
        </is>
      </c>
      <c r="E1735" t="inlineStr">
        <is>
          <t>SKELLEFTEÅ</t>
        </is>
      </c>
      <c r="F1735" t="inlineStr">
        <is>
          <t>Sveaskog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4458-2023</t>
        </is>
      </c>
      <c r="B1736" s="1" t="n">
        <v>44952</v>
      </c>
      <c r="C1736" s="1" t="n">
        <v>45566</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4453-2023</t>
        </is>
      </c>
      <c r="B1737" s="1" t="n">
        <v>44956</v>
      </c>
      <c r="C1737" s="1" t="n">
        <v>45566</v>
      </c>
      <c r="D1737" t="inlineStr">
        <is>
          <t>VÄSTERBOTTENS LÄN</t>
        </is>
      </c>
      <c r="E1737" t="inlineStr">
        <is>
          <t>SKELLEFTEÅ</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4930-2023</t>
        </is>
      </c>
      <c r="B1738" s="1" t="n">
        <v>44956</v>
      </c>
      <c r="C1738" s="1" t="n">
        <v>45566</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4948-2023</t>
        </is>
      </c>
      <c r="B1739" s="1" t="n">
        <v>44956</v>
      </c>
      <c r="C1739" s="1" t="n">
        <v>45566</v>
      </c>
      <c r="D1739" t="inlineStr">
        <is>
          <t>VÄSTERBOTTENS LÄN</t>
        </is>
      </c>
      <c r="E1739" t="inlineStr">
        <is>
          <t>SKELLEFTEÅ</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4938-2023</t>
        </is>
      </c>
      <c r="B1740" s="1" t="n">
        <v>44956</v>
      </c>
      <c r="C1740" s="1" t="n">
        <v>45566</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4943-2023</t>
        </is>
      </c>
      <c r="B1741" s="1" t="n">
        <v>44956</v>
      </c>
      <c r="C1741" s="1" t="n">
        <v>45566</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4710-2023</t>
        </is>
      </c>
      <c r="B1742" s="1" t="n">
        <v>44957</v>
      </c>
      <c r="C1742" s="1" t="n">
        <v>45566</v>
      </c>
      <c r="D1742" t="inlineStr">
        <is>
          <t>VÄSTERBOTTENS LÄN</t>
        </is>
      </c>
      <c r="E1742" t="inlineStr">
        <is>
          <t>SKELLEFTEÅ</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5416-2023</t>
        </is>
      </c>
      <c r="B1743" s="1" t="n">
        <v>44957</v>
      </c>
      <c r="C1743" s="1" t="n">
        <v>45566</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5481-2023</t>
        </is>
      </c>
      <c r="B1744" s="1" t="n">
        <v>44957</v>
      </c>
      <c r="C1744" s="1" t="n">
        <v>45566</v>
      </c>
      <c r="D1744" t="inlineStr">
        <is>
          <t>VÄSTERBOTTENS LÄN</t>
        </is>
      </c>
      <c r="E1744" t="inlineStr">
        <is>
          <t>SKELLEFTEÅ</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5495-2023</t>
        </is>
      </c>
      <c r="B1745" s="1" t="n">
        <v>44957</v>
      </c>
      <c r="C1745" s="1" t="n">
        <v>45566</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5515-2023</t>
        </is>
      </c>
      <c r="B1746" s="1" t="n">
        <v>44957</v>
      </c>
      <c r="C1746" s="1" t="n">
        <v>45566</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5490-2023</t>
        </is>
      </c>
      <c r="B1747" s="1" t="n">
        <v>44957</v>
      </c>
      <c r="C1747" s="1" t="n">
        <v>45566</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5373-2023</t>
        </is>
      </c>
      <c r="B1748" s="1" t="n">
        <v>44957</v>
      </c>
      <c r="C1748" s="1" t="n">
        <v>45566</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5973-2023</t>
        </is>
      </c>
      <c r="B1749" s="1" t="n">
        <v>44959</v>
      </c>
      <c r="C1749" s="1" t="n">
        <v>45566</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5996-2023</t>
        </is>
      </c>
      <c r="B1750" s="1" t="n">
        <v>44959</v>
      </c>
      <c r="C1750" s="1" t="n">
        <v>45566</v>
      </c>
      <c r="D1750" t="inlineStr">
        <is>
          <t>VÄSTERBOTTENS LÄN</t>
        </is>
      </c>
      <c r="E1750" t="inlineStr">
        <is>
          <t>SKELLEFTEÅ</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6016-2023</t>
        </is>
      </c>
      <c r="B1751" s="1" t="n">
        <v>44959</v>
      </c>
      <c r="C1751" s="1" t="n">
        <v>45566</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5986-2023</t>
        </is>
      </c>
      <c r="B1752" s="1" t="n">
        <v>44959</v>
      </c>
      <c r="C1752" s="1" t="n">
        <v>45566</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5991-2023</t>
        </is>
      </c>
      <c r="B1753" s="1" t="n">
        <v>44959</v>
      </c>
      <c r="C1753" s="1" t="n">
        <v>45566</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6012-2023</t>
        </is>
      </c>
      <c r="B1754" s="1" t="n">
        <v>44959</v>
      </c>
      <c r="C1754" s="1" t="n">
        <v>45566</v>
      </c>
      <c r="D1754" t="inlineStr">
        <is>
          <t>VÄSTERBOTTENS LÄN</t>
        </is>
      </c>
      <c r="E1754" t="inlineStr">
        <is>
          <t>SKELLEFTEÅ</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5687-2023</t>
        </is>
      </c>
      <c r="B1755" s="1" t="n">
        <v>44960</v>
      </c>
      <c r="C1755" s="1" t="n">
        <v>45566</v>
      </c>
      <c r="D1755" t="inlineStr">
        <is>
          <t>VÄSTERBOTTENS LÄN</t>
        </is>
      </c>
      <c r="E1755" t="inlineStr">
        <is>
          <t>SKELLEFTEÅ</t>
        </is>
      </c>
      <c r="F1755" t="inlineStr">
        <is>
          <t>Sveaskog</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5470-2023</t>
        </is>
      </c>
      <c r="B1756" s="1" t="n">
        <v>44960</v>
      </c>
      <c r="C1756" s="1" t="n">
        <v>45566</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5541-2023</t>
        </is>
      </c>
      <c r="B1757" s="1" t="n">
        <v>44960</v>
      </c>
      <c r="C1757" s="1" t="n">
        <v>45566</v>
      </c>
      <c r="D1757" t="inlineStr">
        <is>
          <t>VÄSTERBOTTENS LÄN</t>
        </is>
      </c>
      <c r="E1757" t="inlineStr">
        <is>
          <t>SKELLEFTEÅ</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5602-2023</t>
        </is>
      </c>
      <c r="B1758" s="1" t="n">
        <v>44960</v>
      </c>
      <c r="C1758" s="1" t="n">
        <v>45566</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v>
      </c>
      <c r="C1759" s="1" t="n">
        <v>45566</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5744-2023</t>
        </is>
      </c>
      <c r="B1760" s="1" t="n">
        <v>44962</v>
      </c>
      <c r="C1760" s="1" t="n">
        <v>45566</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5743-2023</t>
        </is>
      </c>
      <c r="B1761" s="1" t="n">
        <v>44962</v>
      </c>
      <c r="C1761" s="1" t="n">
        <v>45566</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5929-2023</t>
        </is>
      </c>
      <c r="B1762" s="1" t="n">
        <v>44963</v>
      </c>
      <c r="C1762" s="1" t="n">
        <v>45566</v>
      </c>
      <c r="D1762" t="inlineStr">
        <is>
          <t>VÄSTERBOTTENS LÄN</t>
        </is>
      </c>
      <c r="E1762" t="inlineStr">
        <is>
          <t>SKELLEFTEÅ</t>
        </is>
      </c>
      <c r="F1762" t="inlineStr">
        <is>
          <t>Sveaskog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5959-2023</t>
        </is>
      </c>
      <c r="B1763" s="1" t="n">
        <v>44963</v>
      </c>
      <c r="C1763" s="1" t="n">
        <v>45566</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6596-2023</t>
        </is>
      </c>
      <c r="B1764" s="1" t="n">
        <v>44963</v>
      </c>
      <c r="C1764" s="1" t="n">
        <v>45566</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6656-2023</t>
        </is>
      </c>
      <c r="B1765" s="1" t="n">
        <v>44963</v>
      </c>
      <c r="C1765" s="1" t="n">
        <v>45566</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5965-2023</t>
        </is>
      </c>
      <c r="B1766" s="1" t="n">
        <v>44964</v>
      </c>
      <c r="C1766" s="1" t="n">
        <v>45566</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6441-2023</t>
        </is>
      </c>
      <c r="B1767" s="1" t="n">
        <v>44965</v>
      </c>
      <c r="C1767" s="1" t="n">
        <v>45566</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6443-2023</t>
        </is>
      </c>
      <c r="B1768" s="1" t="n">
        <v>44965</v>
      </c>
      <c r="C1768" s="1" t="n">
        <v>45566</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6442-2023</t>
        </is>
      </c>
      <c r="B1769" s="1" t="n">
        <v>44965</v>
      </c>
      <c r="C1769" s="1" t="n">
        <v>45566</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6450-2023</t>
        </is>
      </c>
      <c r="B1770" s="1" t="n">
        <v>44965</v>
      </c>
      <c r="C1770" s="1" t="n">
        <v>45566</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6511-2023</t>
        </is>
      </c>
      <c r="B1771" s="1" t="n">
        <v>44966</v>
      </c>
      <c r="C1771" s="1" t="n">
        <v>45566</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7023-2023</t>
        </is>
      </c>
      <c r="B1772" s="1" t="n">
        <v>44968</v>
      </c>
      <c r="C1772" s="1" t="n">
        <v>45566</v>
      </c>
      <c r="D1772" t="inlineStr">
        <is>
          <t>VÄSTERBOTTENS LÄN</t>
        </is>
      </c>
      <c r="E1772" t="inlineStr">
        <is>
          <t>SKELLEFTEÅ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7022-2023</t>
        </is>
      </c>
      <c r="B1773" s="1" t="n">
        <v>44968</v>
      </c>
      <c r="C1773" s="1" t="n">
        <v>45566</v>
      </c>
      <c r="D1773" t="inlineStr">
        <is>
          <t>VÄSTERBOTTENS LÄN</t>
        </is>
      </c>
      <c r="E1773" t="inlineStr">
        <is>
          <t>SKELLEFTEÅ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7875-2023</t>
        </is>
      </c>
      <c r="B1774" s="1" t="n">
        <v>44967</v>
      </c>
      <c r="C1774" s="1" t="n">
        <v>45566</v>
      </c>
      <c r="D1774" t="inlineStr">
        <is>
          <t>VÄSTERBOTTENS LÄN</t>
        </is>
      </c>
      <c r="E1774" t="inlineStr">
        <is>
          <t>SKELLEFTEÅ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7364-2023</t>
        </is>
      </c>
      <c r="B1775" s="1" t="n">
        <v>44971</v>
      </c>
      <c r="C1775" s="1" t="n">
        <v>45566</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7517-2023</t>
        </is>
      </c>
      <c r="B1776" s="1" t="n">
        <v>44971</v>
      </c>
      <c r="C1776" s="1" t="n">
        <v>45566</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7516-2023</t>
        </is>
      </c>
      <c r="B1777" s="1" t="n">
        <v>44971</v>
      </c>
      <c r="C1777" s="1" t="n">
        <v>45566</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8206-2023</t>
        </is>
      </c>
      <c r="B1778" s="1" t="n">
        <v>44971</v>
      </c>
      <c r="C1778" s="1" t="n">
        <v>45566</v>
      </c>
      <c r="D1778" t="inlineStr">
        <is>
          <t>VÄSTERBOTTENS LÄN</t>
        </is>
      </c>
      <c r="E1778" t="inlineStr">
        <is>
          <t>SKELLEFTEÅ</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8422-2023</t>
        </is>
      </c>
      <c r="B1779" s="1" t="n">
        <v>44972</v>
      </c>
      <c r="C1779" s="1" t="n">
        <v>45566</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8477-2023</t>
        </is>
      </c>
      <c r="B1780" s="1" t="n">
        <v>44972</v>
      </c>
      <c r="C1780" s="1" t="n">
        <v>45566</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8479-2023</t>
        </is>
      </c>
      <c r="B1781" s="1" t="n">
        <v>44972</v>
      </c>
      <c r="C1781" s="1" t="n">
        <v>45566</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8549-2023</t>
        </is>
      </c>
      <c r="B1782" s="1" t="n">
        <v>44972</v>
      </c>
      <c r="C1782" s="1" t="n">
        <v>45566</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8480-2023</t>
        </is>
      </c>
      <c r="B1783" s="1" t="n">
        <v>44972</v>
      </c>
      <c r="C1783" s="1" t="n">
        <v>45566</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7712-2023</t>
        </is>
      </c>
      <c r="B1784" s="1" t="n">
        <v>44972</v>
      </c>
      <c r="C1784" s="1" t="n">
        <v>45566</v>
      </c>
      <c r="D1784" t="inlineStr">
        <is>
          <t>VÄSTERBOTTENS LÄN</t>
        </is>
      </c>
      <c r="E1784" t="inlineStr">
        <is>
          <t>SKELLEFTEÅ</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8478-2023</t>
        </is>
      </c>
      <c r="B1785" s="1" t="n">
        <v>44972</v>
      </c>
      <c r="C1785" s="1" t="n">
        <v>45566</v>
      </c>
      <c r="D1785" t="inlineStr">
        <is>
          <t>VÄSTERBOTTENS LÄN</t>
        </is>
      </c>
      <c r="E1785" t="inlineStr">
        <is>
          <t>SKELLEFTEÅ</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8563-2023</t>
        </is>
      </c>
      <c r="B1786" s="1" t="n">
        <v>44972</v>
      </c>
      <c r="C1786" s="1" t="n">
        <v>45566</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8028-2023</t>
        </is>
      </c>
      <c r="B1787" s="1" t="n">
        <v>44973</v>
      </c>
      <c r="C1787" s="1" t="n">
        <v>45566</v>
      </c>
      <c r="D1787" t="inlineStr">
        <is>
          <t>VÄSTERBOTTENS LÄN</t>
        </is>
      </c>
      <c r="E1787" t="inlineStr">
        <is>
          <t>SKELLEFTEÅ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8029-2023</t>
        </is>
      </c>
      <c r="B1788" s="1" t="n">
        <v>44973</v>
      </c>
      <c r="C1788" s="1" t="n">
        <v>45566</v>
      </c>
      <c r="D1788" t="inlineStr">
        <is>
          <t>VÄSTERBOTTENS LÄN</t>
        </is>
      </c>
      <c r="E1788" t="inlineStr">
        <is>
          <t>SKELLEFTEÅ</t>
        </is>
      </c>
      <c r="F1788" t="inlineStr">
        <is>
          <t>SCA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8328-2023</t>
        </is>
      </c>
      <c r="B1789" s="1" t="n">
        <v>44974</v>
      </c>
      <c r="C1789" s="1" t="n">
        <v>45566</v>
      </c>
      <c r="D1789" t="inlineStr">
        <is>
          <t>VÄSTERBOTTENS LÄN</t>
        </is>
      </c>
      <c r="E1789" t="inlineStr">
        <is>
          <t>SKELLEFTEÅ</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8930-2023</t>
        </is>
      </c>
      <c r="B1790" s="1" t="n">
        <v>44974</v>
      </c>
      <c r="C1790" s="1" t="n">
        <v>45566</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8952-2023</t>
        </is>
      </c>
      <c r="B1791" s="1" t="n">
        <v>44974</v>
      </c>
      <c r="C1791" s="1" t="n">
        <v>45566</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8648-2023</t>
        </is>
      </c>
      <c r="B1792" s="1" t="n">
        <v>44978</v>
      </c>
      <c r="C1792" s="1" t="n">
        <v>45566</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9624-2023</t>
        </is>
      </c>
      <c r="B1793" s="1" t="n">
        <v>44978</v>
      </c>
      <c r="C1793" s="1" t="n">
        <v>45566</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8801-2023</t>
        </is>
      </c>
      <c r="B1794" s="1" t="n">
        <v>44978</v>
      </c>
      <c r="C1794" s="1" t="n">
        <v>45566</v>
      </c>
      <c r="D1794" t="inlineStr">
        <is>
          <t>VÄSTERBOTTENS LÄN</t>
        </is>
      </c>
      <c r="E1794" t="inlineStr">
        <is>
          <t>SKELLEFTEÅ</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9619-2023</t>
        </is>
      </c>
      <c r="B1795" s="1" t="n">
        <v>44978</v>
      </c>
      <c r="C1795" s="1" t="n">
        <v>45566</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9740-2023</t>
        </is>
      </c>
      <c r="B1796" s="1" t="n">
        <v>44978</v>
      </c>
      <c r="C1796" s="1" t="n">
        <v>45566</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9027-2023</t>
        </is>
      </c>
      <c r="B1797" s="1" t="n">
        <v>44979</v>
      </c>
      <c r="C1797" s="1" t="n">
        <v>45566</v>
      </c>
      <c r="D1797" t="inlineStr">
        <is>
          <t>VÄSTERBOTTENS LÄN</t>
        </is>
      </c>
      <c r="E1797" t="inlineStr">
        <is>
          <t>SKELLEFTEÅ</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9078-2023</t>
        </is>
      </c>
      <c r="B1798" s="1" t="n">
        <v>44979</v>
      </c>
      <c r="C1798" s="1" t="n">
        <v>45566</v>
      </c>
      <c r="D1798" t="inlineStr">
        <is>
          <t>VÄSTERBOTTENS LÄN</t>
        </is>
      </c>
      <c r="E1798" t="inlineStr">
        <is>
          <t>SKELLEFTEÅ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9080-2023</t>
        </is>
      </c>
      <c r="B1799" s="1" t="n">
        <v>44979</v>
      </c>
      <c r="C1799" s="1" t="n">
        <v>45566</v>
      </c>
      <c r="D1799" t="inlineStr">
        <is>
          <t>VÄSTERBOTTENS LÄN</t>
        </is>
      </c>
      <c r="E1799" t="inlineStr">
        <is>
          <t>SKELLEFTEÅ</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9980-2023</t>
        </is>
      </c>
      <c r="B1800" s="1" t="n">
        <v>44979</v>
      </c>
      <c r="C1800" s="1" t="n">
        <v>45566</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9079-2023</t>
        </is>
      </c>
      <c r="B1801" s="1" t="n">
        <v>44979</v>
      </c>
      <c r="C1801" s="1" t="n">
        <v>45566</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9982-2023</t>
        </is>
      </c>
      <c r="B1802" s="1" t="n">
        <v>44979</v>
      </c>
      <c r="C1802" s="1" t="n">
        <v>45566</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10172-2023</t>
        </is>
      </c>
      <c r="B1803" s="1" t="n">
        <v>44979</v>
      </c>
      <c r="C1803" s="1" t="n">
        <v>45566</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9209-2023</t>
        </is>
      </c>
      <c r="B1804" s="1" t="n">
        <v>44980</v>
      </c>
      <c r="C1804" s="1" t="n">
        <v>45566</v>
      </c>
      <c r="D1804" t="inlineStr">
        <is>
          <t>VÄSTERBOTTENS LÄN</t>
        </is>
      </c>
      <c r="E1804" t="inlineStr">
        <is>
          <t>SKELLEFTEÅ</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9343-2023</t>
        </is>
      </c>
      <c r="B1805" s="1" t="n">
        <v>44980</v>
      </c>
      <c r="C1805" s="1" t="n">
        <v>45566</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9342-2023</t>
        </is>
      </c>
      <c r="B1806" s="1" t="n">
        <v>44980</v>
      </c>
      <c r="C1806" s="1" t="n">
        <v>45566</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9345-2023</t>
        </is>
      </c>
      <c r="B1807" s="1" t="n">
        <v>44980</v>
      </c>
      <c r="C1807" s="1" t="n">
        <v>45566</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9402-2023</t>
        </is>
      </c>
      <c r="B1808" s="1" t="n">
        <v>44981</v>
      </c>
      <c r="C1808" s="1" t="n">
        <v>45566</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9463-2023</t>
        </is>
      </c>
      <c r="B1809" s="1" t="n">
        <v>44981</v>
      </c>
      <c r="C1809" s="1" t="n">
        <v>45566</v>
      </c>
      <c r="D1809" t="inlineStr">
        <is>
          <t>VÄSTERBOTTENS LÄN</t>
        </is>
      </c>
      <c r="E1809" t="inlineStr">
        <is>
          <t>SKELLEFTEÅ</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10568-2023</t>
        </is>
      </c>
      <c r="B1810" s="1" t="n">
        <v>44981</v>
      </c>
      <c r="C1810" s="1" t="n">
        <v>45566</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10567-2023</t>
        </is>
      </c>
      <c r="B1811" s="1" t="n">
        <v>44981</v>
      </c>
      <c r="C1811" s="1" t="n">
        <v>45566</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10570-2023</t>
        </is>
      </c>
      <c r="B1812" s="1" t="n">
        <v>44981</v>
      </c>
      <c r="C1812" s="1" t="n">
        <v>45566</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10696-2023</t>
        </is>
      </c>
      <c r="B1813" s="1" t="n">
        <v>44984</v>
      </c>
      <c r="C1813" s="1" t="n">
        <v>45566</v>
      </c>
      <c r="D1813" t="inlineStr">
        <is>
          <t>VÄSTERBOTTENS LÄN</t>
        </is>
      </c>
      <c r="E1813" t="inlineStr">
        <is>
          <t>SKELLEFTEÅ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10647-2023</t>
        </is>
      </c>
      <c r="B1814" s="1" t="n">
        <v>44984</v>
      </c>
      <c r="C1814" s="1" t="n">
        <v>45566</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10072-2023</t>
        </is>
      </c>
      <c r="B1815" s="1" t="n">
        <v>44985</v>
      </c>
      <c r="C1815" s="1" t="n">
        <v>45566</v>
      </c>
      <c r="D1815" t="inlineStr">
        <is>
          <t>VÄSTERBOTTENS LÄN</t>
        </is>
      </c>
      <c r="E1815" t="inlineStr">
        <is>
          <t>SKELLEFTEÅ</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10073-2023</t>
        </is>
      </c>
      <c r="B1816" s="1" t="n">
        <v>44985</v>
      </c>
      <c r="C1816" s="1" t="n">
        <v>45566</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10840-2023</t>
        </is>
      </c>
      <c r="B1817" s="1" t="n">
        <v>44985</v>
      </c>
      <c r="C1817" s="1" t="n">
        <v>45566</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10846-2023</t>
        </is>
      </c>
      <c r="B1818" s="1" t="n">
        <v>44985</v>
      </c>
      <c r="C1818" s="1" t="n">
        <v>45566</v>
      </c>
      <c r="D1818" t="inlineStr">
        <is>
          <t>VÄSTERBOTTENS LÄN</t>
        </is>
      </c>
      <c r="E1818" t="inlineStr">
        <is>
          <t>SKELLEFTEÅ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10852-2023</t>
        </is>
      </c>
      <c r="B1819" s="1" t="n">
        <v>44985</v>
      </c>
      <c r="C1819" s="1" t="n">
        <v>45566</v>
      </c>
      <c r="D1819" t="inlineStr">
        <is>
          <t>VÄSTERBOTTENS LÄN</t>
        </is>
      </c>
      <c r="E1819" t="inlineStr">
        <is>
          <t>SKELLEFTEÅ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10291-2023</t>
        </is>
      </c>
      <c r="B1820" s="1" t="n">
        <v>44986</v>
      </c>
      <c r="C1820" s="1" t="n">
        <v>45566</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11030-2023</t>
        </is>
      </c>
      <c r="B1821" s="1" t="n">
        <v>44991</v>
      </c>
      <c r="C1821" s="1" t="n">
        <v>45566</v>
      </c>
      <c r="D1821" t="inlineStr">
        <is>
          <t>VÄSTERBOTTENS LÄN</t>
        </is>
      </c>
      <c r="E1821" t="inlineStr">
        <is>
          <t>SKELLEFTEÅ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11028-2023</t>
        </is>
      </c>
      <c r="B1822" s="1" t="n">
        <v>44991</v>
      </c>
      <c r="C1822" s="1" t="n">
        <v>45566</v>
      </c>
      <c r="D1822" t="inlineStr">
        <is>
          <t>VÄSTERBOTTENS LÄN</t>
        </is>
      </c>
      <c r="E1822" t="inlineStr">
        <is>
          <t>SKELLEFTEÅ</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11031-2023</t>
        </is>
      </c>
      <c r="B1823" s="1" t="n">
        <v>44991</v>
      </c>
      <c r="C1823" s="1" t="n">
        <v>45566</v>
      </c>
      <c r="D1823" t="inlineStr">
        <is>
          <t>VÄSTERBOTTENS LÄN</t>
        </is>
      </c>
      <c r="E1823" t="inlineStr">
        <is>
          <t>SKELLEFTEÅ</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11029-2023</t>
        </is>
      </c>
      <c r="B1824" s="1" t="n">
        <v>44991</v>
      </c>
      <c r="C1824" s="1" t="n">
        <v>45566</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45566</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11377-2023</t>
        </is>
      </c>
      <c r="B1826" s="1" t="n">
        <v>44993</v>
      </c>
      <c r="C1826" s="1" t="n">
        <v>45566</v>
      </c>
      <c r="D1826" t="inlineStr">
        <is>
          <t>VÄSTERBOTTENS LÄN</t>
        </is>
      </c>
      <c r="E1826" t="inlineStr">
        <is>
          <t>SKELLEFTEÅ</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11339-2023</t>
        </is>
      </c>
      <c r="B1827" s="1" t="n">
        <v>44993</v>
      </c>
      <c r="C1827" s="1" t="n">
        <v>45566</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11624-2023</t>
        </is>
      </c>
      <c r="B1828" s="1" t="n">
        <v>44994</v>
      </c>
      <c r="C1828" s="1" t="n">
        <v>45566</v>
      </c>
      <c r="D1828" t="inlineStr">
        <is>
          <t>VÄSTERBOTTENS LÄN</t>
        </is>
      </c>
      <c r="E1828" t="inlineStr">
        <is>
          <t>SKELLEFTEÅ</t>
        </is>
      </c>
      <c r="G1828" t="n">
        <v>47.6</v>
      </c>
      <c r="H1828" t="n">
        <v>0</v>
      </c>
      <c r="I1828" t="n">
        <v>0</v>
      </c>
      <c r="J1828" t="n">
        <v>0</v>
      </c>
      <c r="K1828" t="n">
        <v>0</v>
      </c>
      <c r="L1828" t="n">
        <v>0</v>
      </c>
      <c r="M1828" t="n">
        <v>0</v>
      </c>
      <c r="N1828" t="n">
        <v>0</v>
      </c>
      <c r="O1828" t="n">
        <v>0</v>
      </c>
      <c r="P1828" t="n">
        <v>0</v>
      </c>
      <c r="Q1828" t="n">
        <v>0</v>
      </c>
      <c r="R1828" s="2" t="inlineStr"/>
    </row>
    <row r="1829" ht="15" customHeight="1">
      <c r="A1829" t="inlineStr">
        <is>
          <t>A 11629-2023</t>
        </is>
      </c>
      <c r="B1829" s="1" t="n">
        <v>44994</v>
      </c>
      <c r="C1829" s="1" t="n">
        <v>45566</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11638-2023</t>
        </is>
      </c>
      <c r="B1830" s="1" t="n">
        <v>44994</v>
      </c>
      <c r="C1830" s="1" t="n">
        <v>45566</v>
      </c>
      <c r="D1830" t="inlineStr">
        <is>
          <t>VÄSTERBOTTENS LÄN</t>
        </is>
      </c>
      <c r="E1830" t="inlineStr">
        <is>
          <t>SKELLEFTEÅ</t>
        </is>
      </c>
      <c r="G1830" t="n">
        <v>19.8</v>
      </c>
      <c r="H1830" t="n">
        <v>0</v>
      </c>
      <c r="I1830" t="n">
        <v>0</v>
      </c>
      <c r="J1830" t="n">
        <v>0</v>
      </c>
      <c r="K1830" t="n">
        <v>0</v>
      </c>
      <c r="L1830" t="n">
        <v>0</v>
      </c>
      <c r="M1830" t="n">
        <v>0</v>
      </c>
      <c r="N1830" t="n">
        <v>0</v>
      </c>
      <c r="O1830" t="n">
        <v>0</v>
      </c>
      <c r="P1830" t="n">
        <v>0</v>
      </c>
      <c r="Q1830" t="n">
        <v>0</v>
      </c>
      <c r="R1830" s="2" t="inlineStr"/>
    </row>
    <row r="1831" ht="15" customHeight="1">
      <c r="A1831" t="inlineStr">
        <is>
          <t>A 11642-2023</t>
        </is>
      </c>
      <c r="B1831" s="1" t="n">
        <v>44994</v>
      </c>
      <c r="C1831" s="1" t="n">
        <v>45566</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11771-2023</t>
        </is>
      </c>
      <c r="B1832" s="1" t="n">
        <v>44994</v>
      </c>
      <c r="C1832" s="1" t="n">
        <v>45566</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11973-2023</t>
        </is>
      </c>
      <c r="B1833" s="1" t="n">
        <v>44994</v>
      </c>
      <c r="C1833" s="1" t="n">
        <v>45566</v>
      </c>
      <c r="D1833" t="inlineStr">
        <is>
          <t>VÄSTERBOTTENS LÄN</t>
        </is>
      </c>
      <c r="E1833" t="inlineStr">
        <is>
          <t>SKELLEFTEÅ</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11963-2023</t>
        </is>
      </c>
      <c r="B1834" s="1" t="n">
        <v>44994</v>
      </c>
      <c r="C1834" s="1" t="n">
        <v>45566</v>
      </c>
      <c r="D1834" t="inlineStr">
        <is>
          <t>VÄSTERBOTTENS LÄN</t>
        </is>
      </c>
      <c r="E1834" t="inlineStr">
        <is>
          <t>SKELLEFTEÅ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11989-2023</t>
        </is>
      </c>
      <c r="B1835" s="1" t="n">
        <v>44994</v>
      </c>
      <c r="C1835" s="1" t="n">
        <v>45566</v>
      </c>
      <c r="D1835" t="inlineStr">
        <is>
          <t>VÄSTERBOTTENS LÄN</t>
        </is>
      </c>
      <c r="E1835" t="inlineStr">
        <is>
          <t>SKELLEFTEÅ</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11995-2023</t>
        </is>
      </c>
      <c r="B1836" s="1" t="n">
        <v>44994</v>
      </c>
      <c r="C1836" s="1" t="n">
        <v>45566</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11942-2023</t>
        </is>
      </c>
      <c r="B1837" s="1" t="n">
        <v>44995</v>
      </c>
      <c r="C1837" s="1" t="n">
        <v>45566</v>
      </c>
      <c r="D1837" t="inlineStr">
        <is>
          <t>VÄSTERBOTTENS LÄN</t>
        </is>
      </c>
      <c r="E1837" t="inlineStr">
        <is>
          <t>SKELLEFTEÅ</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12017-2023</t>
        </is>
      </c>
      <c r="B1838" s="1" t="n">
        <v>44995</v>
      </c>
      <c r="C1838" s="1" t="n">
        <v>45566</v>
      </c>
      <c r="D1838" t="inlineStr">
        <is>
          <t>VÄSTERBOTTENS LÄN</t>
        </is>
      </c>
      <c r="E1838" t="inlineStr">
        <is>
          <t>SKELLEFTEÅ</t>
        </is>
      </c>
      <c r="F1838" t="inlineStr">
        <is>
          <t>Sveaskog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11945-2023</t>
        </is>
      </c>
      <c r="B1839" s="1" t="n">
        <v>44995</v>
      </c>
      <c r="C1839" s="1" t="n">
        <v>45566</v>
      </c>
      <c r="D1839" t="inlineStr">
        <is>
          <t>VÄSTERBOTTENS LÄN</t>
        </is>
      </c>
      <c r="E1839" t="inlineStr">
        <is>
          <t>SKELLEFTEÅ</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12137-2023</t>
        </is>
      </c>
      <c r="B1840" s="1" t="n">
        <v>44995</v>
      </c>
      <c r="C1840" s="1" t="n">
        <v>45566</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12019-2023</t>
        </is>
      </c>
      <c r="B1841" s="1" t="n">
        <v>44995</v>
      </c>
      <c r="C1841" s="1" t="n">
        <v>45566</v>
      </c>
      <c r="D1841" t="inlineStr">
        <is>
          <t>VÄSTERBOTTENS LÄN</t>
        </is>
      </c>
      <c r="E1841" t="inlineStr">
        <is>
          <t>SKELLEFTEÅ</t>
        </is>
      </c>
      <c r="F1841" t="inlineStr">
        <is>
          <t>Sveaskog</t>
        </is>
      </c>
      <c r="G1841" t="n">
        <v>12.6</v>
      </c>
      <c r="H1841" t="n">
        <v>0</v>
      </c>
      <c r="I1841" t="n">
        <v>0</v>
      </c>
      <c r="J1841" t="n">
        <v>0</v>
      </c>
      <c r="K1841" t="n">
        <v>0</v>
      </c>
      <c r="L1841" t="n">
        <v>0</v>
      </c>
      <c r="M1841" t="n">
        <v>0</v>
      </c>
      <c r="N1841" t="n">
        <v>0</v>
      </c>
      <c r="O1841" t="n">
        <v>0</v>
      </c>
      <c r="P1841" t="n">
        <v>0</v>
      </c>
      <c r="Q1841" t="n">
        <v>0</v>
      </c>
      <c r="R1841" s="2" t="inlineStr"/>
    </row>
    <row r="1842" ht="15" customHeight="1">
      <c r="A1842" t="inlineStr">
        <is>
          <t>A 12033-2023</t>
        </is>
      </c>
      <c r="B1842" s="1" t="n">
        <v>44995</v>
      </c>
      <c r="C1842" s="1" t="n">
        <v>45566</v>
      </c>
      <c r="D1842" t="inlineStr">
        <is>
          <t>VÄSTERBOTTENS LÄN</t>
        </is>
      </c>
      <c r="E1842" t="inlineStr">
        <is>
          <t>SKELLEFTEÅ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12032-2023</t>
        </is>
      </c>
      <c r="B1843" s="1" t="n">
        <v>44995</v>
      </c>
      <c r="C1843" s="1" t="n">
        <v>45566</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12366-2023</t>
        </is>
      </c>
      <c r="B1844" s="1" t="n">
        <v>44998</v>
      </c>
      <c r="C1844" s="1" t="n">
        <v>45566</v>
      </c>
      <c r="D1844" t="inlineStr">
        <is>
          <t>VÄSTERBOTTENS LÄN</t>
        </is>
      </c>
      <c r="E1844" t="inlineStr">
        <is>
          <t>SKELLEFTEÅ</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12392-2023</t>
        </is>
      </c>
      <c r="B1845" s="1" t="n">
        <v>44998</v>
      </c>
      <c r="C1845" s="1" t="n">
        <v>45566</v>
      </c>
      <c r="D1845" t="inlineStr">
        <is>
          <t>VÄSTERBOTTENS LÄN</t>
        </is>
      </c>
      <c r="E1845" t="inlineStr">
        <is>
          <t>SKELLEFTEÅ</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12728-2023</t>
        </is>
      </c>
      <c r="B1846" s="1" t="n">
        <v>45000</v>
      </c>
      <c r="C1846" s="1" t="n">
        <v>45566</v>
      </c>
      <c r="D1846" t="inlineStr">
        <is>
          <t>VÄSTERBOTTENS LÄN</t>
        </is>
      </c>
      <c r="E1846" t="inlineStr">
        <is>
          <t>SKELLEFTEÅ</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12601-2023</t>
        </is>
      </c>
      <c r="B1847" s="1" t="n">
        <v>45000</v>
      </c>
      <c r="C1847" s="1" t="n">
        <v>45566</v>
      </c>
      <c r="D1847" t="inlineStr">
        <is>
          <t>VÄSTERBOTTENS LÄN</t>
        </is>
      </c>
      <c r="E1847" t="inlineStr">
        <is>
          <t>SKELLEFTEÅ</t>
        </is>
      </c>
      <c r="F1847" t="inlineStr">
        <is>
          <t>Holmen skog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12648-2023</t>
        </is>
      </c>
      <c r="B1848" s="1" t="n">
        <v>45000</v>
      </c>
      <c r="C1848" s="1" t="n">
        <v>45566</v>
      </c>
      <c r="D1848" t="inlineStr">
        <is>
          <t>VÄSTERBOTTENS LÄN</t>
        </is>
      </c>
      <c r="E1848" t="inlineStr">
        <is>
          <t>SKELLEFTEÅ</t>
        </is>
      </c>
      <c r="F1848" t="inlineStr">
        <is>
          <t>Holmen skog AB</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12803-2023</t>
        </is>
      </c>
      <c r="B1849" s="1" t="n">
        <v>45000</v>
      </c>
      <c r="C1849" s="1" t="n">
        <v>45566</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13149-2023</t>
        </is>
      </c>
      <c r="B1850" s="1" t="n">
        <v>45002</v>
      </c>
      <c r="C1850" s="1" t="n">
        <v>45566</v>
      </c>
      <c r="D1850" t="inlineStr">
        <is>
          <t>VÄSTERBOTTENS LÄN</t>
        </is>
      </c>
      <c r="E1850" t="inlineStr">
        <is>
          <t>SKELLEFTEÅ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13312-2023</t>
        </is>
      </c>
      <c r="B1851" s="1" t="n">
        <v>45005</v>
      </c>
      <c r="C1851" s="1" t="n">
        <v>45566</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13470-2023</t>
        </is>
      </c>
      <c r="B1852" s="1" t="n">
        <v>45005</v>
      </c>
      <c r="C1852" s="1" t="n">
        <v>45566</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13375-2023</t>
        </is>
      </c>
      <c r="B1853" s="1" t="n">
        <v>45005</v>
      </c>
      <c r="C1853" s="1" t="n">
        <v>45566</v>
      </c>
      <c r="D1853" t="inlineStr">
        <is>
          <t>VÄSTERBOTTENS LÄN</t>
        </is>
      </c>
      <c r="E1853" t="inlineStr">
        <is>
          <t>SKELLEFTEÅ</t>
        </is>
      </c>
      <c r="F1853" t="inlineStr">
        <is>
          <t>Holmen skog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13641-2023</t>
        </is>
      </c>
      <c r="B1854" s="1" t="n">
        <v>45006</v>
      </c>
      <c r="C1854" s="1" t="n">
        <v>45566</v>
      </c>
      <c r="D1854" t="inlineStr">
        <is>
          <t>VÄSTERBOTTENS LÄN</t>
        </is>
      </c>
      <c r="E1854" t="inlineStr">
        <is>
          <t>SKELLEFTEÅ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14066-2023</t>
        </is>
      </c>
      <c r="B1855" s="1" t="n">
        <v>45008</v>
      </c>
      <c r="C1855" s="1" t="n">
        <v>45566</v>
      </c>
      <c r="D1855" t="inlineStr">
        <is>
          <t>VÄSTERBOTTENS LÄN</t>
        </is>
      </c>
      <c r="E1855" t="inlineStr">
        <is>
          <t>SKELLEFTEÅ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14197-2023</t>
        </is>
      </c>
      <c r="B1856" s="1" t="n">
        <v>45009</v>
      </c>
      <c r="C1856" s="1" t="n">
        <v>45566</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14089-2023</t>
        </is>
      </c>
      <c r="B1857" s="1" t="n">
        <v>45009</v>
      </c>
      <c r="C1857" s="1" t="n">
        <v>45566</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14332-2023</t>
        </is>
      </c>
      <c r="B1858" s="1" t="n">
        <v>45009</v>
      </c>
      <c r="C1858" s="1" t="n">
        <v>45566</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14341-2023</t>
        </is>
      </c>
      <c r="B1859" s="1" t="n">
        <v>45009</v>
      </c>
      <c r="C1859" s="1" t="n">
        <v>45566</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14351-2023</t>
        </is>
      </c>
      <c r="B1860" s="1" t="n">
        <v>45009</v>
      </c>
      <c r="C1860" s="1" t="n">
        <v>45566</v>
      </c>
      <c r="D1860" t="inlineStr">
        <is>
          <t>VÄSTERBOTTENS LÄN</t>
        </is>
      </c>
      <c r="E1860" t="inlineStr">
        <is>
          <t>SKELLEFTEÅ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14458-2023</t>
        </is>
      </c>
      <c r="B1861" s="1" t="n">
        <v>45012</v>
      </c>
      <c r="C1861" s="1" t="n">
        <v>45566</v>
      </c>
      <c r="D1861" t="inlineStr">
        <is>
          <t>VÄSTERBOTTENS LÄN</t>
        </is>
      </c>
      <c r="E1861" t="inlineStr">
        <is>
          <t>SKELLEFTEÅ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14697-2023</t>
        </is>
      </c>
      <c r="B1862" s="1" t="n">
        <v>45012</v>
      </c>
      <c r="C1862" s="1" t="n">
        <v>45566</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14705-2023</t>
        </is>
      </c>
      <c r="B1863" s="1" t="n">
        <v>45012</v>
      </c>
      <c r="C1863" s="1" t="n">
        <v>45566</v>
      </c>
      <c r="D1863" t="inlineStr">
        <is>
          <t>VÄSTERBOTTENS LÄN</t>
        </is>
      </c>
      <c r="E1863" t="inlineStr">
        <is>
          <t>SKELLEFTEÅ</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14902-2023</t>
        </is>
      </c>
      <c r="B1864" s="1" t="n">
        <v>45014</v>
      </c>
      <c r="C1864" s="1" t="n">
        <v>45566</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14992-2023</t>
        </is>
      </c>
      <c r="B1865" s="1" t="n">
        <v>45014</v>
      </c>
      <c r="C1865" s="1" t="n">
        <v>45566</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14983-2023</t>
        </is>
      </c>
      <c r="B1866" s="1" t="n">
        <v>45014</v>
      </c>
      <c r="C1866" s="1" t="n">
        <v>45566</v>
      </c>
      <c r="D1866" t="inlineStr">
        <is>
          <t>VÄSTERBOTTENS LÄN</t>
        </is>
      </c>
      <c r="E1866" t="inlineStr">
        <is>
          <t>SKELLEFTEÅ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14998-2023</t>
        </is>
      </c>
      <c r="B1867" s="1" t="n">
        <v>45015</v>
      </c>
      <c r="C1867" s="1" t="n">
        <v>45566</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15155-2023</t>
        </is>
      </c>
      <c r="B1868" s="1" t="n">
        <v>45016</v>
      </c>
      <c r="C1868" s="1" t="n">
        <v>45566</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15327-2023</t>
        </is>
      </c>
      <c r="B1869" s="1" t="n">
        <v>45016</v>
      </c>
      <c r="C1869" s="1" t="n">
        <v>45566</v>
      </c>
      <c r="D1869" t="inlineStr">
        <is>
          <t>VÄSTERBOTTENS LÄN</t>
        </is>
      </c>
      <c r="E1869" t="inlineStr">
        <is>
          <t>SKELLEFTEÅ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15332-2023</t>
        </is>
      </c>
      <c r="B1870" s="1" t="n">
        <v>45016</v>
      </c>
      <c r="C1870" s="1" t="n">
        <v>45566</v>
      </c>
      <c r="D1870" t="inlineStr">
        <is>
          <t>VÄSTERBOTTENS LÄN</t>
        </is>
      </c>
      <c r="E1870" t="inlineStr">
        <is>
          <t>SKELLEFTEÅ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15405-2023</t>
        </is>
      </c>
      <c r="B1871" s="1" t="n">
        <v>45019</v>
      </c>
      <c r="C1871" s="1" t="n">
        <v>45566</v>
      </c>
      <c r="D1871" t="inlineStr">
        <is>
          <t>VÄSTERBOTTENS LÄN</t>
        </is>
      </c>
      <c r="E1871" t="inlineStr">
        <is>
          <t>SKELLEFTEÅ</t>
        </is>
      </c>
      <c r="F1871" t="inlineStr">
        <is>
          <t>Holmen skog AB</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15593-2023</t>
        </is>
      </c>
      <c r="B1872" s="1" t="n">
        <v>45019</v>
      </c>
      <c r="C1872" s="1" t="n">
        <v>45566</v>
      </c>
      <c r="D1872" t="inlineStr">
        <is>
          <t>VÄSTERBOTTENS LÄN</t>
        </is>
      </c>
      <c r="E1872" t="inlineStr">
        <is>
          <t>SKELLEFTEÅ</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15536-2023</t>
        </is>
      </c>
      <c r="B1873" s="1" t="n">
        <v>45020</v>
      </c>
      <c r="C1873" s="1" t="n">
        <v>45566</v>
      </c>
      <c r="D1873" t="inlineStr">
        <is>
          <t>VÄSTERBOTTENS LÄN</t>
        </is>
      </c>
      <c r="E1873" t="inlineStr">
        <is>
          <t>SKELLEFTEÅ</t>
        </is>
      </c>
      <c r="F1873" t="inlineStr">
        <is>
          <t>Sveaskog</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15479-2023</t>
        </is>
      </c>
      <c r="B1874" s="1" t="n">
        <v>45020</v>
      </c>
      <c r="C1874" s="1" t="n">
        <v>45566</v>
      </c>
      <c r="D1874" t="inlineStr">
        <is>
          <t>VÄSTERBOTTENS LÄN</t>
        </is>
      </c>
      <c r="E1874" t="inlineStr">
        <is>
          <t>SKELLEFTEÅ</t>
        </is>
      </c>
      <c r="F1874" t="inlineStr">
        <is>
          <t>Sveaskog</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15709-2023</t>
        </is>
      </c>
      <c r="B1875" s="1" t="n">
        <v>45020</v>
      </c>
      <c r="C1875" s="1" t="n">
        <v>45566</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15732-2023</t>
        </is>
      </c>
      <c r="B1876" s="1" t="n">
        <v>45020</v>
      </c>
      <c r="C1876" s="1" t="n">
        <v>45566</v>
      </c>
      <c r="D1876" t="inlineStr">
        <is>
          <t>VÄSTERBOTTENS LÄN</t>
        </is>
      </c>
      <c r="E1876" t="inlineStr">
        <is>
          <t>SKELLEFTEÅ</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15570-2023</t>
        </is>
      </c>
      <c r="B1877" s="1" t="n">
        <v>45020</v>
      </c>
      <c r="C1877" s="1" t="n">
        <v>45566</v>
      </c>
      <c r="D1877" t="inlineStr">
        <is>
          <t>VÄSTERBOTTENS LÄN</t>
        </is>
      </c>
      <c r="E1877" t="inlineStr">
        <is>
          <t>SKELLEFTEÅ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15717-2023</t>
        </is>
      </c>
      <c r="B1878" s="1" t="n">
        <v>45020</v>
      </c>
      <c r="C1878" s="1" t="n">
        <v>45566</v>
      </c>
      <c r="D1878" t="inlineStr">
        <is>
          <t>VÄSTERBOTTENS LÄN</t>
        </is>
      </c>
      <c r="E1878" t="inlineStr">
        <is>
          <t>SKELLEFTEÅ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15706-2023</t>
        </is>
      </c>
      <c r="B1879" s="1" t="n">
        <v>45020</v>
      </c>
      <c r="C1879" s="1" t="n">
        <v>45566</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15806-2023</t>
        </is>
      </c>
      <c r="B1880" s="1" t="n">
        <v>45021</v>
      </c>
      <c r="C1880" s="1" t="n">
        <v>45566</v>
      </c>
      <c r="D1880" t="inlineStr">
        <is>
          <t>VÄSTERBOTTENS LÄN</t>
        </is>
      </c>
      <c r="E1880" t="inlineStr">
        <is>
          <t>SKELLEFTEÅ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15825-2023</t>
        </is>
      </c>
      <c r="B1881" s="1" t="n">
        <v>45022</v>
      </c>
      <c r="C1881" s="1" t="n">
        <v>45566</v>
      </c>
      <c r="D1881" t="inlineStr">
        <is>
          <t>VÄSTERBOTTENS LÄN</t>
        </is>
      </c>
      <c r="E1881" t="inlineStr">
        <is>
          <t>SKELLEFTEÅ</t>
        </is>
      </c>
      <c r="F1881" t="inlineStr">
        <is>
          <t>SCA</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15899-2023</t>
        </is>
      </c>
      <c r="B1882" s="1" t="n">
        <v>45021</v>
      </c>
      <c r="C1882" s="1" t="n">
        <v>45566</v>
      </c>
      <c r="D1882" t="inlineStr">
        <is>
          <t>VÄSTERBOTTENS LÄN</t>
        </is>
      </c>
      <c r="E1882" t="inlineStr">
        <is>
          <t>SKELLEFTEÅ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15903-2023</t>
        </is>
      </c>
      <c r="B1883" s="1" t="n">
        <v>45021</v>
      </c>
      <c r="C1883" s="1" t="n">
        <v>45566</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15906-2023</t>
        </is>
      </c>
      <c r="B1884" s="1" t="n">
        <v>45021</v>
      </c>
      <c r="C1884" s="1" t="n">
        <v>45566</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16027-2023</t>
        </is>
      </c>
      <c r="B1885" s="1" t="n">
        <v>45027</v>
      </c>
      <c r="C1885" s="1" t="n">
        <v>45566</v>
      </c>
      <c r="D1885" t="inlineStr">
        <is>
          <t>VÄSTERBOTTENS LÄN</t>
        </is>
      </c>
      <c r="E1885" t="inlineStr">
        <is>
          <t>SKELLEFTEÅ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16183-2023</t>
        </is>
      </c>
      <c r="B1886" s="1" t="n">
        <v>45027</v>
      </c>
      <c r="C1886" s="1" t="n">
        <v>45566</v>
      </c>
      <c r="D1886" t="inlineStr">
        <is>
          <t>VÄSTERBOTTENS LÄN</t>
        </is>
      </c>
      <c r="E1886" t="inlineStr">
        <is>
          <t>SKELLEFTEÅ</t>
        </is>
      </c>
      <c r="G1886" t="n">
        <v>24.7</v>
      </c>
      <c r="H1886" t="n">
        <v>0</v>
      </c>
      <c r="I1886" t="n">
        <v>0</v>
      </c>
      <c r="J1886" t="n">
        <v>0</v>
      </c>
      <c r="K1886" t="n">
        <v>0</v>
      </c>
      <c r="L1886" t="n">
        <v>0</v>
      </c>
      <c r="M1886" t="n">
        <v>0</v>
      </c>
      <c r="N1886" t="n">
        <v>0</v>
      </c>
      <c r="O1886" t="n">
        <v>0</v>
      </c>
      <c r="P1886" t="n">
        <v>0</v>
      </c>
      <c r="Q1886" t="n">
        <v>0</v>
      </c>
      <c r="R1886" s="2" t="inlineStr"/>
    </row>
    <row r="1887" ht="15" customHeight="1">
      <c r="A1887" t="inlineStr">
        <is>
          <t>A 16186-2023</t>
        </is>
      </c>
      <c r="B1887" s="1" t="n">
        <v>45028</v>
      </c>
      <c r="C1887" s="1" t="n">
        <v>45566</v>
      </c>
      <c r="D1887" t="inlineStr">
        <is>
          <t>VÄSTERBOTTENS LÄN</t>
        </is>
      </c>
      <c r="E1887" t="inlineStr">
        <is>
          <t>SKELLEFTEÅ</t>
        </is>
      </c>
      <c r="G1887" t="n">
        <v>12.4</v>
      </c>
      <c r="H1887" t="n">
        <v>0</v>
      </c>
      <c r="I1887" t="n">
        <v>0</v>
      </c>
      <c r="J1887" t="n">
        <v>0</v>
      </c>
      <c r="K1887" t="n">
        <v>0</v>
      </c>
      <c r="L1887" t="n">
        <v>0</v>
      </c>
      <c r="M1887" t="n">
        <v>0</v>
      </c>
      <c r="N1887" t="n">
        <v>0</v>
      </c>
      <c r="O1887" t="n">
        <v>0</v>
      </c>
      <c r="P1887" t="n">
        <v>0</v>
      </c>
      <c r="Q1887" t="n">
        <v>0</v>
      </c>
      <c r="R1887" s="2" t="inlineStr"/>
    </row>
    <row r="1888" ht="15" customHeight="1">
      <c r="A1888" t="inlineStr">
        <is>
          <t>A 16239-2023</t>
        </is>
      </c>
      <c r="B1888" s="1" t="n">
        <v>45028</v>
      </c>
      <c r="C1888" s="1" t="n">
        <v>45566</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16237-2023</t>
        </is>
      </c>
      <c r="B1889" s="1" t="n">
        <v>45028</v>
      </c>
      <c r="C1889" s="1" t="n">
        <v>45566</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16494-2023</t>
        </is>
      </c>
      <c r="B1890" s="1" t="n">
        <v>45029</v>
      </c>
      <c r="C1890" s="1" t="n">
        <v>45566</v>
      </c>
      <c r="D1890" t="inlineStr">
        <is>
          <t>VÄSTERBOTTENS LÄN</t>
        </is>
      </c>
      <c r="E1890" t="inlineStr">
        <is>
          <t>SKELLEFTEÅ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16753-2023</t>
        </is>
      </c>
      <c r="B1891" s="1" t="n">
        <v>45031</v>
      </c>
      <c r="C1891" s="1" t="n">
        <v>45566</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17026-2023</t>
        </is>
      </c>
      <c r="B1892" s="1" t="n">
        <v>45030</v>
      </c>
      <c r="C1892" s="1" t="n">
        <v>45566</v>
      </c>
      <c r="D1892" t="inlineStr">
        <is>
          <t>VÄSTERBOTTENS LÄN</t>
        </is>
      </c>
      <c r="E1892" t="inlineStr">
        <is>
          <t>SKELLEFTEÅ</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17086-2023</t>
        </is>
      </c>
      <c r="B1893" s="1" t="n">
        <v>45030</v>
      </c>
      <c r="C1893" s="1" t="n">
        <v>45566</v>
      </c>
      <c r="D1893" t="inlineStr">
        <is>
          <t>VÄSTERBOTTENS LÄN</t>
        </is>
      </c>
      <c r="E1893" t="inlineStr">
        <is>
          <t>SKELLEFTEÅ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17071-2023</t>
        </is>
      </c>
      <c r="B1894" s="1" t="n">
        <v>45030</v>
      </c>
      <c r="C1894" s="1" t="n">
        <v>45566</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16858-2023</t>
        </is>
      </c>
      <c r="B1895" s="1" t="n">
        <v>45033</v>
      </c>
      <c r="C1895" s="1" t="n">
        <v>45566</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16998-2023</t>
        </is>
      </c>
      <c r="B1896" s="1" t="n">
        <v>45033</v>
      </c>
      <c r="C1896" s="1" t="n">
        <v>45566</v>
      </c>
      <c r="D1896" t="inlineStr">
        <is>
          <t>VÄSTERBOTTENS LÄN</t>
        </is>
      </c>
      <c r="E1896" t="inlineStr">
        <is>
          <t>SKELLEFTEÅ</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17208-2023</t>
        </is>
      </c>
      <c r="B1897" s="1" t="n">
        <v>45035</v>
      </c>
      <c r="C1897" s="1" t="n">
        <v>45566</v>
      </c>
      <c r="D1897" t="inlineStr">
        <is>
          <t>VÄSTERBOTTENS LÄN</t>
        </is>
      </c>
      <c r="E1897" t="inlineStr">
        <is>
          <t>SKELLEFTEÅ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17205-2023</t>
        </is>
      </c>
      <c r="B1898" s="1" t="n">
        <v>45035</v>
      </c>
      <c r="C1898" s="1" t="n">
        <v>45566</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17365-2023</t>
        </is>
      </c>
      <c r="B1899" s="1" t="n">
        <v>45034</v>
      </c>
      <c r="C1899" s="1" t="n">
        <v>45566</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17482-2023</t>
        </is>
      </c>
      <c r="B1900" s="1" t="n">
        <v>45034</v>
      </c>
      <c r="C1900" s="1" t="n">
        <v>45566</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17478-2023</t>
        </is>
      </c>
      <c r="B1901" s="1" t="n">
        <v>45034</v>
      </c>
      <c r="C1901" s="1" t="n">
        <v>45566</v>
      </c>
      <c r="D1901" t="inlineStr">
        <is>
          <t>VÄSTERBOTTENS LÄN</t>
        </is>
      </c>
      <c r="E1901" t="inlineStr">
        <is>
          <t>SKELLEFTEÅ</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17487-2023</t>
        </is>
      </c>
      <c r="B1902" s="1" t="n">
        <v>45034</v>
      </c>
      <c r="C1902" s="1" t="n">
        <v>45566</v>
      </c>
      <c r="D1902" t="inlineStr">
        <is>
          <t>VÄSTERBOTTENS LÄN</t>
        </is>
      </c>
      <c r="E1902" t="inlineStr">
        <is>
          <t>SKELLEFTEÅ</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17483-2023</t>
        </is>
      </c>
      <c r="B1903" s="1" t="n">
        <v>45034</v>
      </c>
      <c r="C1903" s="1" t="n">
        <v>45566</v>
      </c>
      <c r="D1903" t="inlineStr">
        <is>
          <t>VÄSTERBOTTENS LÄN</t>
        </is>
      </c>
      <c r="E1903" t="inlineStr">
        <is>
          <t>SKELLEFTEÅ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17485-2023</t>
        </is>
      </c>
      <c r="B1904" s="1" t="n">
        <v>45034</v>
      </c>
      <c r="C1904" s="1" t="n">
        <v>45566</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17444-2023</t>
        </is>
      </c>
      <c r="B1905" s="1" t="n">
        <v>45036</v>
      </c>
      <c r="C1905" s="1" t="n">
        <v>45566</v>
      </c>
      <c r="D1905" t="inlineStr">
        <is>
          <t>VÄSTERBOTTENS LÄN</t>
        </is>
      </c>
      <c r="E1905" t="inlineStr">
        <is>
          <t>SKELLEFTEÅ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17446-2023</t>
        </is>
      </c>
      <c r="B1906" s="1" t="n">
        <v>45036</v>
      </c>
      <c r="C1906" s="1" t="n">
        <v>45566</v>
      </c>
      <c r="D1906" t="inlineStr">
        <is>
          <t>VÄSTERBOTTENS LÄN</t>
        </is>
      </c>
      <c r="E1906" t="inlineStr">
        <is>
          <t>SKELLEFTEÅ</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17659-2023</t>
        </is>
      </c>
      <c r="B1907" s="1" t="n">
        <v>45037</v>
      </c>
      <c r="C1907" s="1" t="n">
        <v>45566</v>
      </c>
      <c r="D1907" t="inlineStr">
        <is>
          <t>VÄSTERBOTTENS LÄN</t>
        </is>
      </c>
      <c r="E1907" t="inlineStr">
        <is>
          <t>SKELLEFTEÅ</t>
        </is>
      </c>
      <c r="G1907" t="n">
        <v>14.4</v>
      </c>
      <c r="H1907" t="n">
        <v>0</v>
      </c>
      <c r="I1907" t="n">
        <v>0</v>
      </c>
      <c r="J1907" t="n">
        <v>0</v>
      </c>
      <c r="K1907" t="n">
        <v>0</v>
      </c>
      <c r="L1907" t="n">
        <v>0</v>
      </c>
      <c r="M1907" t="n">
        <v>0</v>
      </c>
      <c r="N1907" t="n">
        <v>0</v>
      </c>
      <c r="O1907" t="n">
        <v>0</v>
      </c>
      <c r="P1907" t="n">
        <v>0</v>
      </c>
      <c r="Q1907" t="n">
        <v>0</v>
      </c>
      <c r="R1907" s="2" t="inlineStr"/>
    </row>
    <row r="1908" ht="15" customHeight="1">
      <c r="A1908" t="inlineStr">
        <is>
          <t>A 17755-2023</t>
        </is>
      </c>
      <c r="B1908" s="1" t="n">
        <v>45036</v>
      </c>
      <c r="C1908" s="1" t="n">
        <v>45566</v>
      </c>
      <c r="D1908" t="inlineStr">
        <is>
          <t>VÄSTERBOTTENS LÄN</t>
        </is>
      </c>
      <c r="E1908" t="inlineStr">
        <is>
          <t>SKELLEFTEÅ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17842-2023</t>
        </is>
      </c>
      <c r="B1909" s="1" t="n">
        <v>45037</v>
      </c>
      <c r="C1909" s="1" t="n">
        <v>45566</v>
      </c>
      <c r="D1909" t="inlineStr">
        <is>
          <t>VÄSTERBOTTENS LÄN</t>
        </is>
      </c>
      <c r="E1909" t="inlineStr">
        <is>
          <t>SKELLEFTEÅ</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18035-2023</t>
        </is>
      </c>
      <c r="B1910" s="1" t="n">
        <v>45037</v>
      </c>
      <c r="C1910" s="1" t="n">
        <v>45566</v>
      </c>
      <c r="D1910" t="inlineStr">
        <is>
          <t>VÄSTERBOTTENS LÄN</t>
        </is>
      </c>
      <c r="E1910" t="inlineStr">
        <is>
          <t>SKELLEFTEÅ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18016-2023</t>
        </is>
      </c>
      <c r="B1911" s="1" t="n">
        <v>45040</v>
      </c>
      <c r="C1911" s="1" t="n">
        <v>45566</v>
      </c>
      <c r="D1911" t="inlineStr">
        <is>
          <t>VÄSTERBOTTENS LÄN</t>
        </is>
      </c>
      <c r="E1911" t="inlineStr">
        <is>
          <t>SKELLEFTEÅ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18357-2023</t>
        </is>
      </c>
      <c r="B1912" s="1" t="n">
        <v>45041</v>
      </c>
      <c r="C1912" s="1" t="n">
        <v>45566</v>
      </c>
      <c r="D1912" t="inlineStr">
        <is>
          <t>VÄSTERBOTTENS LÄN</t>
        </is>
      </c>
      <c r="E1912" t="inlineStr">
        <is>
          <t>SKELLEFTEÅ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18455-2023</t>
        </is>
      </c>
      <c r="B1913" s="1" t="n">
        <v>45041</v>
      </c>
      <c r="C1913" s="1" t="n">
        <v>45566</v>
      </c>
      <c r="D1913" t="inlineStr">
        <is>
          <t>VÄSTERBOTTENS LÄN</t>
        </is>
      </c>
      <c r="E1913" t="inlineStr">
        <is>
          <t>SKELLEFTEÅ</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18607-2023</t>
        </is>
      </c>
      <c r="B1914" s="1" t="n">
        <v>45041</v>
      </c>
      <c r="C1914" s="1" t="n">
        <v>45566</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18479-2023</t>
        </is>
      </c>
      <c r="B1915" s="1" t="n">
        <v>45042</v>
      </c>
      <c r="C1915" s="1" t="n">
        <v>45566</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18501-2023</t>
        </is>
      </c>
      <c r="B1916" s="1" t="n">
        <v>45042</v>
      </c>
      <c r="C1916" s="1" t="n">
        <v>45566</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18478-2023</t>
        </is>
      </c>
      <c r="B1917" s="1" t="n">
        <v>45042</v>
      </c>
      <c r="C1917" s="1" t="n">
        <v>45566</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18701-2023</t>
        </is>
      </c>
      <c r="B1918" s="1" t="n">
        <v>45042</v>
      </c>
      <c r="C1918" s="1" t="n">
        <v>45566</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18709-2023</t>
        </is>
      </c>
      <c r="B1919" s="1" t="n">
        <v>45043</v>
      </c>
      <c r="C1919" s="1" t="n">
        <v>45566</v>
      </c>
      <c r="D1919" t="inlineStr">
        <is>
          <t>VÄSTERBOTTENS LÄN</t>
        </is>
      </c>
      <c r="E1919" t="inlineStr">
        <is>
          <t>SKELLEFTEÅ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19066-2023</t>
        </is>
      </c>
      <c r="B1920" s="1" t="n">
        <v>45043</v>
      </c>
      <c r="C1920" s="1" t="n">
        <v>45566</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18975-2023</t>
        </is>
      </c>
      <c r="B1921" s="1" t="n">
        <v>45044</v>
      </c>
      <c r="C1921" s="1" t="n">
        <v>45566</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18819-2023</t>
        </is>
      </c>
      <c r="B1922" s="1" t="n">
        <v>45044</v>
      </c>
      <c r="C1922" s="1" t="n">
        <v>45566</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19073-2023</t>
        </is>
      </c>
      <c r="B1923" s="1" t="n">
        <v>45048</v>
      </c>
      <c r="C1923" s="1" t="n">
        <v>45566</v>
      </c>
      <c r="D1923" t="inlineStr">
        <is>
          <t>VÄSTERBOTTENS LÄN</t>
        </is>
      </c>
      <c r="E1923" t="inlineStr">
        <is>
          <t>SKELLEFTEÅ</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19349-2023</t>
        </is>
      </c>
      <c r="B1924" s="1" t="n">
        <v>45049</v>
      </c>
      <c r="C1924" s="1" t="n">
        <v>45566</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19424-2023</t>
        </is>
      </c>
      <c r="B1925" s="1" t="n">
        <v>45050</v>
      </c>
      <c r="C1925" s="1" t="n">
        <v>45566</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19422-2023</t>
        </is>
      </c>
      <c r="B1926" s="1" t="n">
        <v>45049</v>
      </c>
      <c r="C1926" s="1" t="n">
        <v>45566</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19428-2023</t>
        </is>
      </c>
      <c r="B1927" s="1" t="n">
        <v>45050</v>
      </c>
      <c r="C1927" s="1" t="n">
        <v>45566</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19491-2023</t>
        </is>
      </c>
      <c r="B1928" s="1" t="n">
        <v>45049</v>
      </c>
      <c r="C1928" s="1" t="n">
        <v>45566</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19498-2023</t>
        </is>
      </c>
      <c r="B1929" s="1" t="n">
        <v>45049</v>
      </c>
      <c r="C1929" s="1" t="n">
        <v>45566</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20080-2023</t>
        </is>
      </c>
      <c r="B1930" s="1" t="n">
        <v>45055</v>
      </c>
      <c r="C1930" s="1" t="n">
        <v>45566</v>
      </c>
      <c r="D1930" t="inlineStr">
        <is>
          <t>VÄSTERBOTTENS LÄN</t>
        </is>
      </c>
      <c r="E1930" t="inlineStr">
        <is>
          <t>SKELLEFTEÅ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20301-2023</t>
        </is>
      </c>
      <c r="B1931" s="1" t="n">
        <v>45056</v>
      </c>
      <c r="C1931" s="1" t="n">
        <v>45566</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20290-2023</t>
        </is>
      </c>
      <c r="B1932" s="1" t="n">
        <v>45056</v>
      </c>
      <c r="C1932" s="1" t="n">
        <v>45566</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20499-2023</t>
        </is>
      </c>
      <c r="B1933" s="1" t="n">
        <v>45057</v>
      </c>
      <c r="C1933" s="1" t="n">
        <v>45566</v>
      </c>
      <c r="D1933" t="inlineStr">
        <is>
          <t>VÄSTERBOTTENS LÄN</t>
        </is>
      </c>
      <c r="E1933" t="inlineStr">
        <is>
          <t>SKELLEFTEÅ</t>
        </is>
      </c>
      <c r="F1933" t="inlineStr">
        <is>
          <t>Sveaskog</t>
        </is>
      </c>
      <c r="G1933" t="n">
        <v>12.9</v>
      </c>
      <c r="H1933" t="n">
        <v>0</v>
      </c>
      <c r="I1933" t="n">
        <v>0</v>
      </c>
      <c r="J1933" t="n">
        <v>0</v>
      </c>
      <c r="K1933" t="n">
        <v>0</v>
      </c>
      <c r="L1933" t="n">
        <v>0</v>
      </c>
      <c r="M1933" t="n">
        <v>0</v>
      </c>
      <c r="N1933" t="n">
        <v>0</v>
      </c>
      <c r="O1933" t="n">
        <v>0</v>
      </c>
      <c r="P1933" t="n">
        <v>0</v>
      </c>
      <c r="Q1933" t="n">
        <v>0</v>
      </c>
      <c r="R1933" s="2" t="inlineStr"/>
    </row>
    <row r="1934" ht="15" customHeight="1">
      <c r="A1934" t="inlineStr">
        <is>
          <t>A 21238-2023</t>
        </is>
      </c>
      <c r="B1934" s="1" t="n">
        <v>45058</v>
      </c>
      <c r="C1934" s="1" t="n">
        <v>45566</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21336-2023</t>
        </is>
      </c>
      <c r="B1935" s="1" t="n">
        <v>45062</v>
      </c>
      <c r="C1935" s="1" t="n">
        <v>45566</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21565-2023</t>
        </is>
      </c>
      <c r="B1936" s="1" t="n">
        <v>45062</v>
      </c>
      <c r="C1936" s="1" t="n">
        <v>45566</v>
      </c>
      <c r="D1936" t="inlineStr">
        <is>
          <t>VÄSTERBOTTENS LÄN</t>
        </is>
      </c>
      <c r="E1936" t="inlineStr">
        <is>
          <t>SKELLEFTEÅ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21463-2023</t>
        </is>
      </c>
      <c r="B1937" s="1" t="n">
        <v>45063</v>
      </c>
      <c r="C1937" s="1" t="n">
        <v>45566</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22341-2023</t>
        </is>
      </c>
      <c r="B1938" s="1" t="n">
        <v>45068</v>
      </c>
      <c r="C1938" s="1" t="n">
        <v>45566</v>
      </c>
      <c r="D1938" t="inlineStr">
        <is>
          <t>VÄSTERBOTTENS LÄN</t>
        </is>
      </c>
      <c r="E1938" t="inlineStr">
        <is>
          <t>SKELLEFTEÅ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22351-2023</t>
        </is>
      </c>
      <c r="B1939" s="1" t="n">
        <v>45068</v>
      </c>
      <c r="C1939" s="1" t="n">
        <v>45566</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22334-2023</t>
        </is>
      </c>
      <c r="B1940" s="1" t="n">
        <v>45068</v>
      </c>
      <c r="C1940" s="1" t="n">
        <v>45566</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22062-2023</t>
        </is>
      </c>
      <c r="B1941" s="1" t="n">
        <v>45069</v>
      </c>
      <c r="C1941" s="1" t="n">
        <v>45566</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22121-2023</t>
        </is>
      </c>
      <c r="B1942" s="1" t="n">
        <v>45069</v>
      </c>
      <c r="C1942" s="1" t="n">
        <v>45566</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22060-2023</t>
        </is>
      </c>
      <c r="B1943" s="1" t="n">
        <v>45069</v>
      </c>
      <c r="C1943" s="1" t="n">
        <v>45566</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22064-2023</t>
        </is>
      </c>
      <c r="B1944" s="1" t="n">
        <v>45069</v>
      </c>
      <c r="C1944" s="1" t="n">
        <v>45566</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22025-2023</t>
        </is>
      </c>
      <c r="B1945" s="1" t="n">
        <v>45069</v>
      </c>
      <c r="C1945" s="1" t="n">
        <v>45566</v>
      </c>
      <c r="D1945" t="inlineStr">
        <is>
          <t>VÄSTERBOTTENS LÄN</t>
        </is>
      </c>
      <c r="E1945" t="inlineStr">
        <is>
          <t>SKELLEFTEÅ</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22045-2023</t>
        </is>
      </c>
      <c r="B1946" s="1" t="n">
        <v>45069</v>
      </c>
      <c r="C1946" s="1" t="n">
        <v>45566</v>
      </c>
      <c r="D1946" t="inlineStr">
        <is>
          <t>VÄSTERBOTTENS LÄN</t>
        </is>
      </c>
      <c r="E1946" t="inlineStr">
        <is>
          <t>SKELLEFTEÅ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22516-2023</t>
        </is>
      </c>
      <c r="B1947" s="1" t="n">
        <v>45069</v>
      </c>
      <c r="C1947" s="1" t="n">
        <v>45566</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22548-2023</t>
        </is>
      </c>
      <c r="B1948" s="1" t="n">
        <v>45069</v>
      </c>
      <c r="C1948" s="1" t="n">
        <v>45566</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22020-2023</t>
        </is>
      </c>
      <c r="B1949" s="1" t="n">
        <v>45069</v>
      </c>
      <c r="C1949" s="1" t="n">
        <v>45566</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22344-2023</t>
        </is>
      </c>
      <c r="B1950" s="1" t="n">
        <v>45070</v>
      </c>
      <c r="C1950" s="1" t="n">
        <v>45566</v>
      </c>
      <c r="D1950" t="inlineStr">
        <is>
          <t>VÄSTERBOTTENS LÄN</t>
        </is>
      </c>
      <c r="E1950" t="inlineStr">
        <is>
          <t>SKELLEFTEÅ</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22461-2023</t>
        </is>
      </c>
      <c r="B1951" s="1" t="n">
        <v>45071</v>
      </c>
      <c r="C1951" s="1" t="n">
        <v>45566</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22579-2023</t>
        </is>
      </c>
      <c r="B1952" s="1" t="n">
        <v>45071</v>
      </c>
      <c r="C1952" s="1" t="n">
        <v>45566</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22735-2023</t>
        </is>
      </c>
      <c r="B1953" s="1" t="n">
        <v>45071</v>
      </c>
      <c r="C1953" s="1" t="n">
        <v>45566</v>
      </c>
      <c r="D1953" t="inlineStr">
        <is>
          <t>VÄSTERBOTTENS LÄN</t>
        </is>
      </c>
      <c r="E1953" t="inlineStr">
        <is>
          <t>SKELLEFTEÅ</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23704-2023</t>
        </is>
      </c>
      <c r="B1954" s="1" t="n">
        <v>45075</v>
      </c>
      <c r="C1954" s="1" t="n">
        <v>45566</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23710-2023</t>
        </is>
      </c>
      <c r="B1955" s="1" t="n">
        <v>45075</v>
      </c>
      <c r="C1955" s="1" t="n">
        <v>45566</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23709-2023</t>
        </is>
      </c>
      <c r="B1956" s="1" t="n">
        <v>45075</v>
      </c>
      <c r="C1956" s="1" t="n">
        <v>45566</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23458-2023</t>
        </is>
      </c>
      <c r="B1957" s="1" t="n">
        <v>45076</v>
      </c>
      <c r="C1957" s="1" t="n">
        <v>45566</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23420-2023</t>
        </is>
      </c>
      <c r="B1958" s="1" t="n">
        <v>45076</v>
      </c>
      <c r="C1958" s="1" t="n">
        <v>45566</v>
      </c>
      <c r="D1958" t="inlineStr">
        <is>
          <t>VÄSTERBOTTENS LÄN</t>
        </is>
      </c>
      <c r="E1958" t="inlineStr">
        <is>
          <t>SKELLEFTEÅ</t>
        </is>
      </c>
      <c r="F1958" t="inlineStr">
        <is>
          <t>Holmen skog AB</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23430-2023</t>
        </is>
      </c>
      <c r="B1959" s="1" t="n">
        <v>45076</v>
      </c>
      <c r="C1959" s="1" t="n">
        <v>45566</v>
      </c>
      <c r="D1959" t="inlineStr">
        <is>
          <t>VÄSTERBOTTENS LÄN</t>
        </is>
      </c>
      <c r="E1959" t="inlineStr">
        <is>
          <t>SKELLEFTEÅ</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24430-2023</t>
        </is>
      </c>
      <c r="B1960" s="1" t="n">
        <v>45076</v>
      </c>
      <c r="C1960" s="1" t="n">
        <v>45566</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23714-2023</t>
        </is>
      </c>
      <c r="B1961" s="1" t="n">
        <v>45077</v>
      </c>
      <c r="C1961" s="1" t="n">
        <v>45566</v>
      </c>
      <c r="D1961" t="inlineStr">
        <is>
          <t>VÄSTERBOTTENS LÄN</t>
        </is>
      </c>
      <c r="E1961" t="inlineStr">
        <is>
          <t>SKELLEFTEÅ</t>
        </is>
      </c>
      <c r="F1961" t="inlineStr">
        <is>
          <t>Holmen skog AB</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23757-2023</t>
        </is>
      </c>
      <c r="B1962" s="1" t="n">
        <v>45077</v>
      </c>
      <c r="C1962" s="1" t="n">
        <v>45566</v>
      </c>
      <c r="D1962" t="inlineStr">
        <is>
          <t>VÄSTERBOTTENS LÄN</t>
        </is>
      </c>
      <c r="E1962" t="inlineStr">
        <is>
          <t>SKELLEFTEÅ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23761-2023</t>
        </is>
      </c>
      <c r="B1963" s="1" t="n">
        <v>45077</v>
      </c>
      <c r="C1963" s="1" t="n">
        <v>45566</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23760-2023</t>
        </is>
      </c>
      <c r="B1964" s="1" t="n">
        <v>45077</v>
      </c>
      <c r="C1964" s="1" t="n">
        <v>45566</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23750-2023</t>
        </is>
      </c>
      <c r="B1965" s="1" t="n">
        <v>45077</v>
      </c>
      <c r="C1965" s="1" t="n">
        <v>45566</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23759-2023</t>
        </is>
      </c>
      <c r="B1966" s="1" t="n">
        <v>45077</v>
      </c>
      <c r="C1966" s="1" t="n">
        <v>45566</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25256-2023</t>
        </is>
      </c>
      <c r="B1967" s="1" t="n">
        <v>45079</v>
      </c>
      <c r="C1967" s="1" t="n">
        <v>45566</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25237-2023</t>
        </is>
      </c>
      <c r="B1968" s="1" t="n">
        <v>45079</v>
      </c>
      <c r="C1968" s="1" t="n">
        <v>45566</v>
      </c>
      <c r="D1968" t="inlineStr">
        <is>
          <t>VÄSTERBOTTENS LÄN</t>
        </is>
      </c>
      <c r="E1968" t="inlineStr">
        <is>
          <t>SKELLEFTEÅ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24327-2023</t>
        </is>
      </c>
      <c r="B1969" s="1" t="n">
        <v>45080</v>
      </c>
      <c r="C1969" s="1" t="n">
        <v>45566</v>
      </c>
      <c r="D1969" t="inlineStr">
        <is>
          <t>VÄSTERBOTTENS LÄN</t>
        </is>
      </c>
      <c r="E1969" t="inlineStr">
        <is>
          <t>SKELLEFTEÅ</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24320-2023</t>
        </is>
      </c>
      <c r="B1970" s="1" t="n">
        <v>45080</v>
      </c>
      <c r="C1970" s="1" t="n">
        <v>45566</v>
      </c>
      <c r="D1970" t="inlineStr">
        <is>
          <t>VÄSTERBOTTENS LÄN</t>
        </is>
      </c>
      <c r="E1970" t="inlineStr">
        <is>
          <t>SKELLEFTEÅ</t>
        </is>
      </c>
      <c r="F1970" t="inlineStr">
        <is>
          <t>Sveaskog</t>
        </is>
      </c>
      <c r="G1970" t="n">
        <v>27.5</v>
      </c>
      <c r="H1970" t="n">
        <v>0</v>
      </c>
      <c r="I1970" t="n">
        <v>0</v>
      </c>
      <c r="J1970" t="n">
        <v>0</v>
      </c>
      <c r="K1970" t="n">
        <v>0</v>
      </c>
      <c r="L1970" t="n">
        <v>0</v>
      </c>
      <c r="M1970" t="n">
        <v>0</v>
      </c>
      <c r="N1970" t="n">
        <v>0</v>
      </c>
      <c r="O1970" t="n">
        <v>0</v>
      </c>
      <c r="P1970" t="n">
        <v>0</v>
      </c>
      <c r="Q1970" t="n">
        <v>0</v>
      </c>
      <c r="R1970" s="2" t="inlineStr"/>
    </row>
    <row r="1971" ht="15" customHeight="1">
      <c r="A1971" t="inlineStr">
        <is>
          <t>A 24805-2023</t>
        </is>
      </c>
      <c r="B1971" s="1" t="n">
        <v>45084</v>
      </c>
      <c r="C1971" s="1" t="n">
        <v>45566</v>
      </c>
      <c r="D1971" t="inlineStr">
        <is>
          <t>VÄSTERBOTTENS LÄN</t>
        </is>
      </c>
      <c r="E1971" t="inlineStr">
        <is>
          <t>SKELLEFTEÅ</t>
        </is>
      </c>
      <c r="F1971" t="inlineStr">
        <is>
          <t>Sveaskog</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25632-2023</t>
        </is>
      </c>
      <c r="B1972" s="1" t="n">
        <v>45084</v>
      </c>
      <c r="C1972" s="1" t="n">
        <v>45566</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25634-2023</t>
        </is>
      </c>
      <c r="B1973" s="1" t="n">
        <v>45084</v>
      </c>
      <c r="C1973" s="1" t="n">
        <v>45566</v>
      </c>
      <c r="D1973" t="inlineStr">
        <is>
          <t>VÄSTERBOTTENS LÄN</t>
        </is>
      </c>
      <c r="E1973" t="inlineStr">
        <is>
          <t>SKELLEFTEÅ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25626-2023</t>
        </is>
      </c>
      <c r="B1974" s="1" t="n">
        <v>45084</v>
      </c>
      <c r="C1974" s="1" t="n">
        <v>45566</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25638-2023</t>
        </is>
      </c>
      <c r="B1975" s="1" t="n">
        <v>45084</v>
      </c>
      <c r="C1975" s="1" t="n">
        <v>45566</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24963-2023</t>
        </is>
      </c>
      <c r="B1976" s="1" t="n">
        <v>45085</v>
      </c>
      <c r="C1976" s="1" t="n">
        <v>45566</v>
      </c>
      <c r="D1976" t="inlineStr">
        <is>
          <t>VÄSTERBOTTENS LÄN</t>
        </is>
      </c>
      <c r="E1976" t="inlineStr">
        <is>
          <t>SKELLEFTEÅ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25019-2023</t>
        </is>
      </c>
      <c r="B1977" s="1" t="n">
        <v>45085</v>
      </c>
      <c r="C1977" s="1" t="n">
        <v>45566</v>
      </c>
      <c r="D1977" t="inlineStr">
        <is>
          <t>VÄSTERBOTTENS LÄN</t>
        </is>
      </c>
      <c r="E1977" t="inlineStr">
        <is>
          <t>SKELLEFTEÅ</t>
        </is>
      </c>
      <c r="F1977" t="inlineStr">
        <is>
          <t>Sveaskog</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25401-2023</t>
        </is>
      </c>
      <c r="B1978" s="1" t="n">
        <v>45089</v>
      </c>
      <c r="C1978" s="1" t="n">
        <v>45566</v>
      </c>
      <c r="D1978" t="inlineStr">
        <is>
          <t>VÄSTERBOTTENS LÄN</t>
        </is>
      </c>
      <c r="E1978" t="inlineStr">
        <is>
          <t>SKELLEFTEÅ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25787-2023</t>
        </is>
      </c>
      <c r="B1979" s="1" t="n">
        <v>45090</v>
      </c>
      <c r="C1979" s="1" t="n">
        <v>45566</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26783-2023</t>
        </is>
      </c>
      <c r="B1980" s="1" t="n">
        <v>45090</v>
      </c>
      <c r="C1980" s="1" t="n">
        <v>45566</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26767-2023</t>
        </is>
      </c>
      <c r="B1981" s="1" t="n">
        <v>45090</v>
      </c>
      <c r="C1981" s="1" t="n">
        <v>45566</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26160-2023</t>
        </is>
      </c>
      <c r="B1982" s="1" t="n">
        <v>45091</v>
      </c>
      <c r="C1982" s="1" t="n">
        <v>45566</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26217-2023</t>
        </is>
      </c>
      <c r="B1983" s="1" t="n">
        <v>45091</v>
      </c>
      <c r="C1983" s="1" t="n">
        <v>45566</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26334-2023</t>
        </is>
      </c>
      <c r="B1984" s="1" t="n">
        <v>45091</v>
      </c>
      <c r="C1984" s="1" t="n">
        <v>45566</v>
      </c>
      <c r="D1984" t="inlineStr">
        <is>
          <t>VÄSTERBOTTENS LÄN</t>
        </is>
      </c>
      <c r="E1984" t="inlineStr">
        <is>
          <t>SKELLEFTEÅ</t>
        </is>
      </c>
      <c r="F1984" t="inlineStr">
        <is>
          <t>Sveaskog</t>
        </is>
      </c>
      <c r="G1984" t="n">
        <v>20.4</v>
      </c>
      <c r="H1984" t="n">
        <v>0</v>
      </c>
      <c r="I1984" t="n">
        <v>0</v>
      </c>
      <c r="J1984" t="n">
        <v>0</v>
      </c>
      <c r="K1984" t="n">
        <v>0</v>
      </c>
      <c r="L1984" t="n">
        <v>0</v>
      </c>
      <c r="M1984" t="n">
        <v>0</v>
      </c>
      <c r="N1984" t="n">
        <v>0</v>
      </c>
      <c r="O1984" t="n">
        <v>0</v>
      </c>
      <c r="P1984" t="n">
        <v>0</v>
      </c>
      <c r="Q1984" t="n">
        <v>0</v>
      </c>
      <c r="R1984" s="2" t="inlineStr"/>
    </row>
    <row r="1985" ht="15" customHeight="1">
      <c r="A1985" t="inlineStr">
        <is>
          <t>A 26019-2023</t>
        </is>
      </c>
      <c r="B1985" s="1" t="n">
        <v>45091</v>
      </c>
      <c r="C1985" s="1" t="n">
        <v>45566</v>
      </c>
      <c r="D1985" t="inlineStr">
        <is>
          <t>VÄSTERBOTTENS LÄN</t>
        </is>
      </c>
      <c r="E1985" t="inlineStr">
        <is>
          <t>SKELLEFTEÅ</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26062-2023</t>
        </is>
      </c>
      <c r="B1986" s="1" t="n">
        <v>45091</v>
      </c>
      <c r="C1986" s="1" t="n">
        <v>45566</v>
      </c>
      <c r="D1986" t="inlineStr">
        <is>
          <t>VÄSTERBOTTENS LÄN</t>
        </is>
      </c>
      <c r="E1986" t="inlineStr">
        <is>
          <t>SKELLEFTEÅ</t>
        </is>
      </c>
      <c r="F1986" t="inlineStr">
        <is>
          <t>Holmen skog AB</t>
        </is>
      </c>
      <c r="G1986" t="n">
        <v>16.2</v>
      </c>
      <c r="H1986" t="n">
        <v>0</v>
      </c>
      <c r="I1986" t="n">
        <v>0</v>
      </c>
      <c r="J1986" t="n">
        <v>0</v>
      </c>
      <c r="K1986" t="n">
        <v>0</v>
      </c>
      <c r="L1986" t="n">
        <v>0</v>
      </c>
      <c r="M1986" t="n">
        <v>0</v>
      </c>
      <c r="N1986" t="n">
        <v>0</v>
      </c>
      <c r="O1986" t="n">
        <v>0</v>
      </c>
      <c r="P1986" t="n">
        <v>0</v>
      </c>
      <c r="Q1986" t="n">
        <v>0</v>
      </c>
      <c r="R1986" s="2" t="inlineStr"/>
    </row>
    <row r="1987" ht="15" customHeight="1">
      <c r="A1987" t="inlineStr">
        <is>
          <t>A 26095-2023</t>
        </is>
      </c>
      <c r="B1987" s="1" t="n">
        <v>45091</v>
      </c>
      <c r="C1987" s="1" t="n">
        <v>45566</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26154-2023</t>
        </is>
      </c>
      <c r="B1988" s="1" t="n">
        <v>45091</v>
      </c>
      <c r="C1988" s="1" t="n">
        <v>45566</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26955-2023</t>
        </is>
      </c>
      <c r="B1989" s="1" t="n">
        <v>45091</v>
      </c>
      <c r="C1989" s="1" t="n">
        <v>45566</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26978-2023</t>
        </is>
      </c>
      <c r="B1990" s="1" t="n">
        <v>45091</v>
      </c>
      <c r="C1990" s="1" t="n">
        <v>45566</v>
      </c>
      <c r="D1990" t="inlineStr">
        <is>
          <t>VÄSTERBOTTENS LÄN</t>
        </is>
      </c>
      <c r="E1990" t="inlineStr">
        <is>
          <t>SKELLEFTEÅ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v>
      </c>
      <c r="C1991" s="1" t="n">
        <v>45566</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26632-2023</t>
        </is>
      </c>
      <c r="B1992" s="1" t="n">
        <v>45092</v>
      </c>
      <c r="C1992" s="1" t="n">
        <v>45566</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26648-2023</t>
        </is>
      </c>
      <c r="B1993" s="1" t="n">
        <v>45093</v>
      </c>
      <c r="C1993" s="1" t="n">
        <v>45566</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26649-2023</t>
        </is>
      </c>
      <c r="B1994" s="1" t="n">
        <v>45093</v>
      </c>
      <c r="C1994" s="1" t="n">
        <v>45566</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26645-2023</t>
        </is>
      </c>
      <c r="B1995" s="1" t="n">
        <v>45093</v>
      </c>
      <c r="C1995" s="1" t="n">
        <v>45566</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26631-2023</t>
        </is>
      </c>
      <c r="B1996" s="1" t="n">
        <v>45092</v>
      </c>
      <c r="C1996" s="1" t="n">
        <v>45566</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26686-2023</t>
        </is>
      </c>
      <c r="B1997" s="1" t="n">
        <v>45093</v>
      </c>
      <c r="C1997" s="1" t="n">
        <v>45566</v>
      </c>
      <c r="D1997" t="inlineStr">
        <is>
          <t>VÄSTERBOTTENS LÄN</t>
        </is>
      </c>
      <c r="E1997" t="inlineStr">
        <is>
          <t>SKELLEFTEÅ</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26690-2023</t>
        </is>
      </c>
      <c r="B1998" s="1" t="n">
        <v>45093</v>
      </c>
      <c r="C1998" s="1" t="n">
        <v>45566</v>
      </c>
      <c r="D1998" t="inlineStr">
        <is>
          <t>VÄSTERBOTTENS LÄN</t>
        </is>
      </c>
      <c r="E1998" t="inlineStr">
        <is>
          <t>SKELLEFTEÅ</t>
        </is>
      </c>
      <c r="F1998" t="inlineStr">
        <is>
          <t>Kyrkan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26869-2023</t>
        </is>
      </c>
      <c r="B1999" s="1" t="n">
        <v>45093</v>
      </c>
      <c r="C1999" s="1" t="n">
        <v>45566</v>
      </c>
      <c r="D1999" t="inlineStr">
        <is>
          <t>VÄSTERBOTTENS LÄN</t>
        </is>
      </c>
      <c r="E1999" t="inlineStr">
        <is>
          <t>SKELLEFTEÅ</t>
        </is>
      </c>
      <c r="F1999" t="inlineStr">
        <is>
          <t>Holmen skog AB</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26720-2023</t>
        </is>
      </c>
      <c r="B2000" s="1" t="n">
        <v>45093</v>
      </c>
      <c r="C2000" s="1" t="n">
        <v>45566</v>
      </c>
      <c r="D2000" t="inlineStr">
        <is>
          <t>VÄSTERBOTTENS LÄN</t>
        </is>
      </c>
      <c r="E2000" t="inlineStr">
        <is>
          <t>SKELLEFTEÅ</t>
        </is>
      </c>
      <c r="F2000" t="inlineStr">
        <is>
          <t>Kyrkan</t>
        </is>
      </c>
      <c r="G2000" t="n">
        <v>25.4</v>
      </c>
      <c r="H2000" t="n">
        <v>0</v>
      </c>
      <c r="I2000" t="n">
        <v>0</v>
      </c>
      <c r="J2000" t="n">
        <v>0</v>
      </c>
      <c r="K2000" t="n">
        <v>0</v>
      </c>
      <c r="L2000" t="n">
        <v>0</v>
      </c>
      <c r="M2000" t="n">
        <v>0</v>
      </c>
      <c r="N2000" t="n">
        <v>0</v>
      </c>
      <c r="O2000" t="n">
        <v>0</v>
      </c>
      <c r="P2000" t="n">
        <v>0</v>
      </c>
      <c r="Q2000" t="n">
        <v>0</v>
      </c>
      <c r="R2000" s="2" t="inlineStr"/>
    </row>
    <row r="2001" ht="15" customHeight="1">
      <c r="A2001" t="inlineStr">
        <is>
          <t>A 26900-2023</t>
        </is>
      </c>
      <c r="B2001" s="1" t="n">
        <v>45093</v>
      </c>
      <c r="C2001" s="1" t="n">
        <v>45566</v>
      </c>
      <c r="D2001" t="inlineStr">
        <is>
          <t>VÄSTERBOTTENS LÄN</t>
        </is>
      </c>
      <c r="E2001" t="inlineStr">
        <is>
          <t>SKELLEFTEÅ</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26784-2023</t>
        </is>
      </c>
      <c r="B2002" s="1" t="n">
        <v>45093</v>
      </c>
      <c r="C2002" s="1" t="n">
        <v>45566</v>
      </c>
      <c r="D2002" t="inlineStr">
        <is>
          <t>VÄSTERBOTTENS LÄN</t>
        </is>
      </c>
      <c r="E2002" t="inlineStr">
        <is>
          <t>SKELLEFTEÅ</t>
        </is>
      </c>
      <c r="G2002" t="n">
        <v>19.5</v>
      </c>
      <c r="H2002" t="n">
        <v>0</v>
      </c>
      <c r="I2002" t="n">
        <v>0</v>
      </c>
      <c r="J2002" t="n">
        <v>0</v>
      </c>
      <c r="K2002" t="n">
        <v>0</v>
      </c>
      <c r="L2002" t="n">
        <v>0</v>
      </c>
      <c r="M2002" t="n">
        <v>0</v>
      </c>
      <c r="N2002" t="n">
        <v>0</v>
      </c>
      <c r="O2002" t="n">
        <v>0</v>
      </c>
      <c r="P2002" t="n">
        <v>0</v>
      </c>
      <c r="Q2002" t="n">
        <v>0</v>
      </c>
      <c r="R2002" s="2" t="inlineStr"/>
    </row>
    <row r="2003" ht="15" customHeight="1">
      <c r="A2003" t="inlineStr">
        <is>
          <t>A 27785-2023</t>
        </is>
      </c>
      <c r="B2003" s="1" t="n">
        <v>45093</v>
      </c>
      <c r="C2003" s="1" t="n">
        <v>45566</v>
      </c>
      <c r="D2003" t="inlineStr">
        <is>
          <t>VÄSTERBOTTENS LÄN</t>
        </is>
      </c>
      <c r="E2003" t="inlineStr">
        <is>
          <t>SKELLEFTEÅ</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27097-2023</t>
        </is>
      </c>
      <c r="B2004" s="1" t="n">
        <v>45096</v>
      </c>
      <c r="C2004" s="1" t="n">
        <v>45566</v>
      </c>
      <c r="D2004" t="inlineStr">
        <is>
          <t>VÄSTERBOTTENS LÄN</t>
        </is>
      </c>
      <c r="E2004" t="inlineStr">
        <is>
          <t>SKELLEFTEÅ</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27134-2023</t>
        </is>
      </c>
      <c r="B2005" s="1" t="n">
        <v>45096</v>
      </c>
      <c r="C2005" s="1" t="n">
        <v>45566</v>
      </c>
      <c r="D2005" t="inlineStr">
        <is>
          <t>VÄSTERBOTTENS LÄN</t>
        </is>
      </c>
      <c r="E2005" t="inlineStr">
        <is>
          <t>SKELLEFTEÅ</t>
        </is>
      </c>
      <c r="F2005" t="inlineStr">
        <is>
          <t>Holmen skog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27210-2023</t>
        </is>
      </c>
      <c r="B2006" s="1" t="n">
        <v>45096</v>
      </c>
      <c r="C2006" s="1" t="n">
        <v>45566</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27200-2023</t>
        </is>
      </c>
      <c r="B2007" s="1" t="n">
        <v>45096</v>
      </c>
      <c r="C2007" s="1" t="n">
        <v>45566</v>
      </c>
      <c r="D2007" t="inlineStr">
        <is>
          <t>VÄSTERBOTTENS LÄN</t>
        </is>
      </c>
      <c r="E2007" t="inlineStr">
        <is>
          <t>SKELLEFTEÅ</t>
        </is>
      </c>
      <c r="F2007" t="inlineStr">
        <is>
          <t>Holmen skog AB</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27333-2023</t>
        </is>
      </c>
      <c r="B2008" s="1" t="n">
        <v>45096</v>
      </c>
      <c r="C2008" s="1" t="n">
        <v>45566</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27323-2023</t>
        </is>
      </c>
      <c r="B2009" s="1" t="n">
        <v>45096</v>
      </c>
      <c r="C2009" s="1" t="n">
        <v>45566</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28153-2023</t>
        </is>
      </c>
      <c r="B2010" s="1" t="n">
        <v>45096</v>
      </c>
      <c r="C2010" s="1" t="n">
        <v>45566</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28166-2023</t>
        </is>
      </c>
      <c r="B2011" s="1" t="n">
        <v>45096</v>
      </c>
      <c r="C2011" s="1" t="n">
        <v>45566</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28113-2023</t>
        </is>
      </c>
      <c r="B2012" s="1" t="n">
        <v>45096</v>
      </c>
      <c r="C2012" s="1" t="n">
        <v>45566</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28158-2023</t>
        </is>
      </c>
      <c r="B2013" s="1" t="n">
        <v>45096</v>
      </c>
      <c r="C2013" s="1" t="n">
        <v>45566</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28171-2023</t>
        </is>
      </c>
      <c r="B2014" s="1" t="n">
        <v>45096</v>
      </c>
      <c r="C2014" s="1" t="n">
        <v>45566</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28203-2023</t>
        </is>
      </c>
      <c r="B2015" s="1" t="n">
        <v>45096</v>
      </c>
      <c r="C2015" s="1" t="n">
        <v>45566</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27322-2023</t>
        </is>
      </c>
      <c r="B2016" s="1" t="n">
        <v>45096</v>
      </c>
      <c r="C2016" s="1" t="n">
        <v>45566</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28191-2023</t>
        </is>
      </c>
      <c r="B2017" s="1" t="n">
        <v>45096</v>
      </c>
      <c r="C2017" s="1" t="n">
        <v>45566</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28192-2023</t>
        </is>
      </c>
      <c r="B2018" s="1" t="n">
        <v>45096</v>
      </c>
      <c r="C2018" s="1" t="n">
        <v>45566</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28175-2023</t>
        </is>
      </c>
      <c r="B2019" s="1" t="n">
        <v>45096</v>
      </c>
      <c r="C2019" s="1" t="n">
        <v>45566</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27433-2023</t>
        </is>
      </c>
      <c r="B2020" s="1" t="n">
        <v>45097</v>
      </c>
      <c r="C2020" s="1" t="n">
        <v>45566</v>
      </c>
      <c r="D2020" t="inlineStr">
        <is>
          <t>VÄSTERBOTTENS LÄN</t>
        </is>
      </c>
      <c r="E2020" t="inlineStr">
        <is>
          <t>SKELLEFTEÅ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27504-2023</t>
        </is>
      </c>
      <c r="B2021" s="1" t="n">
        <v>45097</v>
      </c>
      <c r="C2021" s="1" t="n">
        <v>45566</v>
      </c>
      <c r="D2021" t="inlineStr">
        <is>
          <t>VÄSTERBOTTENS LÄN</t>
        </is>
      </c>
      <c r="E2021" t="inlineStr">
        <is>
          <t>SKELLEFTEÅ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27508-2023</t>
        </is>
      </c>
      <c r="B2022" s="1" t="n">
        <v>45097</v>
      </c>
      <c r="C2022" s="1" t="n">
        <v>45566</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27614-2023</t>
        </is>
      </c>
      <c r="B2023" s="1" t="n">
        <v>45097</v>
      </c>
      <c r="C2023" s="1" t="n">
        <v>45566</v>
      </c>
      <c r="D2023" t="inlineStr">
        <is>
          <t>VÄSTERBOTTENS LÄN</t>
        </is>
      </c>
      <c r="E2023" t="inlineStr">
        <is>
          <t>SKELLEFTEÅ</t>
        </is>
      </c>
      <c r="F2023" t="inlineStr">
        <is>
          <t>Holmen skog AB</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27670-2023</t>
        </is>
      </c>
      <c r="B2024" s="1" t="n">
        <v>45097</v>
      </c>
      <c r="C2024" s="1" t="n">
        <v>45566</v>
      </c>
      <c r="D2024" t="inlineStr">
        <is>
          <t>VÄSTERBOTTENS LÄN</t>
        </is>
      </c>
      <c r="E2024" t="inlineStr">
        <is>
          <t>SKELLEFTEÅ</t>
        </is>
      </c>
      <c r="F2024" t="inlineStr">
        <is>
          <t>Sveaskog</t>
        </is>
      </c>
      <c r="G2024" t="n">
        <v>11.6</v>
      </c>
      <c r="H2024" t="n">
        <v>0</v>
      </c>
      <c r="I2024" t="n">
        <v>0</v>
      </c>
      <c r="J2024" t="n">
        <v>0</v>
      </c>
      <c r="K2024" t="n">
        <v>0</v>
      </c>
      <c r="L2024" t="n">
        <v>0</v>
      </c>
      <c r="M2024" t="n">
        <v>0</v>
      </c>
      <c r="N2024" t="n">
        <v>0</v>
      </c>
      <c r="O2024" t="n">
        <v>0</v>
      </c>
      <c r="P2024" t="n">
        <v>0</v>
      </c>
      <c r="Q2024" t="n">
        <v>0</v>
      </c>
      <c r="R2024" s="2" t="inlineStr"/>
    </row>
    <row r="2025" ht="15" customHeight="1">
      <c r="A2025" t="inlineStr">
        <is>
          <t>A 27766-2023</t>
        </is>
      </c>
      <c r="B2025" s="1" t="n">
        <v>45098</v>
      </c>
      <c r="C2025" s="1" t="n">
        <v>45566</v>
      </c>
      <c r="D2025" t="inlineStr">
        <is>
          <t>VÄSTERBOTTENS LÄN</t>
        </is>
      </c>
      <c r="E2025" t="inlineStr">
        <is>
          <t>SKELLEFTEÅ</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27829-2023</t>
        </is>
      </c>
      <c r="B2026" s="1" t="n">
        <v>45098</v>
      </c>
      <c r="C2026" s="1" t="n">
        <v>45566</v>
      </c>
      <c r="D2026" t="inlineStr">
        <is>
          <t>VÄSTERBOTTENS LÄN</t>
        </is>
      </c>
      <c r="E2026" t="inlineStr">
        <is>
          <t>SKELLEFTEÅ</t>
        </is>
      </c>
      <c r="F2026" t="inlineStr">
        <is>
          <t>Holmen skog AB</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27807-2023</t>
        </is>
      </c>
      <c r="B2027" s="1" t="n">
        <v>45098</v>
      </c>
      <c r="C2027" s="1" t="n">
        <v>45566</v>
      </c>
      <c r="D2027" t="inlineStr">
        <is>
          <t>VÄSTERBOTTENS LÄN</t>
        </is>
      </c>
      <c r="E2027" t="inlineStr">
        <is>
          <t>SKELLEFTEÅ</t>
        </is>
      </c>
      <c r="F2027" t="inlineStr">
        <is>
          <t>Holmen skog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27900-2023</t>
        </is>
      </c>
      <c r="B2028" s="1" t="n">
        <v>45098</v>
      </c>
      <c r="C2028" s="1" t="n">
        <v>45566</v>
      </c>
      <c r="D2028" t="inlineStr">
        <is>
          <t>VÄSTERBOTTENS LÄN</t>
        </is>
      </c>
      <c r="E2028" t="inlineStr">
        <is>
          <t>SKELLEFTEÅ</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27925-2023</t>
        </is>
      </c>
      <c r="B2029" s="1" t="n">
        <v>45098</v>
      </c>
      <c r="C2029" s="1" t="n">
        <v>45566</v>
      </c>
      <c r="D2029" t="inlineStr">
        <is>
          <t>VÄSTERBOTTENS LÄN</t>
        </is>
      </c>
      <c r="E2029" t="inlineStr">
        <is>
          <t>SKELLEFTEÅ</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27794-2023</t>
        </is>
      </c>
      <c r="B2030" s="1" t="n">
        <v>45098</v>
      </c>
      <c r="C2030" s="1" t="n">
        <v>45566</v>
      </c>
      <c r="D2030" t="inlineStr">
        <is>
          <t>VÄSTERBOTTENS LÄN</t>
        </is>
      </c>
      <c r="E2030" t="inlineStr">
        <is>
          <t>SKELLEFTEÅ</t>
        </is>
      </c>
      <c r="F2030" t="inlineStr">
        <is>
          <t>Holmen skog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29601-2023</t>
        </is>
      </c>
      <c r="B2031" s="1" t="n">
        <v>45098</v>
      </c>
      <c r="C2031" s="1" t="n">
        <v>45566</v>
      </c>
      <c r="D2031" t="inlineStr">
        <is>
          <t>VÄSTERBOTTENS LÄN</t>
        </is>
      </c>
      <c r="E2031" t="inlineStr">
        <is>
          <t>SKELLEFTEÅ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28148-2023</t>
        </is>
      </c>
      <c r="B2032" s="1" t="n">
        <v>45099</v>
      </c>
      <c r="C2032" s="1" t="n">
        <v>45566</v>
      </c>
      <c r="D2032" t="inlineStr">
        <is>
          <t>VÄSTERBOTTENS LÄN</t>
        </is>
      </c>
      <c r="E2032" t="inlineStr">
        <is>
          <t>SKELLEFTEÅ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28142-2023</t>
        </is>
      </c>
      <c r="B2033" s="1" t="n">
        <v>45099</v>
      </c>
      <c r="C2033" s="1" t="n">
        <v>45566</v>
      </c>
      <c r="D2033" t="inlineStr">
        <is>
          <t>VÄSTERBOTTENS LÄN</t>
        </is>
      </c>
      <c r="E2033" t="inlineStr">
        <is>
          <t>SKELLEFTEÅ</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28185-2023</t>
        </is>
      </c>
      <c r="B2034" s="1" t="n">
        <v>45099</v>
      </c>
      <c r="C2034" s="1" t="n">
        <v>45566</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28242-2023</t>
        </is>
      </c>
      <c r="B2035" s="1" t="n">
        <v>45099</v>
      </c>
      <c r="C2035" s="1" t="n">
        <v>45566</v>
      </c>
      <c r="D2035" t="inlineStr">
        <is>
          <t>VÄSTERBOTTENS LÄN</t>
        </is>
      </c>
      <c r="E2035" t="inlineStr">
        <is>
          <t>SKELLEFTEÅ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28160-2023</t>
        </is>
      </c>
      <c r="B2036" s="1" t="n">
        <v>45099</v>
      </c>
      <c r="C2036" s="1" t="n">
        <v>45566</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28199-2023</t>
        </is>
      </c>
      <c r="B2037" s="1" t="n">
        <v>45099</v>
      </c>
      <c r="C2037" s="1" t="n">
        <v>45566</v>
      </c>
      <c r="D2037" t="inlineStr">
        <is>
          <t>VÄSTERBOTTENS LÄN</t>
        </is>
      </c>
      <c r="E2037" t="inlineStr">
        <is>
          <t>SKELLEFTEÅ</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28360-2023</t>
        </is>
      </c>
      <c r="B2038" s="1" t="n">
        <v>45100</v>
      </c>
      <c r="C2038" s="1" t="n">
        <v>45566</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28358-2023</t>
        </is>
      </c>
      <c r="B2039" s="1" t="n">
        <v>45100</v>
      </c>
      <c r="C2039" s="1" t="n">
        <v>45566</v>
      </c>
      <c r="D2039" t="inlineStr">
        <is>
          <t>VÄSTERBOTTENS LÄN</t>
        </is>
      </c>
      <c r="E2039" t="inlineStr">
        <is>
          <t>SKELLEFTEÅ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29921-2023</t>
        </is>
      </c>
      <c r="B2040" s="1" t="n">
        <v>45099</v>
      </c>
      <c r="C2040" s="1" t="n">
        <v>45566</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30097-2023</t>
        </is>
      </c>
      <c r="B2041" s="1" t="n">
        <v>45099</v>
      </c>
      <c r="C2041" s="1" t="n">
        <v>45566</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30103-2023</t>
        </is>
      </c>
      <c r="B2042" s="1" t="n">
        <v>45099</v>
      </c>
      <c r="C2042" s="1" t="n">
        <v>45566</v>
      </c>
      <c r="D2042" t="inlineStr">
        <is>
          <t>VÄSTERBOTTENS LÄN</t>
        </is>
      </c>
      <c r="E2042" t="inlineStr">
        <is>
          <t>SKELLEFTEÅ</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30437-2023</t>
        </is>
      </c>
      <c r="B2043" s="1" t="n">
        <v>45099</v>
      </c>
      <c r="C2043" s="1" t="n">
        <v>45566</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30378-2023</t>
        </is>
      </c>
      <c r="B2044" s="1" t="n">
        <v>45099</v>
      </c>
      <c r="C2044" s="1" t="n">
        <v>45566</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28431-2023</t>
        </is>
      </c>
      <c r="B2045" s="1" t="n">
        <v>45102</v>
      </c>
      <c r="C2045" s="1" t="n">
        <v>45566</v>
      </c>
      <c r="D2045" t="inlineStr">
        <is>
          <t>VÄSTERBOTTENS LÄN</t>
        </is>
      </c>
      <c r="E2045" t="inlineStr">
        <is>
          <t>SKELLEFTEÅ</t>
        </is>
      </c>
      <c r="G2045" t="n">
        <v>8.9</v>
      </c>
      <c r="H2045" t="n">
        <v>0</v>
      </c>
      <c r="I2045" t="n">
        <v>0</v>
      </c>
      <c r="J2045" t="n">
        <v>0</v>
      </c>
      <c r="K2045" t="n">
        <v>0</v>
      </c>
      <c r="L2045" t="n">
        <v>0</v>
      </c>
      <c r="M2045" t="n">
        <v>0</v>
      </c>
      <c r="N2045" t="n">
        <v>0</v>
      </c>
      <c r="O2045" t="n">
        <v>0</v>
      </c>
      <c r="P2045" t="n">
        <v>0</v>
      </c>
      <c r="Q2045" t="n">
        <v>0</v>
      </c>
      <c r="R2045" s="2" t="inlineStr"/>
      <c r="U2045">
        <f>HYPERLINK("https://klasma.github.io/Logging_2482/knärot/A 28431-2023 karta knärot.png", "A 28431-2023")</f>
        <v/>
      </c>
      <c r="V2045">
        <f>HYPERLINK("https://klasma.github.io/Logging_2482/klagomål/A 28431-2023 FSC-klagomål.docx", "A 28431-2023")</f>
        <v/>
      </c>
      <c r="W2045">
        <f>HYPERLINK("https://klasma.github.io/Logging_2482/klagomålsmail/A 28431-2023 FSC-klagomål mail.docx", "A 28431-2023")</f>
        <v/>
      </c>
      <c r="X2045">
        <f>HYPERLINK("https://klasma.github.io/Logging_2482/tillsyn/A 28431-2023 tillsynsbegäran.docx", "A 28431-2023")</f>
        <v/>
      </c>
      <c r="Y2045">
        <f>HYPERLINK("https://klasma.github.io/Logging_2482/tillsynsmail/A 28431-2023 tillsynsbegäran mail.docx", "A 28431-2023")</f>
        <v/>
      </c>
    </row>
    <row r="2046" ht="15" customHeight="1">
      <c r="A2046" t="inlineStr">
        <is>
          <t>A 28433-2023</t>
        </is>
      </c>
      <c r="B2046" s="1" t="n">
        <v>45102</v>
      </c>
      <c r="C2046" s="1" t="n">
        <v>45566</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28509-2023</t>
        </is>
      </c>
      <c r="B2047" s="1" t="n">
        <v>45103</v>
      </c>
      <c r="C2047" s="1" t="n">
        <v>45566</v>
      </c>
      <c r="D2047" t="inlineStr">
        <is>
          <t>VÄSTERBOTTENS LÄN</t>
        </is>
      </c>
      <c r="E2047" t="inlineStr">
        <is>
          <t>SKELLEFTEÅ</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28641-2023</t>
        </is>
      </c>
      <c r="B2048" s="1" t="n">
        <v>45103</v>
      </c>
      <c r="C2048" s="1" t="n">
        <v>45566</v>
      </c>
      <c r="D2048" t="inlineStr">
        <is>
          <t>VÄSTERBOTTENS LÄN</t>
        </is>
      </c>
      <c r="E2048" t="inlineStr">
        <is>
          <t>SKELLEFTEÅ</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28710-2023</t>
        </is>
      </c>
      <c r="B2049" s="1" t="n">
        <v>45103</v>
      </c>
      <c r="C2049" s="1" t="n">
        <v>45566</v>
      </c>
      <c r="D2049" t="inlineStr">
        <is>
          <t>VÄSTERBOTTENS LÄN</t>
        </is>
      </c>
      <c r="E2049" t="inlineStr">
        <is>
          <t>SKELLEFTEÅ</t>
        </is>
      </c>
      <c r="F2049" t="inlineStr">
        <is>
          <t>Sveaskog</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31006-2023</t>
        </is>
      </c>
      <c r="B2050" s="1" t="n">
        <v>45103</v>
      </c>
      <c r="C2050" s="1" t="n">
        <v>45566</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31555-2023</t>
        </is>
      </c>
      <c r="B2051" s="1" t="n">
        <v>45104</v>
      </c>
      <c r="C2051" s="1" t="n">
        <v>45566</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31558-2023</t>
        </is>
      </c>
      <c r="B2052" s="1" t="n">
        <v>45104</v>
      </c>
      <c r="C2052" s="1" t="n">
        <v>45566</v>
      </c>
      <c r="D2052" t="inlineStr">
        <is>
          <t>VÄSTERBOTTENS LÄN</t>
        </is>
      </c>
      <c r="E2052" t="inlineStr">
        <is>
          <t>SKELLEFTEÅ</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29152-2023</t>
        </is>
      </c>
      <c r="B2053" s="1" t="n">
        <v>45105</v>
      </c>
      <c r="C2053" s="1" t="n">
        <v>45566</v>
      </c>
      <c r="D2053" t="inlineStr">
        <is>
          <t>VÄSTERBOTTENS LÄN</t>
        </is>
      </c>
      <c r="E2053" t="inlineStr">
        <is>
          <t>SKELLEFTEÅ</t>
        </is>
      </c>
      <c r="F2053" t="inlineStr">
        <is>
          <t>Holmen skog AB</t>
        </is>
      </c>
      <c r="G2053" t="n">
        <v>18.5</v>
      </c>
      <c r="H2053" t="n">
        <v>0</v>
      </c>
      <c r="I2053" t="n">
        <v>0</v>
      </c>
      <c r="J2053" t="n">
        <v>0</v>
      </c>
      <c r="K2053" t="n">
        <v>0</v>
      </c>
      <c r="L2053" t="n">
        <v>0</v>
      </c>
      <c r="M2053" t="n">
        <v>0</v>
      </c>
      <c r="N2053" t="n">
        <v>0</v>
      </c>
      <c r="O2053" t="n">
        <v>0</v>
      </c>
      <c r="P2053" t="n">
        <v>0</v>
      </c>
      <c r="Q2053" t="n">
        <v>0</v>
      </c>
      <c r="R2053" s="2" t="inlineStr"/>
    </row>
    <row r="2054" ht="15" customHeight="1">
      <c r="A2054" t="inlineStr">
        <is>
          <t>A 29313-2023</t>
        </is>
      </c>
      <c r="B2054" s="1" t="n">
        <v>45106</v>
      </c>
      <c r="C2054" s="1" t="n">
        <v>45566</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29355-2023</t>
        </is>
      </c>
      <c r="B2055" s="1" t="n">
        <v>45106</v>
      </c>
      <c r="C2055" s="1" t="n">
        <v>45566</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29520-2023</t>
        </is>
      </c>
      <c r="B2056" s="1" t="n">
        <v>45106</v>
      </c>
      <c r="C2056" s="1" t="n">
        <v>45566</v>
      </c>
      <c r="D2056" t="inlineStr">
        <is>
          <t>VÄSTERBOTTENS LÄN</t>
        </is>
      </c>
      <c r="E2056" t="inlineStr">
        <is>
          <t>SKELLEFTEÅ</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29596-2023</t>
        </is>
      </c>
      <c r="B2057" s="1" t="n">
        <v>45107</v>
      </c>
      <c r="C2057" s="1" t="n">
        <v>45566</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29595-2023</t>
        </is>
      </c>
      <c r="B2058" s="1" t="n">
        <v>45107</v>
      </c>
      <c r="C2058" s="1" t="n">
        <v>45566</v>
      </c>
      <c r="D2058" t="inlineStr">
        <is>
          <t>VÄSTERBOTTENS LÄN</t>
        </is>
      </c>
      <c r="E2058" t="inlineStr">
        <is>
          <t>SKELLEFTEÅ</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31760-2023</t>
        </is>
      </c>
      <c r="B2059" s="1" t="n">
        <v>45106</v>
      </c>
      <c r="C2059" s="1" t="n">
        <v>45566</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29887-2023</t>
        </is>
      </c>
      <c r="B2060" s="1" t="n">
        <v>45107</v>
      </c>
      <c r="C2060" s="1" t="n">
        <v>45566</v>
      </c>
      <c r="D2060" t="inlineStr">
        <is>
          <t>VÄSTERBOTTENS LÄN</t>
        </is>
      </c>
      <c r="E2060" t="inlineStr">
        <is>
          <t>SKELLEFTEÅ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29891-2023</t>
        </is>
      </c>
      <c r="B2061" s="1" t="n">
        <v>45107</v>
      </c>
      <c r="C2061" s="1" t="n">
        <v>45566</v>
      </c>
      <c r="D2061" t="inlineStr">
        <is>
          <t>VÄSTERBOTTENS LÄN</t>
        </is>
      </c>
      <c r="E2061" t="inlineStr">
        <is>
          <t>SKELLEFTEÅ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29890-2023</t>
        </is>
      </c>
      <c r="B2062" s="1" t="n">
        <v>45107</v>
      </c>
      <c r="C2062" s="1" t="n">
        <v>45566</v>
      </c>
      <c r="D2062" t="inlineStr">
        <is>
          <t>VÄSTERBOTTENS LÄN</t>
        </is>
      </c>
      <c r="E2062" t="inlineStr">
        <is>
          <t>SKELLEFTEÅ</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29932-2023</t>
        </is>
      </c>
      <c r="B2063" s="1" t="n">
        <v>45107</v>
      </c>
      <c r="C2063" s="1" t="n">
        <v>45566</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29967-2023</t>
        </is>
      </c>
      <c r="B2064" s="1" t="n">
        <v>45108</v>
      </c>
      <c r="C2064" s="1" t="n">
        <v>45566</v>
      </c>
      <c r="D2064" t="inlineStr">
        <is>
          <t>VÄSTERBOTTENS LÄN</t>
        </is>
      </c>
      <c r="E2064" t="inlineStr">
        <is>
          <t>SKELLEFTEÅ</t>
        </is>
      </c>
      <c r="F2064" t="inlineStr">
        <is>
          <t>Holmen skog AB</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29968-2023</t>
        </is>
      </c>
      <c r="B2065" s="1" t="n">
        <v>45108</v>
      </c>
      <c r="C2065" s="1" t="n">
        <v>45566</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29976-2023</t>
        </is>
      </c>
      <c r="B2066" s="1" t="n">
        <v>45108</v>
      </c>
      <c r="C2066" s="1" t="n">
        <v>45566</v>
      </c>
      <c r="D2066" t="inlineStr">
        <is>
          <t>VÄSTERBOTTENS LÄN</t>
        </is>
      </c>
      <c r="E2066" t="inlineStr">
        <is>
          <t>SKELLEFTEÅ</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29970-2023</t>
        </is>
      </c>
      <c r="B2067" s="1" t="n">
        <v>45108</v>
      </c>
      <c r="C2067" s="1" t="n">
        <v>45566</v>
      </c>
      <c r="D2067" t="inlineStr">
        <is>
          <t>VÄSTERBOTTENS LÄN</t>
        </is>
      </c>
      <c r="E2067" t="inlineStr">
        <is>
          <t>SKELLEFTEÅ</t>
        </is>
      </c>
      <c r="F2067" t="inlineStr">
        <is>
          <t>Holmen skog AB</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29974-2023</t>
        </is>
      </c>
      <c r="B2068" s="1" t="n">
        <v>45108</v>
      </c>
      <c r="C2068" s="1" t="n">
        <v>45566</v>
      </c>
      <c r="D2068" t="inlineStr">
        <is>
          <t>VÄSTERBOTTENS LÄN</t>
        </is>
      </c>
      <c r="E2068" t="inlineStr">
        <is>
          <t>SKELLEFTEÅ</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30010-2023</t>
        </is>
      </c>
      <c r="B2069" s="1" t="n">
        <v>45109</v>
      </c>
      <c r="C2069" s="1" t="n">
        <v>45566</v>
      </c>
      <c r="D2069" t="inlineStr">
        <is>
          <t>VÄSTERBOTTENS LÄN</t>
        </is>
      </c>
      <c r="E2069" t="inlineStr">
        <is>
          <t>SKELLEFTEÅ</t>
        </is>
      </c>
      <c r="F2069" t="inlineStr">
        <is>
          <t>Sveaskog</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30212-2023</t>
        </is>
      </c>
      <c r="B2070" s="1" t="n">
        <v>45110</v>
      </c>
      <c r="C2070" s="1" t="n">
        <v>45566</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30485-2023</t>
        </is>
      </c>
      <c r="B2071" s="1" t="n">
        <v>45111</v>
      </c>
      <c r="C2071" s="1" t="n">
        <v>45566</v>
      </c>
      <c r="D2071" t="inlineStr">
        <is>
          <t>VÄSTERBOTTENS LÄN</t>
        </is>
      </c>
      <c r="E2071" t="inlineStr">
        <is>
          <t>SKELLEFTEÅ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30329-2023</t>
        </is>
      </c>
      <c r="B2072" s="1" t="n">
        <v>45111</v>
      </c>
      <c r="C2072" s="1" t="n">
        <v>45566</v>
      </c>
      <c r="D2072" t="inlineStr">
        <is>
          <t>VÄSTERBOTTENS LÄN</t>
        </is>
      </c>
      <c r="E2072" t="inlineStr">
        <is>
          <t>SKELLEFTEÅ</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30540-2023</t>
        </is>
      </c>
      <c r="B2073" s="1" t="n">
        <v>45111</v>
      </c>
      <c r="C2073" s="1" t="n">
        <v>45566</v>
      </c>
      <c r="D2073" t="inlineStr">
        <is>
          <t>VÄSTERBOTTENS LÄN</t>
        </is>
      </c>
      <c r="E2073" t="inlineStr">
        <is>
          <t>SKELLEFTEÅ</t>
        </is>
      </c>
      <c r="F2073" t="inlineStr">
        <is>
          <t>Holmen skog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30369-2023</t>
        </is>
      </c>
      <c r="B2074" s="1" t="n">
        <v>45111</v>
      </c>
      <c r="C2074" s="1" t="n">
        <v>45566</v>
      </c>
      <c r="D2074" t="inlineStr">
        <is>
          <t>VÄSTERBOTTENS LÄN</t>
        </is>
      </c>
      <c r="E2074" t="inlineStr">
        <is>
          <t>SKELLEFTEÅ</t>
        </is>
      </c>
      <c r="F2074" t="inlineStr">
        <is>
          <t>Holmen skog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30686-2023</t>
        </is>
      </c>
      <c r="B2075" s="1" t="n">
        <v>45112</v>
      </c>
      <c r="C2075" s="1" t="n">
        <v>45566</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30698-2023</t>
        </is>
      </c>
      <c r="B2076" s="1" t="n">
        <v>45112</v>
      </c>
      <c r="C2076" s="1" t="n">
        <v>45566</v>
      </c>
      <c r="D2076" t="inlineStr">
        <is>
          <t>VÄSTERBOTTENS LÄN</t>
        </is>
      </c>
      <c r="E2076" t="inlineStr">
        <is>
          <t>SKELLEFTEÅ</t>
        </is>
      </c>
      <c r="F2076" t="inlineStr">
        <is>
          <t>Sveaskog</t>
        </is>
      </c>
      <c r="G2076" t="n">
        <v>20.9</v>
      </c>
      <c r="H2076" t="n">
        <v>0</v>
      </c>
      <c r="I2076" t="n">
        <v>0</v>
      </c>
      <c r="J2076" t="n">
        <v>0</v>
      </c>
      <c r="K2076" t="n">
        <v>0</v>
      </c>
      <c r="L2076" t="n">
        <v>0</v>
      </c>
      <c r="M2076" t="n">
        <v>0</v>
      </c>
      <c r="N2076" t="n">
        <v>0</v>
      </c>
      <c r="O2076" t="n">
        <v>0</v>
      </c>
      <c r="P2076" t="n">
        <v>0</v>
      </c>
      <c r="Q2076" t="n">
        <v>0</v>
      </c>
      <c r="R2076" s="2" t="inlineStr"/>
    </row>
    <row r="2077" ht="15" customHeight="1">
      <c r="A2077" t="inlineStr">
        <is>
          <t>A 30743-2023</t>
        </is>
      </c>
      <c r="B2077" s="1" t="n">
        <v>45112</v>
      </c>
      <c r="C2077" s="1" t="n">
        <v>45566</v>
      </c>
      <c r="D2077" t="inlineStr">
        <is>
          <t>VÄSTERBOTTENS LÄN</t>
        </is>
      </c>
      <c r="E2077" t="inlineStr">
        <is>
          <t>SKELLEFTEÅ</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30786-2023</t>
        </is>
      </c>
      <c r="B2078" s="1" t="n">
        <v>45112</v>
      </c>
      <c r="C2078" s="1" t="n">
        <v>45566</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32817-2023</t>
        </is>
      </c>
      <c r="B2079" s="1" t="n">
        <v>45112</v>
      </c>
      <c r="C2079" s="1" t="n">
        <v>45566</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32820-2023</t>
        </is>
      </c>
      <c r="B2080" s="1" t="n">
        <v>45112</v>
      </c>
      <c r="C2080" s="1" t="n">
        <v>45566</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30953-2023</t>
        </is>
      </c>
      <c r="B2081" s="1" t="n">
        <v>45113</v>
      </c>
      <c r="C2081" s="1" t="n">
        <v>45566</v>
      </c>
      <c r="D2081" t="inlineStr">
        <is>
          <t>VÄSTERBOTTENS LÄN</t>
        </is>
      </c>
      <c r="E2081" t="inlineStr">
        <is>
          <t>SKELLEFTEÅ</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31027-2023</t>
        </is>
      </c>
      <c r="B2082" s="1" t="n">
        <v>45113</v>
      </c>
      <c r="C2082" s="1" t="n">
        <v>45566</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31035-2023</t>
        </is>
      </c>
      <c r="B2083" s="1" t="n">
        <v>45113</v>
      </c>
      <c r="C2083" s="1" t="n">
        <v>45566</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31033-2023</t>
        </is>
      </c>
      <c r="B2084" s="1" t="n">
        <v>45113</v>
      </c>
      <c r="C2084" s="1" t="n">
        <v>45566</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31028-2023</t>
        </is>
      </c>
      <c r="B2085" s="1" t="n">
        <v>45113</v>
      </c>
      <c r="C2085" s="1" t="n">
        <v>45566</v>
      </c>
      <c r="D2085" t="inlineStr">
        <is>
          <t>VÄSTERBOTTENS LÄN</t>
        </is>
      </c>
      <c r="E2085" t="inlineStr">
        <is>
          <t>SKELLEFTEÅ</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31155-2023</t>
        </is>
      </c>
      <c r="B2086" s="1" t="n">
        <v>45113</v>
      </c>
      <c r="C2086" s="1" t="n">
        <v>45566</v>
      </c>
      <c r="D2086" t="inlineStr">
        <is>
          <t>VÄSTERBOTTENS LÄN</t>
        </is>
      </c>
      <c r="E2086" t="inlineStr">
        <is>
          <t>SKELLEFTEÅ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32969-2023</t>
        </is>
      </c>
      <c r="B2087" s="1" t="n">
        <v>45113</v>
      </c>
      <c r="C2087" s="1" t="n">
        <v>45566</v>
      </c>
      <c r="D2087" t="inlineStr">
        <is>
          <t>VÄSTERBOTTENS LÄN</t>
        </is>
      </c>
      <c r="E2087" t="inlineStr">
        <is>
          <t>SKELLEFTEÅ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31257-2023</t>
        </is>
      </c>
      <c r="B2088" s="1" t="n">
        <v>45114</v>
      </c>
      <c r="C2088" s="1" t="n">
        <v>45566</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33184-2023</t>
        </is>
      </c>
      <c r="B2089" s="1" t="n">
        <v>45114</v>
      </c>
      <c r="C2089" s="1" t="n">
        <v>45566</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33289-2023</t>
        </is>
      </c>
      <c r="B2090" s="1" t="n">
        <v>45116</v>
      </c>
      <c r="C2090" s="1" t="n">
        <v>45566</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31672-2023</t>
        </is>
      </c>
      <c r="B2091" s="1" t="n">
        <v>45117</v>
      </c>
      <c r="C2091" s="1" t="n">
        <v>45566</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32206-2023</t>
        </is>
      </c>
      <c r="B2092" s="1" t="n">
        <v>45119</v>
      </c>
      <c r="C2092" s="1" t="n">
        <v>45566</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32205-2023</t>
        </is>
      </c>
      <c r="B2093" s="1" t="n">
        <v>45119</v>
      </c>
      <c r="C2093" s="1" t="n">
        <v>45566</v>
      </c>
      <c r="D2093" t="inlineStr">
        <is>
          <t>VÄSTERBOTTENS LÄN</t>
        </is>
      </c>
      <c r="E2093" t="inlineStr">
        <is>
          <t>SKELLEFTEÅ</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33778-2023</t>
        </is>
      </c>
      <c r="B2094" s="1" t="n">
        <v>45120</v>
      </c>
      <c r="C2094" s="1" t="n">
        <v>45566</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32535-2023</t>
        </is>
      </c>
      <c r="B2095" s="1" t="n">
        <v>45121</v>
      </c>
      <c r="C2095" s="1" t="n">
        <v>45566</v>
      </c>
      <c r="D2095" t="inlineStr">
        <is>
          <t>VÄSTERBOTTENS LÄN</t>
        </is>
      </c>
      <c r="E2095" t="inlineStr">
        <is>
          <t>SKELLEFTEÅ</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32556-2023</t>
        </is>
      </c>
      <c r="B2096" s="1" t="n">
        <v>45121</v>
      </c>
      <c r="C2096" s="1" t="n">
        <v>45566</v>
      </c>
      <c r="D2096" t="inlineStr">
        <is>
          <t>VÄSTERBOTTENS LÄN</t>
        </is>
      </c>
      <c r="E2096" t="inlineStr">
        <is>
          <t>SKELLEFTEÅ</t>
        </is>
      </c>
      <c r="F2096" t="inlineStr">
        <is>
          <t>Holmen skog AB</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32589-2023</t>
        </is>
      </c>
      <c r="B2097" s="1" t="n">
        <v>45121</v>
      </c>
      <c r="C2097" s="1" t="n">
        <v>45566</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32575-2023</t>
        </is>
      </c>
      <c r="B2098" s="1" t="n">
        <v>45121</v>
      </c>
      <c r="C2098" s="1" t="n">
        <v>45566</v>
      </c>
      <c r="D2098" t="inlineStr">
        <is>
          <t>VÄSTERBOTTENS LÄN</t>
        </is>
      </c>
      <c r="E2098" t="inlineStr">
        <is>
          <t>SKELLEFTEÅ</t>
        </is>
      </c>
      <c r="F2098" t="inlineStr">
        <is>
          <t>Holmen skog AB</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32590-2023</t>
        </is>
      </c>
      <c r="B2099" s="1" t="n">
        <v>45121</v>
      </c>
      <c r="C2099" s="1" t="n">
        <v>45566</v>
      </c>
      <c r="D2099" t="inlineStr">
        <is>
          <t>VÄSTERBOTTENS LÄN</t>
        </is>
      </c>
      <c r="E2099" t="inlineStr">
        <is>
          <t>SKELLEFTEÅ</t>
        </is>
      </c>
      <c r="F2099" t="inlineStr">
        <is>
          <t>Holmen skog AB</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32746-2023</t>
        </is>
      </c>
      <c r="B2100" s="1" t="n">
        <v>45122</v>
      </c>
      <c r="C2100" s="1" t="n">
        <v>45566</v>
      </c>
      <c r="D2100" t="inlineStr">
        <is>
          <t>VÄSTERBOTTENS LÄN</t>
        </is>
      </c>
      <c r="E2100" t="inlineStr">
        <is>
          <t>SKELLEFTEÅ</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32743-2023</t>
        </is>
      </c>
      <c r="B2101" s="1" t="n">
        <v>45122</v>
      </c>
      <c r="C2101" s="1" t="n">
        <v>45566</v>
      </c>
      <c r="D2101" t="inlineStr">
        <is>
          <t>VÄSTERBOTTENS LÄN</t>
        </is>
      </c>
      <c r="E2101" t="inlineStr">
        <is>
          <t>SKELLEFTEÅ</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32747-2023</t>
        </is>
      </c>
      <c r="B2102" s="1" t="n">
        <v>45122</v>
      </c>
      <c r="C2102" s="1" t="n">
        <v>45566</v>
      </c>
      <c r="D2102" t="inlineStr">
        <is>
          <t>VÄSTERBOTTENS LÄN</t>
        </is>
      </c>
      <c r="E2102" t="inlineStr">
        <is>
          <t>SKELLEFTEÅ</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32745-2023</t>
        </is>
      </c>
      <c r="B2103" s="1" t="n">
        <v>45122</v>
      </c>
      <c r="C2103" s="1" t="n">
        <v>45566</v>
      </c>
      <c r="D2103" t="inlineStr">
        <is>
          <t>VÄSTERBOTTENS LÄN</t>
        </is>
      </c>
      <c r="E2103" t="inlineStr">
        <is>
          <t>SKELLEFTEÅ</t>
        </is>
      </c>
      <c r="F2103" t="inlineStr">
        <is>
          <t>Holmen skog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33911-2023</t>
        </is>
      </c>
      <c r="B2104" s="1" t="n">
        <v>45123</v>
      </c>
      <c r="C2104" s="1" t="n">
        <v>45566</v>
      </c>
      <c r="D2104" t="inlineStr">
        <is>
          <t>VÄSTERBOTTENS LÄN</t>
        </is>
      </c>
      <c r="E2104" t="inlineStr">
        <is>
          <t>SKELLEFTEÅ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33027-2023</t>
        </is>
      </c>
      <c r="B2105" s="1" t="n">
        <v>45126</v>
      </c>
      <c r="C2105" s="1" t="n">
        <v>45566</v>
      </c>
      <c r="D2105" t="inlineStr">
        <is>
          <t>VÄSTERBOTTENS LÄN</t>
        </is>
      </c>
      <c r="E2105" t="inlineStr">
        <is>
          <t>SKELLEFTEÅ</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33078-2023</t>
        </is>
      </c>
      <c r="B2106" s="1" t="n">
        <v>45126</v>
      </c>
      <c r="C2106" s="1" t="n">
        <v>45566</v>
      </c>
      <c r="D2106" t="inlineStr">
        <is>
          <t>VÄSTERBOTTENS LÄN</t>
        </is>
      </c>
      <c r="E2106" t="inlineStr">
        <is>
          <t>SKELLEFTEÅ</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33129-2023</t>
        </is>
      </c>
      <c r="B2107" s="1" t="n">
        <v>45126</v>
      </c>
      <c r="C2107" s="1" t="n">
        <v>45566</v>
      </c>
      <c r="D2107" t="inlineStr">
        <is>
          <t>VÄSTERBOTTENS LÄN</t>
        </is>
      </c>
      <c r="E2107" t="inlineStr">
        <is>
          <t>SKELLEFTEÅ</t>
        </is>
      </c>
      <c r="F2107" t="inlineStr">
        <is>
          <t>Holmen skog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33274-2023</t>
        </is>
      </c>
      <c r="B2108" s="1" t="n">
        <v>45127</v>
      </c>
      <c r="C2108" s="1" t="n">
        <v>45566</v>
      </c>
      <c r="D2108" t="inlineStr">
        <is>
          <t>VÄSTERBOTTENS LÄN</t>
        </is>
      </c>
      <c r="E2108" t="inlineStr">
        <is>
          <t>SKELLEFTEÅ</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33710-2023</t>
        </is>
      </c>
      <c r="B2109" s="1" t="n">
        <v>45133</v>
      </c>
      <c r="C2109" s="1" t="n">
        <v>45566</v>
      </c>
      <c r="D2109" t="inlineStr">
        <is>
          <t>VÄSTERBOTTENS LÄN</t>
        </is>
      </c>
      <c r="E2109" t="inlineStr">
        <is>
          <t>SKELLEFTEÅ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33708-2023</t>
        </is>
      </c>
      <c r="B2110" s="1" t="n">
        <v>45133</v>
      </c>
      <c r="C2110" s="1" t="n">
        <v>45566</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33791-2023</t>
        </is>
      </c>
      <c r="B2111" s="1" t="n">
        <v>45133</v>
      </c>
      <c r="C2111" s="1" t="n">
        <v>45566</v>
      </c>
      <c r="D2111" t="inlineStr">
        <is>
          <t>VÄSTERBOTTENS LÄN</t>
        </is>
      </c>
      <c r="E2111" t="inlineStr">
        <is>
          <t>SKELLEFTEÅ</t>
        </is>
      </c>
      <c r="F2111" t="inlineStr">
        <is>
          <t>Holmen skog AB</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33739-2023</t>
        </is>
      </c>
      <c r="B2112" s="1" t="n">
        <v>45133</v>
      </c>
      <c r="C2112" s="1" t="n">
        <v>45566</v>
      </c>
      <c r="D2112" t="inlineStr">
        <is>
          <t>VÄSTERBOTTENS LÄN</t>
        </is>
      </c>
      <c r="E2112" t="inlineStr">
        <is>
          <t>SKELLEFTEÅ</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33768-2023</t>
        </is>
      </c>
      <c r="B2113" s="1" t="n">
        <v>45133</v>
      </c>
      <c r="C2113" s="1" t="n">
        <v>45566</v>
      </c>
      <c r="D2113" t="inlineStr">
        <is>
          <t>VÄSTERBOTTENS LÄN</t>
        </is>
      </c>
      <c r="E2113" t="inlineStr">
        <is>
          <t>SKELLEFTEÅ</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33838-2023</t>
        </is>
      </c>
      <c r="B2114" s="1" t="n">
        <v>45133</v>
      </c>
      <c r="C2114" s="1" t="n">
        <v>45566</v>
      </c>
      <c r="D2114" t="inlineStr">
        <is>
          <t>VÄSTERBOTTENS LÄN</t>
        </is>
      </c>
      <c r="E2114" t="inlineStr">
        <is>
          <t>SKELLEFTEÅ</t>
        </is>
      </c>
      <c r="F2114" t="inlineStr">
        <is>
          <t>Holmen skog AB</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33843-2023</t>
        </is>
      </c>
      <c r="B2115" s="1" t="n">
        <v>45133</v>
      </c>
      <c r="C2115" s="1" t="n">
        <v>45566</v>
      </c>
      <c r="D2115" t="inlineStr">
        <is>
          <t>VÄSTERBOTTENS LÄN</t>
        </is>
      </c>
      <c r="E2115" t="inlineStr">
        <is>
          <t>SKELLEFTEÅ</t>
        </is>
      </c>
      <c r="F2115" t="inlineStr">
        <is>
          <t>Holmen skog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33728-2023</t>
        </is>
      </c>
      <c r="B2116" s="1" t="n">
        <v>45133</v>
      </c>
      <c r="C2116" s="1" t="n">
        <v>45566</v>
      </c>
      <c r="D2116" t="inlineStr">
        <is>
          <t>VÄSTERBOTTENS LÄN</t>
        </is>
      </c>
      <c r="E2116" t="inlineStr">
        <is>
          <t>SKELLEFTEÅ</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34508-2023</t>
        </is>
      </c>
      <c r="B2117" s="1" t="n">
        <v>45133</v>
      </c>
      <c r="C2117" s="1" t="n">
        <v>45566</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33771-2023</t>
        </is>
      </c>
      <c r="B2118" s="1" t="n">
        <v>45133</v>
      </c>
      <c r="C2118" s="1" t="n">
        <v>45566</v>
      </c>
      <c r="D2118" t="inlineStr">
        <is>
          <t>VÄSTERBOTTENS LÄN</t>
        </is>
      </c>
      <c r="E2118" t="inlineStr">
        <is>
          <t>SKELLEFTEÅ</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33820-2023</t>
        </is>
      </c>
      <c r="B2119" s="1" t="n">
        <v>45133</v>
      </c>
      <c r="C2119" s="1" t="n">
        <v>45566</v>
      </c>
      <c r="D2119" t="inlineStr">
        <is>
          <t>VÄSTERBOTTENS LÄN</t>
        </is>
      </c>
      <c r="E2119" t="inlineStr">
        <is>
          <t>SKELLEFTEÅ</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34507-2023</t>
        </is>
      </c>
      <c r="B2120" s="1" t="n">
        <v>45133</v>
      </c>
      <c r="C2120" s="1" t="n">
        <v>45566</v>
      </c>
      <c r="D2120" t="inlineStr">
        <is>
          <t>VÄSTERBOTTENS LÄN</t>
        </is>
      </c>
      <c r="E2120" t="inlineStr">
        <is>
          <t>SKELLEFTEÅ</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33956-2023</t>
        </is>
      </c>
      <c r="B2121" s="1" t="n">
        <v>45134</v>
      </c>
      <c r="C2121" s="1" t="n">
        <v>45566</v>
      </c>
      <c r="D2121" t="inlineStr">
        <is>
          <t>VÄSTERBOTTENS LÄN</t>
        </is>
      </c>
      <c r="E2121" t="inlineStr">
        <is>
          <t>SKELLEFTEÅ</t>
        </is>
      </c>
      <c r="F2121" t="inlineStr">
        <is>
          <t>Holmen skog AB</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34036-2023</t>
        </is>
      </c>
      <c r="B2122" s="1" t="n">
        <v>45135</v>
      </c>
      <c r="C2122" s="1" t="n">
        <v>45566</v>
      </c>
      <c r="D2122" t="inlineStr">
        <is>
          <t>VÄSTERBOTTENS LÄN</t>
        </is>
      </c>
      <c r="E2122" t="inlineStr">
        <is>
          <t>SKELLEFTEÅ</t>
        </is>
      </c>
      <c r="F2122" t="inlineStr">
        <is>
          <t>Holmen skog AB</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34051-2023</t>
        </is>
      </c>
      <c r="B2123" s="1" t="n">
        <v>45135</v>
      </c>
      <c r="C2123" s="1" t="n">
        <v>45566</v>
      </c>
      <c r="D2123" t="inlineStr">
        <is>
          <t>VÄSTERBOTTENS LÄN</t>
        </is>
      </c>
      <c r="E2123" t="inlineStr">
        <is>
          <t>SKELLEFTEÅ</t>
        </is>
      </c>
      <c r="F2123" t="inlineStr">
        <is>
          <t>Holmen skog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34025-2023</t>
        </is>
      </c>
      <c r="B2124" s="1" t="n">
        <v>45135</v>
      </c>
      <c r="C2124" s="1" t="n">
        <v>45566</v>
      </c>
      <c r="D2124" t="inlineStr">
        <is>
          <t>VÄSTERBOTTENS LÄN</t>
        </is>
      </c>
      <c r="E2124" t="inlineStr">
        <is>
          <t>SKELLEFTEÅ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34063-2023</t>
        </is>
      </c>
      <c r="B2125" s="1" t="n">
        <v>45135</v>
      </c>
      <c r="C2125" s="1" t="n">
        <v>45566</v>
      </c>
      <c r="D2125" t="inlineStr">
        <is>
          <t>VÄSTERBOTTENS LÄN</t>
        </is>
      </c>
      <c r="E2125" t="inlineStr">
        <is>
          <t>SKELLEFTEÅ</t>
        </is>
      </c>
      <c r="F2125" t="inlineStr">
        <is>
          <t>Holmen skog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34035-2023</t>
        </is>
      </c>
      <c r="B2126" s="1" t="n">
        <v>45135</v>
      </c>
      <c r="C2126" s="1" t="n">
        <v>45566</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34572-2023</t>
        </is>
      </c>
      <c r="B2127" s="1" t="n">
        <v>45135</v>
      </c>
      <c r="C2127" s="1" t="n">
        <v>45566</v>
      </c>
      <c r="D2127" t="inlineStr">
        <is>
          <t>VÄSTERBOTTENS LÄN</t>
        </is>
      </c>
      <c r="E2127" t="inlineStr">
        <is>
          <t>SKELLEFTEÅ</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34195-2023</t>
        </is>
      </c>
      <c r="B2128" s="1" t="n">
        <v>45135</v>
      </c>
      <c r="C2128" s="1" t="n">
        <v>45566</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34455-2023</t>
        </is>
      </c>
      <c r="B2129" s="1" t="n">
        <v>45139</v>
      </c>
      <c r="C2129" s="1" t="n">
        <v>45566</v>
      </c>
      <c r="D2129" t="inlineStr">
        <is>
          <t>VÄSTERBOTTENS LÄN</t>
        </is>
      </c>
      <c r="E2129" t="inlineStr">
        <is>
          <t>SKELLEFTEÅ</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34583-2023</t>
        </is>
      </c>
      <c r="B2130" s="1" t="n">
        <v>45140</v>
      </c>
      <c r="C2130" s="1" t="n">
        <v>45566</v>
      </c>
      <c r="D2130" t="inlineStr">
        <is>
          <t>VÄSTERBOTTENS LÄN</t>
        </is>
      </c>
      <c r="E2130" t="inlineStr">
        <is>
          <t>SKELLEFTEÅ</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34597-2023</t>
        </is>
      </c>
      <c r="B2131" s="1" t="n">
        <v>45140</v>
      </c>
      <c r="C2131" s="1" t="n">
        <v>45566</v>
      </c>
      <c r="D2131" t="inlineStr">
        <is>
          <t>VÄSTERBOTTENS LÄN</t>
        </is>
      </c>
      <c r="E2131" t="inlineStr">
        <is>
          <t>SKELLEFTEÅ</t>
        </is>
      </c>
      <c r="F2131" t="inlineStr">
        <is>
          <t>Holmen skog AB</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34616-2023</t>
        </is>
      </c>
      <c r="B2132" s="1" t="n">
        <v>45140</v>
      </c>
      <c r="C2132" s="1" t="n">
        <v>45566</v>
      </c>
      <c r="D2132" t="inlineStr">
        <is>
          <t>VÄSTERBOTTENS LÄN</t>
        </is>
      </c>
      <c r="E2132" t="inlineStr">
        <is>
          <t>SKELLEFTEÅ</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34669-2023</t>
        </is>
      </c>
      <c r="B2133" s="1" t="n">
        <v>45140</v>
      </c>
      <c r="C2133" s="1" t="n">
        <v>45566</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34670-2023</t>
        </is>
      </c>
      <c r="B2134" s="1" t="n">
        <v>45140</v>
      </c>
      <c r="C2134" s="1" t="n">
        <v>45566</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34638-2023</t>
        </is>
      </c>
      <c r="B2135" s="1" t="n">
        <v>45140</v>
      </c>
      <c r="C2135" s="1" t="n">
        <v>45566</v>
      </c>
      <c r="D2135" t="inlineStr">
        <is>
          <t>VÄSTERBOTTENS LÄN</t>
        </is>
      </c>
      <c r="E2135" t="inlineStr">
        <is>
          <t>SKELLEFTEÅ</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34672-2023</t>
        </is>
      </c>
      <c r="B2136" s="1" t="n">
        <v>45140</v>
      </c>
      <c r="C2136" s="1" t="n">
        <v>45566</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34986-2023</t>
        </is>
      </c>
      <c r="B2137" s="1" t="n">
        <v>45142</v>
      </c>
      <c r="C2137" s="1" t="n">
        <v>45566</v>
      </c>
      <c r="D2137" t="inlineStr">
        <is>
          <t>VÄSTERBOTTENS LÄN</t>
        </is>
      </c>
      <c r="E2137" t="inlineStr">
        <is>
          <t>SKELLEFTEÅ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35068-2023</t>
        </is>
      </c>
      <c r="B2138" s="1" t="n">
        <v>45142</v>
      </c>
      <c r="C2138" s="1" t="n">
        <v>45566</v>
      </c>
      <c r="D2138" t="inlineStr">
        <is>
          <t>VÄSTERBOTTENS LÄN</t>
        </is>
      </c>
      <c r="E2138" t="inlineStr">
        <is>
          <t>SKELLEFTEÅ</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35070-2023</t>
        </is>
      </c>
      <c r="B2139" s="1" t="n">
        <v>45142</v>
      </c>
      <c r="C2139" s="1" t="n">
        <v>45566</v>
      </c>
      <c r="D2139" t="inlineStr">
        <is>
          <t>VÄSTERBOTTENS LÄN</t>
        </is>
      </c>
      <c r="E2139" t="inlineStr">
        <is>
          <t>SKELLEFTEÅ</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35031-2023</t>
        </is>
      </c>
      <c r="B2140" s="1" t="n">
        <v>45145</v>
      </c>
      <c r="C2140" s="1" t="n">
        <v>45566</v>
      </c>
      <c r="D2140" t="inlineStr">
        <is>
          <t>VÄSTERBOTTENS LÄN</t>
        </is>
      </c>
      <c r="E2140" t="inlineStr">
        <is>
          <t>SKELLEFTEÅ</t>
        </is>
      </c>
      <c r="F2140" t="inlineStr">
        <is>
          <t>Holmen skog AB</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35102-2023</t>
        </is>
      </c>
      <c r="B2141" s="1" t="n">
        <v>45145</v>
      </c>
      <c r="C2141" s="1" t="n">
        <v>45566</v>
      </c>
      <c r="D2141" t="inlineStr">
        <is>
          <t>VÄSTERBOTTENS LÄN</t>
        </is>
      </c>
      <c r="E2141" t="inlineStr">
        <is>
          <t>SKELLEFTEÅ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35032-2023</t>
        </is>
      </c>
      <c r="B2142" s="1" t="n">
        <v>45145</v>
      </c>
      <c r="C2142" s="1" t="n">
        <v>45566</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35331-2023</t>
        </is>
      </c>
      <c r="B2143" s="1" t="n">
        <v>45145</v>
      </c>
      <c r="C2143" s="1" t="n">
        <v>45566</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35206-2023</t>
        </is>
      </c>
      <c r="B2144" s="1" t="n">
        <v>45145</v>
      </c>
      <c r="C2144" s="1" t="n">
        <v>45566</v>
      </c>
      <c r="D2144" t="inlineStr">
        <is>
          <t>VÄSTERBOTTENS LÄN</t>
        </is>
      </c>
      <c r="E2144" t="inlineStr">
        <is>
          <t>SKELLEFTEÅ</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35338-2023</t>
        </is>
      </c>
      <c r="B2145" s="1" t="n">
        <v>45145</v>
      </c>
      <c r="C2145" s="1" t="n">
        <v>45566</v>
      </c>
      <c r="D2145" t="inlineStr">
        <is>
          <t>VÄSTERBOTTENS LÄN</t>
        </is>
      </c>
      <c r="E2145" t="inlineStr">
        <is>
          <t>SKELLEFTEÅ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35439-2023</t>
        </is>
      </c>
      <c r="B2146" s="1" t="n">
        <v>45146</v>
      </c>
      <c r="C2146" s="1" t="n">
        <v>45566</v>
      </c>
      <c r="D2146" t="inlineStr">
        <is>
          <t>VÄSTERBOTTENS LÄN</t>
        </is>
      </c>
      <c r="E2146" t="inlineStr">
        <is>
          <t>SKELLEFTEÅ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35301-2023</t>
        </is>
      </c>
      <c r="B2147" s="1" t="n">
        <v>45146</v>
      </c>
      <c r="C2147" s="1" t="n">
        <v>45566</v>
      </c>
      <c r="D2147" t="inlineStr">
        <is>
          <t>VÄSTERBOTTENS LÄN</t>
        </is>
      </c>
      <c r="E2147" t="inlineStr">
        <is>
          <t>SKELLEFTEÅ</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35401-2023</t>
        </is>
      </c>
      <c r="B2148" s="1" t="n">
        <v>45146</v>
      </c>
      <c r="C2148" s="1" t="n">
        <v>45566</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35437-2023</t>
        </is>
      </c>
      <c r="B2149" s="1" t="n">
        <v>45146</v>
      </c>
      <c r="C2149" s="1" t="n">
        <v>45566</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35430-2023</t>
        </is>
      </c>
      <c r="B2150" s="1" t="n">
        <v>45146</v>
      </c>
      <c r="C2150" s="1" t="n">
        <v>45566</v>
      </c>
      <c r="D2150" t="inlineStr">
        <is>
          <t>VÄSTERBOTTENS LÄN</t>
        </is>
      </c>
      <c r="E2150" t="inlineStr">
        <is>
          <t>SKELLEFTEÅ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35731-2023</t>
        </is>
      </c>
      <c r="B2151" s="1" t="n">
        <v>45147</v>
      </c>
      <c r="C2151" s="1" t="n">
        <v>45566</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35732-2023</t>
        </is>
      </c>
      <c r="B2152" s="1" t="n">
        <v>45147</v>
      </c>
      <c r="C2152" s="1" t="n">
        <v>45566</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35736-2023</t>
        </is>
      </c>
      <c r="B2153" s="1" t="n">
        <v>45147</v>
      </c>
      <c r="C2153" s="1" t="n">
        <v>45566</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35952-2023</t>
        </is>
      </c>
      <c r="B2154" s="1" t="n">
        <v>45148</v>
      </c>
      <c r="C2154" s="1" t="n">
        <v>45566</v>
      </c>
      <c r="D2154" t="inlineStr">
        <is>
          <t>VÄSTERBOTTENS LÄN</t>
        </is>
      </c>
      <c r="E2154" t="inlineStr">
        <is>
          <t>SKELLEFTEÅ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36078-2023</t>
        </is>
      </c>
      <c r="B2155" s="1" t="n">
        <v>45149</v>
      </c>
      <c r="C2155" s="1" t="n">
        <v>45566</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36113-2023</t>
        </is>
      </c>
      <c r="B2156" s="1" t="n">
        <v>45149</v>
      </c>
      <c r="C2156" s="1" t="n">
        <v>45566</v>
      </c>
      <c r="D2156" t="inlineStr">
        <is>
          <t>VÄSTERBOTTENS LÄN</t>
        </is>
      </c>
      <c r="E2156" t="inlineStr">
        <is>
          <t>SKELLEFTEÅ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36091-2023</t>
        </is>
      </c>
      <c r="B2157" s="1" t="n">
        <v>45149</v>
      </c>
      <c r="C2157" s="1" t="n">
        <v>45566</v>
      </c>
      <c r="D2157" t="inlineStr">
        <is>
          <t>VÄSTERBOTTENS LÄN</t>
        </is>
      </c>
      <c r="E2157" t="inlineStr">
        <is>
          <t>SKELLEFTEÅ</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36099-2023</t>
        </is>
      </c>
      <c r="B2158" s="1" t="n">
        <v>45149</v>
      </c>
      <c r="C2158" s="1" t="n">
        <v>45566</v>
      </c>
      <c r="D2158" t="inlineStr">
        <is>
          <t>VÄSTERBOTTENS LÄN</t>
        </is>
      </c>
      <c r="E2158" t="inlineStr">
        <is>
          <t>SKELLEFTEÅ</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36286-2023</t>
        </is>
      </c>
      <c r="B2159" s="1" t="n">
        <v>45152</v>
      </c>
      <c r="C2159" s="1" t="n">
        <v>45566</v>
      </c>
      <c r="D2159" t="inlineStr">
        <is>
          <t>VÄSTERBOTTENS LÄN</t>
        </is>
      </c>
      <c r="E2159" t="inlineStr">
        <is>
          <t>SKELLEFTEÅ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36327-2023</t>
        </is>
      </c>
      <c r="B2160" s="1" t="n">
        <v>45152</v>
      </c>
      <c r="C2160" s="1" t="n">
        <v>45566</v>
      </c>
      <c r="D2160" t="inlineStr">
        <is>
          <t>VÄSTERBOTTENS LÄN</t>
        </is>
      </c>
      <c r="E2160" t="inlineStr">
        <is>
          <t>SKELLEFTEÅ</t>
        </is>
      </c>
      <c r="F2160" t="inlineStr">
        <is>
          <t>Holmen skog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36275-2023</t>
        </is>
      </c>
      <c r="B2161" s="1" t="n">
        <v>45152</v>
      </c>
      <c r="C2161" s="1" t="n">
        <v>45566</v>
      </c>
      <c r="D2161" t="inlineStr">
        <is>
          <t>VÄSTERBOTTENS LÄN</t>
        </is>
      </c>
      <c r="E2161" t="inlineStr">
        <is>
          <t>SKELLEFTEÅ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36495-2023</t>
        </is>
      </c>
      <c r="B2162" s="1" t="n">
        <v>45153</v>
      </c>
      <c r="C2162" s="1" t="n">
        <v>45566</v>
      </c>
      <c r="D2162" t="inlineStr">
        <is>
          <t>VÄSTERBOTTENS LÄN</t>
        </is>
      </c>
      <c r="E2162" t="inlineStr">
        <is>
          <t>SKELLEFTEÅ</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36404-2023</t>
        </is>
      </c>
      <c r="B2163" s="1" t="n">
        <v>45152</v>
      </c>
      <c r="C2163" s="1" t="n">
        <v>45566</v>
      </c>
      <c r="D2163" t="inlineStr">
        <is>
          <t>VÄSTERBOTTENS LÄN</t>
        </is>
      </c>
      <c r="E2163" t="inlineStr">
        <is>
          <t>SKELLEFTEÅ</t>
        </is>
      </c>
      <c r="F2163" t="inlineStr">
        <is>
          <t>Holmen skog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36493-2023</t>
        </is>
      </c>
      <c r="B2164" s="1" t="n">
        <v>45153</v>
      </c>
      <c r="C2164" s="1" t="n">
        <v>45566</v>
      </c>
      <c r="D2164" t="inlineStr">
        <is>
          <t>VÄSTERBOTTENS LÄN</t>
        </is>
      </c>
      <c r="E2164" t="inlineStr">
        <is>
          <t>SKELLEFTEÅ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36556-2023</t>
        </is>
      </c>
      <c r="B2165" s="1" t="n">
        <v>45153</v>
      </c>
      <c r="C2165" s="1" t="n">
        <v>45566</v>
      </c>
      <c r="D2165" t="inlineStr">
        <is>
          <t>VÄSTERBOTTENS LÄN</t>
        </is>
      </c>
      <c r="E2165" t="inlineStr">
        <is>
          <t>SKELLEFTEÅ</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36804-2023</t>
        </is>
      </c>
      <c r="B2166" s="1" t="n">
        <v>45154</v>
      </c>
      <c r="C2166" s="1" t="n">
        <v>45566</v>
      </c>
      <c r="D2166" t="inlineStr">
        <is>
          <t>VÄSTERBOTTENS LÄN</t>
        </is>
      </c>
      <c r="E2166" t="inlineStr">
        <is>
          <t>SKELLEFTEÅ</t>
        </is>
      </c>
      <c r="F2166" t="inlineStr">
        <is>
          <t>Holmen skog AB</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37134-2023</t>
        </is>
      </c>
      <c r="B2167" s="1" t="n">
        <v>45155</v>
      </c>
      <c r="C2167" s="1" t="n">
        <v>45566</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37229-2023</t>
        </is>
      </c>
      <c r="B2168" s="1" t="n">
        <v>45155</v>
      </c>
      <c r="C2168" s="1" t="n">
        <v>45566</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37774-2023</t>
        </is>
      </c>
      <c r="B2169" s="1" t="n">
        <v>45156</v>
      </c>
      <c r="C2169" s="1" t="n">
        <v>45566</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37474-2023</t>
        </is>
      </c>
      <c r="B2170" s="1" t="n">
        <v>45157</v>
      </c>
      <c r="C2170" s="1" t="n">
        <v>45566</v>
      </c>
      <c r="D2170" t="inlineStr">
        <is>
          <t>VÄSTERBOTTENS LÄN</t>
        </is>
      </c>
      <c r="E2170" t="inlineStr">
        <is>
          <t>SKELLEFTEÅ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37796-2023</t>
        </is>
      </c>
      <c r="B2171" s="1" t="n">
        <v>45160</v>
      </c>
      <c r="C2171" s="1" t="n">
        <v>45566</v>
      </c>
      <c r="D2171" t="inlineStr">
        <is>
          <t>VÄSTERBOTTENS LÄN</t>
        </is>
      </c>
      <c r="E2171" t="inlineStr">
        <is>
          <t>SKELLEFTEÅ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38140-2023</t>
        </is>
      </c>
      <c r="B2172" s="1" t="n">
        <v>45159</v>
      </c>
      <c r="C2172" s="1" t="n">
        <v>45566</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38134-2023</t>
        </is>
      </c>
      <c r="B2173" s="1" t="n">
        <v>45159</v>
      </c>
      <c r="C2173" s="1" t="n">
        <v>45566</v>
      </c>
      <c r="D2173" t="inlineStr">
        <is>
          <t>VÄSTERBOTTENS LÄN</t>
        </is>
      </c>
      <c r="E2173" t="inlineStr">
        <is>
          <t>SKELLEFTEÅ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37883-2023</t>
        </is>
      </c>
      <c r="B2174" s="1" t="n">
        <v>45160</v>
      </c>
      <c r="C2174" s="1" t="n">
        <v>45566</v>
      </c>
      <c r="D2174" t="inlineStr">
        <is>
          <t>VÄSTERBOTTENS LÄN</t>
        </is>
      </c>
      <c r="E2174" t="inlineStr">
        <is>
          <t>SKELLEFTEÅ</t>
        </is>
      </c>
      <c r="F2174" t="inlineStr">
        <is>
          <t>Holmen skog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37838-2023</t>
        </is>
      </c>
      <c r="B2175" s="1" t="n">
        <v>45160</v>
      </c>
      <c r="C2175" s="1" t="n">
        <v>45566</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37914-2023</t>
        </is>
      </c>
      <c r="B2176" s="1" t="n">
        <v>45160</v>
      </c>
      <c r="C2176" s="1" t="n">
        <v>45566</v>
      </c>
      <c r="D2176" t="inlineStr">
        <is>
          <t>VÄSTERBOTTENS LÄN</t>
        </is>
      </c>
      <c r="E2176" t="inlineStr">
        <is>
          <t>SKELLEFTEÅ</t>
        </is>
      </c>
      <c r="F2176" t="inlineStr">
        <is>
          <t>Holmen skog AB</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37855-2023</t>
        </is>
      </c>
      <c r="B2177" s="1" t="n">
        <v>45160</v>
      </c>
      <c r="C2177" s="1" t="n">
        <v>45566</v>
      </c>
      <c r="D2177" t="inlineStr">
        <is>
          <t>VÄSTERBOTTENS LÄN</t>
        </is>
      </c>
      <c r="E2177" t="inlineStr">
        <is>
          <t>SKELLEFTEÅ</t>
        </is>
      </c>
      <c r="F2177" t="inlineStr">
        <is>
          <t>Holmen skog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38009-2023</t>
        </is>
      </c>
      <c r="B2178" s="1" t="n">
        <v>45160</v>
      </c>
      <c r="C2178" s="1" t="n">
        <v>45566</v>
      </c>
      <c r="D2178" t="inlineStr">
        <is>
          <t>VÄSTERBOTTENS LÄN</t>
        </is>
      </c>
      <c r="E2178" t="inlineStr">
        <is>
          <t>SKELLEFTEÅ</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38013-2023</t>
        </is>
      </c>
      <c r="B2179" s="1" t="n">
        <v>45160</v>
      </c>
      <c r="C2179" s="1" t="n">
        <v>45566</v>
      </c>
      <c r="D2179" t="inlineStr">
        <is>
          <t>VÄSTERBOTTENS LÄN</t>
        </is>
      </c>
      <c r="E2179" t="inlineStr">
        <is>
          <t>SKELLEFTEÅ</t>
        </is>
      </c>
      <c r="F2179" t="inlineStr">
        <is>
          <t>Holmen skog AB</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38301-2023</t>
        </is>
      </c>
      <c r="B2180" s="1" t="n">
        <v>45160</v>
      </c>
      <c r="C2180" s="1" t="n">
        <v>45566</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38314-2023</t>
        </is>
      </c>
      <c r="B2181" s="1" t="n">
        <v>45160</v>
      </c>
      <c r="C2181" s="1" t="n">
        <v>45566</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38309-2023</t>
        </is>
      </c>
      <c r="B2182" s="1" t="n">
        <v>45160</v>
      </c>
      <c r="C2182" s="1" t="n">
        <v>45566</v>
      </c>
      <c r="D2182" t="inlineStr">
        <is>
          <t>VÄSTERBOTTENS LÄN</t>
        </is>
      </c>
      <c r="E2182" t="inlineStr">
        <is>
          <t>SKELLEFTEÅ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38031-2023</t>
        </is>
      </c>
      <c r="B2183" s="1" t="n">
        <v>45160</v>
      </c>
      <c r="C2183" s="1" t="n">
        <v>45566</v>
      </c>
      <c r="D2183" t="inlineStr">
        <is>
          <t>VÄSTERBOTTENS LÄN</t>
        </is>
      </c>
      <c r="E2183" t="inlineStr">
        <is>
          <t>SKELLEFTEÅ</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38258-2023</t>
        </is>
      </c>
      <c r="B2184" s="1" t="n">
        <v>45160</v>
      </c>
      <c r="C2184" s="1" t="n">
        <v>45566</v>
      </c>
      <c r="D2184" t="inlineStr">
        <is>
          <t>VÄSTERBOTTENS LÄN</t>
        </is>
      </c>
      <c r="E2184" t="inlineStr">
        <is>
          <t>SKELLEFTEÅ</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38311-2023</t>
        </is>
      </c>
      <c r="B2185" s="1" t="n">
        <v>45160</v>
      </c>
      <c r="C2185" s="1" t="n">
        <v>45566</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38253-2023</t>
        </is>
      </c>
      <c r="B2186" s="1" t="n">
        <v>45160</v>
      </c>
      <c r="C2186" s="1" t="n">
        <v>45566</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38305-2023</t>
        </is>
      </c>
      <c r="B2187" s="1" t="n">
        <v>45160</v>
      </c>
      <c r="C2187" s="1" t="n">
        <v>45566</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38717-2023</t>
        </is>
      </c>
      <c r="B2188" s="1" t="n">
        <v>45160</v>
      </c>
      <c r="C2188" s="1" t="n">
        <v>45566</v>
      </c>
      <c r="D2188" t="inlineStr">
        <is>
          <t>VÄSTERBOTTENS LÄN</t>
        </is>
      </c>
      <c r="E2188" t="inlineStr">
        <is>
          <t>SKELLEFTEÅ</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38826-2023</t>
        </is>
      </c>
      <c r="B2189" s="1" t="n">
        <v>45161</v>
      </c>
      <c r="C2189" s="1" t="n">
        <v>45566</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38304-2023</t>
        </is>
      </c>
      <c r="B2190" s="1" t="n">
        <v>45161</v>
      </c>
      <c r="C2190" s="1" t="n">
        <v>45566</v>
      </c>
      <c r="D2190" t="inlineStr">
        <is>
          <t>VÄSTERBOTTENS LÄN</t>
        </is>
      </c>
      <c r="E2190" t="inlineStr">
        <is>
          <t>SKELLEFTEÅ</t>
        </is>
      </c>
      <c r="F2190" t="inlineStr">
        <is>
          <t>Holmen skog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38356-2023</t>
        </is>
      </c>
      <c r="B2191" s="1" t="n">
        <v>45161</v>
      </c>
      <c r="C2191" s="1" t="n">
        <v>45566</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38574-2023</t>
        </is>
      </c>
      <c r="B2192" s="1" t="n">
        <v>45161</v>
      </c>
      <c r="C2192" s="1" t="n">
        <v>45566</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38811-2023</t>
        </is>
      </c>
      <c r="B2193" s="1" t="n">
        <v>45161</v>
      </c>
      <c r="C2193" s="1" t="n">
        <v>45566</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38577-2023</t>
        </is>
      </c>
      <c r="B2194" s="1" t="n">
        <v>45161</v>
      </c>
      <c r="C2194" s="1" t="n">
        <v>45566</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38809-2023</t>
        </is>
      </c>
      <c r="B2195" s="1" t="n">
        <v>45161</v>
      </c>
      <c r="C2195" s="1" t="n">
        <v>45566</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38805-2023</t>
        </is>
      </c>
      <c r="B2196" s="1" t="n">
        <v>45161</v>
      </c>
      <c r="C2196" s="1" t="n">
        <v>45566</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38818-2023</t>
        </is>
      </c>
      <c r="B2197" s="1" t="n">
        <v>45161</v>
      </c>
      <c r="C2197" s="1" t="n">
        <v>45566</v>
      </c>
      <c r="D2197" t="inlineStr">
        <is>
          <t>VÄSTERBOTTENS LÄN</t>
        </is>
      </c>
      <c r="E2197" t="inlineStr">
        <is>
          <t>SKELLEFTEÅ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38396-2023</t>
        </is>
      </c>
      <c r="B2198" s="1" t="n">
        <v>45162</v>
      </c>
      <c r="C2198" s="1" t="n">
        <v>45566</v>
      </c>
      <c r="D2198" t="inlineStr">
        <is>
          <t>VÄSTERBOTTENS LÄN</t>
        </is>
      </c>
      <c r="E2198" t="inlineStr">
        <is>
          <t>SKELLEFTEÅ</t>
        </is>
      </c>
      <c r="F2198" t="inlineStr">
        <is>
          <t>Sveaskog</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38421-2023</t>
        </is>
      </c>
      <c r="B2199" s="1" t="n">
        <v>45162</v>
      </c>
      <c r="C2199" s="1" t="n">
        <v>45566</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38395-2023</t>
        </is>
      </c>
      <c r="B2200" s="1" t="n">
        <v>45162</v>
      </c>
      <c r="C2200" s="1" t="n">
        <v>45566</v>
      </c>
      <c r="D2200" t="inlineStr">
        <is>
          <t>VÄSTERBOTTENS LÄN</t>
        </is>
      </c>
      <c r="E2200" t="inlineStr">
        <is>
          <t>SKELLEFTEÅ</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38450-2023</t>
        </is>
      </c>
      <c r="B2201" s="1" t="n">
        <v>45162</v>
      </c>
      <c r="C2201" s="1" t="n">
        <v>45566</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38393-2023</t>
        </is>
      </c>
      <c r="B2202" s="1" t="n">
        <v>45162</v>
      </c>
      <c r="C2202" s="1" t="n">
        <v>45566</v>
      </c>
      <c r="D2202" t="inlineStr">
        <is>
          <t>VÄSTERBOTTENS LÄN</t>
        </is>
      </c>
      <c r="E2202" t="inlineStr">
        <is>
          <t>SKELLEFTEÅ</t>
        </is>
      </c>
      <c r="F2202" t="inlineStr">
        <is>
          <t>Holmen skog AB</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38397-2023</t>
        </is>
      </c>
      <c r="B2203" s="1" t="n">
        <v>45162</v>
      </c>
      <c r="C2203" s="1" t="n">
        <v>45566</v>
      </c>
      <c r="D2203" t="inlineStr">
        <is>
          <t>VÄSTERBOTTENS LÄN</t>
        </is>
      </c>
      <c r="E2203" t="inlineStr">
        <is>
          <t>SKELLEFTEÅ</t>
        </is>
      </c>
      <c r="F2203" t="inlineStr">
        <is>
          <t>Sveaskog</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38445-2023</t>
        </is>
      </c>
      <c r="B2204" s="1" t="n">
        <v>45162</v>
      </c>
      <c r="C2204" s="1" t="n">
        <v>45566</v>
      </c>
      <c r="D2204" t="inlineStr">
        <is>
          <t>VÄSTERBOTTENS LÄN</t>
        </is>
      </c>
      <c r="E2204" t="inlineStr">
        <is>
          <t>SKELLEFTEÅ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38473-2023</t>
        </is>
      </c>
      <c r="B2205" s="1" t="n">
        <v>45162</v>
      </c>
      <c r="C2205" s="1" t="n">
        <v>45566</v>
      </c>
      <c r="D2205" t="inlineStr">
        <is>
          <t>VÄSTERBOTTENS LÄN</t>
        </is>
      </c>
      <c r="E2205" t="inlineStr">
        <is>
          <t>SKELLEFTEÅ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38952-2023</t>
        </is>
      </c>
      <c r="B2206" s="1" t="n">
        <v>45163</v>
      </c>
      <c r="C2206" s="1" t="n">
        <v>45566</v>
      </c>
      <c r="D2206" t="inlineStr">
        <is>
          <t>VÄSTERBOTTENS LÄN</t>
        </is>
      </c>
      <c r="E2206" t="inlineStr">
        <is>
          <t>SKELLEFTEÅ</t>
        </is>
      </c>
      <c r="F2206" t="inlineStr">
        <is>
          <t>Sveaskog</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38830-2023</t>
        </is>
      </c>
      <c r="B2207" s="1" t="n">
        <v>45163</v>
      </c>
      <c r="C2207" s="1" t="n">
        <v>45566</v>
      </c>
      <c r="D2207" t="inlineStr">
        <is>
          <t>VÄSTERBOTTENS LÄN</t>
        </is>
      </c>
      <c r="E2207" t="inlineStr">
        <is>
          <t>SKELLEFTEÅ</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38833-2023</t>
        </is>
      </c>
      <c r="B2208" s="1" t="n">
        <v>45163</v>
      </c>
      <c r="C2208" s="1" t="n">
        <v>45566</v>
      </c>
      <c r="D2208" t="inlineStr">
        <is>
          <t>VÄSTERBOTTENS LÄN</t>
        </is>
      </c>
      <c r="E2208" t="inlineStr">
        <is>
          <t>SKELLEFTEÅ</t>
        </is>
      </c>
      <c r="F2208" t="inlineStr">
        <is>
          <t>Sveaskog</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38837-2023</t>
        </is>
      </c>
      <c r="B2209" s="1" t="n">
        <v>45163</v>
      </c>
      <c r="C2209" s="1" t="n">
        <v>45566</v>
      </c>
      <c r="D2209" t="inlineStr">
        <is>
          <t>VÄSTERBOTTENS LÄN</t>
        </is>
      </c>
      <c r="E2209" t="inlineStr">
        <is>
          <t>SKELLEFTEÅ</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38949-2023</t>
        </is>
      </c>
      <c r="B2210" s="1" t="n">
        <v>45163</v>
      </c>
      <c r="C2210" s="1" t="n">
        <v>45566</v>
      </c>
      <c r="D2210" t="inlineStr">
        <is>
          <t>VÄSTERBOTTENS LÄN</t>
        </is>
      </c>
      <c r="E2210" t="inlineStr">
        <is>
          <t>SKELLEFTEÅ</t>
        </is>
      </c>
      <c r="F2210" t="inlineStr">
        <is>
          <t>Sveaskog</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39018-2023</t>
        </is>
      </c>
      <c r="B2211" s="1" t="n">
        <v>45163</v>
      </c>
      <c r="C2211" s="1" t="n">
        <v>45566</v>
      </c>
      <c r="D2211" t="inlineStr">
        <is>
          <t>VÄSTERBOTTENS LÄN</t>
        </is>
      </c>
      <c r="E2211" t="inlineStr">
        <is>
          <t>SKELLEFTEÅ</t>
        </is>
      </c>
      <c r="F2211" t="inlineStr">
        <is>
          <t>Sveaskog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39026-2023</t>
        </is>
      </c>
      <c r="B2212" s="1" t="n">
        <v>45163</v>
      </c>
      <c r="C2212" s="1" t="n">
        <v>45566</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39034-2023</t>
        </is>
      </c>
      <c r="B2213" s="1" t="n">
        <v>45163</v>
      </c>
      <c r="C2213" s="1" t="n">
        <v>45566</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39412-2023</t>
        </is>
      </c>
      <c r="B2214" s="1" t="n">
        <v>45163</v>
      </c>
      <c r="C2214" s="1" t="n">
        <v>45566</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39420-2023</t>
        </is>
      </c>
      <c r="B2215" s="1" t="n">
        <v>45163</v>
      </c>
      <c r="C2215" s="1" t="n">
        <v>45566</v>
      </c>
      <c r="D2215" t="inlineStr">
        <is>
          <t>VÄSTERBOTTENS LÄN</t>
        </is>
      </c>
      <c r="E2215" t="inlineStr">
        <is>
          <t>SKELLEFTEÅ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38790-2023</t>
        </is>
      </c>
      <c r="B2216" s="1" t="n">
        <v>45163</v>
      </c>
      <c r="C2216" s="1" t="n">
        <v>45566</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39132-2023</t>
        </is>
      </c>
      <c r="B2217" s="1" t="n">
        <v>45165</v>
      </c>
      <c r="C2217" s="1" t="n">
        <v>45566</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39135-2023</t>
        </is>
      </c>
      <c r="B2218" s="1" t="n">
        <v>45165</v>
      </c>
      <c r="C2218" s="1" t="n">
        <v>45566</v>
      </c>
      <c r="D2218" t="inlineStr">
        <is>
          <t>VÄSTERBOTTENS LÄN</t>
        </is>
      </c>
      <c r="E2218" t="inlineStr">
        <is>
          <t>SKELLEFTEÅ</t>
        </is>
      </c>
      <c r="F2218" t="inlineStr">
        <is>
          <t>Holmen skog AB</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39147-2023</t>
        </is>
      </c>
      <c r="B2219" s="1" t="n">
        <v>45166</v>
      </c>
      <c r="C2219" s="1" t="n">
        <v>45566</v>
      </c>
      <c r="D2219" t="inlineStr">
        <is>
          <t>VÄSTERBOTTENS LÄN</t>
        </is>
      </c>
      <c r="E2219" t="inlineStr">
        <is>
          <t>SKELLEFTEÅ</t>
        </is>
      </c>
      <c r="F2219" t="inlineStr">
        <is>
          <t>Holmen skog AB</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39156-2023</t>
        </is>
      </c>
      <c r="B2220" s="1" t="n">
        <v>45166</v>
      </c>
      <c r="C2220" s="1" t="n">
        <v>45566</v>
      </c>
      <c r="D2220" t="inlineStr">
        <is>
          <t>VÄSTERBOTTENS LÄN</t>
        </is>
      </c>
      <c r="E2220" t="inlineStr">
        <is>
          <t>SKELLEFTEÅ</t>
        </is>
      </c>
      <c r="F2220" t="inlineStr">
        <is>
          <t>Sveaskog</t>
        </is>
      </c>
      <c r="G2220" t="n">
        <v>43.7</v>
      </c>
      <c r="H2220" t="n">
        <v>0</v>
      </c>
      <c r="I2220" t="n">
        <v>0</v>
      </c>
      <c r="J2220" t="n">
        <v>0</v>
      </c>
      <c r="K2220" t="n">
        <v>0</v>
      </c>
      <c r="L2220" t="n">
        <v>0</v>
      </c>
      <c r="M2220" t="n">
        <v>0</v>
      </c>
      <c r="N2220" t="n">
        <v>0</v>
      </c>
      <c r="O2220" t="n">
        <v>0</v>
      </c>
      <c r="P2220" t="n">
        <v>0</v>
      </c>
      <c r="Q2220" t="n">
        <v>0</v>
      </c>
      <c r="R2220" s="2" t="inlineStr"/>
    </row>
    <row r="2221" ht="15" customHeight="1">
      <c r="A2221" t="inlineStr">
        <is>
          <t>A 39695-2023</t>
        </is>
      </c>
      <c r="B2221" s="1" t="n">
        <v>45166</v>
      </c>
      <c r="C2221" s="1" t="n">
        <v>45566</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39513-2023</t>
        </is>
      </c>
      <c r="B2222" s="1" t="n">
        <v>45167</v>
      </c>
      <c r="C2222" s="1" t="n">
        <v>45566</v>
      </c>
      <c r="D2222" t="inlineStr">
        <is>
          <t>VÄSTERBOTTENS LÄN</t>
        </is>
      </c>
      <c r="E2222" t="inlineStr">
        <is>
          <t>SKELLEFTEÅ</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39553-2023</t>
        </is>
      </c>
      <c r="B2223" s="1" t="n">
        <v>45167</v>
      </c>
      <c r="C2223" s="1" t="n">
        <v>45566</v>
      </c>
      <c r="D2223" t="inlineStr">
        <is>
          <t>VÄSTERBOTTENS LÄN</t>
        </is>
      </c>
      <c r="E2223" t="inlineStr">
        <is>
          <t>SKELLEFTEÅ</t>
        </is>
      </c>
      <c r="F2223" t="inlineStr">
        <is>
          <t>Holmen skog AB</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39589-2023</t>
        </is>
      </c>
      <c r="B2224" s="1" t="n">
        <v>45167</v>
      </c>
      <c r="C2224" s="1" t="n">
        <v>45566</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39544-2023</t>
        </is>
      </c>
      <c r="B2225" s="1" t="n">
        <v>45167</v>
      </c>
      <c r="C2225" s="1" t="n">
        <v>45566</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39846-2023</t>
        </is>
      </c>
      <c r="B2226" s="1" t="n">
        <v>45168</v>
      </c>
      <c r="C2226" s="1" t="n">
        <v>45566</v>
      </c>
      <c r="D2226" t="inlineStr">
        <is>
          <t>VÄSTERBOTTENS LÄN</t>
        </is>
      </c>
      <c r="E2226" t="inlineStr">
        <is>
          <t>SKELLEFTEÅ</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40189-2023</t>
        </is>
      </c>
      <c r="B2227" s="1" t="n">
        <v>45169</v>
      </c>
      <c r="C2227" s="1" t="n">
        <v>45566</v>
      </c>
      <c r="D2227" t="inlineStr">
        <is>
          <t>VÄSTERBOTTENS LÄN</t>
        </is>
      </c>
      <c r="E2227" t="inlineStr">
        <is>
          <t>SKELLEFTEÅ</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40373-2023</t>
        </is>
      </c>
      <c r="B2228" s="1" t="n">
        <v>45169</v>
      </c>
      <c r="C2228" s="1" t="n">
        <v>45566</v>
      </c>
      <c r="D2228" t="inlineStr">
        <is>
          <t>VÄSTERBOTTENS LÄN</t>
        </is>
      </c>
      <c r="E2228" t="inlineStr">
        <is>
          <t>SKELLEFTEÅ</t>
        </is>
      </c>
      <c r="F2228" t="inlineStr">
        <is>
          <t>Sveaskog</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40132-2023</t>
        </is>
      </c>
      <c r="B2229" s="1" t="n">
        <v>45169</v>
      </c>
      <c r="C2229" s="1" t="n">
        <v>45566</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40274-2023</t>
        </is>
      </c>
      <c r="B2230" s="1" t="n">
        <v>45169</v>
      </c>
      <c r="C2230" s="1" t="n">
        <v>45566</v>
      </c>
      <c r="D2230" t="inlineStr">
        <is>
          <t>VÄSTERBOTTENS LÄN</t>
        </is>
      </c>
      <c r="E2230" t="inlineStr">
        <is>
          <t>SKELLEFTEÅ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40393-2023</t>
        </is>
      </c>
      <c r="B2231" s="1" t="n">
        <v>45169</v>
      </c>
      <c r="C2231" s="1" t="n">
        <v>45566</v>
      </c>
      <c r="D2231" t="inlineStr">
        <is>
          <t>VÄSTERBOTTENS LÄN</t>
        </is>
      </c>
      <c r="E2231" t="inlineStr">
        <is>
          <t>SKELLEFTEÅ</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40442-2023</t>
        </is>
      </c>
      <c r="B2232" s="1" t="n">
        <v>45170</v>
      </c>
      <c r="C2232" s="1" t="n">
        <v>45566</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41109-2023</t>
        </is>
      </c>
      <c r="B2233" s="1" t="n">
        <v>45170</v>
      </c>
      <c r="C2233" s="1" t="n">
        <v>45566</v>
      </c>
      <c r="D2233" t="inlineStr">
        <is>
          <t>VÄSTERBOTTENS LÄN</t>
        </is>
      </c>
      <c r="E2233" t="inlineStr">
        <is>
          <t>SKELLEFTEÅ</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41006-2023</t>
        </is>
      </c>
      <c r="B2234" s="1" t="n">
        <v>45173</v>
      </c>
      <c r="C2234" s="1" t="n">
        <v>45566</v>
      </c>
      <c r="D2234" t="inlineStr">
        <is>
          <t>VÄSTERBOTTENS LÄN</t>
        </is>
      </c>
      <c r="E2234" t="inlineStr">
        <is>
          <t>SKELLEFTEÅ</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41092-2023</t>
        </is>
      </c>
      <c r="B2235" s="1" t="n">
        <v>45173</v>
      </c>
      <c r="C2235" s="1" t="n">
        <v>45566</v>
      </c>
      <c r="D2235" t="inlineStr">
        <is>
          <t>VÄSTERBOTTENS LÄN</t>
        </is>
      </c>
      <c r="E2235" t="inlineStr">
        <is>
          <t>SKELLEFTEÅ</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41397-2023</t>
        </is>
      </c>
      <c r="B2236" s="1" t="n">
        <v>45174</v>
      </c>
      <c r="C2236" s="1" t="n">
        <v>45566</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41645-2023</t>
        </is>
      </c>
      <c r="B2237" s="1" t="n">
        <v>45175</v>
      </c>
      <c r="C2237" s="1" t="n">
        <v>45566</v>
      </c>
      <c r="D2237" t="inlineStr">
        <is>
          <t>VÄSTERBOTTENS LÄN</t>
        </is>
      </c>
      <c r="E2237" t="inlineStr">
        <is>
          <t>SKELLEFTEÅ</t>
        </is>
      </c>
      <c r="G2237" t="n">
        <v>26.4</v>
      </c>
      <c r="H2237" t="n">
        <v>0</v>
      </c>
      <c r="I2237" t="n">
        <v>0</v>
      </c>
      <c r="J2237" t="n">
        <v>0</v>
      </c>
      <c r="K2237" t="n">
        <v>0</v>
      </c>
      <c r="L2237" t="n">
        <v>0</v>
      </c>
      <c r="M2237" t="n">
        <v>0</v>
      </c>
      <c r="N2237" t="n">
        <v>0</v>
      </c>
      <c r="O2237" t="n">
        <v>0</v>
      </c>
      <c r="P2237" t="n">
        <v>0</v>
      </c>
      <c r="Q2237" t="n">
        <v>0</v>
      </c>
      <c r="R2237" s="2" t="inlineStr"/>
    </row>
    <row r="2238" ht="15" customHeight="1">
      <c r="A2238" t="inlineStr">
        <is>
          <t>A 41617-2023</t>
        </is>
      </c>
      <c r="B2238" s="1" t="n">
        <v>45175</v>
      </c>
      <c r="C2238" s="1" t="n">
        <v>45566</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42329-2023</t>
        </is>
      </c>
      <c r="B2239" s="1" t="n">
        <v>45175</v>
      </c>
      <c r="C2239" s="1" t="n">
        <v>45566</v>
      </c>
      <c r="D2239" t="inlineStr">
        <is>
          <t>VÄSTERBOTTENS LÄN</t>
        </is>
      </c>
      <c r="E2239" t="inlineStr">
        <is>
          <t>SKELLEFTEÅ</t>
        </is>
      </c>
      <c r="F2239" t="inlineStr">
        <is>
          <t>Kyrkan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42433-2023</t>
        </is>
      </c>
      <c r="B2240" s="1" t="n">
        <v>45175</v>
      </c>
      <c r="C2240" s="1" t="n">
        <v>45566</v>
      </c>
      <c r="D2240" t="inlineStr">
        <is>
          <t>VÄSTERBOTTENS LÄN</t>
        </is>
      </c>
      <c r="E2240" t="inlineStr">
        <is>
          <t>SKELLEFTEÅ</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41904-2023</t>
        </is>
      </c>
      <c r="B2241" s="1" t="n">
        <v>45177</v>
      </c>
      <c r="C2241" s="1" t="n">
        <v>45566</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42587-2023</t>
        </is>
      </c>
      <c r="B2242" s="1" t="n">
        <v>45176</v>
      </c>
      <c r="C2242" s="1" t="n">
        <v>45566</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42595-2023</t>
        </is>
      </c>
      <c r="B2243" s="1" t="n">
        <v>45176</v>
      </c>
      <c r="C2243" s="1" t="n">
        <v>45566</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42138-2023</t>
        </is>
      </c>
      <c r="B2244" s="1" t="n">
        <v>45177</v>
      </c>
      <c r="C2244" s="1" t="n">
        <v>45566</v>
      </c>
      <c r="D2244" t="inlineStr">
        <is>
          <t>VÄSTERBOTTENS LÄN</t>
        </is>
      </c>
      <c r="E2244" t="inlineStr">
        <is>
          <t>SKELLEFTEÅ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42822-2023</t>
        </is>
      </c>
      <c r="B2245" s="1" t="n">
        <v>45177</v>
      </c>
      <c r="C2245" s="1" t="n">
        <v>45566</v>
      </c>
      <c r="D2245" t="inlineStr">
        <is>
          <t>VÄSTERBOTTENS LÄN</t>
        </is>
      </c>
      <c r="E2245" t="inlineStr">
        <is>
          <t>SKELLEFTEÅ</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42136-2023</t>
        </is>
      </c>
      <c r="B2246" s="1" t="n">
        <v>45177</v>
      </c>
      <c r="C2246" s="1" t="n">
        <v>45566</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42144-2023</t>
        </is>
      </c>
      <c r="B2247" s="1" t="n">
        <v>45177</v>
      </c>
      <c r="C2247" s="1" t="n">
        <v>45566</v>
      </c>
      <c r="D2247" t="inlineStr">
        <is>
          <t>VÄSTERBOTTENS LÄN</t>
        </is>
      </c>
      <c r="E2247" t="inlineStr">
        <is>
          <t>SKELLEFTEÅ</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42137-2023</t>
        </is>
      </c>
      <c r="B2248" s="1" t="n">
        <v>45177</v>
      </c>
      <c r="C2248" s="1" t="n">
        <v>45566</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42842-2023</t>
        </is>
      </c>
      <c r="B2249" s="1" t="n">
        <v>45177</v>
      </c>
      <c r="C2249" s="1" t="n">
        <v>45566</v>
      </c>
      <c r="D2249" t="inlineStr">
        <is>
          <t>VÄSTERBOTTENS LÄN</t>
        </is>
      </c>
      <c r="E2249" t="inlineStr">
        <is>
          <t>SKELLEFTEÅ</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42421-2023</t>
        </is>
      </c>
      <c r="B2250" s="1" t="n">
        <v>45180</v>
      </c>
      <c r="C2250" s="1" t="n">
        <v>45566</v>
      </c>
      <c r="D2250" t="inlineStr">
        <is>
          <t>VÄSTERBOTTENS LÄN</t>
        </is>
      </c>
      <c r="E2250" t="inlineStr">
        <is>
          <t>SKELLEFTEÅ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42982-2023</t>
        </is>
      </c>
      <c r="B2251" s="1" t="n">
        <v>45180</v>
      </c>
      <c r="C2251" s="1" t="n">
        <v>45566</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43060-2023</t>
        </is>
      </c>
      <c r="B2252" s="1" t="n">
        <v>45180</v>
      </c>
      <c r="C2252" s="1" t="n">
        <v>45566</v>
      </c>
      <c r="D2252" t="inlineStr">
        <is>
          <t>VÄSTERBOTTENS LÄN</t>
        </is>
      </c>
      <c r="E2252" t="inlineStr">
        <is>
          <t>SKELLEFTEÅ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43568-2023</t>
        </is>
      </c>
      <c r="B2253" s="1" t="n">
        <v>45181</v>
      </c>
      <c r="C2253" s="1" t="n">
        <v>45566</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43563-2023</t>
        </is>
      </c>
      <c r="B2254" s="1" t="n">
        <v>45181</v>
      </c>
      <c r="C2254" s="1" t="n">
        <v>45566</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43598-2023</t>
        </is>
      </c>
      <c r="B2255" s="1" t="n">
        <v>45181</v>
      </c>
      <c r="C2255" s="1" t="n">
        <v>45566</v>
      </c>
      <c r="D2255" t="inlineStr">
        <is>
          <t>VÄSTERBOTTENS LÄN</t>
        </is>
      </c>
      <c r="E2255" t="inlineStr">
        <is>
          <t>SKELLEFTEÅ</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43603-2023</t>
        </is>
      </c>
      <c r="B2256" s="1" t="n">
        <v>45181</v>
      </c>
      <c r="C2256" s="1" t="n">
        <v>45566</v>
      </c>
      <c r="D2256" t="inlineStr">
        <is>
          <t>VÄSTERBOTTENS LÄN</t>
        </is>
      </c>
      <c r="E2256" t="inlineStr">
        <is>
          <t>SKELLEFTEÅ</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42640-2023</t>
        </is>
      </c>
      <c r="B2257" s="1" t="n">
        <v>45181</v>
      </c>
      <c r="C2257" s="1" t="n">
        <v>45566</v>
      </c>
      <c r="D2257" t="inlineStr">
        <is>
          <t>VÄSTERBOTTENS LÄN</t>
        </is>
      </c>
      <c r="E2257" t="inlineStr">
        <is>
          <t>SKELLEFTEÅ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42650-2023</t>
        </is>
      </c>
      <c r="B2258" s="1" t="n">
        <v>45181</v>
      </c>
      <c r="C2258" s="1" t="n">
        <v>45566</v>
      </c>
      <c r="D2258" t="inlineStr">
        <is>
          <t>VÄSTERBOTTENS LÄN</t>
        </is>
      </c>
      <c r="E2258" t="inlineStr">
        <is>
          <t>SKELLEFTEÅ</t>
        </is>
      </c>
      <c r="F2258" t="inlineStr">
        <is>
          <t>Holmen skog AB</t>
        </is>
      </c>
      <c r="G2258" t="n">
        <v>12.4</v>
      </c>
      <c r="H2258" t="n">
        <v>0</v>
      </c>
      <c r="I2258" t="n">
        <v>0</v>
      </c>
      <c r="J2258" t="n">
        <v>0</v>
      </c>
      <c r="K2258" t="n">
        <v>0</v>
      </c>
      <c r="L2258" t="n">
        <v>0</v>
      </c>
      <c r="M2258" t="n">
        <v>0</v>
      </c>
      <c r="N2258" t="n">
        <v>0</v>
      </c>
      <c r="O2258" t="n">
        <v>0</v>
      </c>
      <c r="P2258" t="n">
        <v>0</v>
      </c>
      <c r="Q2258" t="n">
        <v>0</v>
      </c>
      <c r="R2258" s="2" t="inlineStr"/>
    </row>
    <row r="2259" ht="15" customHeight="1">
      <c r="A2259" t="inlineStr">
        <is>
          <t>A 42787-2023</t>
        </is>
      </c>
      <c r="B2259" s="1" t="n">
        <v>45181</v>
      </c>
      <c r="C2259" s="1" t="n">
        <v>45566</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42789-2023</t>
        </is>
      </c>
      <c r="B2260" s="1" t="n">
        <v>45181</v>
      </c>
      <c r="C2260" s="1" t="n">
        <v>45566</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43057-2023</t>
        </is>
      </c>
      <c r="B2261" s="1" t="n">
        <v>45182</v>
      </c>
      <c r="C2261" s="1" t="n">
        <v>45566</v>
      </c>
      <c r="D2261" t="inlineStr">
        <is>
          <t>VÄSTERBOTTENS LÄN</t>
        </is>
      </c>
      <c r="E2261" t="inlineStr">
        <is>
          <t>SKELLEFTEÅ</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43059-2023</t>
        </is>
      </c>
      <c r="B2262" s="1" t="n">
        <v>45182</v>
      </c>
      <c r="C2262" s="1" t="n">
        <v>45566</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45566</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43435-2023</t>
        </is>
      </c>
      <c r="B2264" s="1" t="n">
        <v>45184</v>
      </c>
      <c r="C2264" s="1" t="n">
        <v>45566</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43439-2023</t>
        </is>
      </c>
      <c r="B2265" s="1" t="n">
        <v>45184</v>
      </c>
      <c r="C2265" s="1" t="n">
        <v>45566</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43438-2023</t>
        </is>
      </c>
      <c r="B2266" s="1" t="n">
        <v>45184</v>
      </c>
      <c r="C2266" s="1" t="n">
        <v>45566</v>
      </c>
      <c r="D2266" t="inlineStr">
        <is>
          <t>VÄSTERBOTTENS LÄN</t>
        </is>
      </c>
      <c r="E2266" t="inlineStr">
        <is>
          <t>SKELLEFTEÅ</t>
        </is>
      </c>
      <c r="F2266" t="inlineStr">
        <is>
          <t>Holmen skog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43474-2023</t>
        </is>
      </c>
      <c r="B2267" s="1" t="n">
        <v>45184</v>
      </c>
      <c r="C2267" s="1" t="n">
        <v>45566</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43578-2023</t>
        </is>
      </c>
      <c r="B2268" s="1" t="n">
        <v>45184</v>
      </c>
      <c r="C2268" s="1" t="n">
        <v>45566</v>
      </c>
      <c r="D2268" t="inlineStr">
        <is>
          <t>VÄSTERBOTTENS LÄN</t>
        </is>
      </c>
      <c r="E2268" t="inlineStr">
        <is>
          <t>SKELLEFTEÅ</t>
        </is>
      </c>
      <c r="F2268" t="inlineStr">
        <is>
          <t>Holmen skog AB</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43631-2023</t>
        </is>
      </c>
      <c r="B2269" s="1" t="n">
        <v>45185</v>
      </c>
      <c r="C2269" s="1" t="n">
        <v>45566</v>
      </c>
      <c r="D2269" t="inlineStr">
        <is>
          <t>VÄSTERBOTTENS LÄN</t>
        </is>
      </c>
      <c r="E2269" t="inlineStr">
        <is>
          <t>SKELLEFTEÅ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43751-2023</t>
        </is>
      </c>
      <c r="B2270" s="1" t="n">
        <v>45187</v>
      </c>
      <c r="C2270" s="1" t="n">
        <v>45566</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43686-2023</t>
        </is>
      </c>
      <c r="B2271" s="1" t="n">
        <v>45187</v>
      </c>
      <c r="C2271" s="1" t="n">
        <v>45566</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45079-2023</t>
        </is>
      </c>
      <c r="B2272" s="1" t="n">
        <v>45187</v>
      </c>
      <c r="C2272" s="1" t="n">
        <v>45566</v>
      </c>
      <c r="D2272" t="inlineStr">
        <is>
          <t>VÄSTERBOTTENS LÄN</t>
        </is>
      </c>
      <c r="E2272" t="inlineStr">
        <is>
          <t>SKELLEFTEÅ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44145-2023</t>
        </is>
      </c>
      <c r="B2273" s="1" t="n">
        <v>45188</v>
      </c>
      <c r="C2273" s="1" t="n">
        <v>45566</v>
      </c>
      <c r="D2273" t="inlineStr">
        <is>
          <t>VÄSTERBOTTENS LÄN</t>
        </is>
      </c>
      <c r="E2273" t="inlineStr">
        <is>
          <t>SKELLEFTEÅ</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44225-2023</t>
        </is>
      </c>
      <c r="B2274" s="1" t="n">
        <v>45188</v>
      </c>
      <c r="C2274" s="1" t="n">
        <v>45566</v>
      </c>
      <c r="D2274" t="inlineStr">
        <is>
          <t>VÄSTERBOTTENS LÄN</t>
        </is>
      </c>
      <c r="E2274" t="inlineStr">
        <is>
          <t>SKELLEFTEÅ</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44078-2023</t>
        </is>
      </c>
      <c r="B2275" s="1" t="n">
        <v>45188</v>
      </c>
      <c r="C2275" s="1" t="n">
        <v>45566</v>
      </c>
      <c r="D2275" t="inlineStr">
        <is>
          <t>VÄSTERBOTTENS LÄN</t>
        </is>
      </c>
      <c r="E2275" t="inlineStr">
        <is>
          <t>SKELLEFTEÅ</t>
        </is>
      </c>
      <c r="F2275" t="inlineStr">
        <is>
          <t>Holmen skog AB</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44250-2023</t>
        </is>
      </c>
      <c r="B2276" s="1" t="n">
        <v>45188</v>
      </c>
      <c r="C2276" s="1" t="n">
        <v>45566</v>
      </c>
      <c r="D2276" t="inlineStr">
        <is>
          <t>VÄSTERBOTTENS LÄN</t>
        </is>
      </c>
      <c r="E2276" t="inlineStr">
        <is>
          <t>SKELLEFTEÅ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44263-2023</t>
        </is>
      </c>
      <c r="B2277" s="1" t="n">
        <v>45188</v>
      </c>
      <c r="C2277" s="1" t="n">
        <v>45566</v>
      </c>
      <c r="D2277" t="inlineStr">
        <is>
          <t>VÄSTERBOTTENS LÄN</t>
        </is>
      </c>
      <c r="E2277" t="inlineStr">
        <is>
          <t>SKELLEFTEÅ</t>
        </is>
      </c>
      <c r="F2277" t="inlineStr">
        <is>
          <t>Holmen skog AB</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44296-2023</t>
        </is>
      </c>
      <c r="B2278" s="1" t="n">
        <v>45188</v>
      </c>
      <c r="C2278" s="1" t="n">
        <v>45566</v>
      </c>
      <c r="D2278" t="inlineStr">
        <is>
          <t>VÄSTERBOTTENS LÄN</t>
        </is>
      </c>
      <c r="E2278" t="inlineStr">
        <is>
          <t>SKELLEFTEÅ</t>
        </is>
      </c>
      <c r="F2278" t="inlineStr">
        <is>
          <t>Holmen skog AB</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44301-2023</t>
        </is>
      </c>
      <c r="B2279" s="1" t="n">
        <v>45188</v>
      </c>
      <c r="C2279" s="1" t="n">
        <v>45566</v>
      </c>
      <c r="D2279" t="inlineStr">
        <is>
          <t>VÄSTERBOTTENS LÄN</t>
        </is>
      </c>
      <c r="E2279" t="inlineStr">
        <is>
          <t>SKELLEFTEÅ</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44335-2023</t>
        </is>
      </c>
      <c r="B2280" s="1" t="n">
        <v>45188</v>
      </c>
      <c r="C2280" s="1" t="n">
        <v>45566</v>
      </c>
      <c r="D2280" t="inlineStr">
        <is>
          <t>VÄSTERBOTTENS LÄN</t>
        </is>
      </c>
      <c r="E2280" t="inlineStr">
        <is>
          <t>SKELLEFTEÅ</t>
        </is>
      </c>
      <c r="F2280" t="inlineStr">
        <is>
          <t>Holmen skog AB</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45581-2023</t>
        </is>
      </c>
      <c r="B2281" s="1" t="n">
        <v>45188</v>
      </c>
      <c r="C2281" s="1" t="n">
        <v>45566</v>
      </c>
      <c r="D2281" t="inlineStr">
        <is>
          <t>VÄSTERBOTTENS LÄN</t>
        </is>
      </c>
      <c r="E2281" t="inlineStr">
        <is>
          <t>SKELLEFTEÅ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45576-2023</t>
        </is>
      </c>
      <c r="B2282" s="1" t="n">
        <v>45188</v>
      </c>
      <c r="C2282" s="1" t="n">
        <v>45566</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44483-2023</t>
        </is>
      </c>
      <c r="B2283" s="1" t="n">
        <v>45189</v>
      </c>
      <c r="C2283" s="1" t="n">
        <v>45566</v>
      </c>
      <c r="D2283" t="inlineStr">
        <is>
          <t>VÄSTERBOTTENS LÄN</t>
        </is>
      </c>
      <c r="E2283" t="inlineStr">
        <is>
          <t>SKELLEFTEÅ</t>
        </is>
      </c>
      <c r="F2283" t="inlineStr">
        <is>
          <t>Holmen skog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44545-2023</t>
        </is>
      </c>
      <c r="B2284" s="1" t="n">
        <v>45189</v>
      </c>
      <c r="C2284" s="1" t="n">
        <v>45566</v>
      </c>
      <c r="D2284" t="inlineStr">
        <is>
          <t>VÄSTERBOTTENS LÄN</t>
        </is>
      </c>
      <c r="E2284" t="inlineStr">
        <is>
          <t>SKELLEFTEÅ</t>
        </is>
      </c>
      <c r="F2284" t="inlineStr">
        <is>
          <t>Holmen skog AB</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44561-2023</t>
        </is>
      </c>
      <c r="B2285" s="1" t="n">
        <v>45189</v>
      </c>
      <c r="C2285" s="1" t="n">
        <v>45566</v>
      </c>
      <c r="D2285" t="inlineStr">
        <is>
          <t>VÄSTERBOTTENS LÄN</t>
        </is>
      </c>
      <c r="E2285" t="inlineStr">
        <is>
          <t>SKELLEFTEÅ</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45727-2023</t>
        </is>
      </c>
      <c r="B2286" s="1" t="n">
        <v>45189</v>
      </c>
      <c r="C2286" s="1" t="n">
        <v>45566</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44567-2023</t>
        </is>
      </c>
      <c r="B2287" s="1" t="n">
        <v>45189</v>
      </c>
      <c r="C2287" s="1" t="n">
        <v>45566</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44745-2023</t>
        </is>
      </c>
      <c r="B2288" s="1" t="n">
        <v>45190</v>
      </c>
      <c r="C2288" s="1" t="n">
        <v>45566</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44912-2023</t>
        </is>
      </c>
      <c r="B2289" s="1" t="n">
        <v>45190</v>
      </c>
      <c r="C2289" s="1" t="n">
        <v>45566</v>
      </c>
      <c r="D2289" t="inlineStr">
        <is>
          <t>VÄSTERBOTTENS LÄN</t>
        </is>
      </c>
      <c r="E2289" t="inlineStr">
        <is>
          <t>SKELLEFTEÅ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44959-2023</t>
        </is>
      </c>
      <c r="B2290" s="1" t="n">
        <v>45190</v>
      </c>
      <c r="C2290" s="1" t="n">
        <v>45566</v>
      </c>
      <c r="D2290" t="inlineStr">
        <is>
          <t>VÄSTERBOTTENS LÄN</t>
        </is>
      </c>
      <c r="E2290" t="inlineStr">
        <is>
          <t>SKELLEFTEÅ</t>
        </is>
      </c>
      <c r="F2290" t="inlineStr">
        <is>
          <t>Sveaskog</t>
        </is>
      </c>
      <c r="G2290" t="n">
        <v>15.3</v>
      </c>
      <c r="H2290" t="n">
        <v>0</v>
      </c>
      <c r="I2290" t="n">
        <v>0</v>
      </c>
      <c r="J2290" t="n">
        <v>0</v>
      </c>
      <c r="K2290" t="n">
        <v>0</v>
      </c>
      <c r="L2290" t="n">
        <v>0</v>
      </c>
      <c r="M2290" t="n">
        <v>0</v>
      </c>
      <c r="N2290" t="n">
        <v>0</v>
      </c>
      <c r="O2290" t="n">
        <v>0</v>
      </c>
      <c r="P2290" t="n">
        <v>0</v>
      </c>
      <c r="Q2290" t="n">
        <v>0</v>
      </c>
      <c r="R2290" s="2" t="inlineStr"/>
    </row>
    <row r="2291" ht="15" customHeight="1">
      <c r="A2291" t="inlineStr">
        <is>
          <t>A 44856-2023</t>
        </is>
      </c>
      <c r="B2291" s="1" t="n">
        <v>45190</v>
      </c>
      <c r="C2291" s="1" t="n">
        <v>45566</v>
      </c>
      <c r="D2291" t="inlineStr">
        <is>
          <t>VÄSTERBOTTENS LÄN</t>
        </is>
      </c>
      <c r="E2291" t="inlineStr">
        <is>
          <t>SKELLEFTEÅ</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44872-2023</t>
        </is>
      </c>
      <c r="B2292" s="1" t="n">
        <v>45190</v>
      </c>
      <c r="C2292" s="1" t="n">
        <v>45566</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44877-2023</t>
        </is>
      </c>
      <c r="B2293" s="1" t="n">
        <v>45190</v>
      </c>
      <c r="C2293" s="1" t="n">
        <v>45566</v>
      </c>
      <c r="D2293" t="inlineStr">
        <is>
          <t>VÄSTERBOTTENS LÄN</t>
        </is>
      </c>
      <c r="E2293" t="inlineStr">
        <is>
          <t>SKELLEFTEÅ</t>
        </is>
      </c>
      <c r="F2293" t="inlineStr">
        <is>
          <t>Holmen skog AB</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44775-2023</t>
        </is>
      </c>
      <c r="B2294" s="1" t="n">
        <v>45190</v>
      </c>
      <c r="C2294" s="1" t="n">
        <v>45566</v>
      </c>
      <c r="D2294" t="inlineStr">
        <is>
          <t>VÄSTERBOTTENS LÄN</t>
        </is>
      </c>
      <c r="E2294" t="inlineStr">
        <is>
          <t>SKELLEFTEÅ</t>
        </is>
      </c>
      <c r="F2294" t="inlineStr">
        <is>
          <t>Sveaskog</t>
        </is>
      </c>
      <c r="G2294" t="n">
        <v>20.4</v>
      </c>
      <c r="H2294" t="n">
        <v>0</v>
      </c>
      <c r="I2294" t="n">
        <v>0</v>
      </c>
      <c r="J2294" t="n">
        <v>0</v>
      </c>
      <c r="K2294" t="n">
        <v>0</v>
      </c>
      <c r="L2294" t="n">
        <v>0</v>
      </c>
      <c r="M2294" t="n">
        <v>0</v>
      </c>
      <c r="N2294" t="n">
        <v>0</v>
      </c>
      <c r="O2294" t="n">
        <v>0</v>
      </c>
      <c r="P2294" t="n">
        <v>0</v>
      </c>
      <c r="Q2294" t="n">
        <v>0</v>
      </c>
      <c r="R2294" s="2" t="inlineStr"/>
    </row>
    <row r="2295" ht="15" customHeight="1">
      <c r="A2295" t="inlineStr">
        <is>
          <t>A 44825-2023</t>
        </is>
      </c>
      <c r="B2295" s="1" t="n">
        <v>45190</v>
      </c>
      <c r="C2295" s="1" t="n">
        <v>45566</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46191-2023</t>
        </is>
      </c>
      <c r="B2296" s="1" t="n">
        <v>45190</v>
      </c>
      <c r="C2296" s="1" t="n">
        <v>45566</v>
      </c>
      <c r="D2296" t="inlineStr">
        <is>
          <t>VÄSTERBOTTENS LÄN</t>
        </is>
      </c>
      <c r="E2296" t="inlineStr">
        <is>
          <t>SKELLEFTEÅ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46084-2023</t>
        </is>
      </c>
      <c r="B2297" s="1" t="n">
        <v>45190</v>
      </c>
      <c r="C2297" s="1" t="n">
        <v>45566</v>
      </c>
      <c r="D2297" t="inlineStr">
        <is>
          <t>VÄSTERBOTTENS LÄN</t>
        </is>
      </c>
      <c r="E2297" t="inlineStr">
        <is>
          <t>SKELLEFTEÅ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46107-2023</t>
        </is>
      </c>
      <c r="B2298" s="1" t="n">
        <v>45190</v>
      </c>
      <c r="C2298" s="1" t="n">
        <v>45566</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45039-2023</t>
        </is>
      </c>
      <c r="B2299" s="1" t="n">
        <v>45191</v>
      </c>
      <c r="C2299" s="1" t="n">
        <v>45566</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46302-2023</t>
        </is>
      </c>
      <c r="B2300" s="1" t="n">
        <v>45191</v>
      </c>
      <c r="C2300" s="1" t="n">
        <v>45566</v>
      </c>
      <c r="D2300" t="inlineStr">
        <is>
          <t>VÄSTERBOTTENS LÄN</t>
        </is>
      </c>
      <c r="E2300" t="inlineStr">
        <is>
          <t>SKELLEFTEÅ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45552-2023</t>
        </is>
      </c>
      <c r="B2301" s="1" t="n">
        <v>45194</v>
      </c>
      <c r="C2301" s="1" t="n">
        <v>45566</v>
      </c>
      <c r="D2301" t="inlineStr">
        <is>
          <t>VÄSTERBOTTENS LÄN</t>
        </is>
      </c>
      <c r="E2301" t="inlineStr">
        <is>
          <t>SKELLEFTEÅ</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46504-2023</t>
        </is>
      </c>
      <c r="B2302" s="1" t="n">
        <v>45194</v>
      </c>
      <c r="C2302" s="1" t="n">
        <v>45566</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45498-2023</t>
        </is>
      </c>
      <c r="B2303" s="1" t="n">
        <v>45194</v>
      </c>
      <c r="C2303" s="1" t="n">
        <v>45566</v>
      </c>
      <c r="D2303" t="inlineStr">
        <is>
          <t>VÄSTERBOTTENS LÄN</t>
        </is>
      </c>
      <c r="E2303" t="inlineStr">
        <is>
          <t>SKELLEFTEÅ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46492-2023</t>
        </is>
      </c>
      <c r="B2304" s="1" t="n">
        <v>45194</v>
      </c>
      <c r="C2304" s="1" t="n">
        <v>45566</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46440-2023</t>
        </is>
      </c>
      <c r="B2305" s="1" t="n">
        <v>45197</v>
      </c>
      <c r="C2305" s="1" t="n">
        <v>45566</v>
      </c>
      <c r="D2305" t="inlineStr">
        <is>
          <t>VÄSTERBOTTENS LÄN</t>
        </is>
      </c>
      <c r="E2305" t="inlineStr">
        <is>
          <t>SKELLEFTEÅ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46540-2023</t>
        </is>
      </c>
      <c r="B2306" s="1" t="n">
        <v>45198</v>
      </c>
      <c r="C2306" s="1" t="n">
        <v>45566</v>
      </c>
      <c r="D2306" t="inlineStr">
        <is>
          <t>VÄSTERBOTTENS LÄN</t>
        </is>
      </c>
      <c r="E2306" t="inlineStr">
        <is>
          <t>SKELLEFTEÅ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46539-2023</t>
        </is>
      </c>
      <c r="B2307" s="1" t="n">
        <v>45198</v>
      </c>
      <c r="C2307" s="1" t="n">
        <v>45566</v>
      </c>
      <c r="D2307" t="inlineStr">
        <is>
          <t>VÄSTERBOTTENS LÄN</t>
        </is>
      </c>
      <c r="E2307" t="inlineStr">
        <is>
          <t>SKELLEFTEÅ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46541-2023</t>
        </is>
      </c>
      <c r="B2308" s="1" t="n">
        <v>45198</v>
      </c>
      <c r="C2308" s="1" t="n">
        <v>45566</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46448-2023</t>
        </is>
      </c>
      <c r="B2309" s="1" t="n">
        <v>45197</v>
      </c>
      <c r="C2309" s="1" t="n">
        <v>45566</v>
      </c>
      <c r="D2309" t="inlineStr">
        <is>
          <t>VÄSTERBOTTENS LÄN</t>
        </is>
      </c>
      <c r="E2309" t="inlineStr">
        <is>
          <t>SKELLEFTEÅ</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46538-2023</t>
        </is>
      </c>
      <c r="B2310" s="1" t="n">
        <v>45198</v>
      </c>
      <c r="C2310" s="1" t="n">
        <v>45566</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47447-2023</t>
        </is>
      </c>
      <c r="B2311" s="1" t="n">
        <v>45197</v>
      </c>
      <c r="C2311" s="1" t="n">
        <v>45566</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46584-2023</t>
        </is>
      </c>
      <c r="B2312" s="1" t="n">
        <v>45198</v>
      </c>
      <c r="C2312" s="1" t="n">
        <v>45566</v>
      </c>
      <c r="D2312" t="inlineStr">
        <is>
          <t>VÄSTERBOTTENS LÄN</t>
        </is>
      </c>
      <c r="E2312" t="inlineStr">
        <is>
          <t>SKELLEFTEÅ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46590-2023</t>
        </is>
      </c>
      <c r="B2313" s="1" t="n">
        <v>45198</v>
      </c>
      <c r="C2313" s="1" t="n">
        <v>45566</v>
      </c>
      <c r="D2313" t="inlineStr">
        <is>
          <t>VÄSTERBOTTENS LÄN</t>
        </is>
      </c>
      <c r="E2313" t="inlineStr">
        <is>
          <t>SKELLEFTEÅ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47924-2023</t>
        </is>
      </c>
      <c r="B2314" s="1" t="n">
        <v>45198</v>
      </c>
      <c r="C2314" s="1" t="n">
        <v>45566</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47923-2023</t>
        </is>
      </c>
      <c r="B2315" s="1" t="n">
        <v>45198</v>
      </c>
      <c r="C2315" s="1" t="n">
        <v>45566</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47925-2023</t>
        </is>
      </c>
      <c r="B2316" s="1" t="n">
        <v>45198</v>
      </c>
      <c r="C2316" s="1" t="n">
        <v>45566</v>
      </c>
      <c r="D2316" t="inlineStr">
        <is>
          <t>VÄSTERBOTTENS LÄN</t>
        </is>
      </c>
      <c r="E2316" t="inlineStr">
        <is>
          <t>SKELLEFTEÅ</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47155-2023</t>
        </is>
      </c>
      <c r="B2317" s="1" t="n">
        <v>45202</v>
      </c>
      <c r="C2317" s="1" t="n">
        <v>45566</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47154-2023</t>
        </is>
      </c>
      <c r="B2318" s="1" t="n">
        <v>45202</v>
      </c>
      <c r="C2318" s="1" t="n">
        <v>45566</v>
      </c>
      <c r="D2318" t="inlineStr">
        <is>
          <t>VÄSTERBOTTENS LÄN</t>
        </is>
      </c>
      <c r="E2318" t="inlineStr">
        <is>
          <t>SKELLEFTEÅ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47139-2023</t>
        </is>
      </c>
      <c r="B2319" s="1" t="n">
        <v>45201</v>
      </c>
      <c r="C2319" s="1" t="n">
        <v>45566</v>
      </c>
      <c r="D2319" t="inlineStr">
        <is>
          <t>VÄSTERBOTTENS LÄN</t>
        </is>
      </c>
      <c r="E2319" t="inlineStr">
        <is>
          <t>SKELLEFTEÅ</t>
        </is>
      </c>
      <c r="F2319" t="inlineStr">
        <is>
          <t>Sveaskog</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46965-2023</t>
        </is>
      </c>
      <c r="B2320" s="1" t="n">
        <v>45201</v>
      </c>
      <c r="C2320" s="1" t="n">
        <v>45566</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48392-2023</t>
        </is>
      </c>
      <c r="B2321" s="1" t="n">
        <v>45201</v>
      </c>
      <c r="C2321" s="1" t="n">
        <v>45566</v>
      </c>
      <c r="D2321" t="inlineStr">
        <is>
          <t>VÄSTERBOTTENS LÄN</t>
        </is>
      </c>
      <c r="E2321" t="inlineStr">
        <is>
          <t>SKELLEFTEÅ</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48394-2023</t>
        </is>
      </c>
      <c r="B2322" s="1" t="n">
        <v>45201</v>
      </c>
      <c r="C2322" s="1" t="n">
        <v>45566</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47312-2023</t>
        </is>
      </c>
      <c r="B2323" s="1" t="n">
        <v>45202</v>
      </c>
      <c r="C2323" s="1" t="n">
        <v>45566</v>
      </c>
      <c r="D2323" t="inlineStr">
        <is>
          <t>VÄSTERBOTTENS LÄN</t>
        </is>
      </c>
      <c r="E2323" t="inlineStr">
        <is>
          <t>SKELLEFTEÅ</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47406-2023</t>
        </is>
      </c>
      <c r="B2324" s="1" t="n">
        <v>45202</v>
      </c>
      <c r="C2324" s="1" t="n">
        <v>45566</v>
      </c>
      <c r="D2324" t="inlineStr">
        <is>
          <t>VÄSTERBOTTENS LÄN</t>
        </is>
      </c>
      <c r="E2324" t="inlineStr">
        <is>
          <t>SKELLEFTEÅ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47468-2023</t>
        </is>
      </c>
      <c r="B2325" s="1" t="n">
        <v>45202</v>
      </c>
      <c r="C2325" s="1" t="n">
        <v>45566</v>
      </c>
      <c r="D2325" t="inlineStr">
        <is>
          <t>VÄSTERBOTTENS LÄN</t>
        </is>
      </c>
      <c r="E2325" t="inlineStr">
        <is>
          <t>SKELLEFTEÅ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47716-2023</t>
        </is>
      </c>
      <c r="B2326" s="1" t="n">
        <v>45203</v>
      </c>
      <c r="C2326" s="1" t="n">
        <v>45566</v>
      </c>
      <c r="D2326" t="inlineStr">
        <is>
          <t>VÄSTERBOTTENS LÄN</t>
        </is>
      </c>
      <c r="E2326" t="inlineStr">
        <is>
          <t>SKELLEFTEÅ</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47531-2023</t>
        </is>
      </c>
      <c r="B2327" s="1" t="n">
        <v>45203</v>
      </c>
      <c r="C2327" s="1" t="n">
        <v>45566</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47534-2023</t>
        </is>
      </c>
      <c r="B2328" s="1" t="n">
        <v>45203</v>
      </c>
      <c r="C2328" s="1" t="n">
        <v>45566</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47910-2023</t>
        </is>
      </c>
      <c r="B2329" s="1" t="n">
        <v>45204</v>
      </c>
      <c r="C2329" s="1" t="n">
        <v>45566</v>
      </c>
      <c r="D2329" t="inlineStr">
        <is>
          <t>VÄSTERBOTTENS LÄN</t>
        </is>
      </c>
      <c r="E2329" t="inlineStr">
        <is>
          <t>SKELLEFTEÅ</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48062-2023</t>
        </is>
      </c>
      <c r="B2330" s="1" t="n">
        <v>45205</v>
      </c>
      <c r="C2330" s="1" t="n">
        <v>45566</v>
      </c>
      <c r="D2330" t="inlineStr">
        <is>
          <t>VÄSTERBOTTENS LÄN</t>
        </is>
      </c>
      <c r="E2330" t="inlineStr">
        <is>
          <t>SKELLEFTEÅ</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48160-2023</t>
        </is>
      </c>
      <c r="B2331" s="1" t="n">
        <v>45205</v>
      </c>
      <c r="C2331" s="1" t="n">
        <v>45566</v>
      </c>
      <c r="D2331" t="inlineStr">
        <is>
          <t>VÄSTERBOTTENS LÄN</t>
        </is>
      </c>
      <c r="E2331" t="inlineStr">
        <is>
          <t>SKELLEFTEÅ</t>
        </is>
      </c>
      <c r="G2331" t="n">
        <v>18.8</v>
      </c>
      <c r="H2331" t="n">
        <v>0</v>
      </c>
      <c r="I2331" t="n">
        <v>0</v>
      </c>
      <c r="J2331" t="n">
        <v>0</v>
      </c>
      <c r="K2331" t="n">
        <v>0</v>
      </c>
      <c r="L2331" t="n">
        <v>0</v>
      </c>
      <c r="M2331" t="n">
        <v>0</v>
      </c>
      <c r="N2331" t="n">
        <v>0</v>
      </c>
      <c r="O2331" t="n">
        <v>0</v>
      </c>
      <c r="P2331" t="n">
        <v>0</v>
      </c>
      <c r="Q2331" t="n">
        <v>0</v>
      </c>
      <c r="R2331" s="2" t="inlineStr"/>
    </row>
    <row r="2332" ht="15" customHeight="1">
      <c r="A2332" t="inlineStr">
        <is>
          <t>A 48316-2023</t>
        </is>
      </c>
      <c r="B2332" s="1" t="n">
        <v>45205</v>
      </c>
      <c r="C2332" s="1" t="n">
        <v>45566</v>
      </c>
      <c r="D2332" t="inlineStr">
        <is>
          <t>VÄSTERBOTTENS LÄN</t>
        </is>
      </c>
      <c r="E2332" t="inlineStr">
        <is>
          <t>SKELLEFTEÅ</t>
        </is>
      </c>
      <c r="F2332" t="inlineStr">
        <is>
          <t>Holmen skog AB</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48264-2023</t>
        </is>
      </c>
      <c r="B2333" s="1" t="n">
        <v>45205</v>
      </c>
      <c r="C2333" s="1" t="n">
        <v>45566</v>
      </c>
      <c r="D2333" t="inlineStr">
        <is>
          <t>VÄSTERBOTTENS LÄN</t>
        </is>
      </c>
      <c r="E2333" t="inlineStr">
        <is>
          <t>SKELLEFTEÅ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48361-2023</t>
        </is>
      </c>
      <c r="B2334" s="1" t="n">
        <v>45205</v>
      </c>
      <c r="C2334" s="1" t="n">
        <v>45566</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49573-2023</t>
        </is>
      </c>
      <c r="B2335" s="1" t="n">
        <v>45205</v>
      </c>
      <c r="C2335" s="1" t="n">
        <v>45566</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49587-2023</t>
        </is>
      </c>
      <c r="B2336" s="1" t="n">
        <v>45206</v>
      </c>
      <c r="C2336" s="1" t="n">
        <v>45566</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49594-2023</t>
        </is>
      </c>
      <c r="B2337" s="1" t="n">
        <v>45206</v>
      </c>
      <c r="C2337" s="1" t="n">
        <v>45566</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48454-2023</t>
        </is>
      </c>
      <c r="B2338" s="1" t="n">
        <v>45206</v>
      </c>
      <c r="C2338" s="1" t="n">
        <v>45566</v>
      </c>
      <c r="D2338" t="inlineStr">
        <is>
          <t>VÄSTERBOTTENS LÄN</t>
        </is>
      </c>
      <c r="E2338" t="inlineStr">
        <is>
          <t>SKELLEFTEÅ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48501-2023</t>
        </is>
      </c>
      <c r="B2339" s="1" t="n">
        <v>45207</v>
      </c>
      <c r="C2339" s="1" t="n">
        <v>45566</v>
      </c>
      <c r="D2339" t="inlineStr">
        <is>
          <t>VÄSTERBOTTENS LÄN</t>
        </is>
      </c>
      <c r="E2339" t="inlineStr">
        <is>
          <t>SKELLEFTEÅ</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48517-2023</t>
        </is>
      </c>
      <c r="B2340" s="1" t="n">
        <v>45208</v>
      </c>
      <c r="C2340" s="1" t="n">
        <v>45566</v>
      </c>
      <c r="D2340" t="inlineStr">
        <is>
          <t>VÄSTERBOTTENS LÄN</t>
        </is>
      </c>
      <c r="E2340" t="inlineStr">
        <is>
          <t>SKELLEFTEÅ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48518-2023</t>
        </is>
      </c>
      <c r="B2341" s="1" t="n">
        <v>45208</v>
      </c>
      <c r="C2341" s="1" t="n">
        <v>45566</v>
      </c>
      <c r="D2341" t="inlineStr">
        <is>
          <t>VÄSTERBOTTENS LÄN</t>
        </is>
      </c>
      <c r="E2341" t="inlineStr">
        <is>
          <t>SKELLEFTEÅ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48573-2023</t>
        </is>
      </c>
      <c r="B2342" s="1" t="n">
        <v>45208</v>
      </c>
      <c r="C2342" s="1" t="n">
        <v>45566</v>
      </c>
      <c r="D2342" t="inlineStr">
        <is>
          <t>VÄSTERBOTTENS LÄN</t>
        </is>
      </c>
      <c r="E2342" t="inlineStr">
        <is>
          <t>SKELLEFTEÅ</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48516-2023</t>
        </is>
      </c>
      <c r="B2343" s="1" t="n">
        <v>45208</v>
      </c>
      <c r="C2343" s="1" t="n">
        <v>45566</v>
      </c>
      <c r="D2343" t="inlineStr">
        <is>
          <t>VÄSTERBOTTENS LÄN</t>
        </is>
      </c>
      <c r="E2343" t="inlineStr">
        <is>
          <t>SKELLEFTEÅ</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48802-2023</t>
        </is>
      </c>
      <c r="B2344" s="1" t="n">
        <v>45209</v>
      </c>
      <c r="C2344" s="1" t="n">
        <v>45566</v>
      </c>
      <c r="D2344" t="inlineStr">
        <is>
          <t>VÄSTERBOTTENS LÄN</t>
        </is>
      </c>
      <c r="E2344" t="inlineStr">
        <is>
          <t>SKELLEFTEÅ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50185-2023</t>
        </is>
      </c>
      <c r="B2345" s="1" t="n">
        <v>45209</v>
      </c>
      <c r="C2345" s="1" t="n">
        <v>45566</v>
      </c>
      <c r="D2345" t="inlineStr">
        <is>
          <t>VÄSTERBOTTENS LÄN</t>
        </is>
      </c>
      <c r="E2345" t="inlineStr">
        <is>
          <t>SKELLEFTEÅ</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49161-2023</t>
        </is>
      </c>
      <c r="B2346" s="1" t="n">
        <v>45210</v>
      </c>
      <c r="C2346" s="1" t="n">
        <v>45566</v>
      </c>
      <c r="D2346" t="inlineStr">
        <is>
          <t>VÄSTERBOTTENS LÄN</t>
        </is>
      </c>
      <c r="E2346" t="inlineStr">
        <is>
          <t>SKELLEFTEÅ</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49130-2023</t>
        </is>
      </c>
      <c r="B2347" s="1" t="n">
        <v>45210</v>
      </c>
      <c r="C2347" s="1" t="n">
        <v>45566</v>
      </c>
      <c r="D2347" t="inlineStr">
        <is>
          <t>VÄSTERBOTTENS LÄN</t>
        </is>
      </c>
      <c r="E2347" t="inlineStr">
        <is>
          <t>SKELLEFTEÅ</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49055-2023</t>
        </is>
      </c>
      <c r="B2348" s="1" t="n">
        <v>45210</v>
      </c>
      <c r="C2348" s="1" t="n">
        <v>45566</v>
      </c>
      <c r="D2348" t="inlineStr">
        <is>
          <t>VÄSTERBOTTENS LÄN</t>
        </is>
      </c>
      <c r="E2348" t="inlineStr">
        <is>
          <t>SKELLEFTEÅ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49241-2023</t>
        </is>
      </c>
      <c r="B2349" s="1" t="n">
        <v>45210</v>
      </c>
      <c r="C2349" s="1" t="n">
        <v>45566</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49243-2023</t>
        </is>
      </c>
      <c r="B2350" s="1" t="n">
        <v>45210</v>
      </c>
      <c r="C2350" s="1" t="n">
        <v>45566</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50378-2023</t>
        </is>
      </c>
      <c r="B2351" s="1" t="n">
        <v>45210</v>
      </c>
      <c r="C2351" s="1" t="n">
        <v>45566</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49283-2023</t>
        </is>
      </c>
      <c r="B2352" s="1" t="n">
        <v>45210</v>
      </c>
      <c r="C2352" s="1" t="n">
        <v>45566</v>
      </c>
      <c r="D2352" t="inlineStr">
        <is>
          <t>VÄSTERBOTTENS LÄN</t>
        </is>
      </c>
      <c r="E2352" t="inlineStr">
        <is>
          <t>SKELLEFTEÅ</t>
        </is>
      </c>
      <c r="F2352" t="inlineStr">
        <is>
          <t>Holmen skog AB</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49688-2023</t>
        </is>
      </c>
      <c r="B2353" s="1" t="n">
        <v>45212</v>
      </c>
      <c r="C2353" s="1" t="n">
        <v>45566</v>
      </c>
      <c r="D2353" t="inlineStr">
        <is>
          <t>VÄSTERBOTTENS LÄN</t>
        </is>
      </c>
      <c r="E2353" t="inlineStr">
        <is>
          <t>SKELLEFTEÅ</t>
        </is>
      </c>
      <c r="F2353" t="inlineStr">
        <is>
          <t>Holmen skog AB</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49730-2023</t>
        </is>
      </c>
      <c r="B2354" s="1" t="n">
        <v>45212</v>
      </c>
      <c r="C2354" s="1" t="n">
        <v>45566</v>
      </c>
      <c r="D2354" t="inlineStr">
        <is>
          <t>VÄSTERBOTTENS LÄN</t>
        </is>
      </c>
      <c r="E2354" t="inlineStr">
        <is>
          <t>SKELLEFTEÅ</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49728-2023</t>
        </is>
      </c>
      <c r="B2355" s="1" t="n">
        <v>45212</v>
      </c>
      <c r="C2355" s="1" t="n">
        <v>45566</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51342-2023</t>
        </is>
      </c>
      <c r="B2356" s="1" t="n">
        <v>45212</v>
      </c>
      <c r="C2356" s="1" t="n">
        <v>45566</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49901-2023</t>
        </is>
      </c>
      <c r="B2357" s="1" t="n">
        <v>45213</v>
      </c>
      <c r="C2357" s="1" t="n">
        <v>45566</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49900-2023</t>
        </is>
      </c>
      <c r="B2358" s="1" t="n">
        <v>45213</v>
      </c>
      <c r="C2358" s="1" t="n">
        <v>45566</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49949-2023</t>
        </is>
      </c>
      <c r="B2359" s="1" t="n">
        <v>45215</v>
      </c>
      <c r="C2359" s="1" t="n">
        <v>45566</v>
      </c>
      <c r="D2359" t="inlineStr">
        <is>
          <t>VÄSTERBOTTENS LÄN</t>
        </is>
      </c>
      <c r="E2359" t="inlineStr">
        <is>
          <t>SKELLEFTEÅ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50081-2023</t>
        </is>
      </c>
      <c r="B2360" s="1" t="n">
        <v>45215</v>
      </c>
      <c r="C2360" s="1" t="n">
        <v>45566</v>
      </c>
      <c r="D2360" t="inlineStr">
        <is>
          <t>VÄSTERBOTTENS LÄN</t>
        </is>
      </c>
      <c r="E2360" t="inlineStr">
        <is>
          <t>SKELLEFTEÅ</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50108-2023</t>
        </is>
      </c>
      <c r="B2361" s="1" t="n">
        <v>45215</v>
      </c>
      <c r="C2361" s="1" t="n">
        <v>45566</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51590-2023</t>
        </is>
      </c>
      <c r="B2362" s="1" t="n">
        <v>45215</v>
      </c>
      <c r="C2362" s="1" t="n">
        <v>45566</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51611-2023</t>
        </is>
      </c>
      <c r="B2363" s="1" t="n">
        <v>45215</v>
      </c>
      <c r="C2363" s="1" t="n">
        <v>45566</v>
      </c>
      <c r="D2363" t="inlineStr">
        <is>
          <t>VÄSTERBOTTENS LÄN</t>
        </is>
      </c>
      <c r="E2363" t="inlineStr">
        <is>
          <t>SKELLEFTEÅ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51683-2023</t>
        </is>
      </c>
      <c r="B2364" s="1" t="n">
        <v>45215</v>
      </c>
      <c r="C2364" s="1" t="n">
        <v>45566</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51664-2023</t>
        </is>
      </c>
      <c r="B2365" s="1" t="n">
        <v>45215</v>
      </c>
      <c r="C2365" s="1" t="n">
        <v>45566</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50474-2023</t>
        </is>
      </c>
      <c r="B2366" s="1" t="n">
        <v>45217</v>
      </c>
      <c r="C2366" s="1" t="n">
        <v>45566</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50462-2023</t>
        </is>
      </c>
      <c r="B2367" s="1" t="n">
        <v>45216</v>
      </c>
      <c r="C2367" s="1" t="n">
        <v>45566</v>
      </c>
      <c r="D2367" t="inlineStr">
        <is>
          <t>VÄSTERBOTTENS LÄN</t>
        </is>
      </c>
      <c r="E2367" t="inlineStr">
        <is>
          <t>SKELLEFTEÅ</t>
        </is>
      </c>
      <c r="G2367" t="n">
        <v>12.4</v>
      </c>
      <c r="H2367" t="n">
        <v>0</v>
      </c>
      <c r="I2367" t="n">
        <v>0</v>
      </c>
      <c r="J2367" t="n">
        <v>0</v>
      </c>
      <c r="K2367" t="n">
        <v>0</v>
      </c>
      <c r="L2367" t="n">
        <v>0</v>
      </c>
      <c r="M2367" t="n">
        <v>0</v>
      </c>
      <c r="N2367" t="n">
        <v>0</v>
      </c>
      <c r="O2367" t="n">
        <v>0</v>
      </c>
      <c r="P2367" t="n">
        <v>0</v>
      </c>
      <c r="Q2367" t="n">
        <v>0</v>
      </c>
      <c r="R2367" s="2" t="inlineStr"/>
    </row>
    <row r="2368" ht="15" customHeight="1">
      <c r="A2368" t="inlineStr">
        <is>
          <t>A 50477-2023</t>
        </is>
      </c>
      <c r="B2368" s="1" t="n">
        <v>45217</v>
      </c>
      <c r="C2368" s="1" t="n">
        <v>45566</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50338-2023</t>
        </is>
      </c>
      <c r="B2369" s="1" t="n">
        <v>45216</v>
      </c>
      <c r="C2369" s="1" t="n">
        <v>45566</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52062-2023</t>
        </is>
      </c>
      <c r="B2370" s="1" t="n">
        <v>45216</v>
      </c>
      <c r="C2370" s="1" t="n">
        <v>45566</v>
      </c>
      <c r="D2370" t="inlineStr">
        <is>
          <t>VÄSTERBOTTENS LÄN</t>
        </is>
      </c>
      <c r="E2370" t="inlineStr">
        <is>
          <t>SKELLEFTEÅ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52037-2023</t>
        </is>
      </c>
      <c r="B2371" s="1" t="n">
        <v>45216</v>
      </c>
      <c r="C2371" s="1" t="n">
        <v>45566</v>
      </c>
      <c r="D2371" t="inlineStr">
        <is>
          <t>VÄSTERBOTTENS LÄN</t>
        </is>
      </c>
      <c r="E2371" t="inlineStr">
        <is>
          <t>SKELLEFTEÅ</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51926-2023</t>
        </is>
      </c>
      <c r="B2372" s="1" t="n">
        <v>45216</v>
      </c>
      <c r="C2372" s="1" t="n">
        <v>45566</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50475-2023</t>
        </is>
      </c>
      <c r="B2373" s="1" t="n">
        <v>45217</v>
      </c>
      <c r="C2373" s="1" t="n">
        <v>45566</v>
      </c>
      <c r="D2373" t="inlineStr">
        <is>
          <t>VÄSTERBOTTENS LÄN</t>
        </is>
      </c>
      <c r="E2373" t="inlineStr">
        <is>
          <t>SKELLEFTEÅ</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51970-2023</t>
        </is>
      </c>
      <c r="B2374" s="1" t="n">
        <v>45216</v>
      </c>
      <c r="C2374" s="1" t="n">
        <v>45566</v>
      </c>
      <c r="D2374" t="inlineStr">
        <is>
          <t>VÄSTERBOTTENS LÄN</t>
        </is>
      </c>
      <c r="E2374" t="inlineStr">
        <is>
          <t>SKELLEFTEÅ</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51928-2023</t>
        </is>
      </c>
      <c r="B2375" s="1" t="n">
        <v>45216</v>
      </c>
      <c r="C2375" s="1" t="n">
        <v>45566</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51960-2023</t>
        </is>
      </c>
      <c r="B2376" s="1" t="n">
        <v>45216</v>
      </c>
      <c r="C2376" s="1" t="n">
        <v>45566</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51963-2023</t>
        </is>
      </c>
      <c r="B2377" s="1" t="n">
        <v>45216</v>
      </c>
      <c r="C2377" s="1" t="n">
        <v>45566</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50488-2023</t>
        </is>
      </c>
      <c r="B2378" s="1" t="n">
        <v>45217</v>
      </c>
      <c r="C2378" s="1" t="n">
        <v>45566</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50476-2023</t>
        </is>
      </c>
      <c r="B2379" s="1" t="n">
        <v>45217</v>
      </c>
      <c r="C2379" s="1" t="n">
        <v>45566</v>
      </c>
      <c r="D2379" t="inlineStr">
        <is>
          <t>VÄSTERBOTTENS LÄN</t>
        </is>
      </c>
      <c r="E2379" t="inlineStr">
        <is>
          <t>SKELLEFTEÅ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50464-2023</t>
        </is>
      </c>
      <c r="B2380" s="1" t="n">
        <v>45216</v>
      </c>
      <c r="C2380" s="1" t="n">
        <v>45566</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50549-2023</t>
        </is>
      </c>
      <c r="B2381" s="1" t="n">
        <v>45217</v>
      </c>
      <c r="C2381" s="1" t="n">
        <v>45566</v>
      </c>
      <c r="D2381" t="inlineStr">
        <is>
          <t>VÄSTERBOTTENS LÄN</t>
        </is>
      </c>
      <c r="E2381" t="inlineStr">
        <is>
          <t>SKELLEFTEÅ</t>
        </is>
      </c>
      <c r="F2381" t="inlineStr">
        <is>
          <t>Holmen skog AB</t>
        </is>
      </c>
      <c r="G2381" t="n">
        <v>28.5</v>
      </c>
      <c r="H2381" t="n">
        <v>0</v>
      </c>
      <c r="I2381" t="n">
        <v>0</v>
      </c>
      <c r="J2381" t="n">
        <v>0</v>
      </c>
      <c r="K2381" t="n">
        <v>0</v>
      </c>
      <c r="L2381" t="n">
        <v>0</v>
      </c>
      <c r="M2381" t="n">
        <v>0</v>
      </c>
      <c r="N2381" t="n">
        <v>0</v>
      </c>
      <c r="O2381" t="n">
        <v>0</v>
      </c>
      <c r="P2381" t="n">
        <v>0</v>
      </c>
      <c r="Q2381" t="n">
        <v>0</v>
      </c>
      <c r="R2381" s="2" t="inlineStr"/>
    </row>
    <row r="2382" ht="15" customHeight="1">
      <c r="A2382" t="inlineStr">
        <is>
          <t>A 50821-2023</t>
        </is>
      </c>
      <c r="B2382" s="1" t="n">
        <v>45218</v>
      </c>
      <c r="C2382" s="1" t="n">
        <v>45566</v>
      </c>
      <c r="D2382" t="inlineStr">
        <is>
          <t>VÄSTERBOTTENS LÄN</t>
        </is>
      </c>
      <c r="E2382" t="inlineStr">
        <is>
          <t>SKELLEFTEÅ</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52228-2023</t>
        </is>
      </c>
      <c r="B2383" s="1" t="n">
        <v>45217</v>
      </c>
      <c r="C2383" s="1" t="n">
        <v>45566</v>
      </c>
      <c r="D2383" t="inlineStr">
        <is>
          <t>VÄSTERBOTTENS LÄN</t>
        </is>
      </c>
      <c r="E2383" t="inlineStr">
        <is>
          <t>SKELLEFTEÅ</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52305-2023</t>
        </is>
      </c>
      <c r="B2384" s="1" t="n">
        <v>45217</v>
      </c>
      <c r="C2384" s="1" t="n">
        <v>45566</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52300-2023</t>
        </is>
      </c>
      <c r="B2385" s="1" t="n">
        <v>45217</v>
      </c>
      <c r="C2385" s="1" t="n">
        <v>45566</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52287-2023</t>
        </is>
      </c>
      <c r="B2386" s="1" t="n">
        <v>45217</v>
      </c>
      <c r="C2386" s="1" t="n">
        <v>45566</v>
      </c>
      <c r="D2386" t="inlineStr">
        <is>
          <t>VÄSTERBOTTENS LÄN</t>
        </is>
      </c>
      <c r="E2386" t="inlineStr">
        <is>
          <t>SKELLEFTEÅ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52239-2023</t>
        </is>
      </c>
      <c r="B2387" s="1" t="n">
        <v>45217</v>
      </c>
      <c r="C2387" s="1" t="n">
        <v>45566</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52792-2023</t>
        </is>
      </c>
      <c r="B2388" s="1" t="n">
        <v>45219</v>
      </c>
      <c r="C2388" s="1" t="n">
        <v>45566</v>
      </c>
      <c r="D2388" t="inlineStr">
        <is>
          <t>VÄSTERBOTTENS LÄN</t>
        </is>
      </c>
      <c r="E2388" t="inlineStr">
        <is>
          <t>SKELLEFTEÅ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52809-2023</t>
        </is>
      </c>
      <c r="B2389" s="1" t="n">
        <v>45219</v>
      </c>
      <c r="C2389" s="1" t="n">
        <v>45566</v>
      </c>
      <c r="D2389" t="inlineStr">
        <is>
          <t>VÄSTERBOTTENS LÄN</t>
        </is>
      </c>
      <c r="E2389" t="inlineStr">
        <is>
          <t>SKELLEFTEÅ</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51339-2023</t>
        </is>
      </c>
      <c r="B2390" s="1" t="n">
        <v>45219</v>
      </c>
      <c r="C2390" s="1" t="n">
        <v>45566</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51396-2023</t>
        </is>
      </c>
      <c r="B2391" s="1" t="n">
        <v>45219</v>
      </c>
      <c r="C2391" s="1" t="n">
        <v>45566</v>
      </c>
      <c r="D2391" t="inlineStr">
        <is>
          <t>VÄSTERBOTTENS LÄN</t>
        </is>
      </c>
      <c r="E2391" t="inlineStr">
        <is>
          <t>SKELLEFTEÅ</t>
        </is>
      </c>
      <c r="F2391" t="inlineStr">
        <is>
          <t>Holmen skog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51418-2023</t>
        </is>
      </c>
      <c r="B2392" s="1" t="n">
        <v>45219</v>
      </c>
      <c r="C2392" s="1" t="n">
        <v>45566</v>
      </c>
      <c r="D2392" t="inlineStr">
        <is>
          <t>VÄSTERBOTTENS LÄN</t>
        </is>
      </c>
      <c r="E2392" t="inlineStr">
        <is>
          <t>SKELLEFTEÅ</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51455-2023</t>
        </is>
      </c>
      <c r="B2393" s="1" t="n">
        <v>45221</v>
      </c>
      <c r="C2393" s="1" t="n">
        <v>45566</v>
      </c>
      <c r="D2393" t="inlineStr">
        <is>
          <t>VÄSTERBOTTENS LÄN</t>
        </is>
      </c>
      <c r="E2393" t="inlineStr">
        <is>
          <t>SKELLEFTEÅ</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51470-2023</t>
        </is>
      </c>
      <c r="B2394" s="1" t="n">
        <v>45221</v>
      </c>
      <c r="C2394" s="1" t="n">
        <v>45566</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51478-2023</t>
        </is>
      </c>
      <c r="B2395" s="1" t="n">
        <v>45221</v>
      </c>
      <c r="C2395" s="1" t="n">
        <v>45566</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51526-2023</t>
        </is>
      </c>
      <c r="B2396" s="1" t="n">
        <v>45222</v>
      </c>
      <c r="C2396" s="1" t="n">
        <v>45566</v>
      </c>
      <c r="D2396" t="inlineStr">
        <is>
          <t>VÄSTERBOTTENS LÄN</t>
        </is>
      </c>
      <c r="E2396" t="inlineStr">
        <is>
          <t>SKELLEFTEÅ</t>
        </is>
      </c>
      <c r="F2396" t="inlineStr">
        <is>
          <t>Holmen skog AB</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51644-2023</t>
        </is>
      </c>
      <c r="B2397" s="1" t="n">
        <v>45222</v>
      </c>
      <c r="C2397" s="1" t="n">
        <v>45566</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51703-2023</t>
        </is>
      </c>
      <c r="B2398" s="1" t="n">
        <v>45222</v>
      </c>
      <c r="C2398" s="1" t="n">
        <v>45566</v>
      </c>
      <c r="D2398" t="inlineStr">
        <is>
          <t>VÄSTERBOTTENS LÄN</t>
        </is>
      </c>
      <c r="E2398" t="inlineStr">
        <is>
          <t>SKELLEFTEÅ</t>
        </is>
      </c>
      <c r="F2398" t="inlineStr">
        <is>
          <t>Kommuner</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51667-2023</t>
        </is>
      </c>
      <c r="B2399" s="1" t="n">
        <v>45222</v>
      </c>
      <c r="C2399" s="1" t="n">
        <v>45566</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53215-2023</t>
        </is>
      </c>
      <c r="B2400" s="1" t="n">
        <v>45222</v>
      </c>
      <c r="C2400" s="1" t="n">
        <v>45566</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51502-2023</t>
        </is>
      </c>
      <c r="B2401" s="1" t="n">
        <v>45222</v>
      </c>
      <c r="C2401" s="1" t="n">
        <v>45566</v>
      </c>
      <c r="D2401" t="inlineStr">
        <is>
          <t>VÄSTERBOTTENS LÄN</t>
        </is>
      </c>
      <c r="E2401" t="inlineStr">
        <is>
          <t>SKELLEFTEÅ</t>
        </is>
      </c>
      <c r="F2401" t="inlineStr">
        <is>
          <t>Kommuner</t>
        </is>
      </c>
      <c r="G2401" t="n">
        <v>16.3</v>
      </c>
      <c r="H2401" t="n">
        <v>0</v>
      </c>
      <c r="I2401" t="n">
        <v>0</v>
      </c>
      <c r="J2401" t="n">
        <v>0</v>
      </c>
      <c r="K2401" t="n">
        <v>0</v>
      </c>
      <c r="L2401" t="n">
        <v>0</v>
      </c>
      <c r="M2401" t="n">
        <v>0</v>
      </c>
      <c r="N2401" t="n">
        <v>0</v>
      </c>
      <c r="O2401" t="n">
        <v>0</v>
      </c>
      <c r="P2401" t="n">
        <v>0</v>
      </c>
      <c r="Q2401" t="n">
        <v>0</v>
      </c>
      <c r="R2401" s="2" t="inlineStr"/>
    </row>
    <row r="2402" ht="15" customHeight="1">
      <c r="A2402" t="inlineStr">
        <is>
          <t>A 51507-2023</t>
        </is>
      </c>
      <c r="B2402" s="1" t="n">
        <v>45222</v>
      </c>
      <c r="C2402" s="1" t="n">
        <v>45566</v>
      </c>
      <c r="D2402" t="inlineStr">
        <is>
          <t>VÄSTERBOTTENS LÄN</t>
        </is>
      </c>
      <c r="E2402" t="inlineStr">
        <is>
          <t>SKELLEFTEÅ</t>
        </is>
      </c>
      <c r="F2402" t="inlineStr">
        <is>
          <t>Kommuner</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52107-2023</t>
        </is>
      </c>
      <c r="B2403" s="1" t="n">
        <v>45224</v>
      </c>
      <c r="C2403" s="1" t="n">
        <v>45566</v>
      </c>
      <c r="D2403" t="inlineStr">
        <is>
          <t>VÄSTERBOTTENS LÄN</t>
        </is>
      </c>
      <c r="E2403" t="inlineStr">
        <is>
          <t>SKELLEFTEÅ</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52007-2023</t>
        </is>
      </c>
      <c r="B2404" s="1" t="n">
        <v>45223</v>
      </c>
      <c r="C2404" s="1" t="n">
        <v>45566</v>
      </c>
      <c r="D2404" t="inlineStr">
        <is>
          <t>VÄSTERBOTTENS LÄN</t>
        </is>
      </c>
      <c r="E2404" t="inlineStr">
        <is>
          <t>SKELLEFTEÅ</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52082-2023</t>
        </is>
      </c>
      <c r="B2405" s="1" t="n">
        <v>45223</v>
      </c>
      <c r="C2405" s="1" t="n">
        <v>45566</v>
      </c>
      <c r="D2405" t="inlineStr">
        <is>
          <t>VÄSTERBOTTENS LÄN</t>
        </is>
      </c>
      <c r="E2405" t="inlineStr">
        <is>
          <t>SKELLEFTEÅ</t>
        </is>
      </c>
      <c r="F2405" t="inlineStr">
        <is>
          <t>Sveaskog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52106-2023</t>
        </is>
      </c>
      <c r="B2406" s="1" t="n">
        <v>45224</v>
      </c>
      <c r="C2406" s="1" t="n">
        <v>45566</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51958-2023</t>
        </is>
      </c>
      <c r="B2407" s="1" t="n">
        <v>45223</v>
      </c>
      <c r="C2407" s="1" t="n">
        <v>45566</v>
      </c>
      <c r="D2407" t="inlineStr">
        <is>
          <t>VÄSTERBOTTENS LÄN</t>
        </is>
      </c>
      <c r="E2407" t="inlineStr">
        <is>
          <t>SKELLEFTEÅ</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51969-2023</t>
        </is>
      </c>
      <c r="B2408" s="1" t="n">
        <v>45223</v>
      </c>
      <c r="C2408" s="1" t="n">
        <v>45566</v>
      </c>
      <c r="D2408" t="inlineStr">
        <is>
          <t>VÄSTERBOTTENS LÄN</t>
        </is>
      </c>
      <c r="E2408" t="inlineStr">
        <is>
          <t>SKELLEFTEÅ</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52105-2023</t>
        </is>
      </c>
      <c r="B2409" s="1" t="n">
        <v>45224</v>
      </c>
      <c r="C2409" s="1" t="n">
        <v>45566</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53500-2023</t>
        </is>
      </c>
      <c r="B2410" s="1" t="n">
        <v>45223</v>
      </c>
      <c r="C2410" s="1" t="n">
        <v>45566</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52364-2023</t>
        </is>
      </c>
      <c r="B2411" s="1" t="n">
        <v>45224</v>
      </c>
      <c r="C2411" s="1" t="n">
        <v>45566</v>
      </c>
      <c r="D2411" t="inlineStr">
        <is>
          <t>VÄSTERBOTTENS LÄN</t>
        </is>
      </c>
      <c r="E2411" t="inlineStr">
        <is>
          <t>SKELLEFTEÅ</t>
        </is>
      </c>
      <c r="F2411" t="inlineStr">
        <is>
          <t>Sveaskog</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52185-2023</t>
        </is>
      </c>
      <c r="B2412" s="1" t="n">
        <v>45224</v>
      </c>
      <c r="C2412" s="1" t="n">
        <v>45566</v>
      </c>
      <c r="D2412" t="inlineStr">
        <is>
          <t>VÄSTERBOTTENS LÄN</t>
        </is>
      </c>
      <c r="E2412" t="inlineStr">
        <is>
          <t>SKELLEFTEÅ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52203-2023</t>
        </is>
      </c>
      <c r="B2413" s="1" t="n">
        <v>45224</v>
      </c>
      <c r="C2413" s="1" t="n">
        <v>45566</v>
      </c>
      <c r="D2413" t="inlineStr">
        <is>
          <t>VÄSTERBOTTENS LÄN</t>
        </is>
      </c>
      <c r="E2413" t="inlineStr">
        <is>
          <t>SKELLEFTEÅ</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53656-2023</t>
        </is>
      </c>
      <c r="B2414" s="1" t="n">
        <v>45224</v>
      </c>
      <c r="C2414" s="1" t="n">
        <v>45566</v>
      </c>
      <c r="D2414" t="inlineStr">
        <is>
          <t>VÄSTERBOTTENS LÄN</t>
        </is>
      </c>
      <c r="E2414" t="inlineStr">
        <is>
          <t>SKELLEFTEÅ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53680-2023</t>
        </is>
      </c>
      <c r="B2415" s="1" t="n">
        <v>45224</v>
      </c>
      <c r="C2415" s="1" t="n">
        <v>45566</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52384-2023</t>
        </is>
      </c>
      <c r="B2416" s="1" t="n">
        <v>45224</v>
      </c>
      <c r="C2416" s="1" t="n">
        <v>45566</v>
      </c>
      <c r="D2416" t="inlineStr">
        <is>
          <t>VÄSTERBOTTENS LÄN</t>
        </is>
      </c>
      <c r="E2416" t="inlineStr">
        <is>
          <t>SKELLEFTEÅ</t>
        </is>
      </c>
      <c r="F2416" t="inlineStr">
        <is>
          <t>Sveaskog</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52419-2023</t>
        </is>
      </c>
      <c r="B2417" s="1" t="n">
        <v>45225</v>
      </c>
      <c r="C2417" s="1" t="n">
        <v>45566</v>
      </c>
      <c r="D2417" t="inlineStr">
        <is>
          <t>VÄSTERBOTTENS LÄN</t>
        </is>
      </c>
      <c r="E2417" t="inlineStr">
        <is>
          <t>SKELLEFTEÅ</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52425-2023</t>
        </is>
      </c>
      <c r="B2418" s="1" t="n">
        <v>45225</v>
      </c>
      <c r="C2418" s="1" t="n">
        <v>45566</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52444-2023</t>
        </is>
      </c>
      <c r="B2419" s="1" t="n">
        <v>45225</v>
      </c>
      <c r="C2419" s="1" t="n">
        <v>45566</v>
      </c>
      <c r="D2419" t="inlineStr">
        <is>
          <t>VÄSTERBOTTENS LÄN</t>
        </is>
      </c>
      <c r="E2419" t="inlineStr">
        <is>
          <t>SKELLEFTEÅ</t>
        </is>
      </c>
      <c r="F2419" t="inlineStr">
        <is>
          <t>Sveaskog</t>
        </is>
      </c>
      <c r="G2419" t="n">
        <v>28.5</v>
      </c>
      <c r="H2419" t="n">
        <v>0</v>
      </c>
      <c r="I2419" t="n">
        <v>0</v>
      </c>
      <c r="J2419" t="n">
        <v>0</v>
      </c>
      <c r="K2419" t="n">
        <v>0</v>
      </c>
      <c r="L2419" t="n">
        <v>0</v>
      </c>
      <c r="M2419" t="n">
        <v>0</v>
      </c>
      <c r="N2419" t="n">
        <v>0</v>
      </c>
      <c r="O2419" t="n">
        <v>0</v>
      </c>
      <c r="P2419" t="n">
        <v>0</v>
      </c>
      <c r="Q2419" t="n">
        <v>0</v>
      </c>
      <c r="R2419" s="2" t="inlineStr"/>
    </row>
    <row r="2420" ht="15" customHeight="1">
      <c r="A2420" t="inlineStr">
        <is>
          <t>A 52441-2023</t>
        </is>
      </c>
      <c r="B2420" s="1" t="n">
        <v>45225</v>
      </c>
      <c r="C2420" s="1" t="n">
        <v>45566</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52489-2023</t>
        </is>
      </c>
      <c r="B2421" s="1" t="n">
        <v>45225</v>
      </c>
      <c r="C2421" s="1" t="n">
        <v>45566</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52493-2023</t>
        </is>
      </c>
      <c r="B2422" s="1" t="n">
        <v>45225</v>
      </c>
      <c r="C2422" s="1" t="n">
        <v>45566</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52442-2023</t>
        </is>
      </c>
      <c r="B2423" s="1" t="n">
        <v>45225</v>
      </c>
      <c r="C2423" s="1" t="n">
        <v>45566</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52447-2023</t>
        </is>
      </c>
      <c r="B2424" s="1" t="n">
        <v>45225</v>
      </c>
      <c r="C2424" s="1" t="n">
        <v>45566</v>
      </c>
      <c r="D2424" t="inlineStr">
        <is>
          <t>VÄSTERBOTTENS LÄN</t>
        </is>
      </c>
      <c r="E2424" t="inlineStr">
        <is>
          <t>SKELLEFTEÅ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52686-2023</t>
        </is>
      </c>
      <c r="B2425" s="1" t="n">
        <v>45225</v>
      </c>
      <c r="C2425" s="1" t="n">
        <v>45566</v>
      </c>
      <c r="D2425" t="inlineStr">
        <is>
          <t>VÄSTERBOTTENS LÄN</t>
        </is>
      </c>
      <c r="E2425" t="inlineStr">
        <is>
          <t>SKELLEFTEÅ</t>
        </is>
      </c>
      <c r="F2425" t="inlineStr">
        <is>
          <t>Sveaskog</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54399-2023</t>
        </is>
      </c>
      <c r="B2426" s="1" t="n">
        <v>45226</v>
      </c>
      <c r="C2426" s="1" t="n">
        <v>45566</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54394-2023</t>
        </is>
      </c>
      <c r="B2427" s="1" t="n">
        <v>45226</v>
      </c>
      <c r="C2427" s="1" t="n">
        <v>45566</v>
      </c>
      <c r="D2427" t="inlineStr">
        <is>
          <t>VÄSTERBOTTENS LÄN</t>
        </is>
      </c>
      <c r="E2427" t="inlineStr">
        <is>
          <t>SKELLEFTEÅ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54411-2023</t>
        </is>
      </c>
      <c r="B2428" s="1" t="n">
        <v>45226</v>
      </c>
      <c r="C2428" s="1" t="n">
        <v>45566</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54449-2023</t>
        </is>
      </c>
      <c r="B2429" s="1" t="n">
        <v>45226</v>
      </c>
      <c r="C2429" s="1" t="n">
        <v>45566</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54469-2023</t>
        </is>
      </c>
      <c r="B2430" s="1" t="n">
        <v>45226</v>
      </c>
      <c r="C2430" s="1" t="n">
        <v>45566</v>
      </c>
      <c r="D2430" t="inlineStr">
        <is>
          <t>VÄSTERBOTTENS LÄN</t>
        </is>
      </c>
      <c r="E2430" t="inlineStr">
        <is>
          <t>SKELLEFTEÅ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54497-2023</t>
        </is>
      </c>
      <c r="B2431" s="1" t="n">
        <v>45226</v>
      </c>
      <c r="C2431" s="1" t="n">
        <v>45566</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54499-2023</t>
        </is>
      </c>
      <c r="B2432" s="1" t="n">
        <v>45226</v>
      </c>
      <c r="C2432" s="1" t="n">
        <v>45566</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54401-2023</t>
        </is>
      </c>
      <c r="B2433" s="1" t="n">
        <v>45226</v>
      </c>
      <c r="C2433" s="1" t="n">
        <v>45566</v>
      </c>
      <c r="D2433" t="inlineStr">
        <is>
          <t>VÄSTERBOTTENS LÄN</t>
        </is>
      </c>
      <c r="E2433" t="inlineStr">
        <is>
          <t>SKELLEFTEÅ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52993-2023</t>
        </is>
      </c>
      <c r="B2434" s="1" t="n">
        <v>45226</v>
      </c>
      <c r="C2434" s="1" t="n">
        <v>45566</v>
      </c>
      <c r="D2434" t="inlineStr">
        <is>
          <t>VÄSTERBOTTENS LÄN</t>
        </is>
      </c>
      <c r="E2434" t="inlineStr">
        <is>
          <t>SKELLEFTEÅ</t>
        </is>
      </c>
      <c r="F2434" t="inlineStr">
        <is>
          <t>Holmen skog AB</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52829-2023</t>
        </is>
      </c>
      <c r="B2435" s="1" t="n">
        <v>45226</v>
      </c>
      <c r="C2435" s="1" t="n">
        <v>45566</v>
      </c>
      <c r="D2435" t="inlineStr">
        <is>
          <t>VÄSTERBOTTENS LÄN</t>
        </is>
      </c>
      <c r="E2435" t="inlineStr">
        <is>
          <t>SKELLEFTEÅ</t>
        </is>
      </c>
      <c r="F2435" t="inlineStr">
        <is>
          <t>Sveaskog</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53028-2023</t>
        </is>
      </c>
      <c r="B2436" s="1" t="n">
        <v>45226</v>
      </c>
      <c r="C2436" s="1" t="n">
        <v>45566</v>
      </c>
      <c r="D2436" t="inlineStr">
        <is>
          <t>VÄSTERBOTTENS LÄN</t>
        </is>
      </c>
      <c r="E2436" t="inlineStr">
        <is>
          <t>SKELLEFTEÅ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53020-2023</t>
        </is>
      </c>
      <c r="B2437" s="1" t="n">
        <v>45226</v>
      </c>
      <c r="C2437" s="1" t="n">
        <v>45566</v>
      </c>
      <c r="D2437" t="inlineStr">
        <is>
          <t>VÄSTERBOTTENS LÄN</t>
        </is>
      </c>
      <c r="E2437" t="inlineStr">
        <is>
          <t>SKELLEFTEÅ</t>
        </is>
      </c>
      <c r="F2437" t="inlineStr">
        <is>
          <t>Sveaskog</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53183-2023</t>
        </is>
      </c>
      <c r="B2438" s="1" t="n">
        <v>45229</v>
      </c>
      <c r="C2438" s="1" t="n">
        <v>45566</v>
      </c>
      <c r="D2438" t="inlineStr">
        <is>
          <t>VÄSTERBOTTENS LÄN</t>
        </is>
      </c>
      <c r="E2438" t="inlineStr">
        <is>
          <t>SKELLEFTEÅ</t>
        </is>
      </c>
      <c r="F2438" t="inlineStr">
        <is>
          <t>Sveaskog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53311-2023</t>
        </is>
      </c>
      <c r="B2439" s="1" t="n">
        <v>45229</v>
      </c>
      <c r="C2439" s="1" t="n">
        <v>45566</v>
      </c>
      <c r="D2439" t="inlineStr">
        <is>
          <t>VÄSTERBOTTENS LÄN</t>
        </is>
      </c>
      <c r="E2439" t="inlineStr">
        <is>
          <t>SKELLEFTEÅ</t>
        </is>
      </c>
      <c r="F2439" t="inlineStr">
        <is>
          <t>Holmen skog AB</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53255-2023</t>
        </is>
      </c>
      <c r="B2440" s="1" t="n">
        <v>45229</v>
      </c>
      <c r="C2440" s="1" t="n">
        <v>45566</v>
      </c>
      <c r="D2440" t="inlineStr">
        <is>
          <t>VÄSTERBOTTENS LÄN</t>
        </is>
      </c>
      <c r="E2440" t="inlineStr">
        <is>
          <t>SKELLEFTEÅ</t>
        </is>
      </c>
      <c r="F2440" t="inlineStr">
        <is>
          <t>Sveaskog</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53426-2023</t>
        </is>
      </c>
      <c r="B2441" s="1" t="n">
        <v>45229</v>
      </c>
      <c r="C2441" s="1" t="n">
        <v>45566</v>
      </c>
      <c r="D2441" t="inlineStr">
        <is>
          <t>VÄSTERBOTTENS LÄN</t>
        </is>
      </c>
      <c r="E2441" t="inlineStr">
        <is>
          <t>SKELLEFTEÅ</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55077-2023</t>
        </is>
      </c>
      <c r="B2442" s="1" t="n">
        <v>45230</v>
      </c>
      <c r="C2442" s="1" t="n">
        <v>45566</v>
      </c>
      <c r="D2442" t="inlineStr">
        <is>
          <t>VÄSTERBOTTENS LÄN</t>
        </is>
      </c>
      <c r="E2442" t="inlineStr">
        <is>
          <t>SKELLEFTEÅ</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55081-2023</t>
        </is>
      </c>
      <c r="B2443" s="1" t="n">
        <v>45230</v>
      </c>
      <c r="C2443" s="1" t="n">
        <v>45566</v>
      </c>
      <c r="D2443" t="inlineStr">
        <is>
          <t>VÄSTERBOTTENS LÄN</t>
        </is>
      </c>
      <c r="E2443" t="inlineStr">
        <is>
          <t>SKELLEFTEÅ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55409-2023</t>
        </is>
      </c>
      <c r="B2444" s="1" t="n">
        <v>45231</v>
      </c>
      <c r="C2444" s="1" t="n">
        <v>45566</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55414-2023</t>
        </is>
      </c>
      <c r="B2445" s="1" t="n">
        <v>45231</v>
      </c>
      <c r="C2445" s="1" t="n">
        <v>45566</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55420-2023</t>
        </is>
      </c>
      <c r="B2446" s="1" t="n">
        <v>45231</v>
      </c>
      <c r="C2446" s="1" t="n">
        <v>45566</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54024-2023</t>
        </is>
      </c>
      <c r="B2447" s="1" t="n">
        <v>45231</v>
      </c>
      <c r="C2447" s="1" t="n">
        <v>45566</v>
      </c>
      <c r="D2447" t="inlineStr">
        <is>
          <t>VÄSTERBOTTENS LÄN</t>
        </is>
      </c>
      <c r="E2447" t="inlineStr">
        <is>
          <t>SKELLEFTEÅ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55413-2023</t>
        </is>
      </c>
      <c r="B2448" s="1" t="n">
        <v>45231</v>
      </c>
      <c r="C2448" s="1" t="n">
        <v>45566</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54087-2023</t>
        </is>
      </c>
      <c r="B2449" s="1" t="n">
        <v>45232</v>
      </c>
      <c r="C2449" s="1" t="n">
        <v>45566</v>
      </c>
      <c r="D2449" t="inlineStr">
        <is>
          <t>VÄSTERBOTTENS LÄN</t>
        </is>
      </c>
      <c r="E2449" t="inlineStr">
        <is>
          <t>SKELLEFTEÅ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54111-2023</t>
        </is>
      </c>
      <c r="B2450" s="1" t="n">
        <v>45232</v>
      </c>
      <c r="C2450" s="1" t="n">
        <v>45566</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54113-2023</t>
        </is>
      </c>
      <c r="B2451" s="1" t="n">
        <v>45232</v>
      </c>
      <c r="C2451" s="1" t="n">
        <v>45566</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55783-2023</t>
        </is>
      </c>
      <c r="B2452" s="1" t="n">
        <v>45232</v>
      </c>
      <c r="C2452" s="1" t="n">
        <v>45566</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54596-2023</t>
        </is>
      </c>
      <c r="B2453" s="1" t="n">
        <v>45233</v>
      </c>
      <c r="C2453" s="1" t="n">
        <v>45566</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54476-2023</t>
        </is>
      </c>
      <c r="B2454" s="1" t="n">
        <v>45233</v>
      </c>
      <c r="C2454" s="1" t="n">
        <v>45566</v>
      </c>
      <c r="D2454" t="inlineStr">
        <is>
          <t>VÄSTERBOTTENS LÄN</t>
        </is>
      </c>
      <c r="E2454" t="inlineStr">
        <is>
          <t>SKELLEFTEÅ</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54361-2023</t>
        </is>
      </c>
      <c r="B2455" s="1" t="n">
        <v>45233</v>
      </c>
      <c r="C2455" s="1" t="n">
        <v>45566</v>
      </c>
      <c r="D2455" t="inlineStr">
        <is>
          <t>VÄSTERBOTTENS LÄN</t>
        </is>
      </c>
      <c r="E2455" t="inlineStr">
        <is>
          <t>SKELLEFTEÅ</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56114-2023</t>
        </is>
      </c>
      <c r="B2456" s="1" t="n">
        <v>45235</v>
      </c>
      <c r="C2456" s="1" t="n">
        <v>45566</v>
      </c>
      <c r="D2456" t="inlineStr">
        <is>
          <t>VÄSTERBOTTENS LÄN</t>
        </is>
      </c>
      <c r="E2456" t="inlineStr">
        <is>
          <t>SKELLEFTEÅ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56111-2023</t>
        </is>
      </c>
      <c r="B2457" s="1" t="n">
        <v>45235</v>
      </c>
      <c r="C2457" s="1" t="n">
        <v>45566</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56108-2023</t>
        </is>
      </c>
      <c r="B2458" s="1" t="n">
        <v>45235</v>
      </c>
      <c r="C2458" s="1" t="n">
        <v>45566</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56104-2023</t>
        </is>
      </c>
      <c r="B2459" s="1" t="n">
        <v>45235</v>
      </c>
      <c r="C2459" s="1" t="n">
        <v>45566</v>
      </c>
      <c r="D2459" t="inlineStr">
        <is>
          <t>VÄSTERBOTTENS LÄN</t>
        </is>
      </c>
      <c r="E2459" t="inlineStr">
        <is>
          <t>SKELLEFTEÅ</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54813-2023</t>
        </is>
      </c>
      <c r="B2460" s="1" t="n">
        <v>45236</v>
      </c>
      <c r="C2460" s="1" t="n">
        <v>45566</v>
      </c>
      <c r="D2460" t="inlineStr">
        <is>
          <t>VÄSTERBOTTENS LÄN</t>
        </is>
      </c>
      <c r="E2460" t="inlineStr">
        <is>
          <t>SKELLEFTEÅ</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54821-2023</t>
        </is>
      </c>
      <c r="B2461" s="1" t="n">
        <v>45236</v>
      </c>
      <c r="C2461" s="1" t="n">
        <v>45566</v>
      </c>
      <c r="D2461" t="inlineStr">
        <is>
          <t>VÄSTERBOTTENS LÄN</t>
        </is>
      </c>
      <c r="E2461" t="inlineStr">
        <is>
          <t>SKELLEFTEÅ</t>
        </is>
      </c>
      <c r="F2461" t="inlineStr">
        <is>
          <t>Kommuner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56185-2023</t>
        </is>
      </c>
      <c r="B2462" s="1" t="n">
        <v>45236</v>
      </c>
      <c r="C2462" s="1" t="n">
        <v>45566</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54700-2023</t>
        </is>
      </c>
      <c r="B2463" s="1" t="n">
        <v>45236</v>
      </c>
      <c r="C2463" s="1" t="n">
        <v>45566</v>
      </c>
      <c r="D2463" t="inlineStr">
        <is>
          <t>VÄSTERBOTTENS LÄN</t>
        </is>
      </c>
      <c r="E2463" t="inlineStr">
        <is>
          <t>SKELLEFTEÅ</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56323-2023</t>
        </is>
      </c>
      <c r="B2464" s="1" t="n">
        <v>45236</v>
      </c>
      <c r="C2464" s="1" t="n">
        <v>45566</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54811-2023</t>
        </is>
      </c>
      <c r="B2465" s="1" t="n">
        <v>45236</v>
      </c>
      <c r="C2465" s="1" t="n">
        <v>45566</v>
      </c>
      <c r="D2465" t="inlineStr">
        <is>
          <t>VÄSTERBOTTENS LÄN</t>
        </is>
      </c>
      <c r="E2465" t="inlineStr">
        <is>
          <t>SKELLEFTEÅ</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55095-2023</t>
        </is>
      </c>
      <c r="B2466" s="1" t="n">
        <v>45237</v>
      </c>
      <c r="C2466" s="1" t="n">
        <v>45566</v>
      </c>
      <c r="D2466" t="inlineStr">
        <is>
          <t>VÄSTERBOTTENS LÄN</t>
        </is>
      </c>
      <c r="E2466" t="inlineStr">
        <is>
          <t>SKELLEFTEÅ</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56404-2023</t>
        </is>
      </c>
      <c r="B2467" s="1" t="n">
        <v>45237</v>
      </c>
      <c r="C2467" s="1" t="n">
        <v>45566</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55528-2023</t>
        </is>
      </c>
      <c r="B2468" s="1" t="n">
        <v>45238</v>
      </c>
      <c r="C2468" s="1" t="n">
        <v>45566</v>
      </c>
      <c r="D2468" t="inlineStr">
        <is>
          <t>VÄSTERBOTTENS LÄN</t>
        </is>
      </c>
      <c r="E2468" t="inlineStr">
        <is>
          <t>SKELLEFTEÅ</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55613-2023</t>
        </is>
      </c>
      <c r="B2469" s="1" t="n">
        <v>45238</v>
      </c>
      <c r="C2469" s="1" t="n">
        <v>45566</v>
      </c>
      <c r="D2469" t="inlineStr">
        <is>
          <t>VÄSTERBOTTENS LÄN</t>
        </is>
      </c>
      <c r="E2469" t="inlineStr">
        <is>
          <t>SKELLEFTEÅ</t>
        </is>
      </c>
      <c r="F2469" t="inlineStr">
        <is>
          <t>Sveaskog</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55532-2023</t>
        </is>
      </c>
      <c r="B2470" s="1" t="n">
        <v>45238</v>
      </c>
      <c r="C2470" s="1" t="n">
        <v>45566</v>
      </c>
      <c r="D2470" t="inlineStr">
        <is>
          <t>VÄSTERBOTTENS LÄN</t>
        </is>
      </c>
      <c r="E2470" t="inlineStr">
        <is>
          <t>SKELLEFTEÅ</t>
        </is>
      </c>
      <c r="F2470" t="inlineStr">
        <is>
          <t>Sveaskog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56509-2023</t>
        </is>
      </c>
      <c r="B2471" s="1" t="n">
        <v>45238</v>
      </c>
      <c r="C2471" s="1" t="n">
        <v>45566</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56528-2023</t>
        </is>
      </c>
      <c r="B2472" s="1" t="n">
        <v>45238</v>
      </c>
      <c r="C2472" s="1" t="n">
        <v>45566</v>
      </c>
      <c r="D2472" t="inlineStr">
        <is>
          <t>VÄSTERBOTTENS LÄN</t>
        </is>
      </c>
      <c r="E2472" t="inlineStr">
        <is>
          <t>SKELLEFTEÅ</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55739-2023</t>
        </is>
      </c>
      <c r="B2473" s="1" t="n">
        <v>45239</v>
      </c>
      <c r="C2473" s="1" t="n">
        <v>45566</v>
      </c>
      <c r="D2473" t="inlineStr">
        <is>
          <t>VÄSTERBOTTENS LÄN</t>
        </is>
      </c>
      <c r="E2473" t="inlineStr">
        <is>
          <t>SKELLEFTEÅ</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55718-2023</t>
        </is>
      </c>
      <c r="B2474" s="1" t="n">
        <v>45239</v>
      </c>
      <c r="C2474" s="1" t="n">
        <v>45566</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55730-2023</t>
        </is>
      </c>
      <c r="B2475" s="1" t="n">
        <v>45239</v>
      </c>
      <c r="C2475" s="1" t="n">
        <v>45566</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55744-2023</t>
        </is>
      </c>
      <c r="B2476" s="1" t="n">
        <v>45239</v>
      </c>
      <c r="C2476" s="1" t="n">
        <v>45566</v>
      </c>
      <c r="D2476" t="inlineStr">
        <is>
          <t>VÄSTERBOTTENS LÄN</t>
        </is>
      </c>
      <c r="E2476" t="inlineStr">
        <is>
          <t>SKELLEFTEÅ</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55873-2023</t>
        </is>
      </c>
      <c r="B2477" s="1" t="n">
        <v>45239</v>
      </c>
      <c r="C2477" s="1" t="n">
        <v>45566</v>
      </c>
      <c r="D2477" t="inlineStr">
        <is>
          <t>VÄSTERBOTTENS LÄN</t>
        </is>
      </c>
      <c r="E2477" t="inlineStr">
        <is>
          <t>SKELLEFTEÅ</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55750-2023</t>
        </is>
      </c>
      <c r="B2478" s="1" t="n">
        <v>45239</v>
      </c>
      <c r="C2478" s="1" t="n">
        <v>45566</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55895-2023</t>
        </is>
      </c>
      <c r="B2479" s="1" t="n">
        <v>45239</v>
      </c>
      <c r="C2479" s="1" t="n">
        <v>45566</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55907-2023</t>
        </is>
      </c>
      <c r="B2480" s="1" t="n">
        <v>45239</v>
      </c>
      <c r="C2480" s="1" t="n">
        <v>45566</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57440-2023</t>
        </is>
      </c>
      <c r="B2481" s="1" t="n">
        <v>45240</v>
      </c>
      <c r="C2481" s="1" t="n">
        <v>45566</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56265-2023</t>
        </is>
      </c>
      <c r="B2482" s="1" t="n">
        <v>45240</v>
      </c>
      <c r="C2482" s="1" t="n">
        <v>45566</v>
      </c>
      <c r="D2482" t="inlineStr">
        <is>
          <t>VÄSTERBOTTENS LÄN</t>
        </is>
      </c>
      <c r="E2482" t="inlineStr">
        <is>
          <t>SKELLEFTEÅ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56153-2023</t>
        </is>
      </c>
      <c r="B2483" s="1" t="n">
        <v>45240</v>
      </c>
      <c r="C2483" s="1" t="n">
        <v>45566</v>
      </c>
      <c r="D2483" t="inlineStr">
        <is>
          <t>VÄSTERBOTTENS LÄN</t>
        </is>
      </c>
      <c r="E2483" t="inlineStr">
        <is>
          <t>SKELLEFTEÅ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56264-2023</t>
        </is>
      </c>
      <c r="B2484" s="1" t="n">
        <v>45240</v>
      </c>
      <c r="C2484" s="1" t="n">
        <v>45566</v>
      </c>
      <c r="D2484" t="inlineStr">
        <is>
          <t>VÄSTERBOTTENS LÄN</t>
        </is>
      </c>
      <c r="E2484" t="inlineStr">
        <is>
          <t>SKELLEFTEÅ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56163-2023</t>
        </is>
      </c>
      <c r="B2485" s="1" t="n">
        <v>45240</v>
      </c>
      <c r="C2485" s="1" t="n">
        <v>45566</v>
      </c>
      <c r="D2485" t="inlineStr">
        <is>
          <t>VÄSTERBOTTENS LÄN</t>
        </is>
      </c>
      <c r="E2485" t="inlineStr">
        <is>
          <t>SKELLEFTEÅ</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57437-2023</t>
        </is>
      </c>
      <c r="B2486" s="1" t="n">
        <v>45240</v>
      </c>
      <c r="C2486" s="1" t="n">
        <v>45566</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56263-2023</t>
        </is>
      </c>
      <c r="B2487" s="1" t="n">
        <v>45240</v>
      </c>
      <c r="C2487" s="1" t="n">
        <v>45566</v>
      </c>
      <c r="D2487" t="inlineStr">
        <is>
          <t>VÄSTERBOTTENS LÄN</t>
        </is>
      </c>
      <c r="E2487" t="inlineStr">
        <is>
          <t>SKELLEFTEÅ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56203-2023</t>
        </is>
      </c>
      <c r="B2488" s="1" t="n">
        <v>45240</v>
      </c>
      <c r="C2488" s="1" t="n">
        <v>45566</v>
      </c>
      <c r="D2488" t="inlineStr">
        <is>
          <t>VÄSTERBOTTENS LÄN</t>
        </is>
      </c>
      <c r="E2488" t="inlineStr">
        <is>
          <t>SKELLEFTEÅ</t>
        </is>
      </c>
      <c r="F2488" t="inlineStr">
        <is>
          <t>Holmen skog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55986-2023</t>
        </is>
      </c>
      <c r="B2489" s="1" t="n">
        <v>45240</v>
      </c>
      <c r="C2489" s="1" t="n">
        <v>45566</v>
      </c>
      <c r="D2489" t="inlineStr">
        <is>
          <t>VÄSTERBOTTENS LÄN</t>
        </is>
      </c>
      <c r="E2489" t="inlineStr">
        <is>
          <t>SKELLEFTEÅ</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56143-2023</t>
        </is>
      </c>
      <c r="B2490" s="1" t="n">
        <v>45240</v>
      </c>
      <c r="C2490" s="1" t="n">
        <v>45566</v>
      </c>
      <c r="D2490" t="inlineStr">
        <is>
          <t>VÄSTERBOTTENS LÄN</t>
        </is>
      </c>
      <c r="E2490" t="inlineStr">
        <is>
          <t>SKELLEFTEÅ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56291-2023</t>
        </is>
      </c>
      <c r="B2491" s="1" t="n">
        <v>45242</v>
      </c>
      <c r="C2491" s="1" t="n">
        <v>45566</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56463-2023</t>
        </is>
      </c>
      <c r="B2492" s="1" t="n">
        <v>45243</v>
      </c>
      <c r="C2492" s="1" t="n">
        <v>45566</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56450-2023</t>
        </is>
      </c>
      <c r="B2493" s="1" t="n">
        <v>45243</v>
      </c>
      <c r="C2493" s="1" t="n">
        <v>45566</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56548-2023</t>
        </is>
      </c>
      <c r="B2494" s="1" t="n">
        <v>45243</v>
      </c>
      <c r="C2494" s="1" t="n">
        <v>45566</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56653-2023</t>
        </is>
      </c>
      <c r="B2495" s="1" t="n">
        <v>45243</v>
      </c>
      <c r="C2495" s="1" t="n">
        <v>45566</v>
      </c>
      <c r="D2495" t="inlineStr">
        <is>
          <t>VÄSTERBOTTENS LÄN</t>
        </is>
      </c>
      <c r="E2495" t="inlineStr">
        <is>
          <t>SKELLEFTEÅ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57558-2023</t>
        </is>
      </c>
      <c r="B2496" s="1" t="n">
        <v>45243</v>
      </c>
      <c r="C2496" s="1" t="n">
        <v>45566</v>
      </c>
      <c r="D2496" t="inlineStr">
        <is>
          <t>VÄSTERBOTTENS LÄN</t>
        </is>
      </c>
      <c r="E2496" t="inlineStr">
        <is>
          <t>SKELLEFTEÅ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56375-2023</t>
        </is>
      </c>
      <c r="B2497" s="1" t="n">
        <v>45243</v>
      </c>
      <c r="C2497" s="1" t="n">
        <v>45566</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56471-2023</t>
        </is>
      </c>
      <c r="B2498" s="1" t="n">
        <v>45243</v>
      </c>
      <c r="C2498" s="1" t="n">
        <v>45566</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56839-2023</t>
        </is>
      </c>
      <c r="B2499" s="1" t="n">
        <v>45244</v>
      </c>
      <c r="C2499" s="1" t="n">
        <v>45566</v>
      </c>
      <c r="D2499" t="inlineStr">
        <is>
          <t>VÄSTERBOTTENS LÄN</t>
        </is>
      </c>
      <c r="E2499" t="inlineStr">
        <is>
          <t>SKELLEFTEÅ</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57985-2023</t>
        </is>
      </c>
      <c r="B2500" s="1" t="n">
        <v>45244</v>
      </c>
      <c r="C2500" s="1" t="n">
        <v>45566</v>
      </c>
      <c r="D2500" t="inlineStr">
        <is>
          <t>VÄSTERBOTTENS LÄN</t>
        </is>
      </c>
      <c r="E2500" t="inlineStr">
        <is>
          <t>SKELLEFTEÅ</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58012-2023</t>
        </is>
      </c>
      <c r="B2501" s="1" t="n">
        <v>45244</v>
      </c>
      <c r="C2501" s="1" t="n">
        <v>45566</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57085-2023</t>
        </is>
      </c>
      <c r="B2502" s="1" t="n">
        <v>45245</v>
      </c>
      <c r="C2502" s="1" t="n">
        <v>45566</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57191-2023</t>
        </is>
      </c>
      <c r="B2503" s="1" t="n">
        <v>45245</v>
      </c>
      <c r="C2503" s="1" t="n">
        <v>45566</v>
      </c>
      <c r="D2503" t="inlineStr">
        <is>
          <t>VÄSTERBOTTENS LÄN</t>
        </is>
      </c>
      <c r="E2503" t="inlineStr">
        <is>
          <t>SKELLEFTEÅ</t>
        </is>
      </c>
      <c r="F2503" t="inlineStr">
        <is>
          <t>Sveaskog</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57453-2023</t>
        </is>
      </c>
      <c r="B2504" s="1" t="n">
        <v>45246</v>
      </c>
      <c r="C2504" s="1" t="n">
        <v>45566</v>
      </c>
      <c r="D2504" t="inlineStr">
        <is>
          <t>VÄSTERBOTTENS LÄN</t>
        </is>
      </c>
      <c r="E2504" t="inlineStr">
        <is>
          <t>SKELLEFTEÅ</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58581-2023</t>
        </is>
      </c>
      <c r="B2505" s="1" t="n">
        <v>45246</v>
      </c>
      <c r="C2505" s="1" t="n">
        <v>45566</v>
      </c>
      <c r="D2505" t="inlineStr">
        <is>
          <t>VÄSTERBOTTENS LÄN</t>
        </is>
      </c>
      <c r="E2505" t="inlineStr">
        <is>
          <t>SKELLEFTEÅ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57838-2023</t>
        </is>
      </c>
      <c r="B2506" s="1" t="n">
        <v>45247</v>
      </c>
      <c r="C2506" s="1" t="n">
        <v>45566</v>
      </c>
      <c r="D2506" t="inlineStr">
        <is>
          <t>VÄSTERBOTTENS LÄN</t>
        </is>
      </c>
      <c r="E2506" t="inlineStr">
        <is>
          <t>SKELLEFTEÅ</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58043-2023</t>
        </is>
      </c>
      <c r="B2507" s="1" t="n">
        <v>45247</v>
      </c>
      <c r="C2507" s="1" t="n">
        <v>45566</v>
      </c>
      <c r="D2507" t="inlineStr">
        <is>
          <t>VÄSTERBOTTENS LÄN</t>
        </is>
      </c>
      <c r="E2507" t="inlineStr">
        <is>
          <t>SKELLEFTEÅ</t>
        </is>
      </c>
      <c r="F2507" t="inlineStr">
        <is>
          <t>Sveaskog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58058-2023</t>
        </is>
      </c>
      <c r="B2508" s="1" t="n">
        <v>45247</v>
      </c>
      <c r="C2508" s="1" t="n">
        <v>45566</v>
      </c>
      <c r="D2508" t="inlineStr">
        <is>
          <t>VÄSTERBOTTENS LÄN</t>
        </is>
      </c>
      <c r="E2508" t="inlineStr">
        <is>
          <t>SKELLEFTEÅ</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58069-2023</t>
        </is>
      </c>
      <c r="B2509" s="1" t="n">
        <v>45247</v>
      </c>
      <c r="C2509" s="1" t="n">
        <v>45566</v>
      </c>
      <c r="D2509" t="inlineStr">
        <is>
          <t>VÄSTERBOTTENS LÄN</t>
        </is>
      </c>
      <c r="E2509" t="inlineStr">
        <is>
          <t>SKELLEFTEÅ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58059-2023</t>
        </is>
      </c>
      <c r="B2510" s="1" t="n">
        <v>45247</v>
      </c>
      <c r="C2510" s="1" t="n">
        <v>45566</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58072-2023</t>
        </is>
      </c>
      <c r="B2511" s="1" t="n">
        <v>45247</v>
      </c>
      <c r="C2511" s="1" t="n">
        <v>45566</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58680-2023</t>
        </is>
      </c>
      <c r="B2512" s="1" t="n">
        <v>45247</v>
      </c>
      <c r="C2512" s="1" t="n">
        <v>45566</v>
      </c>
      <c r="D2512" t="inlineStr">
        <is>
          <t>VÄSTERBOTTENS LÄN</t>
        </is>
      </c>
      <c r="E2512" t="inlineStr">
        <is>
          <t>SKELLEFTEÅ</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58701-2023</t>
        </is>
      </c>
      <c r="B2513" s="1" t="n">
        <v>45247</v>
      </c>
      <c r="C2513" s="1" t="n">
        <v>45566</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58821-2023</t>
        </is>
      </c>
      <c r="B2514" s="1" t="n">
        <v>45247</v>
      </c>
      <c r="C2514" s="1" t="n">
        <v>45566</v>
      </c>
      <c r="D2514" t="inlineStr">
        <is>
          <t>VÄSTERBOTTENS LÄN</t>
        </is>
      </c>
      <c r="E2514" t="inlineStr">
        <is>
          <t>SKELLEFTEÅ</t>
        </is>
      </c>
      <c r="G2514" t="n">
        <v>15.6</v>
      </c>
      <c r="H2514" t="n">
        <v>0</v>
      </c>
      <c r="I2514" t="n">
        <v>0</v>
      </c>
      <c r="J2514" t="n">
        <v>0</v>
      </c>
      <c r="K2514" t="n">
        <v>0</v>
      </c>
      <c r="L2514" t="n">
        <v>0</v>
      </c>
      <c r="M2514" t="n">
        <v>0</v>
      </c>
      <c r="N2514" t="n">
        <v>0</v>
      </c>
      <c r="O2514" t="n">
        <v>0</v>
      </c>
      <c r="P2514" t="n">
        <v>0</v>
      </c>
      <c r="Q2514" t="n">
        <v>0</v>
      </c>
      <c r="R2514" s="2" t="inlineStr"/>
    </row>
    <row r="2515" ht="15" customHeight="1">
      <c r="A2515" t="inlineStr">
        <is>
          <t>A 58060-2023</t>
        </is>
      </c>
      <c r="B2515" s="1" t="n">
        <v>45247</v>
      </c>
      <c r="C2515" s="1" t="n">
        <v>45566</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58008-2023</t>
        </is>
      </c>
      <c r="B2516" s="1" t="n">
        <v>45247</v>
      </c>
      <c r="C2516" s="1" t="n">
        <v>45566</v>
      </c>
      <c r="D2516" t="inlineStr">
        <is>
          <t>VÄSTERBOTTENS LÄN</t>
        </is>
      </c>
      <c r="E2516" t="inlineStr">
        <is>
          <t>SKELLEFTEÅ</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57958-2023</t>
        </is>
      </c>
      <c r="B2517" s="1" t="n">
        <v>45247</v>
      </c>
      <c r="C2517" s="1" t="n">
        <v>45566</v>
      </c>
      <c r="D2517" t="inlineStr">
        <is>
          <t>VÄSTERBOTTENS LÄN</t>
        </is>
      </c>
      <c r="E2517" t="inlineStr">
        <is>
          <t>SKELLEFTEÅ</t>
        </is>
      </c>
      <c r="F2517" t="inlineStr">
        <is>
          <t>Holmen skog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57926-2023</t>
        </is>
      </c>
      <c r="B2518" s="1" t="n">
        <v>45247</v>
      </c>
      <c r="C2518" s="1" t="n">
        <v>45566</v>
      </c>
      <c r="D2518" t="inlineStr">
        <is>
          <t>VÄSTERBOTTENS LÄN</t>
        </is>
      </c>
      <c r="E2518" t="inlineStr">
        <is>
          <t>SKELLEFTEÅ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58117-2023</t>
        </is>
      </c>
      <c r="B2519" s="1" t="n">
        <v>45249</v>
      </c>
      <c r="C2519" s="1" t="n">
        <v>45566</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58194-2023</t>
        </is>
      </c>
      <c r="B2520" s="1" t="n">
        <v>45250</v>
      </c>
      <c r="C2520" s="1" t="n">
        <v>45566</v>
      </c>
      <c r="D2520" t="inlineStr">
        <is>
          <t>VÄSTERBOTTENS LÄN</t>
        </is>
      </c>
      <c r="E2520" t="inlineStr">
        <is>
          <t>SKELLEFTEÅ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58940-2023</t>
        </is>
      </c>
      <c r="B2521" s="1" t="n">
        <v>45250</v>
      </c>
      <c r="C2521" s="1" t="n">
        <v>45566</v>
      </c>
      <c r="D2521" t="inlineStr">
        <is>
          <t>VÄSTERBOTTENS LÄN</t>
        </is>
      </c>
      <c r="E2521" t="inlineStr">
        <is>
          <t>SKELLEFTEÅ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58503-2023</t>
        </is>
      </c>
      <c r="B2522" s="1" t="n">
        <v>45251</v>
      </c>
      <c r="C2522" s="1" t="n">
        <v>45566</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58517-2023</t>
        </is>
      </c>
      <c r="B2523" s="1" t="n">
        <v>45251</v>
      </c>
      <c r="C2523" s="1" t="n">
        <v>45566</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58525-2023</t>
        </is>
      </c>
      <c r="B2524" s="1" t="n">
        <v>45251</v>
      </c>
      <c r="C2524" s="1" t="n">
        <v>45566</v>
      </c>
      <c r="D2524" t="inlineStr">
        <is>
          <t>VÄSTERBOTTENS LÄN</t>
        </is>
      </c>
      <c r="E2524" t="inlineStr">
        <is>
          <t>SKELLEFTEÅ</t>
        </is>
      </c>
      <c r="F2524" t="inlineStr">
        <is>
          <t>Holmen skog AB</t>
        </is>
      </c>
      <c r="G2524" t="n">
        <v>19.1</v>
      </c>
      <c r="H2524" t="n">
        <v>0</v>
      </c>
      <c r="I2524" t="n">
        <v>0</v>
      </c>
      <c r="J2524" t="n">
        <v>0</v>
      </c>
      <c r="K2524" t="n">
        <v>0</v>
      </c>
      <c r="L2524" t="n">
        <v>0</v>
      </c>
      <c r="M2524" t="n">
        <v>0</v>
      </c>
      <c r="N2524" t="n">
        <v>0</v>
      </c>
      <c r="O2524" t="n">
        <v>0</v>
      </c>
      <c r="P2524" t="n">
        <v>0</v>
      </c>
      <c r="Q2524" t="n">
        <v>0</v>
      </c>
      <c r="R2524" s="2" t="inlineStr"/>
    </row>
    <row r="2525" ht="15" customHeight="1">
      <c r="A2525" t="inlineStr">
        <is>
          <t>A 58546-2023</t>
        </is>
      </c>
      <c r="B2525" s="1" t="n">
        <v>45251</v>
      </c>
      <c r="C2525" s="1" t="n">
        <v>45566</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58560-2023</t>
        </is>
      </c>
      <c r="B2526" s="1" t="n">
        <v>45251</v>
      </c>
      <c r="C2526" s="1" t="n">
        <v>45566</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58566-2023</t>
        </is>
      </c>
      <c r="B2527" s="1" t="n">
        <v>45251</v>
      </c>
      <c r="C2527" s="1" t="n">
        <v>45566</v>
      </c>
      <c r="D2527" t="inlineStr">
        <is>
          <t>VÄSTERBOTTENS LÄN</t>
        </is>
      </c>
      <c r="E2527" t="inlineStr">
        <is>
          <t>SKELLEFTEÅ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58555-2023</t>
        </is>
      </c>
      <c r="B2528" s="1" t="n">
        <v>45251</v>
      </c>
      <c r="C2528" s="1" t="n">
        <v>45566</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58575-2023</t>
        </is>
      </c>
      <c r="B2529" s="1" t="n">
        <v>45251</v>
      </c>
      <c r="C2529" s="1" t="n">
        <v>45566</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58750-2023</t>
        </is>
      </c>
      <c r="B2530" s="1" t="n">
        <v>45251</v>
      </c>
      <c r="C2530" s="1" t="n">
        <v>45566</v>
      </c>
      <c r="D2530" t="inlineStr">
        <is>
          <t>VÄSTERBOTTENS LÄN</t>
        </is>
      </c>
      <c r="E2530" t="inlineStr">
        <is>
          <t>SKELLEFTEÅ</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58754-2023</t>
        </is>
      </c>
      <c r="B2531" s="1" t="n">
        <v>45251</v>
      </c>
      <c r="C2531" s="1" t="n">
        <v>45566</v>
      </c>
      <c r="D2531" t="inlineStr">
        <is>
          <t>VÄSTERBOTTENS LÄN</t>
        </is>
      </c>
      <c r="E2531" t="inlineStr">
        <is>
          <t>SKELLEFTEÅ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58752-2023</t>
        </is>
      </c>
      <c r="B2532" s="1" t="n">
        <v>45251</v>
      </c>
      <c r="C2532" s="1" t="n">
        <v>45566</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58672-2023</t>
        </is>
      </c>
      <c r="B2533" s="1" t="n">
        <v>45251</v>
      </c>
      <c r="C2533" s="1" t="n">
        <v>45566</v>
      </c>
      <c r="D2533" t="inlineStr">
        <is>
          <t>VÄSTERBOTTENS LÄN</t>
        </is>
      </c>
      <c r="E2533" t="inlineStr">
        <is>
          <t>SKELLEFTEÅ</t>
        </is>
      </c>
      <c r="F2533" t="inlineStr">
        <is>
          <t>Holmen skog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58751-2023</t>
        </is>
      </c>
      <c r="B2534" s="1" t="n">
        <v>45251</v>
      </c>
      <c r="C2534" s="1" t="n">
        <v>45566</v>
      </c>
      <c r="D2534" t="inlineStr">
        <is>
          <t>VÄSTERBOTTENS LÄN</t>
        </is>
      </c>
      <c r="E2534" t="inlineStr">
        <is>
          <t>SKELLEFTEÅ</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58755-2023</t>
        </is>
      </c>
      <c r="B2535" s="1" t="n">
        <v>45251</v>
      </c>
      <c r="C2535" s="1" t="n">
        <v>45566</v>
      </c>
      <c r="D2535" t="inlineStr">
        <is>
          <t>VÄSTERBOTTENS LÄN</t>
        </is>
      </c>
      <c r="E2535" t="inlineStr">
        <is>
          <t>SKELLEFTEÅ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59127-2023</t>
        </is>
      </c>
      <c r="B2536" s="1" t="n">
        <v>45251</v>
      </c>
      <c r="C2536" s="1" t="n">
        <v>45566</v>
      </c>
      <c r="D2536" t="inlineStr">
        <is>
          <t>VÄSTERBOTTENS LÄN</t>
        </is>
      </c>
      <c r="E2536" t="inlineStr">
        <is>
          <t>SKELLEFTEÅ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59165-2023</t>
        </is>
      </c>
      <c r="B2537" s="1" t="n">
        <v>45251</v>
      </c>
      <c r="C2537" s="1" t="n">
        <v>45566</v>
      </c>
      <c r="D2537" t="inlineStr">
        <is>
          <t>VÄSTERBOTTENS LÄN</t>
        </is>
      </c>
      <c r="E2537" t="inlineStr">
        <is>
          <t>SKELLEFTEÅ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58838-2023</t>
        </is>
      </c>
      <c r="B2538" s="1" t="n">
        <v>45252</v>
      </c>
      <c r="C2538" s="1" t="n">
        <v>45566</v>
      </c>
      <c r="D2538" t="inlineStr">
        <is>
          <t>VÄSTERBOTTENS LÄN</t>
        </is>
      </c>
      <c r="E2538" t="inlineStr">
        <is>
          <t>SKELLEFTEÅ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59242-2023</t>
        </is>
      </c>
      <c r="B2539" s="1" t="n">
        <v>45252</v>
      </c>
      <c r="C2539" s="1" t="n">
        <v>45566</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59245-2023</t>
        </is>
      </c>
      <c r="B2540" s="1" t="n">
        <v>45252</v>
      </c>
      <c r="C2540" s="1" t="n">
        <v>45566</v>
      </c>
      <c r="D2540" t="inlineStr">
        <is>
          <t>VÄSTERBOTTENS LÄN</t>
        </is>
      </c>
      <c r="E2540" t="inlineStr">
        <is>
          <t>SKELLEFTEÅ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59404-2023</t>
        </is>
      </c>
      <c r="B2541" s="1" t="n">
        <v>45253</v>
      </c>
      <c r="C2541" s="1" t="n">
        <v>45566</v>
      </c>
      <c r="D2541" t="inlineStr">
        <is>
          <t>VÄSTERBOTTENS LÄN</t>
        </is>
      </c>
      <c r="E2541" t="inlineStr">
        <is>
          <t>SKELLEFTEÅ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59648-2023</t>
        </is>
      </c>
      <c r="B2542" s="1" t="n">
        <v>45253</v>
      </c>
      <c r="C2542" s="1" t="n">
        <v>45566</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59406-2023</t>
        </is>
      </c>
      <c r="B2543" s="1" t="n">
        <v>45253</v>
      </c>
      <c r="C2543" s="1" t="n">
        <v>45566</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59405-2023</t>
        </is>
      </c>
      <c r="B2544" s="1" t="n">
        <v>45253</v>
      </c>
      <c r="C2544" s="1" t="n">
        <v>45566</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59647-2023</t>
        </is>
      </c>
      <c r="B2545" s="1" t="n">
        <v>45253</v>
      </c>
      <c r="C2545" s="1" t="n">
        <v>45566</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59653-2023</t>
        </is>
      </c>
      <c r="B2546" s="1" t="n">
        <v>45254</v>
      </c>
      <c r="C2546" s="1" t="n">
        <v>45566</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59945-2023</t>
        </is>
      </c>
      <c r="B2547" s="1" t="n">
        <v>45254</v>
      </c>
      <c r="C2547" s="1" t="n">
        <v>45566</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59793-2023</t>
        </is>
      </c>
      <c r="B2548" s="1" t="n">
        <v>45257</v>
      </c>
      <c r="C2548" s="1" t="n">
        <v>45566</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59791-2023</t>
        </is>
      </c>
      <c r="B2549" s="1" t="n">
        <v>45257</v>
      </c>
      <c r="C2549" s="1" t="n">
        <v>45566</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59919-2023</t>
        </is>
      </c>
      <c r="B2550" s="1" t="n">
        <v>45257</v>
      </c>
      <c r="C2550" s="1" t="n">
        <v>45566</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59907-2023</t>
        </is>
      </c>
      <c r="B2551" s="1" t="n">
        <v>45257</v>
      </c>
      <c r="C2551" s="1" t="n">
        <v>45566</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59788-2023</t>
        </is>
      </c>
      <c r="B2552" s="1" t="n">
        <v>45257</v>
      </c>
      <c r="C2552" s="1" t="n">
        <v>45566</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60109-2023</t>
        </is>
      </c>
      <c r="B2553" s="1" t="n">
        <v>45257</v>
      </c>
      <c r="C2553" s="1" t="n">
        <v>45566</v>
      </c>
      <c r="D2553" t="inlineStr">
        <is>
          <t>VÄSTERBOTTENS LÄN</t>
        </is>
      </c>
      <c r="E2553" t="inlineStr">
        <is>
          <t>SKELLEFTEÅ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59798-2023</t>
        </is>
      </c>
      <c r="B2554" s="1" t="n">
        <v>45257</v>
      </c>
      <c r="C2554" s="1" t="n">
        <v>45566</v>
      </c>
      <c r="D2554" t="inlineStr">
        <is>
          <t>VÄSTERBOTTENS LÄN</t>
        </is>
      </c>
      <c r="E2554" t="inlineStr">
        <is>
          <t>SKELLEFTEÅ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60130-2023</t>
        </is>
      </c>
      <c r="B2555" s="1" t="n">
        <v>45257</v>
      </c>
      <c r="C2555" s="1" t="n">
        <v>45566</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60305-2023</t>
        </is>
      </c>
      <c r="B2556" s="1" t="n">
        <v>45258</v>
      </c>
      <c r="C2556" s="1" t="n">
        <v>45566</v>
      </c>
      <c r="D2556" t="inlineStr">
        <is>
          <t>VÄSTERBOTTENS LÄN</t>
        </is>
      </c>
      <c r="E2556" t="inlineStr">
        <is>
          <t>SKELLEFTEÅ</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60451-2023</t>
        </is>
      </c>
      <c r="B2557" s="1" t="n">
        <v>45258</v>
      </c>
      <c r="C2557" s="1" t="n">
        <v>45566</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60479-2023</t>
        </is>
      </c>
      <c r="B2558" s="1" t="n">
        <v>45258</v>
      </c>
      <c r="C2558" s="1" t="n">
        <v>45566</v>
      </c>
      <c r="D2558" t="inlineStr">
        <is>
          <t>VÄSTERBOTTENS LÄN</t>
        </is>
      </c>
      <c r="E2558" t="inlineStr">
        <is>
          <t>SKELLEFTEÅ</t>
        </is>
      </c>
      <c r="G2558" t="n">
        <v>21.5</v>
      </c>
      <c r="H2558" t="n">
        <v>0</v>
      </c>
      <c r="I2558" t="n">
        <v>0</v>
      </c>
      <c r="J2558" t="n">
        <v>0</v>
      </c>
      <c r="K2558" t="n">
        <v>0</v>
      </c>
      <c r="L2558" t="n">
        <v>0</v>
      </c>
      <c r="M2558" t="n">
        <v>0</v>
      </c>
      <c r="N2558" t="n">
        <v>0</v>
      </c>
      <c r="O2558" t="n">
        <v>0</v>
      </c>
      <c r="P2558" t="n">
        <v>0</v>
      </c>
      <c r="Q2558" t="n">
        <v>0</v>
      </c>
      <c r="R2558" s="2" t="inlineStr"/>
    </row>
    <row r="2559" ht="15" customHeight="1">
      <c r="A2559" t="inlineStr">
        <is>
          <t>A 60412-2023</t>
        </is>
      </c>
      <c r="B2559" s="1" t="n">
        <v>45258</v>
      </c>
      <c r="C2559" s="1" t="n">
        <v>45566</v>
      </c>
      <c r="D2559" t="inlineStr">
        <is>
          <t>VÄSTERBOTTENS LÄN</t>
        </is>
      </c>
      <c r="E2559" t="inlineStr">
        <is>
          <t>SKELLEFTEÅ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60339-2023</t>
        </is>
      </c>
      <c r="B2560" s="1" t="n">
        <v>45259</v>
      </c>
      <c r="C2560" s="1" t="n">
        <v>45566</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60569-2023</t>
        </is>
      </c>
      <c r="B2561" s="1" t="n">
        <v>45259</v>
      </c>
      <c r="C2561" s="1" t="n">
        <v>45566</v>
      </c>
      <c r="D2561" t="inlineStr">
        <is>
          <t>VÄSTERBOTTENS LÄN</t>
        </is>
      </c>
      <c r="E2561" t="inlineStr">
        <is>
          <t>SKELLEFTEÅ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61064-2023</t>
        </is>
      </c>
      <c r="B2562" s="1" t="n">
        <v>45259</v>
      </c>
      <c r="C2562" s="1" t="n">
        <v>45566</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61069-2023</t>
        </is>
      </c>
      <c r="B2563" s="1" t="n">
        <v>45259</v>
      </c>
      <c r="C2563" s="1" t="n">
        <v>45566</v>
      </c>
      <c r="D2563" t="inlineStr">
        <is>
          <t>VÄSTERBOTTENS LÄN</t>
        </is>
      </c>
      <c r="E2563" t="inlineStr">
        <is>
          <t>SKELLEFTEÅ</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61049-2023</t>
        </is>
      </c>
      <c r="B2564" s="1" t="n">
        <v>45259</v>
      </c>
      <c r="C2564" s="1" t="n">
        <v>45566</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60614-2023</t>
        </is>
      </c>
      <c r="B2565" s="1" t="n">
        <v>45260</v>
      </c>
      <c r="C2565" s="1" t="n">
        <v>45566</v>
      </c>
      <c r="D2565" t="inlineStr">
        <is>
          <t>VÄSTERBOTTENS LÄN</t>
        </is>
      </c>
      <c r="E2565" t="inlineStr">
        <is>
          <t>SKELLEFTEÅ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60612-2023</t>
        </is>
      </c>
      <c r="B2566" s="1" t="n">
        <v>45260</v>
      </c>
      <c r="C2566" s="1" t="n">
        <v>45566</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60785-2023</t>
        </is>
      </c>
      <c r="B2567" s="1" t="n">
        <v>45260</v>
      </c>
      <c r="C2567" s="1" t="n">
        <v>45566</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60601-2023</t>
        </is>
      </c>
      <c r="B2568" s="1" t="n">
        <v>45260</v>
      </c>
      <c r="C2568" s="1" t="n">
        <v>45566</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61089-2023</t>
        </is>
      </c>
      <c r="B2569" s="1" t="n">
        <v>45260</v>
      </c>
      <c r="C2569" s="1" t="n">
        <v>45566</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61239-2023</t>
        </is>
      </c>
      <c r="B2570" s="1" t="n">
        <v>45260</v>
      </c>
      <c r="C2570" s="1" t="n">
        <v>45566</v>
      </c>
      <c r="D2570" t="inlineStr">
        <is>
          <t>VÄSTERBOTTENS LÄN</t>
        </is>
      </c>
      <c r="E2570" t="inlineStr">
        <is>
          <t>SKELLEFTEÅ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61087-2023</t>
        </is>
      </c>
      <c r="B2571" s="1" t="n">
        <v>45260</v>
      </c>
      <c r="C2571" s="1" t="n">
        <v>45566</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60896-2023</t>
        </is>
      </c>
      <c r="B2572" s="1" t="n">
        <v>45261</v>
      </c>
      <c r="C2572" s="1" t="n">
        <v>45566</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61033-2023</t>
        </is>
      </c>
      <c r="B2573" s="1" t="n">
        <v>45261</v>
      </c>
      <c r="C2573" s="1" t="n">
        <v>45566</v>
      </c>
      <c r="D2573" t="inlineStr">
        <is>
          <t>VÄSTERBOTTENS LÄN</t>
        </is>
      </c>
      <c r="E2573" t="inlineStr">
        <is>
          <t>SKELLEFTEÅ</t>
        </is>
      </c>
      <c r="F2573" t="inlineStr">
        <is>
          <t>Sveaskog</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60898-2023</t>
        </is>
      </c>
      <c r="B2574" s="1" t="n">
        <v>45261</v>
      </c>
      <c r="C2574" s="1" t="n">
        <v>45566</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61130-2023</t>
        </is>
      </c>
      <c r="B2575" s="1" t="n">
        <v>45261</v>
      </c>
      <c r="C2575" s="1" t="n">
        <v>45566</v>
      </c>
      <c r="D2575" t="inlineStr">
        <is>
          <t>VÄSTERBOTTENS LÄN</t>
        </is>
      </c>
      <c r="E2575" t="inlineStr">
        <is>
          <t>SKELLEFTEÅ</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61147-2023</t>
        </is>
      </c>
      <c r="B2576" s="1" t="n">
        <v>45262</v>
      </c>
      <c r="C2576" s="1" t="n">
        <v>45566</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61145-2023</t>
        </is>
      </c>
      <c r="B2577" s="1" t="n">
        <v>45262</v>
      </c>
      <c r="C2577" s="1" t="n">
        <v>45566</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61146-2023</t>
        </is>
      </c>
      <c r="B2578" s="1" t="n">
        <v>45262</v>
      </c>
      <c r="C2578" s="1" t="n">
        <v>45566</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61292-2023</t>
        </is>
      </c>
      <c r="B2579" s="1" t="n">
        <v>45264</v>
      </c>
      <c r="C2579" s="1" t="n">
        <v>45566</v>
      </c>
      <c r="D2579" t="inlineStr">
        <is>
          <t>VÄSTERBOTTENS LÄN</t>
        </is>
      </c>
      <c r="E2579" t="inlineStr">
        <is>
          <t>SKELLEFTEÅ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61186-2023</t>
        </is>
      </c>
      <c r="B2580" s="1" t="n">
        <v>45264</v>
      </c>
      <c r="C2580" s="1" t="n">
        <v>45566</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61242-2023</t>
        </is>
      </c>
      <c r="B2581" s="1" t="n">
        <v>45264</v>
      </c>
      <c r="C2581" s="1" t="n">
        <v>45566</v>
      </c>
      <c r="D2581" t="inlineStr">
        <is>
          <t>VÄSTERBOTTENS LÄN</t>
        </is>
      </c>
      <c r="E2581" t="inlineStr">
        <is>
          <t>SKELLEFTEÅ</t>
        </is>
      </c>
      <c r="F2581" t="inlineStr">
        <is>
          <t>Holmen skog AB</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61188-2023</t>
        </is>
      </c>
      <c r="B2582" s="1" t="n">
        <v>45264</v>
      </c>
      <c r="C2582" s="1" t="n">
        <v>45566</v>
      </c>
      <c r="D2582" t="inlineStr">
        <is>
          <t>VÄSTERBOTTENS LÄN</t>
        </is>
      </c>
      <c r="E2582" t="inlineStr">
        <is>
          <t>SKELLEFTEÅ</t>
        </is>
      </c>
      <c r="F2582" t="inlineStr">
        <is>
          <t>Sveaskog</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61457-2023</t>
        </is>
      </c>
      <c r="B2583" s="1" t="n">
        <v>45264</v>
      </c>
      <c r="C2583" s="1" t="n">
        <v>45566</v>
      </c>
      <c r="D2583" t="inlineStr">
        <is>
          <t>VÄSTERBOTTENS LÄN</t>
        </is>
      </c>
      <c r="E2583" t="inlineStr">
        <is>
          <t>SKELLEFTEÅ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61733-2023</t>
        </is>
      </c>
      <c r="B2584" s="1" t="n">
        <v>45264</v>
      </c>
      <c r="C2584" s="1" t="n">
        <v>45566</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61730-2023</t>
        </is>
      </c>
      <c r="B2585" s="1" t="n">
        <v>45264</v>
      </c>
      <c r="C2585" s="1" t="n">
        <v>45566</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61723-2023</t>
        </is>
      </c>
      <c r="B2586" s="1" t="n">
        <v>45264</v>
      </c>
      <c r="C2586" s="1" t="n">
        <v>45566</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61808-2023</t>
        </is>
      </c>
      <c r="B2587" s="1" t="n">
        <v>45264</v>
      </c>
      <c r="C2587" s="1" t="n">
        <v>45566</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61928-2023</t>
        </is>
      </c>
      <c r="B2588" s="1" t="n">
        <v>45265</v>
      </c>
      <c r="C2588" s="1" t="n">
        <v>45566</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61927-2023</t>
        </is>
      </c>
      <c r="B2589" s="1" t="n">
        <v>45265</v>
      </c>
      <c r="C2589" s="1" t="n">
        <v>45566</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62300-2023</t>
        </is>
      </c>
      <c r="B2590" s="1" t="n">
        <v>45266</v>
      </c>
      <c r="C2590" s="1" t="n">
        <v>45566</v>
      </c>
      <c r="D2590" t="inlineStr">
        <is>
          <t>VÄSTERBOTTENS LÄN</t>
        </is>
      </c>
      <c r="E2590" t="inlineStr">
        <is>
          <t>SKELLEFTEÅ</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62141-2023</t>
        </is>
      </c>
      <c r="B2591" s="1" t="n">
        <v>45267</v>
      </c>
      <c r="C2591" s="1" t="n">
        <v>45566</v>
      </c>
      <c r="D2591" t="inlineStr">
        <is>
          <t>VÄSTERBOTTENS LÄN</t>
        </is>
      </c>
      <c r="E2591" t="inlineStr">
        <is>
          <t>SKELLEFTEÅ</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62191-2023</t>
        </is>
      </c>
      <c r="B2592" s="1" t="n">
        <v>45267</v>
      </c>
      <c r="C2592" s="1" t="n">
        <v>45566</v>
      </c>
      <c r="D2592" t="inlineStr">
        <is>
          <t>VÄSTERBOTTENS LÄN</t>
        </is>
      </c>
      <c r="E2592" t="inlineStr">
        <is>
          <t>SKELLEFTEÅ</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62345-2023</t>
        </is>
      </c>
      <c r="B2593" s="1" t="n">
        <v>45267</v>
      </c>
      <c r="C2593" s="1" t="n">
        <v>45566</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62336-2023</t>
        </is>
      </c>
      <c r="B2594" s="1" t="n">
        <v>45267</v>
      </c>
      <c r="C2594" s="1" t="n">
        <v>45566</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62344-2023</t>
        </is>
      </c>
      <c r="B2595" s="1" t="n">
        <v>45267</v>
      </c>
      <c r="C2595" s="1" t="n">
        <v>45566</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62347-2023</t>
        </is>
      </c>
      <c r="B2596" s="1" t="n">
        <v>45267</v>
      </c>
      <c r="C2596" s="1" t="n">
        <v>45566</v>
      </c>
      <c r="D2596" t="inlineStr">
        <is>
          <t>VÄSTERBOTTENS LÄN</t>
        </is>
      </c>
      <c r="E2596" t="inlineStr">
        <is>
          <t>SKELLEFTEÅ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62599-2023</t>
        </is>
      </c>
      <c r="B2597" s="1" t="n">
        <v>45267</v>
      </c>
      <c r="C2597" s="1" t="n">
        <v>45566</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62601-2023</t>
        </is>
      </c>
      <c r="B2598" s="1" t="n">
        <v>45267</v>
      </c>
      <c r="C2598" s="1" t="n">
        <v>45566</v>
      </c>
      <c r="D2598" t="inlineStr">
        <is>
          <t>VÄSTERBOTTENS LÄN</t>
        </is>
      </c>
      <c r="E2598" t="inlineStr">
        <is>
          <t>SKELLEFTEÅ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62547-2023</t>
        </is>
      </c>
      <c r="B2599" s="1" t="n">
        <v>45268</v>
      </c>
      <c r="C2599" s="1" t="n">
        <v>45566</v>
      </c>
      <c r="D2599" t="inlineStr">
        <is>
          <t>VÄSTERBOTTENS LÄN</t>
        </is>
      </c>
      <c r="E2599" t="inlineStr">
        <is>
          <t>SKELLEFTEÅ</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62504-2023</t>
        </is>
      </c>
      <c r="B2600" s="1" t="n">
        <v>45268</v>
      </c>
      <c r="C2600" s="1" t="n">
        <v>45566</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62708-2023</t>
        </is>
      </c>
      <c r="B2601" s="1" t="n">
        <v>45271</v>
      </c>
      <c r="C2601" s="1" t="n">
        <v>45566</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62885-2023</t>
        </is>
      </c>
      <c r="B2602" s="1" t="n">
        <v>45271</v>
      </c>
      <c r="C2602" s="1" t="n">
        <v>45566</v>
      </c>
      <c r="D2602" t="inlineStr">
        <is>
          <t>VÄSTERBOTTENS LÄN</t>
        </is>
      </c>
      <c r="E2602" t="inlineStr">
        <is>
          <t>SKELLEFTEÅ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63010-2023</t>
        </is>
      </c>
      <c r="B2603" s="1" t="n">
        <v>45272</v>
      </c>
      <c r="C2603" s="1" t="n">
        <v>45566</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62961-2023</t>
        </is>
      </c>
      <c r="B2604" s="1" t="n">
        <v>45272</v>
      </c>
      <c r="C2604" s="1" t="n">
        <v>45566</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63525-2023</t>
        </is>
      </c>
      <c r="B2605" s="1" t="n">
        <v>45274</v>
      </c>
      <c r="C2605" s="1" t="n">
        <v>45566</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63704-2023</t>
        </is>
      </c>
      <c r="B2606" s="1" t="n">
        <v>45275</v>
      </c>
      <c r="C2606" s="1" t="n">
        <v>45566</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63757-2023</t>
        </is>
      </c>
      <c r="B2607" s="1" t="n">
        <v>45278</v>
      </c>
      <c r="C2607" s="1" t="n">
        <v>45566</v>
      </c>
      <c r="D2607" t="inlineStr">
        <is>
          <t>VÄSTERBOTTENS LÄN</t>
        </is>
      </c>
      <c r="E2607" t="inlineStr">
        <is>
          <t>SKELLEFTEÅ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63759-2023</t>
        </is>
      </c>
      <c r="B2608" s="1" t="n">
        <v>45278</v>
      </c>
      <c r="C2608" s="1" t="n">
        <v>45566</v>
      </c>
      <c r="D2608" t="inlineStr">
        <is>
          <t>VÄSTERBOTTENS LÄN</t>
        </is>
      </c>
      <c r="E2608" t="inlineStr">
        <is>
          <t>SKELLEFTEÅ</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63935-2023</t>
        </is>
      </c>
      <c r="B2609" s="1" t="n">
        <v>45278</v>
      </c>
      <c r="C2609" s="1" t="n">
        <v>45566</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64009-2023</t>
        </is>
      </c>
      <c r="B2610" s="1" t="n">
        <v>45278</v>
      </c>
      <c r="C2610" s="1" t="n">
        <v>45566</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64006-2023</t>
        </is>
      </c>
      <c r="B2611" s="1" t="n">
        <v>45278</v>
      </c>
      <c r="C2611" s="1" t="n">
        <v>45566</v>
      </c>
      <c r="D2611" t="inlineStr">
        <is>
          <t>VÄSTERBOTTENS LÄN</t>
        </is>
      </c>
      <c r="E2611" t="inlineStr">
        <is>
          <t>SKELLEFTEÅ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64008-2023</t>
        </is>
      </c>
      <c r="B2612" s="1" t="n">
        <v>45278</v>
      </c>
      <c r="C2612" s="1" t="n">
        <v>45566</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64258-2023</t>
        </is>
      </c>
      <c r="B2613" s="1" t="n">
        <v>45279</v>
      </c>
      <c r="C2613" s="1" t="n">
        <v>45566</v>
      </c>
      <c r="D2613" t="inlineStr">
        <is>
          <t>VÄSTERBOTTENS LÄN</t>
        </is>
      </c>
      <c r="E2613" t="inlineStr">
        <is>
          <t>SKELLEFTEÅ</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64257-2023</t>
        </is>
      </c>
      <c r="B2614" s="1" t="n">
        <v>45279</v>
      </c>
      <c r="C2614" s="1" t="n">
        <v>45566</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64183-2023</t>
        </is>
      </c>
      <c r="B2615" s="1" t="n">
        <v>45279</v>
      </c>
      <c r="C2615" s="1" t="n">
        <v>45566</v>
      </c>
      <c r="D2615" t="inlineStr">
        <is>
          <t>VÄSTERBOTTENS LÄN</t>
        </is>
      </c>
      <c r="E2615" t="inlineStr">
        <is>
          <t>SKELLEFTEÅ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1815-2024</t>
        </is>
      </c>
      <c r="B2616" s="1" t="n">
        <v>45279</v>
      </c>
      <c r="C2616" s="1" t="n">
        <v>45566</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64323-2023</t>
        </is>
      </c>
      <c r="B2617" s="1" t="n">
        <v>45280</v>
      </c>
      <c r="C2617" s="1" t="n">
        <v>45566</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64340-2023</t>
        </is>
      </c>
      <c r="B2618" s="1" t="n">
        <v>45280</v>
      </c>
      <c r="C2618" s="1" t="n">
        <v>45566</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64370-2023</t>
        </is>
      </c>
      <c r="B2619" s="1" t="n">
        <v>45280</v>
      </c>
      <c r="C2619" s="1" t="n">
        <v>45566</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64598-2023</t>
        </is>
      </c>
      <c r="B2620" s="1" t="n">
        <v>45281</v>
      </c>
      <c r="C2620" s="1" t="n">
        <v>45566</v>
      </c>
      <c r="D2620" t="inlineStr">
        <is>
          <t>VÄSTERBOTTENS LÄN</t>
        </is>
      </c>
      <c r="E2620" t="inlineStr">
        <is>
          <t>SKELLEFTEÅ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64682-2023</t>
        </is>
      </c>
      <c r="B2621" s="1" t="n">
        <v>45281</v>
      </c>
      <c r="C2621" s="1" t="n">
        <v>45566</v>
      </c>
      <c r="D2621" t="inlineStr">
        <is>
          <t>VÄSTERBOTTENS LÄN</t>
        </is>
      </c>
      <c r="E2621" t="inlineStr">
        <is>
          <t>SKELLEFTEÅ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64720-2023</t>
        </is>
      </c>
      <c r="B2622" s="1" t="n">
        <v>45281</v>
      </c>
      <c r="C2622" s="1" t="n">
        <v>45566</v>
      </c>
      <c r="D2622" t="inlineStr">
        <is>
          <t>VÄSTERBOTTENS LÄN</t>
        </is>
      </c>
      <c r="E2622" t="inlineStr">
        <is>
          <t>SKELLEFTEÅ</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64716-2023</t>
        </is>
      </c>
      <c r="B2623" s="1" t="n">
        <v>45281</v>
      </c>
      <c r="C2623" s="1" t="n">
        <v>45566</v>
      </c>
      <c r="D2623" t="inlineStr">
        <is>
          <t>VÄSTERBOTTENS LÄN</t>
        </is>
      </c>
      <c r="E2623" t="inlineStr">
        <is>
          <t>SKELLEFTEÅ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64723-2023</t>
        </is>
      </c>
      <c r="B2624" s="1" t="n">
        <v>45281</v>
      </c>
      <c r="C2624" s="1" t="n">
        <v>45566</v>
      </c>
      <c r="D2624" t="inlineStr">
        <is>
          <t>VÄSTERBOTTENS LÄN</t>
        </is>
      </c>
      <c r="E2624" t="inlineStr">
        <is>
          <t>SKELLEFTEÅ</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64726-2023</t>
        </is>
      </c>
      <c r="B2625" s="1" t="n">
        <v>45281</v>
      </c>
      <c r="C2625" s="1" t="n">
        <v>45566</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64750-2023</t>
        </is>
      </c>
      <c r="B2626" s="1" t="n">
        <v>45281</v>
      </c>
      <c r="C2626" s="1" t="n">
        <v>45566</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64920-2023</t>
        </is>
      </c>
      <c r="B2627" s="1" t="n">
        <v>45282</v>
      </c>
      <c r="C2627" s="1" t="n">
        <v>45566</v>
      </c>
      <c r="D2627" t="inlineStr">
        <is>
          <t>VÄSTERBOTTENS LÄN</t>
        </is>
      </c>
      <c r="E2627" t="inlineStr">
        <is>
          <t>SKELLEFTEÅ</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64942-2023</t>
        </is>
      </c>
      <c r="B2628" s="1" t="n">
        <v>45282</v>
      </c>
      <c r="C2628" s="1" t="n">
        <v>45566</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65010-2023</t>
        </is>
      </c>
      <c r="B2629" s="1" t="n">
        <v>45282</v>
      </c>
      <c r="C2629" s="1" t="n">
        <v>45566</v>
      </c>
      <c r="D2629" t="inlineStr">
        <is>
          <t>VÄSTERBOTTENS LÄN</t>
        </is>
      </c>
      <c r="E2629" t="inlineStr">
        <is>
          <t>SKELLEFTEÅ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64941-2023</t>
        </is>
      </c>
      <c r="B2630" s="1" t="n">
        <v>45282</v>
      </c>
      <c r="C2630" s="1" t="n">
        <v>45566</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65009-2023</t>
        </is>
      </c>
      <c r="B2631" s="1" t="n">
        <v>45287</v>
      </c>
      <c r="C2631" s="1" t="n">
        <v>45566</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65011-2023</t>
        </is>
      </c>
      <c r="B2632" s="1" t="n">
        <v>45287</v>
      </c>
      <c r="C2632" s="1" t="n">
        <v>45566</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65128-2023</t>
        </is>
      </c>
      <c r="B2633" s="1" t="n">
        <v>45288</v>
      </c>
      <c r="C2633" s="1" t="n">
        <v>45566</v>
      </c>
      <c r="D2633" t="inlineStr">
        <is>
          <t>VÄSTERBOTTENS LÄN</t>
        </is>
      </c>
      <c r="E2633" t="inlineStr">
        <is>
          <t>SKELLEFTEÅ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65165-2023</t>
        </is>
      </c>
      <c r="B2634" s="1" t="n">
        <v>45288</v>
      </c>
      <c r="C2634" s="1" t="n">
        <v>45566</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65178-2023</t>
        </is>
      </c>
      <c r="B2635" s="1" t="n">
        <v>45288</v>
      </c>
      <c r="C2635" s="1" t="n">
        <v>45566</v>
      </c>
      <c r="D2635" t="inlineStr">
        <is>
          <t>VÄSTERBOTTENS LÄN</t>
        </is>
      </c>
      <c r="E2635" t="inlineStr">
        <is>
          <t>SKELLEFTEÅ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65191-2023</t>
        </is>
      </c>
      <c r="B2636" s="1" t="n">
        <v>45288</v>
      </c>
      <c r="C2636" s="1" t="n">
        <v>45566</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65206-2023</t>
        </is>
      </c>
      <c r="B2637" s="1" t="n">
        <v>45289</v>
      </c>
      <c r="C2637" s="1" t="n">
        <v>45566</v>
      </c>
      <c r="D2637" t="inlineStr">
        <is>
          <t>VÄSTERBOTTENS LÄN</t>
        </is>
      </c>
      <c r="E2637" t="inlineStr">
        <is>
          <t>SKELLEFTEÅ</t>
        </is>
      </c>
      <c r="G2637" t="n">
        <v>19.2</v>
      </c>
      <c r="H2637" t="n">
        <v>0</v>
      </c>
      <c r="I2637" t="n">
        <v>0</v>
      </c>
      <c r="J2637" t="n">
        <v>0</v>
      </c>
      <c r="K2637" t="n">
        <v>0</v>
      </c>
      <c r="L2637" t="n">
        <v>0</v>
      </c>
      <c r="M2637" t="n">
        <v>0</v>
      </c>
      <c r="N2637" t="n">
        <v>0</v>
      </c>
      <c r="O2637" t="n">
        <v>0</v>
      </c>
      <c r="P2637" t="n">
        <v>0</v>
      </c>
      <c r="Q2637" t="n">
        <v>0</v>
      </c>
      <c r="R2637" s="2" t="inlineStr"/>
    </row>
    <row r="2638" ht="15" customHeight="1">
      <c r="A2638" t="inlineStr">
        <is>
          <t>A 65243-2023</t>
        </is>
      </c>
      <c r="B2638" s="1" t="n">
        <v>45289</v>
      </c>
      <c r="C2638" s="1" t="n">
        <v>45566</v>
      </c>
      <c r="D2638" t="inlineStr">
        <is>
          <t>VÄSTERBOTTENS LÄN</t>
        </is>
      </c>
      <c r="E2638" t="inlineStr">
        <is>
          <t>SKELLEFTEÅ</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27-2024</t>
        </is>
      </c>
      <c r="B2639" s="1" t="n">
        <v>45293</v>
      </c>
      <c r="C2639" s="1" t="n">
        <v>45566</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207-2024</t>
        </is>
      </c>
      <c r="B2640" s="1" t="n">
        <v>45293</v>
      </c>
      <c r="C2640" s="1" t="n">
        <v>45566</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381-2024</t>
        </is>
      </c>
      <c r="B2641" s="1" t="n">
        <v>45296</v>
      </c>
      <c r="C2641" s="1" t="n">
        <v>45566</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418-2024</t>
        </is>
      </c>
      <c r="B2642" s="1" t="n">
        <v>45296</v>
      </c>
      <c r="C2642" s="1" t="n">
        <v>45566</v>
      </c>
      <c r="D2642" t="inlineStr">
        <is>
          <t>VÄSTERBOTTENS LÄN</t>
        </is>
      </c>
      <c r="E2642" t="inlineStr">
        <is>
          <t>SKELLEFTEÅ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671-2024</t>
        </is>
      </c>
      <c r="B2643" s="1" t="n">
        <v>45299</v>
      </c>
      <c r="C2643" s="1" t="n">
        <v>45566</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668-2024</t>
        </is>
      </c>
      <c r="B2644" s="1" t="n">
        <v>45300</v>
      </c>
      <c r="C2644" s="1" t="n">
        <v>45566</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1114-2024</t>
        </is>
      </c>
      <c r="B2645" s="1" t="n">
        <v>45302</v>
      </c>
      <c r="C2645" s="1" t="n">
        <v>45566</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1255-2024</t>
        </is>
      </c>
      <c r="B2646" s="1" t="n">
        <v>45302</v>
      </c>
      <c r="C2646" s="1" t="n">
        <v>45566</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1250-2024</t>
        </is>
      </c>
      <c r="B2647" s="1" t="n">
        <v>45302</v>
      </c>
      <c r="C2647" s="1" t="n">
        <v>45566</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1257-2024</t>
        </is>
      </c>
      <c r="B2648" s="1" t="n">
        <v>45302</v>
      </c>
      <c r="C2648" s="1" t="n">
        <v>45566</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1256-2024</t>
        </is>
      </c>
      <c r="B2649" s="1" t="n">
        <v>45302</v>
      </c>
      <c r="C2649" s="1" t="n">
        <v>45566</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1280-2024</t>
        </is>
      </c>
      <c r="B2650" s="1" t="n">
        <v>45303</v>
      </c>
      <c r="C2650" s="1" t="n">
        <v>45566</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1419-2024</t>
        </is>
      </c>
      <c r="B2651" s="1" t="n">
        <v>45303</v>
      </c>
      <c r="C2651" s="1" t="n">
        <v>45566</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1507-2024</t>
        </is>
      </c>
      <c r="B2652" s="1" t="n">
        <v>45306</v>
      </c>
      <c r="C2652" s="1" t="n">
        <v>45566</v>
      </c>
      <c r="D2652" t="inlineStr">
        <is>
          <t>VÄSTERBOTTENS LÄN</t>
        </is>
      </c>
      <c r="E2652" t="inlineStr">
        <is>
          <t>SKELLEFTEÅ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1498-2024</t>
        </is>
      </c>
      <c r="B2653" s="1" t="n">
        <v>45306</v>
      </c>
      <c r="C2653" s="1" t="n">
        <v>45566</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1564-2024</t>
        </is>
      </c>
      <c r="B2654" s="1" t="n">
        <v>45306</v>
      </c>
      <c r="C2654" s="1" t="n">
        <v>45566</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1829-2024</t>
        </is>
      </c>
      <c r="B2655" s="1" t="n">
        <v>45307</v>
      </c>
      <c r="C2655" s="1" t="n">
        <v>45566</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1827-2024</t>
        </is>
      </c>
      <c r="B2656" s="1" t="n">
        <v>45307</v>
      </c>
      <c r="C2656" s="1" t="n">
        <v>45566</v>
      </c>
      <c r="D2656" t="inlineStr">
        <is>
          <t>VÄSTERBOTTENS LÄN</t>
        </is>
      </c>
      <c r="E2656" t="inlineStr">
        <is>
          <t>SKELLEFTEÅ</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1809-2024</t>
        </is>
      </c>
      <c r="B2657" s="1" t="n">
        <v>45307</v>
      </c>
      <c r="C2657" s="1" t="n">
        <v>45566</v>
      </c>
      <c r="D2657" t="inlineStr">
        <is>
          <t>VÄSTERBOTTENS LÄN</t>
        </is>
      </c>
      <c r="E2657" t="inlineStr">
        <is>
          <t>SKELLEFTEÅ</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1826-2024</t>
        </is>
      </c>
      <c r="B2658" s="1" t="n">
        <v>45307</v>
      </c>
      <c r="C2658" s="1" t="n">
        <v>45566</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2050-2024</t>
        </is>
      </c>
      <c r="B2659" s="1" t="n">
        <v>45308</v>
      </c>
      <c r="C2659" s="1" t="n">
        <v>45566</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2058-2024</t>
        </is>
      </c>
      <c r="B2660" s="1" t="n">
        <v>45308</v>
      </c>
      <c r="C2660" s="1" t="n">
        <v>45566</v>
      </c>
      <c r="D2660" t="inlineStr">
        <is>
          <t>VÄSTERBOTTENS LÄN</t>
        </is>
      </c>
      <c r="E2660" t="inlineStr">
        <is>
          <t>SKELLEFTEÅ</t>
        </is>
      </c>
      <c r="G2660" t="n">
        <v>29.4</v>
      </c>
      <c r="H2660" t="n">
        <v>0</v>
      </c>
      <c r="I2660" t="n">
        <v>0</v>
      </c>
      <c r="J2660" t="n">
        <v>0</v>
      </c>
      <c r="K2660" t="n">
        <v>0</v>
      </c>
      <c r="L2660" t="n">
        <v>0</v>
      </c>
      <c r="M2660" t="n">
        <v>0</v>
      </c>
      <c r="N2660" t="n">
        <v>0</v>
      </c>
      <c r="O2660" t="n">
        <v>0</v>
      </c>
      <c r="P2660" t="n">
        <v>0</v>
      </c>
      <c r="Q2660" t="n">
        <v>0</v>
      </c>
      <c r="R2660" s="2" t="inlineStr"/>
    </row>
    <row r="2661" ht="15" customHeight="1">
      <c r="A2661" t="inlineStr">
        <is>
          <t>A 2043-2024</t>
        </is>
      </c>
      <c r="B2661" s="1" t="n">
        <v>45308</v>
      </c>
      <c r="C2661" s="1" t="n">
        <v>45566</v>
      </c>
      <c r="D2661" t="inlineStr">
        <is>
          <t>VÄSTERBOTTENS LÄN</t>
        </is>
      </c>
      <c r="E2661" t="inlineStr">
        <is>
          <t>SKELLEFTEÅ</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2051-2024</t>
        </is>
      </c>
      <c r="B2662" s="1" t="n">
        <v>45308</v>
      </c>
      <c r="C2662" s="1" t="n">
        <v>45566</v>
      </c>
      <c r="D2662" t="inlineStr">
        <is>
          <t>VÄSTERBOTTENS LÄN</t>
        </is>
      </c>
      <c r="E2662" t="inlineStr">
        <is>
          <t>SKELLEFTEÅ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2055-2024</t>
        </is>
      </c>
      <c r="B2663" s="1" t="n">
        <v>45308</v>
      </c>
      <c r="C2663" s="1" t="n">
        <v>45566</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2059-2024</t>
        </is>
      </c>
      <c r="B2664" s="1" t="n">
        <v>45308</v>
      </c>
      <c r="C2664" s="1" t="n">
        <v>45566</v>
      </c>
      <c r="D2664" t="inlineStr">
        <is>
          <t>VÄSTERBOTTENS LÄN</t>
        </is>
      </c>
      <c r="E2664" t="inlineStr">
        <is>
          <t>SKELLEFTEÅ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2045-2024</t>
        </is>
      </c>
      <c r="B2665" s="1" t="n">
        <v>45308</v>
      </c>
      <c r="C2665" s="1" t="n">
        <v>45566</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2052-2024</t>
        </is>
      </c>
      <c r="B2666" s="1" t="n">
        <v>45308</v>
      </c>
      <c r="C2666" s="1" t="n">
        <v>45566</v>
      </c>
      <c r="D2666" t="inlineStr">
        <is>
          <t>VÄSTERBOTTENS LÄN</t>
        </is>
      </c>
      <c r="E2666" t="inlineStr">
        <is>
          <t>SKELLEFTEÅ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2170-2024</t>
        </is>
      </c>
      <c r="B2667" s="1" t="n">
        <v>45309</v>
      </c>
      <c r="C2667" s="1" t="n">
        <v>45566</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2090-2024</t>
        </is>
      </c>
      <c r="B2668" s="1" t="n">
        <v>45309</v>
      </c>
      <c r="C2668" s="1" t="n">
        <v>45566</v>
      </c>
      <c r="D2668" t="inlineStr">
        <is>
          <t>VÄSTERBOTTENS LÄN</t>
        </is>
      </c>
      <c r="E2668" t="inlineStr">
        <is>
          <t>SKELLEFTEÅ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2417-2024</t>
        </is>
      </c>
      <c r="B2669" s="1" t="n">
        <v>45310</v>
      </c>
      <c r="C2669" s="1" t="n">
        <v>45566</v>
      </c>
      <c r="D2669" t="inlineStr">
        <is>
          <t>VÄSTERBOTTENS LÄN</t>
        </is>
      </c>
      <c r="E2669" t="inlineStr">
        <is>
          <t>SKELLEFTEÅ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2579-2024</t>
        </is>
      </c>
      <c r="B2670" s="1" t="n">
        <v>45313</v>
      </c>
      <c r="C2670" s="1" t="n">
        <v>45566</v>
      </c>
      <c r="D2670" t="inlineStr">
        <is>
          <t>VÄSTERBOTTENS LÄN</t>
        </is>
      </c>
      <c r="E2670" t="inlineStr">
        <is>
          <t>SKELLEFTEÅ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2526-2024</t>
        </is>
      </c>
      <c r="B2671" s="1" t="n">
        <v>45313</v>
      </c>
      <c r="C2671" s="1" t="n">
        <v>45566</v>
      </c>
      <c r="D2671" t="inlineStr">
        <is>
          <t>VÄSTERBOTTENS LÄN</t>
        </is>
      </c>
      <c r="E2671" t="inlineStr">
        <is>
          <t>SKELLEFTEÅ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2562-2024</t>
        </is>
      </c>
      <c r="B2672" s="1" t="n">
        <v>45313</v>
      </c>
      <c r="C2672" s="1" t="n">
        <v>45566</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2572-2024</t>
        </is>
      </c>
      <c r="B2673" s="1" t="n">
        <v>45313</v>
      </c>
      <c r="C2673" s="1" t="n">
        <v>45566</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2641-2024</t>
        </is>
      </c>
      <c r="B2674" s="1" t="n">
        <v>45314</v>
      </c>
      <c r="C2674" s="1" t="n">
        <v>45566</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2773-2024</t>
        </is>
      </c>
      <c r="B2675" s="1" t="n">
        <v>45314</v>
      </c>
      <c r="C2675" s="1" t="n">
        <v>45566</v>
      </c>
      <c r="D2675" t="inlineStr">
        <is>
          <t>VÄSTERBOTTENS LÄN</t>
        </is>
      </c>
      <c r="E2675" t="inlineStr">
        <is>
          <t>SKELLEFTEÅ</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2801-2024</t>
        </is>
      </c>
      <c r="B2676" s="1" t="n">
        <v>45314</v>
      </c>
      <c r="C2676" s="1" t="n">
        <v>45566</v>
      </c>
      <c r="D2676" t="inlineStr">
        <is>
          <t>VÄSTERBOTTENS LÄN</t>
        </is>
      </c>
      <c r="E2676" t="inlineStr">
        <is>
          <t>SKELLEFTEÅ</t>
        </is>
      </c>
      <c r="F2676" t="inlineStr">
        <is>
          <t>Sveaskog</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2811-2024</t>
        </is>
      </c>
      <c r="B2677" s="1" t="n">
        <v>45314</v>
      </c>
      <c r="C2677" s="1" t="n">
        <v>45566</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2840-2024</t>
        </is>
      </c>
      <c r="B2678" s="1" t="n">
        <v>45315</v>
      </c>
      <c r="C2678" s="1" t="n">
        <v>45566</v>
      </c>
      <c r="D2678" t="inlineStr">
        <is>
          <t>VÄSTERBOTTENS LÄN</t>
        </is>
      </c>
      <c r="E2678" t="inlineStr">
        <is>
          <t>SKELLEFTEÅ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2848-2024</t>
        </is>
      </c>
      <c r="B2679" s="1" t="n">
        <v>45315</v>
      </c>
      <c r="C2679" s="1" t="n">
        <v>45566</v>
      </c>
      <c r="D2679" t="inlineStr">
        <is>
          <t>VÄSTERBOTTENS LÄN</t>
        </is>
      </c>
      <c r="E2679" t="inlineStr">
        <is>
          <t>SKELLEFTEÅ</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2845-2024</t>
        </is>
      </c>
      <c r="B2680" s="1" t="n">
        <v>45315</v>
      </c>
      <c r="C2680" s="1" t="n">
        <v>45566</v>
      </c>
      <c r="D2680" t="inlineStr">
        <is>
          <t>VÄSTERBOTTENS LÄN</t>
        </is>
      </c>
      <c r="E2680" t="inlineStr">
        <is>
          <t>SKELLEFTEÅ</t>
        </is>
      </c>
      <c r="F2680" t="inlineStr">
        <is>
          <t>Sveaskog</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2955-2024</t>
        </is>
      </c>
      <c r="B2681" s="1" t="n">
        <v>45315</v>
      </c>
      <c r="C2681" s="1" t="n">
        <v>45566</v>
      </c>
      <c r="D2681" t="inlineStr">
        <is>
          <t>VÄSTERBOTTENS LÄN</t>
        </is>
      </c>
      <c r="E2681" t="inlineStr">
        <is>
          <t>SKELLEFTEÅ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2987-2024</t>
        </is>
      </c>
      <c r="B2682" s="1" t="n">
        <v>45315</v>
      </c>
      <c r="C2682" s="1" t="n">
        <v>45566</v>
      </c>
      <c r="D2682" t="inlineStr">
        <is>
          <t>VÄSTERBOTTENS LÄN</t>
        </is>
      </c>
      <c r="E2682" t="inlineStr">
        <is>
          <t>SKELLEFTEÅ</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2976-2024</t>
        </is>
      </c>
      <c r="B2683" s="1" t="n">
        <v>45315</v>
      </c>
      <c r="C2683" s="1" t="n">
        <v>45566</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3045-2024</t>
        </is>
      </c>
      <c r="B2684" s="1" t="n">
        <v>45316</v>
      </c>
      <c r="C2684" s="1" t="n">
        <v>45566</v>
      </c>
      <c r="D2684" t="inlineStr">
        <is>
          <t>VÄSTERBOTTENS LÄN</t>
        </is>
      </c>
      <c r="E2684" t="inlineStr">
        <is>
          <t>SKELLEFTEÅ</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3143-2024</t>
        </is>
      </c>
      <c r="B2685" s="1" t="n">
        <v>45316</v>
      </c>
      <c r="C2685" s="1" t="n">
        <v>45566</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3142-2024</t>
        </is>
      </c>
      <c r="B2686" s="1" t="n">
        <v>45316</v>
      </c>
      <c r="C2686" s="1" t="n">
        <v>45566</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3141-2024</t>
        </is>
      </c>
      <c r="B2687" s="1" t="n">
        <v>45316</v>
      </c>
      <c r="C2687" s="1" t="n">
        <v>45566</v>
      </c>
      <c r="D2687" t="inlineStr">
        <is>
          <t>VÄSTERBOTTENS LÄN</t>
        </is>
      </c>
      <c r="E2687" t="inlineStr">
        <is>
          <t>SKELLEFTEÅ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3358-2024</t>
        </is>
      </c>
      <c r="B2688" s="1" t="n">
        <v>45317</v>
      </c>
      <c r="C2688" s="1" t="n">
        <v>45566</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3445-2024</t>
        </is>
      </c>
      <c r="B2689" s="1" t="n">
        <v>45320</v>
      </c>
      <c r="C2689" s="1" t="n">
        <v>45566</v>
      </c>
      <c r="D2689" t="inlineStr">
        <is>
          <t>VÄSTERBOTTENS LÄN</t>
        </is>
      </c>
      <c r="E2689" t="inlineStr">
        <is>
          <t>SKELLEFTEÅ</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3451-2024</t>
        </is>
      </c>
      <c r="B2690" s="1" t="n">
        <v>45320</v>
      </c>
      <c r="C2690" s="1" t="n">
        <v>45566</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3465-2024</t>
        </is>
      </c>
      <c r="B2691" s="1" t="n">
        <v>45320</v>
      </c>
      <c r="C2691" s="1" t="n">
        <v>45566</v>
      </c>
      <c r="D2691" t="inlineStr">
        <is>
          <t>VÄSTERBOTTENS LÄN</t>
        </is>
      </c>
      <c r="E2691" t="inlineStr">
        <is>
          <t>SKELLEFTEÅ</t>
        </is>
      </c>
      <c r="G2691" t="n">
        <v>17.4</v>
      </c>
      <c r="H2691" t="n">
        <v>0</v>
      </c>
      <c r="I2691" t="n">
        <v>0</v>
      </c>
      <c r="J2691" t="n">
        <v>0</v>
      </c>
      <c r="K2691" t="n">
        <v>0</v>
      </c>
      <c r="L2691" t="n">
        <v>0</v>
      </c>
      <c r="M2691" t="n">
        <v>0</v>
      </c>
      <c r="N2691" t="n">
        <v>0</v>
      </c>
      <c r="O2691" t="n">
        <v>0</v>
      </c>
      <c r="P2691" t="n">
        <v>0</v>
      </c>
      <c r="Q2691" t="n">
        <v>0</v>
      </c>
      <c r="R2691" s="2" t="inlineStr"/>
    </row>
    <row r="2692" ht="15" customHeight="1">
      <c r="A2692" t="inlineStr">
        <is>
          <t>A 3571-2024</t>
        </is>
      </c>
      <c r="B2692" s="1" t="n">
        <v>45320</v>
      </c>
      <c r="C2692" s="1" t="n">
        <v>45566</v>
      </c>
      <c r="D2692" t="inlineStr">
        <is>
          <t>VÄSTERBOTTENS LÄN</t>
        </is>
      </c>
      <c r="E2692" t="inlineStr">
        <is>
          <t>SKELLEFTEÅ</t>
        </is>
      </c>
      <c r="F2692" t="inlineStr">
        <is>
          <t>Holmen skog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3453-2024</t>
        </is>
      </c>
      <c r="B2693" s="1" t="n">
        <v>45320</v>
      </c>
      <c r="C2693" s="1" t="n">
        <v>45566</v>
      </c>
      <c r="D2693" t="inlineStr">
        <is>
          <t>VÄSTERBOTTENS LÄN</t>
        </is>
      </c>
      <c r="E2693" t="inlineStr">
        <is>
          <t>SKELLEFTEÅ</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3458-2024</t>
        </is>
      </c>
      <c r="B2694" s="1" t="n">
        <v>45320</v>
      </c>
      <c r="C2694" s="1" t="n">
        <v>45566</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3611-2024</t>
        </is>
      </c>
      <c r="B2695" s="1" t="n">
        <v>45320</v>
      </c>
      <c r="C2695" s="1" t="n">
        <v>45566</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3947-2024</t>
        </is>
      </c>
      <c r="B2696" s="1" t="n">
        <v>45322</v>
      </c>
      <c r="C2696" s="1" t="n">
        <v>45566</v>
      </c>
      <c r="D2696" t="inlineStr">
        <is>
          <t>VÄSTERBOTTENS LÄN</t>
        </is>
      </c>
      <c r="E2696" t="inlineStr">
        <is>
          <t>SKELLEFTEÅ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3983-2024</t>
        </is>
      </c>
      <c r="B2697" s="1" t="n">
        <v>45322</v>
      </c>
      <c r="C2697" s="1" t="n">
        <v>45566</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3962-2024</t>
        </is>
      </c>
      <c r="B2698" s="1" t="n">
        <v>45322</v>
      </c>
      <c r="C2698" s="1" t="n">
        <v>45566</v>
      </c>
      <c r="D2698" t="inlineStr">
        <is>
          <t>VÄSTERBOTTENS LÄN</t>
        </is>
      </c>
      <c r="E2698" t="inlineStr">
        <is>
          <t>SKELLEFTEÅ</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4022-2024</t>
        </is>
      </c>
      <c r="B2699" s="1" t="n">
        <v>45323</v>
      </c>
      <c r="C2699" s="1" t="n">
        <v>45566</v>
      </c>
      <c r="D2699" t="inlineStr">
        <is>
          <t>VÄSTERBOTTENS LÄN</t>
        </is>
      </c>
      <c r="E2699" t="inlineStr">
        <is>
          <t>SKELLEFTEÅ</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4034-2024</t>
        </is>
      </c>
      <c r="B2700" s="1" t="n">
        <v>45323</v>
      </c>
      <c r="C2700" s="1" t="n">
        <v>45566</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4106-2024</t>
        </is>
      </c>
      <c r="B2701" s="1" t="n">
        <v>45323</v>
      </c>
      <c r="C2701" s="1" t="n">
        <v>45566</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4118-2024</t>
        </is>
      </c>
      <c r="B2702" s="1" t="n">
        <v>45323</v>
      </c>
      <c r="C2702" s="1" t="n">
        <v>45566</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4138-2024</t>
        </is>
      </c>
      <c r="B2703" s="1" t="n">
        <v>45323</v>
      </c>
      <c r="C2703" s="1" t="n">
        <v>45566</v>
      </c>
      <c r="D2703" t="inlineStr">
        <is>
          <t>VÄSTERBOTTENS LÄN</t>
        </is>
      </c>
      <c r="E2703" t="inlineStr">
        <is>
          <t>SKELLEFTEÅ</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4008-2024</t>
        </is>
      </c>
      <c r="B2704" s="1" t="n">
        <v>45323</v>
      </c>
      <c r="C2704" s="1" t="n">
        <v>45566</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4032-2024</t>
        </is>
      </c>
      <c r="B2705" s="1" t="n">
        <v>45323</v>
      </c>
      <c r="C2705" s="1" t="n">
        <v>45566</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4019-2024</t>
        </is>
      </c>
      <c r="B2706" s="1" t="n">
        <v>45323</v>
      </c>
      <c r="C2706" s="1" t="n">
        <v>45566</v>
      </c>
      <c r="D2706" t="inlineStr">
        <is>
          <t>VÄSTERBOTTENS LÄN</t>
        </is>
      </c>
      <c r="E2706" t="inlineStr">
        <is>
          <t>SKELLEFTEÅ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4084-2024</t>
        </is>
      </c>
      <c r="B2707" s="1" t="n">
        <v>45323</v>
      </c>
      <c r="C2707" s="1" t="n">
        <v>45566</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4124-2024</t>
        </is>
      </c>
      <c r="B2708" s="1" t="n">
        <v>45323</v>
      </c>
      <c r="C2708" s="1" t="n">
        <v>45566</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4292-2024</t>
        </is>
      </c>
      <c r="B2709" s="1" t="n">
        <v>45324</v>
      </c>
      <c r="C2709" s="1" t="n">
        <v>45566</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4617-2024</t>
        </is>
      </c>
      <c r="B2710" s="1" t="n">
        <v>45327</v>
      </c>
      <c r="C2710" s="1" t="n">
        <v>45566</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4656-2024</t>
        </is>
      </c>
      <c r="B2711" s="1" t="n">
        <v>45327</v>
      </c>
      <c r="C2711" s="1" t="n">
        <v>45566</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4777-2024</t>
        </is>
      </c>
      <c r="B2712" s="1" t="n">
        <v>45328</v>
      </c>
      <c r="C2712" s="1" t="n">
        <v>45566</v>
      </c>
      <c r="D2712" t="inlineStr">
        <is>
          <t>VÄSTERBOTTENS LÄN</t>
        </is>
      </c>
      <c r="E2712" t="inlineStr">
        <is>
          <t>SKELLEFTEÅ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4900-2024</t>
        </is>
      </c>
      <c r="B2713" s="1" t="n">
        <v>45329</v>
      </c>
      <c r="C2713" s="1" t="n">
        <v>45566</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5220-2024</t>
        </is>
      </c>
      <c r="B2714" s="1" t="n">
        <v>45330</v>
      </c>
      <c r="C2714" s="1" t="n">
        <v>45566</v>
      </c>
      <c r="D2714" t="inlineStr">
        <is>
          <t>VÄSTERBOTTENS LÄN</t>
        </is>
      </c>
      <c r="E2714" t="inlineStr">
        <is>
          <t>SKELLEFTEÅ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5236-2024</t>
        </is>
      </c>
      <c r="B2715" s="1" t="n">
        <v>45330</v>
      </c>
      <c r="C2715" s="1" t="n">
        <v>45566</v>
      </c>
      <c r="D2715" t="inlineStr">
        <is>
          <t>VÄSTERBOTTENS LÄN</t>
        </is>
      </c>
      <c r="E2715" t="inlineStr">
        <is>
          <t>SKELLEFTEÅ</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5252-2024</t>
        </is>
      </c>
      <c r="B2716" s="1" t="n">
        <v>45330</v>
      </c>
      <c r="C2716" s="1" t="n">
        <v>45566</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5239-2024</t>
        </is>
      </c>
      <c r="B2717" s="1" t="n">
        <v>45330</v>
      </c>
      <c r="C2717" s="1" t="n">
        <v>45566</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5237-2024</t>
        </is>
      </c>
      <c r="B2718" s="1" t="n">
        <v>45330</v>
      </c>
      <c r="C2718" s="1" t="n">
        <v>45566</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5603-2024</t>
        </is>
      </c>
      <c r="B2719" s="1" t="n">
        <v>45334</v>
      </c>
      <c r="C2719" s="1" t="n">
        <v>45566</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5636-2024</t>
        </is>
      </c>
      <c r="B2720" s="1" t="n">
        <v>45334</v>
      </c>
      <c r="C2720" s="1" t="n">
        <v>45566</v>
      </c>
      <c r="D2720" t="inlineStr">
        <is>
          <t>VÄSTERBOTTENS LÄN</t>
        </is>
      </c>
      <c r="E2720" t="inlineStr">
        <is>
          <t>SKELLEFTEÅ</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5660-2024</t>
        </is>
      </c>
      <c r="B2721" s="1" t="n">
        <v>45334</v>
      </c>
      <c r="C2721" s="1" t="n">
        <v>45566</v>
      </c>
      <c r="D2721" t="inlineStr">
        <is>
          <t>VÄSTERBOTTENS LÄN</t>
        </is>
      </c>
      <c r="E2721" t="inlineStr">
        <is>
          <t>SKELLEFTEÅ</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5639-2024</t>
        </is>
      </c>
      <c r="B2722" s="1" t="n">
        <v>45334</v>
      </c>
      <c r="C2722" s="1" t="n">
        <v>45566</v>
      </c>
      <c r="D2722" t="inlineStr">
        <is>
          <t>VÄSTERBOTTENS LÄN</t>
        </is>
      </c>
      <c r="E2722" t="inlineStr">
        <is>
          <t>SKELLEFTEÅ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5596-2024</t>
        </is>
      </c>
      <c r="B2723" s="1" t="n">
        <v>45334</v>
      </c>
      <c r="C2723" s="1" t="n">
        <v>45566</v>
      </c>
      <c r="D2723" t="inlineStr">
        <is>
          <t>VÄSTERBOTTENS LÄN</t>
        </is>
      </c>
      <c r="E2723" t="inlineStr">
        <is>
          <t>SKELLEFTEÅ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6018-2024</t>
        </is>
      </c>
      <c r="B2724" s="1" t="n">
        <v>45336</v>
      </c>
      <c r="C2724" s="1" t="n">
        <v>45566</v>
      </c>
      <c r="D2724" t="inlineStr">
        <is>
          <t>VÄSTERBOTTENS LÄN</t>
        </is>
      </c>
      <c r="E2724" t="inlineStr">
        <is>
          <t>SKELLEFTEÅ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6078-2024</t>
        </is>
      </c>
      <c r="B2725" s="1" t="n">
        <v>45336</v>
      </c>
      <c r="C2725" s="1" t="n">
        <v>45566</v>
      </c>
      <c r="D2725" t="inlineStr">
        <is>
          <t>VÄSTERBOTTENS LÄN</t>
        </is>
      </c>
      <c r="E2725" t="inlineStr">
        <is>
          <t>SKELLEFTEÅ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6244-2024</t>
        </is>
      </c>
      <c r="B2726" s="1" t="n">
        <v>45337</v>
      </c>
      <c r="C2726" s="1" t="n">
        <v>45566</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6398-2024</t>
        </is>
      </c>
      <c r="B2727" s="1" t="n">
        <v>45338</v>
      </c>
      <c r="C2727" s="1" t="n">
        <v>45566</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6420-2024</t>
        </is>
      </c>
      <c r="B2728" s="1" t="n">
        <v>45338</v>
      </c>
      <c r="C2728" s="1" t="n">
        <v>45566</v>
      </c>
      <c r="D2728" t="inlineStr">
        <is>
          <t>VÄSTERBOTTENS LÄN</t>
        </is>
      </c>
      <c r="E2728" t="inlineStr">
        <is>
          <t>SKELLEFTEÅ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6428-2024</t>
        </is>
      </c>
      <c r="B2729" s="1" t="n">
        <v>45338</v>
      </c>
      <c r="C2729" s="1" t="n">
        <v>45566</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6422-2024</t>
        </is>
      </c>
      <c r="B2730" s="1" t="n">
        <v>45338</v>
      </c>
      <c r="C2730" s="1" t="n">
        <v>45566</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6448-2024</t>
        </is>
      </c>
      <c r="B2731" s="1" t="n">
        <v>45338</v>
      </c>
      <c r="C2731" s="1" t="n">
        <v>45566</v>
      </c>
      <c r="D2731" t="inlineStr">
        <is>
          <t>VÄSTERBOTTENS LÄN</t>
        </is>
      </c>
      <c r="E2731" t="inlineStr">
        <is>
          <t>SKELLEFTEÅ</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6435-2024</t>
        </is>
      </c>
      <c r="B2732" s="1" t="n">
        <v>45338</v>
      </c>
      <c r="C2732" s="1" t="n">
        <v>45566</v>
      </c>
      <c r="D2732" t="inlineStr">
        <is>
          <t>VÄSTERBOTTENS LÄN</t>
        </is>
      </c>
      <c r="E2732" t="inlineStr">
        <is>
          <t>SKELLEFTEÅ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6710-2024</t>
        </is>
      </c>
      <c r="B2733" s="1" t="n">
        <v>45341</v>
      </c>
      <c r="C2733" s="1" t="n">
        <v>45566</v>
      </c>
      <c r="D2733" t="inlineStr">
        <is>
          <t>VÄSTERBOTTENS LÄN</t>
        </is>
      </c>
      <c r="E2733" t="inlineStr">
        <is>
          <t>SKELLEFTEÅ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6723-2024</t>
        </is>
      </c>
      <c r="B2734" s="1" t="n">
        <v>45342</v>
      </c>
      <c r="C2734" s="1" t="n">
        <v>45566</v>
      </c>
      <c r="D2734" t="inlineStr">
        <is>
          <t>VÄSTERBOTTENS LÄN</t>
        </is>
      </c>
      <c r="E2734" t="inlineStr">
        <is>
          <t>SKELLEFTEÅ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6720-2024</t>
        </is>
      </c>
      <c r="B2735" s="1" t="n">
        <v>45342</v>
      </c>
      <c r="C2735" s="1" t="n">
        <v>45566</v>
      </c>
      <c r="D2735" t="inlineStr">
        <is>
          <t>VÄSTERBOTTENS LÄN</t>
        </is>
      </c>
      <c r="E2735" t="inlineStr">
        <is>
          <t>SKELLEFTEÅ</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6704-2024</t>
        </is>
      </c>
      <c r="B2736" s="1" t="n">
        <v>45342</v>
      </c>
      <c r="C2736" s="1" t="n">
        <v>45566</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6931-2024</t>
        </is>
      </c>
      <c r="B2737" s="1" t="n">
        <v>45343</v>
      </c>
      <c r="C2737" s="1" t="n">
        <v>45566</v>
      </c>
      <c r="D2737" t="inlineStr">
        <is>
          <t>VÄSTERBOTTENS LÄN</t>
        </is>
      </c>
      <c r="E2737" t="inlineStr">
        <is>
          <t>SKELLEFTEÅ</t>
        </is>
      </c>
      <c r="F2737" t="inlineStr">
        <is>
          <t>Holmen skog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7225-2024</t>
        </is>
      </c>
      <c r="B2738" s="1" t="n">
        <v>45344</v>
      </c>
      <c r="C2738" s="1" t="n">
        <v>45566</v>
      </c>
      <c r="D2738" t="inlineStr">
        <is>
          <t>VÄSTERBOTTENS LÄN</t>
        </is>
      </c>
      <c r="E2738" t="inlineStr">
        <is>
          <t>SKELLEFTEÅ</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7255-2024</t>
        </is>
      </c>
      <c r="B2739" s="1" t="n">
        <v>45344</v>
      </c>
      <c r="C2739" s="1" t="n">
        <v>45566</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7256-2024</t>
        </is>
      </c>
      <c r="B2740" s="1" t="n">
        <v>45344</v>
      </c>
      <c r="C2740" s="1" t="n">
        <v>45566</v>
      </c>
      <c r="D2740" t="inlineStr">
        <is>
          <t>VÄSTERBOTTENS LÄN</t>
        </is>
      </c>
      <c r="E2740" t="inlineStr">
        <is>
          <t>SKELLEFTEÅ</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7668-2024</t>
        </is>
      </c>
      <c r="B2741" s="1" t="n">
        <v>45348</v>
      </c>
      <c r="C2741" s="1" t="n">
        <v>45566</v>
      </c>
      <c r="D2741" t="inlineStr">
        <is>
          <t>VÄSTERBOTTENS LÄN</t>
        </is>
      </c>
      <c r="E2741" t="inlineStr">
        <is>
          <t>SKELLEFTEÅ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7742-2024</t>
        </is>
      </c>
      <c r="B2742" s="1" t="n">
        <v>45348</v>
      </c>
      <c r="C2742" s="1" t="n">
        <v>45566</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7767-2024</t>
        </is>
      </c>
      <c r="B2743" s="1" t="n">
        <v>45348</v>
      </c>
      <c r="C2743" s="1" t="n">
        <v>45566</v>
      </c>
      <c r="D2743" t="inlineStr">
        <is>
          <t>VÄSTERBOTTENS LÄN</t>
        </is>
      </c>
      <c r="E2743" t="inlineStr">
        <is>
          <t>SKELLEFTEÅ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7766-2024</t>
        </is>
      </c>
      <c r="B2744" s="1" t="n">
        <v>45348</v>
      </c>
      <c r="C2744" s="1" t="n">
        <v>45566</v>
      </c>
      <c r="D2744" t="inlineStr">
        <is>
          <t>VÄSTERBOTTENS LÄN</t>
        </is>
      </c>
      <c r="E2744" t="inlineStr">
        <is>
          <t>SKELLEFTEÅ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7745-2024</t>
        </is>
      </c>
      <c r="B2745" s="1" t="n">
        <v>45348</v>
      </c>
      <c r="C2745" s="1" t="n">
        <v>45566</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7800-2024</t>
        </is>
      </c>
      <c r="B2746" s="1" t="n">
        <v>45348</v>
      </c>
      <c r="C2746" s="1" t="n">
        <v>45566</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7832-2024</t>
        </is>
      </c>
      <c r="B2747" s="1" t="n">
        <v>45349</v>
      </c>
      <c r="C2747" s="1" t="n">
        <v>45566</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7872-2024</t>
        </is>
      </c>
      <c r="B2748" s="1" t="n">
        <v>45349</v>
      </c>
      <c r="C2748" s="1" t="n">
        <v>45566</v>
      </c>
      <c r="D2748" t="inlineStr">
        <is>
          <t>VÄSTERBOTTENS LÄN</t>
        </is>
      </c>
      <c r="E2748" t="inlineStr">
        <is>
          <t>SKELLEFTEÅ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7831-2024</t>
        </is>
      </c>
      <c r="B2749" s="1" t="n">
        <v>45349</v>
      </c>
      <c r="C2749" s="1" t="n">
        <v>45566</v>
      </c>
      <c r="D2749" t="inlineStr">
        <is>
          <t>VÄSTERBOTTENS LÄN</t>
        </is>
      </c>
      <c r="E2749" t="inlineStr">
        <is>
          <t>SKELLEFTEÅ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7884-2024</t>
        </is>
      </c>
      <c r="B2750" s="1" t="n">
        <v>45349</v>
      </c>
      <c r="C2750" s="1" t="n">
        <v>45566</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7943-2024</t>
        </is>
      </c>
      <c r="B2751" s="1" t="n">
        <v>45350</v>
      </c>
      <c r="C2751" s="1" t="n">
        <v>45566</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8532-2024</t>
        </is>
      </c>
      <c r="B2752" s="1" t="n">
        <v>45351</v>
      </c>
      <c r="C2752" s="1" t="n">
        <v>45566</v>
      </c>
      <c r="D2752" t="inlineStr">
        <is>
          <t>VÄSTERBOTTENS LÄN</t>
        </is>
      </c>
      <c r="E2752" t="inlineStr">
        <is>
          <t>SKELLEFTEÅ</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8082-2024</t>
        </is>
      </c>
      <c r="B2753" s="1" t="n">
        <v>45351</v>
      </c>
      <c r="C2753" s="1" t="n">
        <v>45566</v>
      </c>
      <c r="D2753" t="inlineStr">
        <is>
          <t>VÄSTERBOTTENS LÄN</t>
        </is>
      </c>
      <c r="E2753" t="inlineStr">
        <is>
          <t>SKELLEFTEÅ</t>
        </is>
      </c>
      <c r="G2753" t="n">
        <v>18.9</v>
      </c>
      <c r="H2753" t="n">
        <v>0</v>
      </c>
      <c r="I2753" t="n">
        <v>0</v>
      </c>
      <c r="J2753" t="n">
        <v>0</v>
      </c>
      <c r="K2753" t="n">
        <v>0</v>
      </c>
      <c r="L2753" t="n">
        <v>0</v>
      </c>
      <c r="M2753" t="n">
        <v>0</v>
      </c>
      <c r="N2753" t="n">
        <v>0</v>
      </c>
      <c r="O2753" t="n">
        <v>0</v>
      </c>
      <c r="P2753" t="n">
        <v>0</v>
      </c>
      <c r="Q2753" t="n">
        <v>0</v>
      </c>
      <c r="R2753" s="2" t="inlineStr"/>
    </row>
    <row r="2754" ht="15" customHeight="1">
      <c r="A2754" t="inlineStr">
        <is>
          <t>A 8341-2024</t>
        </is>
      </c>
      <c r="B2754" s="1" t="n">
        <v>45351</v>
      </c>
      <c r="C2754" s="1" t="n">
        <v>45566</v>
      </c>
      <c r="D2754" t="inlineStr">
        <is>
          <t>VÄSTERBOTTENS LÄN</t>
        </is>
      </c>
      <c r="E2754" t="inlineStr">
        <is>
          <t>SKELLEFTEÅ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8569-2024</t>
        </is>
      </c>
      <c r="B2755" s="1" t="n">
        <v>45351</v>
      </c>
      <c r="C2755" s="1" t="n">
        <v>45566</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8566-2024</t>
        </is>
      </c>
      <c r="B2756" s="1" t="n">
        <v>45355</v>
      </c>
      <c r="C2756" s="1" t="n">
        <v>45566</v>
      </c>
      <c r="D2756" t="inlineStr">
        <is>
          <t>VÄSTERBOTTENS LÄN</t>
        </is>
      </c>
      <c r="E2756" t="inlineStr">
        <is>
          <t>SKELLEFTEÅ</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8920-2024</t>
        </is>
      </c>
      <c r="B2757" s="1" t="n">
        <v>45357</v>
      </c>
      <c r="C2757" s="1" t="n">
        <v>45566</v>
      </c>
      <c r="D2757" t="inlineStr">
        <is>
          <t>VÄSTERBOTTENS LÄN</t>
        </is>
      </c>
      <c r="E2757" t="inlineStr">
        <is>
          <t>SKELLEFTEÅ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8927-2024</t>
        </is>
      </c>
      <c r="B2758" s="1" t="n">
        <v>45357</v>
      </c>
      <c r="C2758" s="1" t="n">
        <v>45566</v>
      </c>
      <c r="D2758" t="inlineStr">
        <is>
          <t>VÄSTERBOTTENS LÄN</t>
        </is>
      </c>
      <c r="E2758" t="inlineStr">
        <is>
          <t>SKELLEFTEÅ</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8924-2024</t>
        </is>
      </c>
      <c r="B2759" s="1" t="n">
        <v>45357</v>
      </c>
      <c r="C2759" s="1" t="n">
        <v>45566</v>
      </c>
      <c r="D2759" t="inlineStr">
        <is>
          <t>VÄSTERBOTTENS LÄN</t>
        </is>
      </c>
      <c r="E2759" t="inlineStr">
        <is>
          <t>SKELLEFTEÅ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8928-2024</t>
        </is>
      </c>
      <c r="B2760" s="1" t="n">
        <v>45357</v>
      </c>
      <c r="C2760" s="1" t="n">
        <v>45566</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8932-2024</t>
        </is>
      </c>
      <c r="B2761" s="1" t="n">
        <v>45357</v>
      </c>
      <c r="C2761" s="1" t="n">
        <v>45566</v>
      </c>
      <c r="D2761" t="inlineStr">
        <is>
          <t>VÄSTERBOTTENS LÄN</t>
        </is>
      </c>
      <c r="E2761" t="inlineStr">
        <is>
          <t>SKELLEFTEÅ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8919-2024</t>
        </is>
      </c>
      <c r="B2762" s="1" t="n">
        <v>45357</v>
      </c>
      <c r="C2762" s="1" t="n">
        <v>45566</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45566</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9228-2024</t>
        </is>
      </c>
      <c r="B2764" s="1" t="n">
        <v>45358</v>
      </c>
      <c r="C2764" s="1" t="n">
        <v>45566</v>
      </c>
      <c r="D2764" t="inlineStr">
        <is>
          <t>VÄSTERBOTTENS LÄN</t>
        </is>
      </c>
      <c r="E2764" t="inlineStr">
        <is>
          <t>SKELLEFTEÅ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9207-2024</t>
        </is>
      </c>
      <c r="B2765" s="1" t="n">
        <v>45358</v>
      </c>
      <c r="C2765" s="1" t="n">
        <v>45566</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9466-2024</t>
        </is>
      </c>
      <c r="B2766" s="1" t="n">
        <v>45359</v>
      </c>
      <c r="C2766" s="1" t="n">
        <v>45566</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9364-2024</t>
        </is>
      </c>
      <c r="B2767" s="1" t="n">
        <v>45359</v>
      </c>
      <c r="C2767" s="1" t="n">
        <v>45566</v>
      </c>
      <c r="D2767" t="inlineStr">
        <is>
          <t>VÄSTERBOTTENS LÄN</t>
        </is>
      </c>
      <c r="E2767" t="inlineStr">
        <is>
          <t>SKELLEFTEÅ</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9425-2024</t>
        </is>
      </c>
      <c r="B2768" s="1" t="n">
        <v>45359</v>
      </c>
      <c r="C2768" s="1" t="n">
        <v>45566</v>
      </c>
      <c r="D2768" t="inlineStr">
        <is>
          <t>VÄSTERBOTTENS LÄN</t>
        </is>
      </c>
      <c r="E2768" t="inlineStr">
        <is>
          <t>SKELLEFTEÅ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9465-2024</t>
        </is>
      </c>
      <c r="B2769" s="1" t="n">
        <v>45359</v>
      </c>
      <c r="C2769" s="1" t="n">
        <v>45566</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9470-2024</t>
        </is>
      </c>
      <c r="B2770" s="1" t="n">
        <v>45359</v>
      </c>
      <c r="C2770" s="1" t="n">
        <v>45566</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9717-2024</t>
        </is>
      </c>
      <c r="B2771" s="1" t="n">
        <v>45362</v>
      </c>
      <c r="C2771" s="1" t="n">
        <v>45566</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9711-2024</t>
        </is>
      </c>
      <c r="B2772" s="1" t="n">
        <v>45362</v>
      </c>
      <c r="C2772" s="1" t="n">
        <v>45566</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9807-2024</t>
        </is>
      </c>
      <c r="B2773" s="1" t="n">
        <v>45362</v>
      </c>
      <c r="C2773" s="1" t="n">
        <v>45566</v>
      </c>
      <c r="D2773" t="inlineStr">
        <is>
          <t>VÄSTERBOTTENS LÄN</t>
        </is>
      </c>
      <c r="E2773" t="inlineStr">
        <is>
          <t>SKELLEFTEÅ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9897-2024</t>
        </is>
      </c>
      <c r="B2774" s="1" t="n">
        <v>45363</v>
      </c>
      <c r="C2774" s="1" t="n">
        <v>45566</v>
      </c>
      <c r="D2774" t="inlineStr">
        <is>
          <t>VÄSTERBOTTENS LÄN</t>
        </is>
      </c>
      <c r="E2774" t="inlineStr">
        <is>
          <t>SKELLEFTEÅ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9983-2024</t>
        </is>
      </c>
      <c r="B2775" s="1" t="n">
        <v>45363</v>
      </c>
      <c r="C2775" s="1" t="n">
        <v>45566</v>
      </c>
      <c r="D2775" t="inlineStr">
        <is>
          <t>VÄSTERBOTTENS LÄN</t>
        </is>
      </c>
      <c r="E2775" t="inlineStr">
        <is>
          <t>SKELLEFTEÅ</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10340-2024</t>
        </is>
      </c>
      <c r="B2776" s="1" t="n">
        <v>45365</v>
      </c>
      <c r="C2776" s="1" t="n">
        <v>45566</v>
      </c>
      <c r="D2776" t="inlineStr">
        <is>
          <t>VÄSTERBOTTENS LÄN</t>
        </is>
      </c>
      <c r="E2776" t="inlineStr">
        <is>
          <t>SKELLEFTEÅ</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10250-2024</t>
        </is>
      </c>
      <c r="B2777" s="1" t="n">
        <v>45365</v>
      </c>
      <c r="C2777" s="1" t="n">
        <v>45566</v>
      </c>
      <c r="D2777" t="inlineStr">
        <is>
          <t>VÄSTERBOTTENS LÄN</t>
        </is>
      </c>
      <c r="E2777" t="inlineStr">
        <is>
          <t>SKELLEFTEÅ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10343-2024</t>
        </is>
      </c>
      <c r="B2778" s="1" t="n">
        <v>45365</v>
      </c>
      <c r="C2778" s="1" t="n">
        <v>45566</v>
      </c>
      <c r="D2778" t="inlineStr">
        <is>
          <t>VÄSTERBOTTENS LÄN</t>
        </is>
      </c>
      <c r="E2778" t="inlineStr">
        <is>
          <t>SKELLEFTEÅ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10604-2024</t>
        </is>
      </c>
      <c r="B2779" s="1" t="n">
        <v>45366</v>
      </c>
      <c r="C2779" s="1" t="n">
        <v>45566</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10655-2024</t>
        </is>
      </c>
      <c r="B2780" s="1" t="n">
        <v>45368</v>
      </c>
      <c r="C2780" s="1" t="n">
        <v>45566</v>
      </c>
      <c r="D2780" t="inlineStr">
        <is>
          <t>VÄSTERBOTTENS LÄN</t>
        </is>
      </c>
      <c r="E2780" t="inlineStr">
        <is>
          <t>SKELLEFTEÅ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10719-2024</t>
        </is>
      </c>
      <c r="B2781" s="1" t="n">
        <v>45369</v>
      </c>
      <c r="C2781" s="1" t="n">
        <v>45566</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10825-2024</t>
        </is>
      </c>
      <c r="B2782" s="1" t="n">
        <v>45369</v>
      </c>
      <c r="C2782" s="1" t="n">
        <v>45566</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10693-2024</t>
        </is>
      </c>
      <c r="B2783" s="1" t="n">
        <v>45369</v>
      </c>
      <c r="C2783" s="1" t="n">
        <v>45566</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10659-2024</t>
        </is>
      </c>
      <c r="B2784" s="1" t="n">
        <v>45369</v>
      </c>
      <c r="C2784" s="1" t="n">
        <v>45566</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10879-2024</t>
        </is>
      </c>
      <c r="B2785" s="1" t="n">
        <v>45370</v>
      </c>
      <c r="C2785" s="1" t="n">
        <v>45566</v>
      </c>
      <c r="D2785" t="inlineStr">
        <is>
          <t>VÄSTERBOTTENS LÄN</t>
        </is>
      </c>
      <c r="E2785" t="inlineStr">
        <is>
          <t>SKELLEFTEÅ</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10883-2024</t>
        </is>
      </c>
      <c r="B2786" s="1" t="n">
        <v>45370</v>
      </c>
      <c r="C2786" s="1" t="n">
        <v>45566</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10893-2024</t>
        </is>
      </c>
      <c r="B2787" s="1" t="n">
        <v>45370</v>
      </c>
      <c r="C2787" s="1" t="n">
        <v>45566</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10886-2024</t>
        </is>
      </c>
      <c r="B2788" s="1" t="n">
        <v>45370</v>
      </c>
      <c r="C2788" s="1" t="n">
        <v>45566</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10892-2024</t>
        </is>
      </c>
      <c r="B2789" s="1" t="n">
        <v>45370</v>
      </c>
      <c r="C2789" s="1" t="n">
        <v>45566</v>
      </c>
      <c r="D2789" t="inlineStr">
        <is>
          <t>VÄSTERBOTTENS LÄN</t>
        </is>
      </c>
      <c r="E2789" t="inlineStr">
        <is>
          <t>SKELLEFTEÅ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10900-2024</t>
        </is>
      </c>
      <c r="B2790" s="1" t="n">
        <v>45370</v>
      </c>
      <c r="C2790" s="1" t="n">
        <v>45566</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11027-2024</t>
        </is>
      </c>
      <c r="B2791" s="1" t="n">
        <v>45370</v>
      </c>
      <c r="C2791" s="1" t="n">
        <v>45566</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11025-2024</t>
        </is>
      </c>
      <c r="B2792" s="1" t="n">
        <v>45370</v>
      </c>
      <c r="C2792" s="1" t="n">
        <v>45566</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11082-2024</t>
        </is>
      </c>
      <c r="B2793" s="1" t="n">
        <v>45370</v>
      </c>
      <c r="C2793" s="1" t="n">
        <v>45566</v>
      </c>
      <c r="D2793" t="inlineStr">
        <is>
          <t>VÄSTERBOTTENS LÄN</t>
        </is>
      </c>
      <c r="E2793" t="inlineStr">
        <is>
          <t>SKELLEFTEÅ</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11078-2024</t>
        </is>
      </c>
      <c r="B2794" s="1" t="n">
        <v>45370</v>
      </c>
      <c r="C2794" s="1" t="n">
        <v>45566</v>
      </c>
      <c r="D2794" t="inlineStr">
        <is>
          <t>VÄSTERBOTTENS LÄN</t>
        </is>
      </c>
      <c r="E2794" t="inlineStr">
        <is>
          <t>SKELLEFTEÅ</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10911-2024</t>
        </is>
      </c>
      <c r="B2795" s="1" t="n">
        <v>45370</v>
      </c>
      <c r="C2795" s="1" t="n">
        <v>45566</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11079-2024</t>
        </is>
      </c>
      <c r="B2796" s="1" t="n">
        <v>45370</v>
      </c>
      <c r="C2796" s="1" t="n">
        <v>45566</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11081-2024</t>
        </is>
      </c>
      <c r="B2797" s="1" t="n">
        <v>45370</v>
      </c>
      <c r="C2797" s="1" t="n">
        <v>45566</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11076-2024</t>
        </is>
      </c>
      <c r="B2798" s="1" t="n">
        <v>45370</v>
      </c>
      <c r="C2798" s="1" t="n">
        <v>45566</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11077-2024</t>
        </is>
      </c>
      <c r="B2799" s="1" t="n">
        <v>45370</v>
      </c>
      <c r="C2799" s="1" t="n">
        <v>45566</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11130-2024</t>
        </is>
      </c>
      <c r="B2800" s="1" t="n">
        <v>45371</v>
      </c>
      <c r="C2800" s="1" t="n">
        <v>45566</v>
      </c>
      <c r="D2800" t="inlineStr">
        <is>
          <t>VÄSTERBOTTENS LÄN</t>
        </is>
      </c>
      <c r="E2800" t="inlineStr">
        <is>
          <t>SKELLEFTEÅ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11313-2024</t>
        </is>
      </c>
      <c r="B2801" s="1" t="n">
        <v>45371</v>
      </c>
      <c r="C2801" s="1" t="n">
        <v>45566</v>
      </c>
      <c r="D2801" t="inlineStr">
        <is>
          <t>VÄSTERBOTTENS LÄN</t>
        </is>
      </c>
      <c r="E2801" t="inlineStr">
        <is>
          <t>SKELLEFTEÅ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11490-2024</t>
        </is>
      </c>
      <c r="B2802" s="1" t="n">
        <v>45372</v>
      </c>
      <c r="C2802" s="1" t="n">
        <v>45566</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11527-2024</t>
        </is>
      </c>
      <c r="B2803" s="1" t="n">
        <v>45372</v>
      </c>
      <c r="C2803" s="1" t="n">
        <v>45566</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11528-2024</t>
        </is>
      </c>
      <c r="B2804" s="1" t="n">
        <v>45372</v>
      </c>
      <c r="C2804" s="1" t="n">
        <v>45566</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11526-2024</t>
        </is>
      </c>
      <c r="B2805" s="1" t="n">
        <v>45372</v>
      </c>
      <c r="C2805" s="1" t="n">
        <v>45566</v>
      </c>
      <c r="D2805" t="inlineStr">
        <is>
          <t>VÄSTERBOTTENS LÄN</t>
        </is>
      </c>
      <c r="E2805" t="inlineStr">
        <is>
          <t>SKELLEFTEÅ</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11525-2024</t>
        </is>
      </c>
      <c r="B2806" s="1" t="n">
        <v>45372</v>
      </c>
      <c r="C2806" s="1" t="n">
        <v>45566</v>
      </c>
      <c r="D2806" t="inlineStr">
        <is>
          <t>VÄSTERBOTTENS LÄN</t>
        </is>
      </c>
      <c r="E2806" t="inlineStr">
        <is>
          <t>SKELLEFTEÅ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11529-2024</t>
        </is>
      </c>
      <c r="B2807" s="1" t="n">
        <v>45372</v>
      </c>
      <c r="C2807" s="1" t="n">
        <v>45566</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11875-2024</t>
        </is>
      </c>
      <c r="B2808" s="1" t="n">
        <v>45376</v>
      </c>
      <c r="C2808" s="1" t="n">
        <v>45566</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12073-2024</t>
        </is>
      </c>
      <c r="B2809" s="1" t="n">
        <v>45376</v>
      </c>
      <c r="C2809" s="1" t="n">
        <v>45566</v>
      </c>
      <c r="D2809" t="inlineStr">
        <is>
          <t>VÄSTERBOTTENS LÄN</t>
        </is>
      </c>
      <c r="E2809" t="inlineStr">
        <is>
          <t>SKELLEFTEÅ</t>
        </is>
      </c>
      <c r="G2809" t="n">
        <v>41.5</v>
      </c>
      <c r="H2809" t="n">
        <v>0</v>
      </c>
      <c r="I2809" t="n">
        <v>0</v>
      </c>
      <c r="J2809" t="n">
        <v>0</v>
      </c>
      <c r="K2809" t="n">
        <v>0</v>
      </c>
      <c r="L2809" t="n">
        <v>0</v>
      </c>
      <c r="M2809" t="n">
        <v>0</v>
      </c>
      <c r="N2809" t="n">
        <v>0</v>
      </c>
      <c r="O2809" t="n">
        <v>0</v>
      </c>
      <c r="P2809" t="n">
        <v>0</v>
      </c>
      <c r="Q2809" t="n">
        <v>0</v>
      </c>
      <c r="R2809" s="2" t="inlineStr"/>
    </row>
    <row r="2810" ht="15" customHeight="1">
      <c r="A2810" t="inlineStr">
        <is>
          <t>A 12112-2024</t>
        </is>
      </c>
      <c r="B2810" s="1" t="n">
        <v>45376</v>
      </c>
      <c r="C2810" s="1" t="n">
        <v>45566</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12007-2024</t>
        </is>
      </c>
      <c r="B2811" s="1" t="n">
        <v>45377</v>
      </c>
      <c r="C2811" s="1" t="n">
        <v>45566</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12045-2024</t>
        </is>
      </c>
      <c r="B2812" s="1" t="n">
        <v>45377</v>
      </c>
      <c r="C2812" s="1" t="n">
        <v>45566</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12004-2024</t>
        </is>
      </c>
      <c r="B2813" s="1" t="n">
        <v>45377</v>
      </c>
      <c r="C2813" s="1" t="n">
        <v>45566</v>
      </c>
      <c r="D2813" t="inlineStr">
        <is>
          <t>VÄSTERBOTTENS LÄN</t>
        </is>
      </c>
      <c r="E2813" t="inlineStr">
        <is>
          <t>SKELLEFTEÅ</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12537-2024</t>
        </is>
      </c>
      <c r="B2814" s="1" t="n">
        <v>45379</v>
      </c>
      <c r="C2814" s="1" t="n">
        <v>45566</v>
      </c>
      <c r="D2814" t="inlineStr">
        <is>
          <t>VÄSTERBOTTENS LÄN</t>
        </is>
      </c>
      <c r="E2814" t="inlineStr">
        <is>
          <t>SKELLEFTEÅ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12515-2024</t>
        </is>
      </c>
      <c r="B2815" s="1" t="n">
        <v>45379</v>
      </c>
      <c r="C2815" s="1" t="n">
        <v>45566</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12763-2024</t>
        </is>
      </c>
      <c r="B2816" s="1" t="n">
        <v>45384</v>
      </c>
      <c r="C2816" s="1" t="n">
        <v>45566</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12771-2024</t>
        </is>
      </c>
      <c r="B2817" s="1" t="n">
        <v>45384</v>
      </c>
      <c r="C2817" s="1" t="n">
        <v>45566</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12804-2024</t>
        </is>
      </c>
      <c r="B2818" s="1" t="n">
        <v>45384</v>
      </c>
      <c r="C2818" s="1" t="n">
        <v>45566</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12798-2024</t>
        </is>
      </c>
      <c r="B2819" s="1" t="n">
        <v>45384</v>
      </c>
      <c r="C2819" s="1" t="n">
        <v>45566</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12759-2024</t>
        </is>
      </c>
      <c r="B2820" s="1" t="n">
        <v>45384</v>
      </c>
      <c r="C2820" s="1" t="n">
        <v>45566</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12772-2024</t>
        </is>
      </c>
      <c r="B2821" s="1" t="n">
        <v>45384</v>
      </c>
      <c r="C2821" s="1" t="n">
        <v>45566</v>
      </c>
      <c r="D2821" t="inlineStr">
        <is>
          <t>VÄSTERBOTTENS LÄN</t>
        </is>
      </c>
      <c r="E2821" t="inlineStr">
        <is>
          <t>SKELLEFTEÅ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12801-2024</t>
        </is>
      </c>
      <c r="B2822" s="1" t="n">
        <v>45384</v>
      </c>
      <c r="C2822" s="1" t="n">
        <v>45566</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13270-2024</t>
        </is>
      </c>
      <c r="B2823" s="1" t="n">
        <v>45386</v>
      </c>
      <c r="C2823" s="1" t="n">
        <v>45566</v>
      </c>
      <c r="D2823" t="inlineStr">
        <is>
          <t>VÄSTERBOTTENS LÄN</t>
        </is>
      </c>
      <c r="E2823" t="inlineStr">
        <is>
          <t>SKELLEFTEÅ</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13267-2024</t>
        </is>
      </c>
      <c r="B2824" s="1" t="n">
        <v>45386</v>
      </c>
      <c r="C2824" s="1" t="n">
        <v>45566</v>
      </c>
      <c r="D2824" t="inlineStr">
        <is>
          <t>VÄSTERBOTTENS LÄN</t>
        </is>
      </c>
      <c r="E2824" t="inlineStr">
        <is>
          <t>SKELLEFTEÅ</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13257-2024</t>
        </is>
      </c>
      <c r="B2825" s="1" t="n">
        <v>45386</v>
      </c>
      <c r="C2825" s="1" t="n">
        <v>45566</v>
      </c>
      <c r="D2825" t="inlineStr">
        <is>
          <t>VÄSTERBOTTENS LÄN</t>
        </is>
      </c>
      <c r="E2825" t="inlineStr">
        <is>
          <t>SKELLEFTEÅ</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13298-2024</t>
        </is>
      </c>
      <c r="B2826" s="1" t="n">
        <v>45386</v>
      </c>
      <c r="C2826" s="1" t="n">
        <v>45566</v>
      </c>
      <c r="D2826" t="inlineStr">
        <is>
          <t>VÄSTERBOTTENS LÄN</t>
        </is>
      </c>
      <c r="E2826" t="inlineStr">
        <is>
          <t>SKELLEFTEÅ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13330-2024</t>
        </is>
      </c>
      <c r="B2827" s="1" t="n">
        <v>45386</v>
      </c>
      <c r="C2827" s="1" t="n">
        <v>45566</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13920-2024</t>
        </is>
      </c>
      <c r="B2828" s="1" t="n">
        <v>45391</v>
      </c>
      <c r="C2828" s="1" t="n">
        <v>45566</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14227-2024</t>
        </is>
      </c>
      <c r="B2829" s="1" t="n">
        <v>45393</v>
      </c>
      <c r="C2829" s="1" t="n">
        <v>45566</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14232-2024</t>
        </is>
      </c>
      <c r="B2830" s="1" t="n">
        <v>45393</v>
      </c>
      <c r="C2830" s="1" t="n">
        <v>45566</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14342-2024</t>
        </is>
      </c>
      <c r="B2831" s="1" t="n">
        <v>45393</v>
      </c>
      <c r="C2831" s="1" t="n">
        <v>45566</v>
      </c>
      <c r="D2831" t="inlineStr">
        <is>
          <t>VÄSTERBOTTENS LÄN</t>
        </is>
      </c>
      <c r="E2831" t="inlineStr">
        <is>
          <t>SKELLEFTEÅ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14653-2024</t>
        </is>
      </c>
      <c r="B2832" s="1" t="n">
        <v>45397</v>
      </c>
      <c r="C2832" s="1" t="n">
        <v>45566</v>
      </c>
      <c r="D2832" t="inlineStr">
        <is>
          <t>VÄSTERBOTTENS LÄN</t>
        </is>
      </c>
      <c r="E2832" t="inlineStr">
        <is>
          <t>SKELLEFTEÅ</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14663-2024</t>
        </is>
      </c>
      <c r="B2833" s="1" t="n">
        <v>45397</v>
      </c>
      <c r="C2833" s="1" t="n">
        <v>45566</v>
      </c>
      <c r="D2833" t="inlineStr">
        <is>
          <t>VÄSTERBOTTENS LÄN</t>
        </is>
      </c>
      <c r="E2833" t="inlineStr">
        <is>
          <t>SKELLEFTEÅ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14650-2024</t>
        </is>
      </c>
      <c r="B2834" s="1" t="n">
        <v>45397</v>
      </c>
      <c r="C2834" s="1" t="n">
        <v>45566</v>
      </c>
      <c r="D2834" t="inlineStr">
        <is>
          <t>VÄSTERBOTTENS LÄN</t>
        </is>
      </c>
      <c r="E2834" t="inlineStr">
        <is>
          <t>SKELLEFTEÅ</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14962-2024</t>
        </is>
      </c>
      <c r="B2835" s="1" t="n">
        <v>45399</v>
      </c>
      <c r="C2835" s="1" t="n">
        <v>45566</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14963-2024</t>
        </is>
      </c>
      <c r="B2836" s="1" t="n">
        <v>45398</v>
      </c>
      <c r="C2836" s="1" t="n">
        <v>45566</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15137-2024</t>
        </is>
      </c>
      <c r="B2837" s="1" t="n">
        <v>45399</v>
      </c>
      <c r="C2837" s="1" t="n">
        <v>45566</v>
      </c>
      <c r="D2837" t="inlineStr">
        <is>
          <t>VÄSTERBOTTENS LÄN</t>
        </is>
      </c>
      <c r="E2837" t="inlineStr">
        <is>
          <t>SKELLEFTEÅ</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15136-2024</t>
        </is>
      </c>
      <c r="B2838" s="1" t="n">
        <v>45399</v>
      </c>
      <c r="C2838" s="1" t="n">
        <v>45566</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15424-2024</t>
        </is>
      </c>
      <c r="B2839" s="1" t="n">
        <v>45400</v>
      </c>
      <c r="C2839" s="1" t="n">
        <v>45566</v>
      </c>
      <c r="D2839" t="inlineStr">
        <is>
          <t>VÄSTERBOTTENS LÄN</t>
        </is>
      </c>
      <c r="E2839" t="inlineStr">
        <is>
          <t>SKELLEFTEÅ</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15467-2024</t>
        </is>
      </c>
      <c r="B2840" s="1" t="n">
        <v>45400</v>
      </c>
      <c r="C2840" s="1" t="n">
        <v>45566</v>
      </c>
      <c r="D2840" t="inlineStr">
        <is>
          <t>VÄSTERBOTTENS LÄN</t>
        </is>
      </c>
      <c r="E2840" t="inlineStr">
        <is>
          <t>SKELLEFTEÅ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15473-2024</t>
        </is>
      </c>
      <c r="B2841" s="1" t="n">
        <v>45400</v>
      </c>
      <c r="C2841" s="1" t="n">
        <v>45566</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15460-2024</t>
        </is>
      </c>
      <c r="B2842" s="1" t="n">
        <v>45400</v>
      </c>
      <c r="C2842" s="1" t="n">
        <v>45566</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15625-2024</t>
        </is>
      </c>
      <c r="B2843" s="1" t="n">
        <v>45402</v>
      </c>
      <c r="C2843" s="1" t="n">
        <v>45566</v>
      </c>
      <c r="D2843" t="inlineStr">
        <is>
          <t>VÄSTERBOTTENS LÄN</t>
        </is>
      </c>
      <c r="E2843" t="inlineStr">
        <is>
          <t>SKELLEFTEÅ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15728-2024</t>
        </is>
      </c>
      <c r="B2844" s="1" t="n">
        <v>45404</v>
      </c>
      <c r="C2844" s="1" t="n">
        <v>45566</v>
      </c>
      <c r="D2844" t="inlineStr">
        <is>
          <t>VÄSTERBOTTENS LÄN</t>
        </is>
      </c>
      <c r="E2844" t="inlineStr">
        <is>
          <t>SKELLEFTEÅ</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15801-2024</t>
        </is>
      </c>
      <c r="B2845" s="1" t="n">
        <v>45404</v>
      </c>
      <c r="C2845" s="1" t="n">
        <v>45566</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15846-2024</t>
        </is>
      </c>
      <c r="B2846" s="1" t="n">
        <v>45404</v>
      </c>
      <c r="C2846" s="1" t="n">
        <v>45566</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15848-2024</t>
        </is>
      </c>
      <c r="B2847" s="1" t="n">
        <v>45404</v>
      </c>
      <c r="C2847" s="1" t="n">
        <v>45566</v>
      </c>
      <c r="D2847" t="inlineStr">
        <is>
          <t>VÄSTERBOTTENS LÄN</t>
        </is>
      </c>
      <c r="E2847" t="inlineStr">
        <is>
          <t>SKELLEFTEÅ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15856-2024</t>
        </is>
      </c>
      <c r="B2848" s="1" t="n">
        <v>45404</v>
      </c>
      <c r="C2848" s="1" t="n">
        <v>45566</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15855-2024</t>
        </is>
      </c>
      <c r="B2849" s="1" t="n">
        <v>45405</v>
      </c>
      <c r="C2849" s="1" t="n">
        <v>45566</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15927-2024</t>
        </is>
      </c>
      <c r="B2850" s="1" t="n">
        <v>45405</v>
      </c>
      <c r="C2850" s="1" t="n">
        <v>45566</v>
      </c>
      <c r="D2850" t="inlineStr">
        <is>
          <t>VÄSTERBOTTENS LÄN</t>
        </is>
      </c>
      <c r="E2850" t="inlineStr">
        <is>
          <t>SKELLEFTEÅ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16037-2024</t>
        </is>
      </c>
      <c r="B2851" s="1" t="n">
        <v>45405</v>
      </c>
      <c r="C2851" s="1" t="n">
        <v>45566</v>
      </c>
      <c r="D2851" t="inlineStr">
        <is>
          <t>VÄSTERBOTTENS LÄN</t>
        </is>
      </c>
      <c r="E2851" t="inlineStr">
        <is>
          <t>SKELLEFTEÅ</t>
        </is>
      </c>
      <c r="F2851" t="inlineStr">
        <is>
          <t>Holmen skog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16096-2024</t>
        </is>
      </c>
      <c r="B2852" s="1" t="n">
        <v>45406</v>
      </c>
      <c r="C2852" s="1" t="n">
        <v>45566</v>
      </c>
      <c r="D2852" t="inlineStr">
        <is>
          <t>VÄSTERBOTTENS LÄN</t>
        </is>
      </c>
      <c r="E2852" t="inlineStr">
        <is>
          <t>SKELLEFTEÅ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16501-2024</t>
        </is>
      </c>
      <c r="B2853" s="1" t="n">
        <v>45408</v>
      </c>
      <c r="C2853" s="1" t="n">
        <v>45566</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16519-2024</t>
        </is>
      </c>
      <c r="B2854" s="1" t="n">
        <v>45408</v>
      </c>
      <c r="C2854" s="1" t="n">
        <v>45566</v>
      </c>
      <c r="D2854" t="inlineStr">
        <is>
          <t>VÄSTERBOTTENS LÄN</t>
        </is>
      </c>
      <c r="E2854" t="inlineStr">
        <is>
          <t>SKELLEFTEÅ</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16711-2024</t>
        </is>
      </c>
      <c r="B2855" s="1" t="n">
        <v>45409</v>
      </c>
      <c r="C2855" s="1" t="n">
        <v>45566</v>
      </c>
      <c r="D2855" t="inlineStr">
        <is>
          <t>VÄSTERBOTTENS LÄN</t>
        </is>
      </c>
      <c r="E2855" t="inlineStr">
        <is>
          <t>SKELLEFTEÅ</t>
        </is>
      </c>
      <c r="F2855" t="inlineStr">
        <is>
          <t>SCA</t>
        </is>
      </c>
      <c r="G2855" t="n">
        <v>30.4</v>
      </c>
      <c r="H2855" t="n">
        <v>0</v>
      </c>
      <c r="I2855" t="n">
        <v>0</v>
      </c>
      <c r="J2855" t="n">
        <v>0</v>
      </c>
      <c r="K2855" t="n">
        <v>0</v>
      </c>
      <c r="L2855" t="n">
        <v>0</v>
      </c>
      <c r="M2855" t="n">
        <v>0</v>
      </c>
      <c r="N2855" t="n">
        <v>0</v>
      </c>
      <c r="O2855" t="n">
        <v>0</v>
      </c>
      <c r="P2855" t="n">
        <v>0</v>
      </c>
      <c r="Q2855" t="n">
        <v>0</v>
      </c>
      <c r="R2855" s="2" t="inlineStr"/>
      <c r="U2855">
        <f>HYPERLINK("https://klasma.github.io/Logging_2482/knärot/A 16711-2024 karta knärot.png", "A 16711-2024")</f>
        <v/>
      </c>
      <c r="V2855">
        <f>HYPERLINK("https://klasma.github.io/Logging_2482/klagomål/A 16711-2024 FSC-klagomål.docx", "A 16711-2024")</f>
        <v/>
      </c>
      <c r="W2855">
        <f>HYPERLINK("https://klasma.github.io/Logging_2482/klagomålsmail/A 16711-2024 FSC-klagomål mail.docx", "A 16711-2024")</f>
        <v/>
      </c>
      <c r="X2855">
        <f>HYPERLINK("https://klasma.github.io/Logging_2482/tillsyn/A 16711-2024 tillsynsbegäran.docx", "A 16711-2024")</f>
        <v/>
      </c>
      <c r="Y2855">
        <f>HYPERLINK("https://klasma.github.io/Logging_2482/tillsynsmail/A 16711-2024 tillsynsbegäran mail.docx", "A 16711-2024")</f>
        <v/>
      </c>
    </row>
    <row r="2856" ht="15" customHeight="1">
      <c r="A2856" t="inlineStr">
        <is>
          <t>A 16959-2024</t>
        </is>
      </c>
      <c r="B2856" s="1" t="n">
        <v>45411</v>
      </c>
      <c r="C2856" s="1" t="n">
        <v>45566</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17005-2024</t>
        </is>
      </c>
      <c r="B2857" s="1" t="n">
        <v>45411</v>
      </c>
      <c r="C2857" s="1" t="n">
        <v>45566</v>
      </c>
      <c r="D2857" t="inlineStr">
        <is>
          <t>VÄSTERBOTTENS LÄN</t>
        </is>
      </c>
      <c r="E2857" t="inlineStr">
        <is>
          <t>SKELLEFTEÅ</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16977-2024</t>
        </is>
      </c>
      <c r="B2858" s="1" t="n">
        <v>45412</v>
      </c>
      <c r="C2858" s="1" t="n">
        <v>45566</v>
      </c>
      <c r="D2858" t="inlineStr">
        <is>
          <t>VÄSTERBOTTENS LÄN</t>
        </is>
      </c>
      <c r="E2858" t="inlineStr">
        <is>
          <t>SKELLEFTEÅ</t>
        </is>
      </c>
      <c r="F2858" t="inlineStr">
        <is>
          <t>SCA</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17509-2024</t>
        </is>
      </c>
      <c r="B2859" s="1" t="n">
        <v>45415</v>
      </c>
      <c r="C2859" s="1" t="n">
        <v>45566</v>
      </c>
      <c r="D2859" t="inlineStr">
        <is>
          <t>VÄSTERBOTTENS LÄN</t>
        </is>
      </c>
      <c r="E2859" t="inlineStr">
        <is>
          <t>SKELLEFTEÅ</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17542-2024</t>
        </is>
      </c>
      <c r="B2860" s="1" t="n">
        <v>45415</v>
      </c>
      <c r="C2860" s="1" t="n">
        <v>45566</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17550-2024</t>
        </is>
      </c>
      <c r="B2861" s="1" t="n">
        <v>45415</v>
      </c>
      <c r="C2861" s="1" t="n">
        <v>45566</v>
      </c>
      <c r="D2861" t="inlineStr">
        <is>
          <t>VÄSTERBOTTENS LÄN</t>
        </is>
      </c>
      <c r="E2861" t="inlineStr">
        <is>
          <t>SKELLEFTEÅ</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17506-2024</t>
        </is>
      </c>
      <c r="B2862" s="1" t="n">
        <v>45415</v>
      </c>
      <c r="C2862" s="1" t="n">
        <v>45566</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17568-2024</t>
        </is>
      </c>
      <c r="B2863" s="1" t="n">
        <v>45415</v>
      </c>
      <c r="C2863" s="1" t="n">
        <v>45566</v>
      </c>
      <c r="D2863" t="inlineStr">
        <is>
          <t>VÄSTERBOTTENS LÄN</t>
        </is>
      </c>
      <c r="E2863" t="inlineStr">
        <is>
          <t>SKELLEFTEÅ</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18595-2024</t>
        </is>
      </c>
      <c r="B2864" s="1" t="n">
        <v>45415</v>
      </c>
      <c r="C2864" s="1" t="n">
        <v>45566</v>
      </c>
      <c r="D2864" t="inlineStr">
        <is>
          <t>VÄSTERBOTTENS LÄN</t>
        </is>
      </c>
      <c r="E2864" t="inlineStr">
        <is>
          <t>SKELLEFTEÅ</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17751-2024</t>
        </is>
      </c>
      <c r="B2865" s="1" t="n">
        <v>45418</v>
      </c>
      <c r="C2865" s="1" t="n">
        <v>45566</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17880-2024</t>
        </is>
      </c>
      <c r="B2866" s="1" t="n">
        <v>45419</v>
      </c>
      <c r="C2866" s="1" t="n">
        <v>45566</v>
      </c>
      <c r="D2866" t="inlineStr">
        <is>
          <t>VÄSTERBOTTENS LÄN</t>
        </is>
      </c>
      <c r="E2866" t="inlineStr">
        <is>
          <t>SKELLEFTEÅ</t>
        </is>
      </c>
      <c r="F2866" t="inlineStr">
        <is>
          <t>Kommuner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17884-2024</t>
        </is>
      </c>
      <c r="B2867" s="1" t="n">
        <v>45419</v>
      </c>
      <c r="C2867" s="1" t="n">
        <v>45566</v>
      </c>
      <c r="D2867" t="inlineStr">
        <is>
          <t>VÄSTERBOTTENS LÄN</t>
        </is>
      </c>
      <c r="E2867" t="inlineStr">
        <is>
          <t>SKELLEFTEÅ</t>
        </is>
      </c>
      <c r="F2867" t="inlineStr">
        <is>
          <t>Kommuner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18367-2024</t>
        </is>
      </c>
      <c r="B2868" s="1" t="n">
        <v>45422</v>
      </c>
      <c r="C2868" s="1" t="n">
        <v>45566</v>
      </c>
      <c r="D2868" t="inlineStr">
        <is>
          <t>VÄSTERBOTTENS LÄN</t>
        </is>
      </c>
      <c r="E2868" t="inlineStr">
        <is>
          <t>SKELLEFTEÅ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18368-2024</t>
        </is>
      </c>
      <c r="B2869" s="1" t="n">
        <v>45422</v>
      </c>
      <c r="C2869" s="1" t="n">
        <v>45566</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18578-2024</t>
        </is>
      </c>
      <c r="B2870" s="1" t="n">
        <v>45425</v>
      </c>
      <c r="C2870" s="1" t="n">
        <v>45566</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18564-2024</t>
        </is>
      </c>
      <c r="B2871" s="1" t="n">
        <v>45425</v>
      </c>
      <c r="C2871" s="1" t="n">
        <v>45566</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18580-2024</t>
        </is>
      </c>
      <c r="B2872" s="1" t="n">
        <v>45425</v>
      </c>
      <c r="C2872" s="1" t="n">
        <v>45566</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18681-2024</t>
        </is>
      </c>
      <c r="B2873" s="1" t="n">
        <v>45426</v>
      </c>
      <c r="C2873" s="1" t="n">
        <v>45566</v>
      </c>
      <c r="D2873" t="inlineStr">
        <is>
          <t>VÄSTERBOTTENS LÄN</t>
        </is>
      </c>
      <c r="E2873" t="inlineStr">
        <is>
          <t>SKELLEFTEÅ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18979-2024</t>
        </is>
      </c>
      <c r="B2874" s="1" t="n">
        <v>45427</v>
      </c>
      <c r="C2874" s="1" t="n">
        <v>45566</v>
      </c>
      <c r="D2874" t="inlineStr">
        <is>
          <t>VÄSTERBOTTENS LÄN</t>
        </is>
      </c>
      <c r="E2874" t="inlineStr">
        <is>
          <t>SKELLEFTEÅ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19405-2024</t>
        </is>
      </c>
      <c r="B2875" s="1" t="n">
        <v>45428</v>
      </c>
      <c r="C2875" s="1" t="n">
        <v>45566</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19582-2024</t>
        </is>
      </c>
      <c r="B2876" s="1" t="n">
        <v>45430</v>
      </c>
      <c r="C2876" s="1" t="n">
        <v>45566</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19576-2024</t>
        </is>
      </c>
      <c r="B2877" s="1" t="n">
        <v>45430</v>
      </c>
      <c r="C2877" s="1" t="n">
        <v>45566</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19782-2024</t>
        </is>
      </c>
      <c r="B2878" s="1" t="n">
        <v>45432</v>
      </c>
      <c r="C2878" s="1" t="n">
        <v>45566</v>
      </c>
      <c r="D2878" t="inlineStr">
        <is>
          <t>VÄSTERBOTTENS LÄN</t>
        </is>
      </c>
      <c r="E2878" t="inlineStr">
        <is>
          <t>SKELLEFTEÅ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19784-2024</t>
        </is>
      </c>
      <c r="B2879" s="1" t="n">
        <v>45432</v>
      </c>
      <c r="C2879" s="1" t="n">
        <v>45566</v>
      </c>
      <c r="D2879" t="inlineStr">
        <is>
          <t>VÄSTERBOTTENS LÄN</t>
        </is>
      </c>
      <c r="E2879" t="inlineStr">
        <is>
          <t>SKELLEFTEÅ</t>
        </is>
      </c>
      <c r="F2879" t="inlineStr">
        <is>
          <t>Sveaskog</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19801-2024</t>
        </is>
      </c>
      <c r="B2880" s="1" t="n">
        <v>45432</v>
      </c>
      <c r="C2880" s="1" t="n">
        <v>45566</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19808-2024</t>
        </is>
      </c>
      <c r="B2881" s="1" t="n">
        <v>45432</v>
      </c>
      <c r="C2881" s="1" t="n">
        <v>45566</v>
      </c>
      <c r="D2881" t="inlineStr">
        <is>
          <t>VÄSTERBOTTENS LÄN</t>
        </is>
      </c>
      <c r="E2881" t="inlineStr">
        <is>
          <t>SKELLEFTEÅ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19809-2024</t>
        </is>
      </c>
      <c r="B2882" s="1" t="n">
        <v>45432</v>
      </c>
      <c r="C2882" s="1" t="n">
        <v>45566</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19839-2024</t>
        </is>
      </c>
      <c r="B2883" s="1" t="n">
        <v>45433</v>
      </c>
      <c r="C2883" s="1" t="n">
        <v>45566</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19905-2024</t>
        </is>
      </c>
      <c r="B2884" s="1" t="n">
        <v>45433</v>
      </c>
      <c r="C2884" s="1" t="n">
        <v>45566</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19957-2024</t>
        </is>
      </c>
      <c r="B2885" s="1" t="n">
        <v>45433</v>
      </c>
      <c r="C2885" s="1" t="n">
        <v>45566</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19975-2024</t>
        </is>
      </c>
      <c r="B2886" s="1" t="n">
        <v>45433</v>
      </c>
      <c r="C2886" s="1" t="n">
        <v>45566</v>
      </c>
      <c r="D2886" t="inlineStr">
        <is>
          <t>VÄSTERBOTTENS LÄN</t>
        </is>
      </c>
      <c r="E2886" t="inlineStr">
        <is>
          <t>SKELLEFTEÅ</t>
        </is>
      </c>
      <c r="F2886" t="inlineStr">
        <is>
          <t>Sveaskog</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20153-2024</t>
        </is>
      </c>
      <c r="B2887" s="1" t="n">
        <v>45434</v>
      </c>
      <c r="C2887" s="1" t="n">
        <v>45566</v>
      </c>
      <c r="D2887" t="inlineStr">
        <is>
          <t>VÄSTERBOTTENS LÄN</t>
        </is>
      </c>
      <c r="E2887" t="inlineStr">
        <is>
          <t>SKELLEFTEÅ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20205-2024</t>
        </is>
      </c>
      <c r="B2888" s="1" t="n">
        <v>45434</v>
      </c>
      <c r="C2888" s="1" t="n">
        <v>45566</v>
      </c>
      <c r="D2888" t="inlineStr">
        <is>
          <t>VÄSTERBOTTENS LÄN</t>
        </is>
      </c>
      <c r="E2888" t="inlineStr">
        <is>
          <t>SKELLEFTEÅ</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20209-2024</t>
        </is>
      </c>
      <c r="B2889" s="1" t="n">
        <v>45434</v>
      </c>
      <c r="C2889" s="1" t="n">
        <v>45566</v>
      </c>
      <c r="D2889" t="inlineStr">
        <is>
          <t>VÄSTERBOTTENS LÄN</t>
        </is>
      </c>
      <c r="E2889" t="inlineStr">
        <is>
          <t>SKELLEFTEÅ</t>
        </is>
      </c>
      <c r="F2889" t="inlineStr">
        <is>
          <t>Holmen skog AB</t>
        </is>
      </c>
      <c r="G2889" t="n">
        <v>22.1</v>
      </c>
      <c r="H2889" t="n">
        <v>0</v>
      </c>
      <c r="I2889" t="n">
        <v>0</v>
      </c>
      <c r="J2889" t="n">
        <v>0</v>
      </c>
      <c r="K2889" t="n">
        <v>0</v>
      </c>
      <c r="L2889" t="n">
        <v>0</v>
      </c>
      <c r="M2889" t="n">
        <v>0</v>
      </c>
      <c r="N2889" t="n">
        <v>0</v>
      </c>
      <c r="O2889" t="n">
        <v>0</v>
      </c>
      <c r="P2889" t="n">
        <v>0</v>
      </c>
      <c r="Q2889" t="n">
        <v>0</v>
      </c>
      <c r="R2889" s="2" t="inlineStr"/>
    </row>
    <row r="2890" ht="15" customHeight="1">
      <c r="A2890" t="inlineStr">
        <is>
          <t>A 20320-2024</t>
        </is>
      </c>
      <c r="B2890" s="1" t="n">
        <v>45435</v>
      </c>
      <c r="C2890" s="1" t="n">
        <v>45566</v>
      </c>
      <c r="D2890" t="inlineStr">
        <is>
          <t>VÄSTERBOTTENS LÄN</t>
        </is>
      </c>
      <c r="E2890" t="inlineStr">
        <is>
          <t>SKELLEFTEÅ</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20454-2024</t>
        </is>
      </c>
      <c r="B2891" s="1" t="n">
        <v>45435</v>
      </c>
      <c r="C2891" s="1" t="n">
        <v>45566</v>
      </c>
      <c r="D2891" t="inlineStr">
        <is>
          <t>VÄSTERBOTTENS LÄN</t>
        </is>
      </c>
      <c r="E2891" t="inlineStr">
        <is>
          <t>SKELLEFTEÅ</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20498-2024</t>
        </is>
      </c>
      <c r="B2892" s="1" t="n">
        <v>45435</v>
      </c>
      <c r="C2892" s="1" t="n">
        <v>45566</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20429-2024</t>
        </is>
      </c>
      <c r="B2893" s="1" t="n">
        <v>45435</v>
      </c>
      <c r="C2893" s="1" t="n">
        <v>45566</v>
      </c>
      <c r="D2893" t="inlineStr">
        <is>
          <t>VÄSTERBOTTENS LÄN</t>
        </is>
      </c>
      <c r="E2893" t="inlineStr">
        <is>
          <t>SKELLEFTEÅ</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20497-2024</t>
        </is>
      </c>
      <c r="B2894" s="1" t="n">
        <v>45435</v>
      </c>
      <c r="C2894" s="1" t="n">
        <v>45566</v>
      </c>
      <c r="D2894" t="inlineStr">
        <is>
          <t>VÄSTERBOTTENS LÄN</t>
        </is>
      </c>
      <c r="E2894" t="inlineStr">
        <is>
          <t>SKELLEFTEÅ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20448-2024</t>
        </is>
      </c>
      <c r="B2895" s="1" t="n">
        <v>45435</v>
      </c>
      <c r="C2895" s="1" t="n">
        <v>45566</v>
      </c>
      <c r="D2895" t="inlineStr">
        <is>
          <t>VÄSTERBOTTENS LÄN</t>
        </is>
      </c>
      <c r="E2895" t="inlineStr">
        <is>
          <t>SKELLEFTEÅ</t>
        </is>
      </c>
      <c r="F2895" t="inlineStr">
        <is>
          <t>Holmen skog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20500-2024</t>
        </is>
      </c>
      <c r="B2896" s="1" t="n">
        <v>45436</v>
      </c>
      <c r="C2896" s="1" t="n">
        <v>45566</v>
      </c>
      <c r="D2896" t="inlineStr">
        <is>
          <t>VÄSTERBOTTENS LÄN</t>
        </is>
      </c>
      <c r="E2896" t="inlineStr">
        <is>
          <t>SKELLEFTEÅ</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20479-2024</t>
        </is>
      </c>
      <c r="B2897" s="1" t="n">
        <v>45435</v>
      </c>
      <c r="C2897" s="1" t="n">
        <v>45566</v>
      </c>
      <c r="D2897" t="inlineStr">
        <is>
          <t>VÄSTERBOTTENS LÄN</t>
        </is>
      </c>
      <c r="E2897" t="inlineStr">
        <is>
          <t>SKELLEFTEÅ</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20499-2024</t>
        </is>
      </c>
      <c r="B2898" s="1" t="n">
        <v>45435</v>
      </c>
      <c r="C2898" s="1" t="n">
        <v>45566</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20592-2024</t>
        </is>
      </c>
      <c r="B2899" s="1" t="n">
        <v>45436</v>
      </c>
      <c r="C2899" s="1" t="n">
        <v>45566</v>
      </c>
      <c r="D2899" t="inlineStr">
        <is>
          <t>VÄSTERBOTTENS LÄN</t>
        </is>
      </c>
      <c r="E2899" t="inlineStr">
        <is>
          <t>SKELLEFTEÅ</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20596-2024</t>
        </is>
      </c>
      <c r="B2900" s="1" t="n">
        <v>45436</v>
      </c>
      <c r="C2900" s="1" t="n">
        <v>45566</v>
      </c>
      <c r="D2900" t="inlineStr">
        <is>
          <t>VÄSTERBOTTENS LÄN</t>
        </is>
      </c>
      <c r="E2900" t="inlineStr">
        <is>
          <t>SKELLEFTEÅ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20723-2024</t>
        </is>
      </c>
      <c r="B2901" s="1" t="n">
        <v>45436</v>
      </c>
      <c r="C2901" s="1" t="n">
        <v>45566</v>
      </c>
      <c r="D2901" t="inlineStr">
        <is>
          <t>VÄSTERBOTTENS LÄN</t>
        </is>
      </c>
      <c r="E2901" t="inlineStr">
        <is>
          <t>SKELLEFTEÅ</t>
        </is>
      </c>
      <c r="F2901" t="inlineStr">
        <is>
          <t>Holmen skog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20637-2024</t>
        </is>
      </c>
      <c r="B2902" s="1" t="n">
        <v>45436</v>
      </c>
      <c r="C2902" s="1" t="n">
        <v>45566</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20559-2024</t>
        </is>
      </c>
      <c r="B2903" s="1" t="n">
        <v>45436</v>
      </c>
      <c r="C2903" s="1" t="n">
        <v>45566</v>
      </c>
      <c r="D2903" t="inlineStr">
        <is>
          <t>VÄSTERBOTTENS LÄN</t>
        </is>
      </c>
      <c r="E2903" t="inlineStr">
        <is>
          <t>SKELLEFTEÅ</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20900-2024</t>
        </is>
      </c>
      <c r="B2904" s="1" t="n">
        <v>45439</v>
      </c>
      <c r="C2904" s="1" t="n">
        <v>45566</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21078-2024</t>
        </is>
      </c>
      <c r="B2905" s="1" t="n">
        <v>45440</v>
      </c>
      <c r="C2905" s="1" t="n">
        <v>45566</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21057-2024</t>
        </is>
      </c>
      <c r="B2906" s="1" t="n">
        <v>45439</v>
      </c>
      <c r="C2906" s="1" t="n">
        <v>45566</v>
      </c>
      <c r="D2906" t="inlineStr">
        <is>
          <t>VÄSTERBOTTENS LÄN</t>
        </is>
      </c>
      <c r="E2906" t="inlineStr">
        <is>
          <t>SKELLEFTEÅ</t>
        </is>
      </c>
      <c r="F2906" t="inlineStr">
        <is>
          <t>Sveaskog</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21076-2024</t>
        </is>
      </c>
      <c r="B2907" s="1" t="n">
        <v>45440</v>
      </c>
      <c r="C2907" s="1" t="n">
        <v>45566</v>
      </c>
      <c r="D2907" t="inlineStr">
        <is>
          <t>VÄSTERBOTTENS LÄN</t>
        </is>
      </c>
      <c r="E2907" t="inlineStr">
        <is>
          <t>SKELLEFTEÅ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20924-2024</t>
        </is>
      </c>
      <c r="B2908" s="1" t="n">
        <v>45439</v>
      </c>
      <c r="C2908" s="1" t="n">
        <v>45566</v>
      </c>
      <c r="D2908" t="inlineStr">
        <is>
          <t>VÄSTERBOTTENS LÄN</t>
        </is>
      </c>
      <c r="E2908" t="inlineStr">
        <is>
          <t>SKELLEFTEÅ</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21077-2024</t>
        </is>
      </c>
      <c r="B2909" s="1" t="n">
        <v>45440</v>
      </c>
      <c r="C2909" s="1" t="n">
        <v>45566</v>
      </c>
      <c r="D2909" t="inlineStr">
        <is>
          <t>VÄSTERBOTTENS LÄN</t>
        </is>
      </c>
      <c r="E2909" t="inlineStr">
        <is>
          <t>SKELLEFTEÅ</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21152-2024</t>
        </is>
      </c>
      <c r="B2910" s="1" t="n">
        <v>45440</v>
      </c>
      <c r="C2910" s="1" t="n">
        <v>45566</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21146-2024</t>
        </is>
      </c>
      <c r="B2911" s="1" t="n">
        <v>45440</v>
      </c>
      <c r="C2911" s="1" t="n">
        <v>45566</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21426-2024</t>
        </is>
      </c>
      <c r="B2912" s="1" t="n">
        <v>45441</v>
      </c>
      <c r="C2912" s="1" t="n">
        <v>45566</v>
      </c>
      <c r="D2912" t="inlineStr">
        <is>
          <t>VÄSTERBOTTENS LÄN</t>
        </is>
      </c>
      <c r="E2912" t="inlineStr">
        <is>
          <t>SKELLEFTEÅ</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21438-2024</t>
        </is>
      </c>
      <c r="B2913" s="1" t="n">
        <v>45441</v>
      </c>
      <c r="C2913" s="1" t="n">
        <v>45566</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21495-2024</t>
        </is>
      </c>
      <c r="B2914" s="1" t="n">
        <v>45441</v>
      </c>
      <c r="C2914" s="1" t="n">
        <v>45566</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21593-2024</t>
        </is>
      </c>
      <c r="B2915" s="1" t="n">
        <v>45441</v>
      </c>
      <c r="C2915" s="1" t="n">
        <v>45566</v>
      </c>
      <c r="D2915" t="inlineStr">
        <is>
          <t>VÄSTERBOTTENS LÄN</t>
        </is>
      </c>
      <c r="E2915" t="inlineStr">
        <is>
          <t>SKELLEFTEÅ</t>
        </is>
      </c>
      <c r="F2915" t="inlineStr">
        <is>
          <t>Sveaskog</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21730-2024</t>
        </is>
      </c>
      <c r="B2916" s="1" t="n">
        <v>45442</v>
      </c>
      <c r="C2916" s="1" t="n">
        <v>45566</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21737-2024</t>
        </is>
      </c>
      <c r="B2917" s="1" t="n">
        <v>45442</v>
      </c>
      <c r="C2917" s="1" t="n">
        <v>45566</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21765-2024</t>
        </is>
      </c>
      <c r="B2918" s="1" t="n">
        <v>45442</v>
      </c>
      <c r="C2918" s="1" t="n">
        <v>45566</v>
      </c>
      <c r="D2918" t="inlineStr">
        <is>
          <t>VÄSTERBOTTENS LÄN</t>
        </is>
      </c>
      <c r="E2918" t="inlineStr">
        <is>
          <t>SKELLEFTEÅ</t>
        </is>
      </c>
      <c r="F2918" t="inlineStr">
        <is>
          <t>Holmen skog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21785-2024</t>
        </is>
      </c>
      <c r="B2919" s="1" t="n">
        <v>45442</v>
      </c>
      <c r="C2919" s="1" t="n">
        <v>45566</v>
      </c>
      <c r="D2919" t="inlineStr">
        <is>
          <t>VÄSTERBOTTENS LÄN</t>
        </is>
      </c>
      <c r="E2919" t="inlineStr">
        <is>
          <t>SKELLEFTEÅ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21812-2024</t>
        </is>
      </c>
      <c r="B2920" s="1" t="n">
        <v>45442</v>
      </c>
      <c r="C2920" s="1" t="n">
        <v>45566</v>
      </c>
      <c r="D2920" t="inlineStr">
        <is>
          <t>VÄSTERBOTTENS LÄN</t>
        </is>
      </c>
      <c r="E2920" t="inlineStr">
        <is>
          <t>SKELLEFTEÅ</t>
        </is>
      </c>
      <c r="F2920" t="inlineStr">
        <is>
          <t>Holmen skog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21854-2024</t>
        </is>
      </c>
      <c r="B2921" s="1" t="n">
        <v>45442</v>
      </c>
      <c r="C2921" s="1" t="n">
        <v>45566</v>
      </c>
      <c r="D2921" t="inlineStr">
        <is>
          <t>VÄSTERBOTTENS LÄN</t>
        </is>
      </c>
      <c r="E2921" t="inlineStr">
        <is>
          <t>SKELLEFTEÅ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21836-2024</t>
        </is>
      </c>
      <c r="B2922" s="1" t="n">
        <v>45443</v>
      </c>
      <c r="C2922" s="1" t="n">
        <v>45566</v>
      </c>
      <c r="D2922" t="inlineStr">
        <is>
          <t>VÄSTERBOTTENS LÄN</t>
        </is>
      </c>
      <c r="E2922" t="inlineStr">
        <is>
          <t>SKELLEFTEÅ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22044-2024</t>
        </is>
      </c>
      <c r="B2923" s="1" t="n">
        <v>45443</v>
      </c>
      <c r="C2923" s="1" t="n">
        <v>45566</v>
      </c>
      <c r="D2923" t="inlineStr">
        <is>
          <t>VÄSTERBOTTENS LÄN</t>
        </is>
      </c>
      <c r="E2923" t="inlineStr">
        <is>
          <t>SKELLEFTEÅ</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22014-2024</t>
        </is>
      </c>
      <c r="B2924" s="1" t="n">
        <v>45443</v>
      </c>
      <c r="C2924" s="1" t="n">
        <v>45566</v>
      </c>
      <c r="D2924" t="inlineStr">
        <is>
          <t>VÄSTERBOTTENS LÄN</t>
        </is>
      </c>
      <c r="E2924" t="inlineStr">
        <is>
          <t>SKELLEFTEÅ</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22072-2024</t>
        </is>
      </c>
      <c r="B2925" s="1" t="n">
        <v>45443</v>
      </c>
      <c r="C2925" s="1" t="n">
        <v>45566</v>
      </c>
      <c r="D2925" t="inlineStr">
        <is>
          <t>VÄSTERBOTTENS LÄN</t>
        </is>
      </c>
      <c r="E2925" t="inlineStr">
        <is>
          <t>SKELLEFTEÅ</t>
        </is>
      </c>
      <c r="F2925" t="inlineStr">
        <is>
          <t>Holmen skog AB</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22136-2024</t>
        </is>
      </c>
      <c r="B2926" s="1" t="n">
        <v>45444</v>
      </c>
      <c r="C2926" s="1" t="n">
        <v>45566</v>
      </c>
      <c r="D2926" t="inlineStr">
        <is>
          <t>VÄSTERBOTTENS LÄN</t>
        </is>
      </c>
      <c r="E2926" t="inlineStr">
        <is>
          <t>SKELLEFTEÅ</t>
        </is>
      </c>
      <c r="F2926" t="inlineStr">
        <is>
          <t>Sveaskog</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22219-2024</t>
        </is>
      </c>
      <c r="B2927" s="1" t="n">
        <v>45446</v>
      </c>
      <c r="C2927" s="1" t="n">
        <v>45566</v>
      </c>
      <c r="D2927" t="inlineStr">
        <is>
          <t>VÄSTERBOTTENS LÄN</t>
        </is>
      </c>
      <c r="E2927" t="inlineStr">
        <is>
          <t>SKELLEFTEÅ</t>
        </is>
      </c>
      <c r="G2927" t="n">
        <v>14.9</v>
      </c>
      <c r="H2927" t="n">
        <v>0</v>
      </c>
      <c r="I2927" t="n">
        <v>0</v>
      </c>
      <c r="J2927" t="n">
        <v>0</v>
      </c>
      <c r="K2927" t="n">
        <v>0</v>
      </c>
      <c r="L2927" t="n">
        <v>0</v>
      </c>
      <c r="M2927" t="n">
        <v>0</v>
      </c>
      <c r="N2927" t="n">
        <v>0</v>
      </c>
      <c r="O2927" t="n">
        <v>0</v>
      </c>
      <c r="P2927" t="n">
        <v>0</v>
      </c>
      <c r="Q2927" t="n">
        <v>0</v>
      </c>
      <c r="R2927" s="2" t="inlineStr"/>
    </row>
    <row r="2928" ht="15" customHeight="1">
      <c r="A2928" t="inlineStr">
        <is>
          <t>A 22395-2024</t>
        </is>
      </c>
      <c r="B2928" s="1" t="n">
        <v>45446</v>
      </c>
      <c r="C2928" s="1" t="n">
        <v>45566</v>
      </c>
      <c r="D2928" t="inlineStr">
        <is>
          <t>VÄSTERBOTTENS LÄN</t>
        </is>
      </c>
      <c r="E2928" t="inlineStr">
        <is>
          <t>SKELLEFTEÅ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22199-2024</t>
        </is>
      </c>
      <c r="B2929" s="1" t="n">
        <v>45446</v>
      </c>
      <c r="C2929" s="1" t="n">
        <v>45566</v>
      </c>
      <c r="D2929" t="inlineStr">
        <is>
          <t>VÄSTERBOTTENS LÄN</t>
        </is>
      </c>
      <c r="E2929" t="inlineStr">
        <is>
          <t>SKELLEFTEÅ</t>
        </is>
      </c>
      <c r="F2929" t="inlineStr">
        <is>
          <t>Sveaskog</t>
        </is>
      </c>
      <c r="G2929" t="n">
        <v>40.5</v>
      </c>
      <c r="H2929" t="n">
        <v>0</v>
      </c>
      <c r="I2929" t="n">
        <v>0</v>
      </c>
      <c r="J2929" t="n">
        <v>0</v>
      </c>
      <c r="K2929" t="n">
        <v>0</v>
      </c>
      <c r="L2929" t="n">
        <v>0</v>
      </c>
      <c r="M2929" t="n">
        <v>0</v>
      </c>
      <c r="N2929" t="n">
        <v>0</v>
      </c>
      <c r="O2929" t="n">
        <v>0</v>
      </c>
      <c r="P2929" t="n">
        <v>0</v>
      </c>
      <c r="Q2929" t="n">
        <v>0</v>
      </c>
      <c r="R2929" s="2" t="inlineStr"/>
    </row>
    <row r="2930" ht="15" customHeight="1">
      <c r="A2930" t="inlineStr">
        <is>
          <t>A 22203-2024</t>
        </is>
      </c>
      <c r="B2930" s="1" t="n">
        <v>45446</v>
      </c>
      <c r="C2930" s="1" t="n">
        <v>45566</v>
      </c>
      <c r="D2930" t="inlineStr">
        <is>
          <t>VÄSTERBOTTENS LÄN</t>
        </is>
      </c>
      <c r="E2930" t="inlineStr">
        <is>
          <t>SKELLEFTEÅ</t>
        </is>
      </c>
      <c r="F2930" t="inlineStr">
        <is>
          <t>Sveaskog</t>
        </is>
      </c>
      <c r="G2930" t="n">
        <v>48.1</v>
      </c>
      <c r="H2930" t="n">
        <v>0</v>
      </c>
      <c r="I2930" t="n">
        <v>0</v>
      </c>
      <c r="J2930" t="n">
        <v>0</v>
      </c>
      <c r="K2930" t="n">
        <v>0</v>
      </c>
      <c r="L2930" t="n">
        <v>0</v>
      </c>
      <c r="M2930" t="n">
        <v>0</v>
      </c>
      <c r="N2930" t="n">
        <v>0</v>
      </c>
      <c r="O2930" t="n">
        <v>0</v>
      </c>
      <c r="P2930" t="n">
        <v>0</v>
      </c>
      <c r="Q2930" t="n">
        <v>0</v>
      </c>
      <c r="R2930" s="2" t="inlineStr"/>
    </row>
    <row r="2931" ht="15" customHeight="1">
      <c r="A2931" t="inlineStr">
        <is>
          <t>A 22205-2024</t>
        </is>
      </c>
      <c r="B2931" s="1" t="n">
        <v>45446</v>
      </c>
      <c r="C2931" s="1" t="n">
        <v>45566</v>
      </c>
      <c r="D2931" t="inlineStr">
        <is>
          <t>VÄSTERBOTTENS LÄN</t>
        </is>
      </c>
      <c r="E2931" t="inlineStr">
        <is>
          <t>SKELLEFTEÅ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22654-2024</t>
        </is>
      </c>
      <c r="B2932" s="1" t="n">
        <v>45447</v>
      </c>
      <c r="C2932" s="1" t="n">
        <v>45566</v>
      </c>
      <c r="D2932" t="inlineStr">
        <is>
          <t>VÄSTERBOTTENS LÄN</t>
        </is>
      </c>
      <c r="E2932" t="inlineStr">
        <is>
          <t>SKELLEFTEÅ</t>
        </is>
      </c>
      <c r="F2932" t="inlineStr">
        <is>
          <t>Sveaskog</t>
        </is>
      </c>
      <c r="G2932" t="n">
        <v>17.6</v>
      </c>
      <c r="H2932" t="n">
        <v>0</v>
      </c>
      <c r="I2932" t="n">
        <v>0</v>
      </c>
      <c r="J2932" t="n">
        <v>0</v>
      </c>
      <c r="K2932" t="n">
        <v>0</v>
      </c>
      <c r="L2932" t="n">
        <v>0</v>
      </c>
      <c r="M2932" t="n">
        <v>0</v>
      </c>
      <c r="N2932" t="n">
        <v>0</v>
      </c>
      <c r="O2932" t="n">
        <v>0</v>
      </c>
      <c r="P2932" t="n">
        <v>0</v>
      </c>
      <c r="Q2932" t="n">
        <v>0</v>
      </c>
      <c r="R2932" s="2" t="inlineStr"/>
    </row>
    <row r="2933" ht="15" customHeight="1">
      <c r="A2933" t="inlineStr">
        <is>
          <t>A 22609-2024</t>
        </is>
      </c>
      <c r="B2933" s="1" t="n">
        <v>45447</v>
      </c>
      <c r="C2933" s="1" t="n">
        <v>45566</v>
      </c>
      <c r="D2933" t="inlineStr">
        <is>
          <t>VÄSTERBOTTENS LÄN</t>
        </is>
      </c>
      <c r="E2933" t="inlineStr">
        <is>
          <t>SKELLEFTEÅ</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22921-2024</t>
        </is>
      </c>
      <c r="B2934" s="1" t="n">
        <v>45448</v>
      </c>
      <c r="C2934" s="1" t="n">
        <v>45566</v>
      </c>
      <c r="D2934" t="inlineStr">
        <is>
          <t>VÄSTERBOTTENS LÄN</t>
        </is>
      </c>
      <c r="E2934" t="inlineStr">
        <is>
          <t>SKELLEFTEÅ</t>
        </is>
      </c>
      <c r="F2934" t="inlineStr">
        <is>
          <t>Sveaskog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22796-2024</t>
        </is>
      </c>
      <c r="B2935" s="1" t="n">
        <v>45448</v>
      </c>
      <c r="C2935" s="1" t="n">
        <v>45566</v>
      </c>
      <c r="D2935" t="inlineStr">
        <is>
          <t>VÄSTERBOTTENS LÄN</t>
        </is>
      </c>
      <c r="E2935" t="inlineStr">
        <is>
          <t>SKELLEFTEÅ</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22859-2024</t>
        </is>
      </c>
      <c r="B2936" s="1" t="n">
        <v>45448</v>
      </c>
      <c r="C2936" s="1" t="n">
        <v>45566</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23059-2024</t>
        </is>
      </c>
      <c r="B2937" s="1" t="n">
        <v>45450</v>
      </c>
      <c r="C2937" s="1" t="n">
        <v>45566</v>
      </c>
      <c r="D2937" t="inlineStr">
        <is>
          <t>VÄSTERBOTTENS LÄN</t>
        </is>
      </c>
      <c r="E2937" t="inlineStr">
        <is>
          <t>SKELLEFTEÅ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23135-2024</t>
        </is>
      </c>
      <c r="B2938" s="1" t="n">
        <v>45450</v>
      </c>
      <c r="C2938" s="1" t="n">
        <v>45566</v>
      </c>
      <c r="D2938" t="inlineStr">
        <is>
          <t>VÄSTERBOTTENS LÄN</t>
        </is>
      </c>
      <c r="E2938" t="inlineStr">
        <is>
          <t>SKELLEFTEÅ</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23164-2024</t>
        </is>
      </c>
      <c r="B2939" s="1" t="n">
        <v>45450</v>
      </c>
      <c r="C2939" s="1" t="n">
        <v>45566</v>
      </c>
      <c r="D2939" t="inlineStr">
        <is>
          <t>VÄSTERBOTTENS LÄN</t>
        </is>
      </c>
      <c r="E2939" t="inlineStr">
        <is>
          <t>SKELLEFTEÅ</t>
        </is>
      </c>
      <c r="F2939" t="inlineStr">
        <is>
          <t>Sveaskog</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23168-2024</t>
        </is>
      </c>
      <c r="B2940" s="1" t="n">
        <v>45450</v>
      </c>
      <c r="C2940" s="1" t="n">
        <v>45566</v>
      </c>
      <c r="D2940" t="inlineStr">
        <is>
          <t>VÄSTERBOTTENS LÄN</t>
        </is>
      </c>
      <c r="E2940" t="inlineStr">
        <is>
          <t>SKELLEFTEÅ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23062-2024</t>
        </is>
      </c>
      <c r="B2941" s="1" t="n">
        <v>45450</v>
      </c>
      <c r="C2941" s="1" t="n">
        <v>45566</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23169-2024</t>
        </is>
      </c>
      <c r="B2942" s="1" t="n">
        <v>45450</v>
      </c>
      <c r="C2942" s="1" t="n">
        <v>45566</v>
      </c>
      <c r="D2942" t="inlineStr">
        <is>
          <t>VÄSTERBOTTENS LÄN</t>
        </is>
      </c>
      <c r="E2942" t="inlineStr">
        <is>
          <t>SKELLEFTEÅ</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23522-2024</t>
        </is>
      </c>
      <c r="B2943" s="1" t="n">
        <v>45454</v>
      </c>
      <c r="C2943" s="1" t="n">
        <v>45566</v>
      </c>
      <c r="D2943" t="inlineStr">
        <is>
          <t>VÄSTERBOTTENS LÄN</t>
        </is>
      </c>
      <c r="E2943" t="inlineStr">
        <is>
          <t>SKELLEFTEÅ</t>
        </is>
      </c>
      <c r="G2943" t="n">
        <v>13.4</v>
      </c>
      <c r="H2943" t="n">
        <v>0</v>
      </c>
      <c r="I2943" t="n">
        <v>0</v>
      </c>
      <c r="J2943" t="n">
        <v>0</v>
      </c>
      <c r="K2943" t="n">
        <v>0</v>
      </c>
      <c r="L2943" t="n">
        <v>0</v>
      </c>
      <c r="M2943" t="n">
        <v>0</v>
      </c>
      <c r="N2943" t="n">
        <v>0</v>
      </c>
      <c r="O2943" t="n">
        <v>0</v>
      </c>
      <c r="P2943" t="n">
        <v>0</v>
      </c>
      <c r="Q2943" t="n">
        <v>0</v>
      </c>
      <c r="R2943" s="2" t="inlineStr"/>
    </row>
    <row r="2944" ht="15" customHeight="1">
      <c r="A2944" t="inlineStr">
        <is>
          <t>A 23502-2024</t>
        </is>
      </c>
      <c r="B2944" s="1" t="n">
        <v>45453</v>
      </c>
      <c r="C2944" s="1" t="n">
        <v>45566</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23520-2024</t>
        </is>
      </c>
      <c r="B2945" s="1" t="n">
        <v>45453</v>
      </c>
      <c r="C2945" s="1" t="n">
        <v>45566</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23503-2024</t>
        </is>
      </c>
      <c r="B2946" s="1" t="n">
        <v>45453</v>
      </c>
      <c r="C2946" s="1" t="n">
        <v>45566</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23445-2024</t>
        </is>
      </c>
      <c r="B2947" s="1" t="n">
        <v>45453</v>
      </c>
      <c r="C2947" s="1" t="n">
        <v>45566</v>
      </c>
      <c r="D2947" t="inlineStr">
        <is>
          <t>VÄSTERBOTTENS LÄN</t>
        </is>
      </c>
      <c r="E2947" t="inlineStr">
        <is>
          <t>SKELLEFTEÅ</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23501-2024</t>
        </is>
      </c>
      <c r="B2948" s="1" t="n">
        <v>45453</v>
      </c>
      <c r="C2948" s="1" t="n">
        <v>45566</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23521-2024</t>
        </is>
      </c>
      <c r="B2949" s="1" t="n">
        <v>45454</v>
      </c>
      <c r="C2949" s="1" t="n">
        <v>45566</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23239-2024</t>
        </is>
      </c>
      <c r="B2950" s="1" t="n">
        <v>45453</v>
      </c>
      <c r="C2950" s="1" t="n">
        <v>45566</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23634-2024</t>
        </is>
      </c>
      <c r="B2951" s="1" t="n">
        <v>45454</v>
      </c>
      <c r="C2951" s="1" t="n">
        <v>45566</v>
      </c>
      <c r="D2951" t="inlineStr">
        <is>
          <t>VÄSTERBOTTENS LÄN</t>
        </is>
      </c>
      <c r="E2951" t="inlineStr">
        <is>
          <t>SKELLEFTEÅ</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23629-2024</t>
        </is>
      </c>
      <c r="B2952" s="1" t="n">
        <v>45454</v>
      </c>
      <c r="C2952" s="1" t="n">
        <v>45566</v>
      </c>
      <c r="D2952" t="inlineStr">
        <is>
          <t>VÄSTERBOTTENS LÄN</t>
        </is>
      </c>
      <c r="E2952" t="inlineStr">
        <is>
          <t>SKELLEFTEÅ</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23925-2024</t>
        </is>
      </c>
      <c r="B2953" s="1" t="n">
        <v>45456</v>
      </c>
      <c r="C2953" s="1" t="n">
        <v>45566</v>
      </c>
      <c r="D2953" t="inlineStr">
        <is>
          <t>VÄSTERBOTTENS LÄN</t>
        </is>
      </c>
      <c r="E2953" t="inlineStr">
        <is>
          <t>SKELLEFTEÅ</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23929-2024</t>
        </is>
      </c>
      <c r="B2954" s="1" t="n">
        <v>45456</v>
      </c>
      <c r="C2954" s="1" t="n">
        <v>45566</v>
      </c>
      <c r="D2954" t="inlineStr">
        <is>
          <t>VÄSTERBOTTENS LÄN</t>
        </is>
      </c>
      <c r="E2954" t="inlineStr">
        <is>
          <t>SKELLEFTEÅ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23903-2024</t>
        </is>
      </c>
      <c r="B2955" s="1" t="n">
        <v>45455</v>
      </c>
      <c r="C2955" s="1" t="n">
        <v>45566</v>
      </c>
      <c r="D2955" t="inlineStr">
        <is>
          <t>VÄSTERBOTTENS LÄN</t>
        </is>
      </c>
      <c r="E2955" t="inlineStr">
        <is>
          <t>SKELLEFTEÅ</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23823-2024</t>
        </is>
      </c>
      <c r="B2956" s="1" t="n">
        <v>45455</v>
      </c>
      <c r="C2956" s="1" t="n">
        <v>45566</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24080-2024</t>
        </is>
      </c>
      <c r="B2957" s="1" t="n">
        <v>45456</v>
      </c>
      <c r="C2957" s="1" t="n">
        <v>45566</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24195-2024</t>
        </is>
      </c>
      <c r="B2958" s="1" t="n">
        <v>45456</v>
      </c>
      <c r="C2958" s="1" t="n">
        <v>45566</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24362-2024</t>
        </is>
      </c>
      <c r="B2959" s="1" t="n">
        <v>45457</v>
      </c>
      <c r="C2959" s="1" t="n">
        <v>45566</v>
      </c>
      <c r="D2959" t="inlineStr">
        <is>
          <t>VÄSTERBOTTENS LÄN</t>
        </is>
      </c>
      <c r="E2959" t="inlineStr">
        <is>
          <t>SKELLEFTEÅ</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24418-2024</t>
        </is>
      </c>
      <c r="B2960" s="1" t="n">
        <v>45457</v>
      </c>
      <c r="C2960" s="1" t="n">
        <v>45566</v>
      </c>
      <c r="D2960" t="inlineStr">
        <is>
          <t>VÄSTERBOTTENS LÄN</t>
        </is>
      </c>
      <c r="E2960" t="inlineStr">
        <is>
          <t>SKELLEFTEÅ</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24349-2024</t>
        </is>
      </c>
      <c r="B2961" s="1" t="n">
        <v>45457</v>
      </c>
      <c r="C2961" s="1" t="n">
        <v>45566</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24352-2024</t>
        </is>
      </c>
      <c r="B2962" s="1" t="n">
        <v>45457</v>
      </c>
      <c r="C2962" s="1" t="n">
        <v>45566</v>
      </c>
      <c r="D2962" t="inlineStr">
        <is>
          <t>VÄSTERBOTTENS LÄN</t>
        </is>
      </c>
      <c r="E2962" t="inlineStr">
        <is>
          <t>SKELLEFTEÅ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24696-2024</t>
        </is>
      </c>
      <c r="B2963" s="1" t="n">
        <v>45460</v>
      </c>
      <c r="C2963" s="1" t="n">
        <v>45566</v>
      </c>
      <c r="D2963" t="inlineStr">
        <is>
          <t>VÄSTERBOTTENS LÄN</t>
        </is>
      </c>
      <c r="E2963" t="inlineStr">
        <is>
          <t>SKELLEFTEÅ</t>
        </is>
      </c>
      <c r="F2963" t="inlineStr">
        <is>
          <t>Holmen skog AB</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24780-2024</t>
        </is>
      </c>
      <c r="B2964" s="1" t="n">
        <v>45460</v>
      </c>
      <c r="C2964" s="1" t="n">
        <v>45566</v>
      </c>
      <c r="D2964" t="inlineStr">
        <is>
          <t>VÄSTERBOTTENS LÄN</t>
        </is>
      </c>
      <c r="E2964" t="inlineStr">
        <is>
          <t>SKELLEFTEÅ</t>
        </is>
      </c>
      <c r="F2964" t="inlineStr">
        <is>
          <t>Sveaskog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24604-2024</t>
        </is>
      </c>
      <c r="B2965" s="1" t="n">
        <v>45460</v>
      </c>
      <c r="C2965" s="1" t="n">
        <v>45566</v>
      </c>
      <c r="D2965" t="inlineStr">
        <is>
          <t>VÄSTERBOTTENS LÄN</t>
        </is>
      </c>
      <c r="E2965" t="inlineStr">
        <is>
          <t>SKELLEFTEÅ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24576-2024</t>
        </is>
      </c>
      <c r="B2966" s="1" t="n">
        <v>45460</v>
      </c>
      <c r="C2966" s="1" t="n">
        <v>45566</v>
      </c>
      <c r="D2966" t="inlineStr">
        <is>
          <t>VÄSTERBOTTENS LÄN</t>
        </is>
      </c>
      <c r="E2966" t="inlineStr">
        <is>
          <t>SKELLEFTEÅ</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24914-2024</t>
        </is>
      </c>
      <c r="B2967" s="1" t="n">
        <v>45461</v>
      </c>
      <c r="C2967" s="1" t="n">
        <v>45566</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25006-2024</t>
        </is>
      </c>
      <c r="B2968" s="1" t="n">
        <v>45461</v>
      </c>
      <c r="C2968" s="1" t="n">
        <v>45566</v>
      </c>
      <c r="D2968" t="inlineStr">
        <is>
          <t>VÄSTERBOTTENS LÄN</t>
        </is>
      </c>
      <c r="E2968" t="inlineStr">
        <is>
          <t>SKELLEFTEÅ</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24920-2024</t>
        </is>
      </c>
      <c r="B2969" s="1" t="n">
        <v>45461</v>
      </c>
      <c r="C2969" s="1" t="n">
        <v>45566</v>
      </c>
      <c r="D2969" t="inlineStr">
        <is>
          <t>VÄSTERBOTTENS LÄN</t>
        </is>
      </c>
      <c r="E2969" t="inlineStr">
        <is>
          <t>SKELLEFTEÅ</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25354-2024</t>
        </is>
      </c>
      <c r="B2970" s="1" t="n">
        <v>45462</v>
      </c>
      <c r="C2970" s="1" t="n">
        <v>45566</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25209-2024</t>
        </is>
      </c>
      <c r="B2971" s="1" t="n">
        <v>45462</v>
      </c>
      <c r="C2971" s="1" t="n">
        <v>45566</v>
      </c>
      <c r="D2971" t="inlineStr">
        <is>
          <t>VÄSTERBOTTENS LÄN</t>
        </is>
      </c>
      <c r="E2971" t="inlineStr">
        <is>
          <t>SKELLEFTEÅ</t>
        </is>
      </c>
      <c r="F2971" t="inlineStr">
        <is>
          <t>Holmen skog AB</t>
        </is>
      </c>
      <c r="G2971" t="n">
        <v>30.3</v>
      </c>
      <c r="H2971" t="n">
        <v>0</v>
      </c>
      <c r="I2971" t="n">
        <v>0</v>
      </c>
      <c r="J2971" t="n">
        <v>0</v>
      </c>
      <c r="K2971" t="n">
        <v>0</v>
      </c>
      <c r="L2971" t="n">
        <v>0</v>
      </c>
      <c r="M2971" t="n">
        <v>0</v>
      </c>
      <c r="N2971" t="n">
        <v>0</v>
      </c>
      <c r="O2971" t="n">
        <v>0</v>
      </c>
      <c r="P2971" t="n">
        <v>0</v>
      </c>
      <c r="Q2971" t="n">
        <v>0</v>
      </c>
      <c r="R2971" s="2" t="inlineStr"/>
    </row>
    <row r="2972" ht="15" customHeight="1">
      <c r="A2972" t="inlineStr">
        <is>
          <t>A 25157-2024</t>
        </is>
      </c>
      <c r="B2972" s="1" t="n">
        <v>45462</v>
      </c>
      <c r="C2972" s="1" t="n">
        <v>45566</v>
      </c>
      <c r="D2972" t="inlineStr">
        <is>
          <t>VÄSTERBOTTENS LÄN</t>
        </is>
      </c>
      <c r="E2972" t="inlineStr">
        <is>
          <t>SKELLEFTEÅ</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25111-2024</t>
        </is>
      </c>
      <c r="B2973" s="1" t="n">
        <v>45462</v>
      </c>
      <c r="C2973" s="1" t="n">
        <v>45566</v>
      </c>
      <c r="D2973" t="inlineStr">
        <is>
          <t>VÄSTERBOTTENS LÄN</t>
        </is>
      </c>
      <c r="E2973" t="inlineStr">
        <is>
          <t>SKELLEFTEÅ</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25106-2024</t>
        </is>
      </c>
      <c r="B2974" s="1" t="n">
        <v>45462</v>
      </c>
      <c r="C2974" s="1" t="n">
        <v>45566</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25184-2024</t>
        </is>
      </c>
      <c r="B2975" s="1" t="n">
        <v>45462</v>
      </c>
      <c r="C2975" s="1" t="n">
        <v>45566</v>
      </c>
      <c r="D2975" t="inlineStr">
        <is>
          <t>VÄSTERBOTTENS LÄN</t>
        </is>
      </c>
      <c r="E2975" t="inlineStr">
        <is>
          <t>SKELLEFTEÅ</t>
        </is>
      </c>
      <c r="F2975" t="inlineStr">
        <is>
          <t>Holmen skog AB</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25158-2024</t>
        </is>
      </c>
      <c r="B2976" s="1" t="n">
        <v>45462</v>
      </c>
      <c r="C2976" s="1" t="n">
        <v>45566</v>
      </c>
      <c r="D2976" t="inlineStr">
        <is>
          <t>VÄSTERBOTTENS LÄN</t>
        </is>
      </c>
      <c r="E2976" t="inlineStr">
        <is>
          <t>SKELLEFTEÅ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25099-2024</t>
        </is>
      </c>
      <c r="B2977" s="1" t="n">
        <v>45462</v>
      </c>
      <c r="C2977" s="1" t="n">
        <v>45566</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25155-2024</t>
        </is>
      </c>
      <c r="B2978" s="1" t="n">
        <v>45462</v>
      </c>
      <c r="C2978" s="1" t="n">
        <v>45566</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25682-2024</t>
        </is>
      </c>
      <c r="B2979" s="1" t="n">
        <v>45463</v>
      </c>
      <c r="C2979" s="1" t="n">
        <v>45566</v>
      </c>
      <c r="D2979" t="inlineStr">
        <is>
          <t>VÄSTERBOTTENS LÄN</t>
        </is>
      </c>
      <c r="E2979" t="inlineStr">
        <is>
          <t>SKELLEFTEÅ</t>
        </is>
      </c>
      <c r="F2979" t="inlineStr">
        <is>
          <t>Sveaskog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25666-2024</t>
        </is>
      </c>
      <c r="B2980" s="1" t="n">
        <v>45463</v>
      </c>
      <c r="C2980" s="1" t="n">
        <v>45566</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25795-2024</t>
        </is>
      </c>
      <c r="B2981" s="1" t="n">
        <v>45463</v>
      </c>
      <c r="C2981" s="1" t="n">
        <v>45566</v>
      </c>
      <c r="D2981" t="inlineStr">
        <is>
          <t>VÄSTERBOTTENS LÄN</t>
        </is>
      </c>
      <c r="E2981" t="inlineStr">
        <is>
          <t>SKELLEFTEÅ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25665-2024</t>
        </is>
      </c>
      <c r="B2982" s="1" t="n">
        <v>45463</v>
      </c>
      <c r="C2982" s="1" t="n">
        <v>45566</v>
      </c>
      <c r="D2982" t="inlineStr">
        <is>
          <t>VÄSTERBOTTENS LÄN</t>
        </is>
      </c>
      <c r="E2982" t="inlineStr">
        <is>
          <t>SKELLEFTEÅ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25984-2024</t>
        </is>
      </c>
      <c r="B2983" s="1" t="n">
        <v>45467</v>
      </c>
      <c r="C2983" s="1" t="n">
        <v>45566</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25943-2024</t>
        </is>
      </c>
      <c r="B2984" s="1" t="n">
        <v>45467</v>
      </c>
      <c r="C2984" s="1" t="n">
        <v>45566</v>
      </c>
      <c r="D2984" t="inlineStr">
        <is>
          <t>VÄSTERBOTTENS LÄN</t>
        </is>
      </c>
      <c r="E2984" t="inlineStr">
        <is>
          <t>SKELLEFTEÅ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25983-2024</t>
        </is>
      </c>
      <c r="B2985" s="1" t="n">
        <v>45467</v>
      </c>
      <c r="C2985" s="1" t="n">
        <v>45566</v>
      </c>
      <c r="D2985" t="inlineStr">
        <is>
          <t>VÄSTERBOTTENS LÄN</t>
        </is>
      </c>
      <c r="E2985" t="inlineStr">
        <is>
          <t>SKELLEFTEÅ</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26096-2024</t>
        </is>
      </c>
      <c r="B2986" s="1" t="n">
        <v>45467</v>
      </c>
      <c r="C2986" s="1" t="n">
        <v>45566</v>
      </c>
      <c r="D2986" t="inlineStr">
        <is>
          <t>VÄSTERBOTTENS LÄN</t>
        </is>
      </c>
      <c r="E2986" t="inlineStr">
        <is>
          <t>SKELLEFTEÅ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26253-2024</t>
        </is>
      </c>
      <c r="B2987" s="1" t="n">
        <v>45468</v>
      </c>
      <c r="C2987" s="1" t="n">
        <v>45566</v>
      </c>
      <c r="D2987" t="inlineStr">
        <is>
          <t>VÄSTERBOTTENS LÄN</t>
        </is>
      </c>
      <c r="E2987" t="inlineStr">
        <is>
          <t>SKELLEFTEÅ</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26190-2024</t>
        </is>
      </c>
      <c r="B2988" s="1" t="n">
        <v>45468</v>
      </c>
      <c r="C2988" s="1" t="n">
        <v>45566</v>
      </c>
      <c r="D2988" t="inlineStr">
        <is>
          <t>VÄSTERBOTTENS LÄN</t>
        </is>
      </c>
      <c r="E2988" t="inlineStr">
        <is>
          <t>SKELLEFTEÅ</t>
        </is>
      </c>
      <c r="F2988" t="inlineStr">
        <is>
          <t>Holmen skog AB</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26226-2024</t>
        </is>
      </c>
      <c r="B2989" s="1" t="n">
        <v>45468</v>
      </c>
      <c r="C2989" s="1" t="n">
        <v>45566</v>
      </c>
      <c r="D2989" t="inlineStr">
        <is>
          <t>VÄSTERBOTTENS LÄN</t>
        </is>
      </c>
      <c r="E2989" t="inlineStr">
        <is>
          <t>SKELLEFTEÅ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26293-2024</t>
        </is>
      </c>
      <c r="B2990" s="1" t="n">
        <v>45468</v>
      </c>
      <c r="C2990" s="1" t="n">
        <v>45566</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26257-2024</t>
        </is>
      </c>
      <c r="B2991" s="1" t="n">
        <v>45468</v>
      </c>
      <c r="C2991" s="1" t="n">
        <v>45566</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26212-2024</t>
        </is>
      </c>
      <c r="B2992" s="1" t="n">
        <v>45468</v>
      </c>
      <c r="C2992" s="1" t="n">
        <v>45566</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26102-2024</t>
        </is>
      </c>
      <c r="B2993" s="1" t="n">
        <v>45468</v>
      </c>
      <c r="C2993" s="1" t="n">
        <v>45566</v>
      </c>
      <c r="D2993" t="inlineStr">
        <is>
          <t>VÄSTERBOTTENS LÄN</t>
        </is>
      </c>
      <c r="E2993" t="inlineStr">
        <is>
          <t>SKELLEFTEÅ</t>
        </is>
      </c>
      <c r="F2993" t="inlineStr">
        <is>
          <t>Holmen skog AB</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26447-2024</t>
        </is>
      </c>
      <c r="B2994" s="1" t="n">
        <v>45469</v>
      </c>
      <c r="C2994" s="1" t="n">
        <v>45566</v>
      </c>
      <c r="D2994" t="inlineStr">
        <is>
          <t>VÄSTERBOTTENS LÄN</t>
        </is>
      </c>
      <c r="E2994" t="inlineStr">
        <is>
          <t>SKELLEFTEÅ</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26328-2024</t>
        </is>
      </c>
      <c r="B2995" s="1" t="n">
        <v>45469</v>
      </c>
      <c r="C2995" s="1" t="n">
        <v>45566</v>
      </c>
      <c r="D2995" t="inlineStr">
        <is>
          <t>VÄSTERBOTTENS LÄN</t>
        </is>
      </c>
      <c r="E2995" t="inlineStr">
        <is>
          <t>SKELLEFTEÅ</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26399-2024</t>
        </is>
      </c>
      <c r="B2996" s="1" t="n">
        <v>45469</v>
      </c>
      <c r="C2996" s="1" t="n">
        <v>45566</v>
      </c>
      <c r="D2996" t="inlineStr">
        <is>
          <t>VÄSTERBOTTENS LÄN</t>
        </is>
      </c>
      <c r="E2996" t="inlineStr">
        <is>
          <t>SKELLEFTEÅ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26546-2024</t>
        </is>
      </c>
      <c r="B2997" s="1" t="n">
        <v>45469</v>
      </c>
      <c r="C2997" s="1" t="n">
        <v>45566</v>
      </c>
      <c r="D2997" t="inlineStr">
        <is>
          <t>VÄSTERBOTTENS LÄN</t>
        </is>
      </c>
      <c r="E2997" t="inlineStr">
        <is>
          <t>SKELLEFTEÅ</t>
        </is>
      </c>
      <c r="F2997" t="inlineStr">
        <is>
          <t>Sveaskog</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26626-2024</t>
        </is>
      </c>
      <c r="B2998" s="1" t="n">
        <v>45469</v>
      </c>
      <c r="C2998" s="1" t="n">
        <v>45566</v>
      </c>
      <c r="D2998" t="inlineStr">
        <is>
          <t>VÄSTERBOTTENS LÄN</t>
        </is>
      </c>
      <c r="E2998" t="inlineStr">
        <is>
          <t>SKELLEFTEÅ</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26630-2024</t>
        </is>
      </c>
      <c r="B2999" s="1" t="n">
        <v>45469</v>
      </c>
      <c r="C2999" s="1" t="n">
        <v>45566</v>
      </c>
      <c r="D2999" t="inlineStr">
        <is>
          <t>VÄSTERBOTTENS LÄN</t>
        </is>
      </c>
      <c r="E2999" t="inlineStr">
        <is>
          <t>SKELLEFTEÅ</t>
        </is>
      </c>
      <c r="F2999" t="inlineStr">
        <is>
          <t>Sveaskog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26581-2024</t>
        </is>
      </c>
      <c r="B3000" s="1" t="n">
        <v>45469</v>
      </c>
      <c r="C3000" s="1" t="n">
        <v>45566</v>
      </c>
      <c r="D3000" t="inlineStr">
        <is>
          <t>VÄSTERBOTTENS LÄN</t>
        </is>
      </c>
      <c r="E3000" t="inlineStr">
        <is>
          <t>SKELLEFTEÅ</t>
        </is>
      </c>
      <c r="F3000" t="inlineStr">
        <is>
          <t>Holmen skog AB</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26497-2024</t>
        </is>
      </c>
      <c r="B3001" s="1" t="n">
        <v>45469</v>
      </c>
      <c r="C3001" s="1" t="n">
        <v>45566</v>
      </c>
      <c r="D3001" t="inlineStr">
        <is>
          <t>VÄSTERBOTTENS LÄN</t>
        </is>
      </c>
      <c r="E3001" t="inlineStr">
        <is>
          <t>SKELLEFTEÅ</t>
        </is>
      </c>
      <c r="F3001" t="inlineStr">
        <is>
          <t>Holmen skog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26389-2024</t>
        </is>
      </c>
      <c r="B3002" s="1" t="n">
        <v>45469</v>
      </c>
      <c r="C3002" s="1" t="n">
        <v>45566</v>
      </c>
      <c r="D3002" t="inlineStr">
        <is>
          <t>VÄSTERBOTTENS LÄN</t>
        </is>
      </c>
      <c r="E3002" t="inlineStr">
        <is>
          <t>SKELLEFTEÅ</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26826-2024</t>
        </is>
      </c>
      <c r="B3003" s="1" t="n">
        <v>45470</v>
      </c>
      <c r="C3003" s="1" t="n">
        <v>45566</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26818-2024</t>
        </is>
      </c>
      <c r="B3004" s="1" t="n">
        <v>45470</v>
      </c>
      <c r="C3004" s="1" t="n">
        <v>45566</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26928-2024</t>
        </is>
      </c>
      <c r="B3005" s="1" t="n">
        <v>45471</v>
      </c>
      <c r="C3005" s="1" t="n">
        <v>45566</v>
      </c>
      <c r="D3005" t="inlineStr">
        <is>
          <t>VÄSTERBOTTENS LÄN</t>
        </is>
      </c>
      <c r="E3005" t="inlineStr">
        <is>
          <t>SKELLEFTEÅ</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26920-2024</t>
        </is>
      </c>
      <c r="B3006" s="1" t="n">
        <v>45471</v>
      </c>
      <c r="C3006" s="1" t="n">
        <v>45566</v>
      </c>
      <c r="D3006" t="inlineStr">
        <is>
          <t>VÄSTERBOTTENS LÄN</t>
        </is>
      </c>
      <c r="E3006" t="inlineStr">
        <is>
          <t>SKELLEFTEÅ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26708-2024</t>
        </is>
      </c>
      <c r="B3007" s="1" t="n">
        <v>45470</v>
      </c>
      <c r="C3007" s="1" t="n">
        <v>45566</v>
      </c>
      <c r="D3007" t="inlineStr">
        <is>
          <t>VÄSTERBOTTENS LÄN</t>
        </is>
      </c>
      <c r="E3007" t="inlineStr">
        <is>
          <t>SKELLEFTEÅ</t>
        </is>
      </c>
      <c r="F3007" t="inlineStr">
        <is>
          <t>Sveaskog</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26831-2024</t>
        </is>
      </c>
      <c r="B3008" s="1" t="n">
        <v>45470</v>
      </c>
      <c r="C3008" s="1" t="n">
        <v>45566</v>
      </c>
      <c r="D3008" t="inlineStr">
        <is>
          <t>VÄSTERBOTTENS LÄN</t>
        </is>
      </c>
      <c r="E3008" t="inlineStr">
        <is>
          <t>SKELLEFTEÅ</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26929-2024</t>
        </is>
      </c>
      <c r="B3009" s="1" t="n">
        <v>45471</v>
      </c>
      <c r="C3009" s="1" t="n">
        <v>45566</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27190-2024</t>
        </is>
      </c>
      <c r="B3010" s="1" t="n">
        <v>45471</v>
      </c>
      <c r="C3010" s="1" t="n">
        <v>45566</v>
      </c>
      <c r="D3010" t="inlineStr">
        <is>
          <t>VÄSTERBOTTENS LÄN</t>
        </is>
      </c>
      <c r="E3010" t="inlineStr">
        <is>
          <t>SKELLEFTEÅ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27198-2024</t>
        </is>
      </c>
      <c r="B3011" s="1" t="n">
        <v>45471</v>
      </c>
      <c r="C3011" s="1" t="n">
        <v>45566</v>
      </c>
      <c r="D3011" t="inlineStr">
        <is>
          <t>VÄSTERBOTTENS LÄN</t>
        </is>
      </c>
      <c r="E3011" t="inlineStr">
        <is>
          <t>SKELLEFTEÅ</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27083-2024</t>
        </is>
      </c>
      <c r="B3012" s="1" t="n">
        <v>45471</v>
      </c>
      <c r="C3012" s="1" t="n">
        <v>45566</v>
      </c>
      <c r="D3012" t="inlineStr">
        <is>
          <t>VÄSTERBOTTENS LÄN</t>
        </is>
      </c>
      <c r="E3012" t="inlineStr">
        <is>
          <t>SKELLEFTEÅ</t>
        </is>
      </c>
      <c r="F3012" t="inlineStr">
        <is>
          <t>Holmen skog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27143-2024</t>
        </is>
      </c>
      <c r="B3013" s="1" t="n">
        <v>45471</v>
      </c>
      <c r="C3013" s="1" t="n">
        <v>45566</v>
      </c>
      <c r="D3013" t="inlineStr">
        <is>
          <t>VÄSTERBOTTENS LÄN</t>
        </is>
      </c>
      <c r="E3013" t="inlineStr">
        <is>
          <t>SKELLEFTEÅ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27212-2024</t>
        </is>
      </c>
      <c r="B3014" s="1" t="n">
        <v>45471</v>
      </c>
      <c r="C3014" s="1" t="n">
        <v>45566</v>
      </c>
      <c r="D3014" t="inlineStr">
        <is>
          <t>VÄSTERBOTTENS LÄN</t>
        </is>
      </c>
      <c r="E3014" t="inlineStr">
        <is>
          <t>SKELLEFTEÅ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27228-2024</t>
        </is>
      </c>
      <c r="B3015" s="1" t="n">
        <v>45471</v>
      </c>
      <c r="C3015" s="1" t="n">
        <v>45566</v>
      </c>
      <c r="D3015" t="inlineStr">
        <is>
          <t>VÄSTERBOTTENS LÄN</t>
        </is>
      </c>
      <c r="E3015" t="inlineStr">
        <is>
          <t>SKELLEFTEÅ</t>
        </is>
      </c>
      <c r="F3015" t="inlineStr">
        <is>
          <t>Holmen skog AB</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27246-2024</t>
        </is>
      </c>
      <c r="B3016" s="1" t="n">
        <v>45471</v>
      </c>
      <c r="C3016" s="1" t="n">
        <v>45566</v>
      </c>
      <c r="D3016" t="inlineStr">
        <is>
          <t>VÄSTERBOTTENS LÄN</t>
        </is>
      </c>
      <c r="E3016" t="inlineStr">
        <is>
          <t>SKELLEFTEÅ</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27268-2024</t>
        </is>
      </c>
      <c r="B3017" s="1" t="n">
        <v>45471</v>
      </c>
      <c r="C3017" s="1" t="n">
        <v>45566</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27289-2024</t>
        </is>
      </c>
      <c r="B3018" s="1" t="n">
        <v>45472</v>
      </c>
      <c r="C3018" s="1" t="n">
        <v>45566</v>
      </c>
      <c r="D3018" t="inlineStr">
        <is>
          <t>VÄSTERBOTTENS LÄN</t>
        </is>
      </c>
      <c r="E3018" t="inlineStr">
        <is>
          <t>SKELLEFTEÅ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27253-2024</t>
        </is>
      </c>
      <c r="B3019" s="1" t="n">
        <v>45471</v>
      </c>
      <c r="C3019" s="1" t="n">
        <v>45566</v>
      </c>
      <c r="D3019" t="inlineStr">
        <is>
          <t>VÄSTERBOTTENS LÄN</t>
        </is>
      </c>
      <c r="E3019" t="inlineStr">
        <is>
          <t>SKELLEFTEÅ</t>
        </is>
      </c>
      <c r="F3019" t="inlineStr">
        <is>
          <t>Holmen skog AB</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27264-2024</t>
        </is>
      </c>
      <c r="B3020" s="1" t="n">
        <v>45471</v>
      </c>
      <c r="C3020" s="1" t="n">
        <v>45566</v>
      </c>
      <c r="D3020" t="inlineStr">
        <is>
          <t>VÄSTERBOTTENS LÄN</t>
        </is>
      </c>
      <c r="E3020" t="inlineStr">
        <is>
          <t>SKELLEFTEÅ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27287-2024</t>
        </is>
      </c>
      <c r="B3021" s="1" t="n">
        <v>45472</v>
      </c>
      <c r="C3021" s="1" t="n">
        <v>45566</v>
      </c>
      <c r="D3021" t="inlineStr">
        <is>
          <t>VÄSTERBOTTENS LÄN</t>
        </is>
      </c>
      <c r="E3021" t="inlineStr">
        <is>
          <t>SKELLEFTEÅ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27269-2024</t>
        </is>
      </c>
      <c r="B3022" s="1" t="n">
        <v>45471</v>
      </c>
      <c r="C3022" s="1" t="n">
        <v>45566</v>
      </c>
      <c r="D3022" t="inlineStr">
        <is>
          <t>VÄSTERBOTTENS LÄN</t>
        </is>
      </c>
      <c r="E3022" t="inlineStr">
        <is>
          <t>SKELLEFTEÅ</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27286-2024</t>
        </is>
      </c>
      <c r="B3023" s="1" t="n">
        <v>45472</v>
      </c>
      <c r="C3023" s="1" t="n">
        <v>45566</v>
      </c>
      <c r="D3023" t="inlineStr">
        <is>
          <t>VÄSTERBOTTENS LÄN</t>
        </is>
      </c>
      <c r="E3023" t="inlineStr">
        <is>
          <t>SKELLEFTEÅ</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27026-2024</t>
        </is>
      </c>
      <c r="B3024" s="1" t="n">
        <v>45471</v>
      </c>
      <c r="C3024" s="1" t="n">
        <v>45566</v>
      </c>
      <c r="D3024" t="inlineStr">
        <is>
          <t>VÄSTERBOTTENS LÄN</t>
        </is>
      </c>
      <c r="E3024" t="inlineStr">
        <is>
          <t>SKELLEFTEÅ</t>
        </is>
      </c>
      <c r="F3024" t="inlineStr">
        <is>
          <t>Holmen skog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26997-2024</t>
        </is>
      </c>
      <c r="B3025" s="1" t="n">
        <v>45471</v>
      </c>
      <c r="C3025" s="1" t="n">
        <v>45566</v>
      </c>
      <c r="D3025" t="inlineStr">
        <is>
          <t>VÄSTERBOTTENS LÄN</t>
        </is>
      </c>
      <c r="E3025" t="inlineStr">
        <is>
          <t>SKELLEFTEÅ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27267-2024</t>
        </is>
      </c>
      <c r="B3026" s="1" t="n">
        <v>45471</v>
      </c>
      <c r="C3026" s="1" t="n">
        <v>45566</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27288-2024</t>
        </is>
      </c>
      <c r="B3027" s="1" t="n">
        <v>45472</v>
      </c>
      <c r="C3027" s="1" t="n">
        <v>45566</v>
      </c>
      <c r="D3027" t="inlineStr">
        <is>
          <t>VÄSTERBOTTENS LÄN</t>
        </is>
      </c>
      <c r="E3027" t="inlineStr">
        <is>
          <t>SKELLEFTEÅ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27332-2024</t>
        </is>
      </c>
      <c r="B3028" s="1" t="n">
        <v>45472</v>
      </c>
      <c r="C3028" s="1" t="n">
        <v>45566</v>
      </c>
      <c r="D3028" t="inlineStr">
        <is>
          <t>VÄSTERBOTTENS LÄN</t>
        </is>
      </c>
      <c r="E3028" t="inlineStr">
        <is>
          <t>SKELLEFTEÅ</t>
        </is>
      </c>
      <c r="F3028" t="inlineStr">
        <is>
          <t>Sveaskog</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27333-2024</t>
        </is>
      </c>
      <c r="B3029" s="1" t="n">
        <v>45472</v>
      </c>
      <c r="C3029" s="1" t="n">
        <v>45566</v>
      </c>
      <c r="D3029" t="inlineStr">
        <is>
          <t>VÄSTERBOTTENS LÄN</t>
        </is>
      </c>
      <c r="E3029" t="inlineStr">
        <is>
          <t>SKELLEFTEÅ</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27439-2024</t>
        </is>
      </c>
      <c r="B3030" s="1" t="n">
        <v>45474</v>
      </c>
      <c r="C3030" s="1" t="n">
        <v>45566</v>
      </c>
      <c r="D3030" t="inlineStr">
        <is>
          <t>VÄSTERBOTTENS LÄN</t>
        </is>
      </c>
      <c r="E3030" t="inlineStr">
        <is>
          <t>SKELLEFTEÅ</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27627-2024</t>
        </is>
      </c>
      <c r="B3031" s="1" t="n">
        <v>45475</v>
      </c>
      <c r="C3031" s="1" t="n">
        <v>45566</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27631-2024</t>
        </is>
      </c>
      <c r="B3032" s="1" t="n">
        <v>45475</v>
      </c>
      <c r="C3032" s="1" t="n">
        <v>45566</v>
      </c>
      <c r="D3032" t="inlineStr">
        <is>
          <t>VÄSTERBOTTENS LÄN</t>
        </is>
      </c>
      <c r="E3032" t="inlineStr">
        <is>
          <t>SKELLEFTEÅ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27542-2024</t>
        </is>
      </c>
      <c r="B3033" s="1" t="n">
        <v>45474</v>
      </c>
      <c r="C3033" s="1" t="n">
        <v>45566</v>
      </c>
      <c r="D3033" t="inlineStr">
        <is>
          <t>VÄSTERBOTTENS LÄN</t>
        </is>
      </c>
      <c r="E3033" t="inlineStr">
        <is>
          <t>SKELLEFTEÅ</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27566-2024</t>
        </is>
      </c>
      <c r="B3034" s="1" t="n">
        <v>45474</v>
      </c>
      <c r="C3034" s="1" t="n">
        <v>45566</v>
      </c>
      <c r="D3034" t="inlineStr">
        <is>
          <t>VÄSTERBOTTENS LÄN</t>
        </is>
      </c>
      <c r="E3034" t="inlineStr">
        <is>
          <t>SKELLEFTEÅ</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27628-2024</t>
        </is>
      </c>
      <c r="B3035" s="1" t="n">
        <v>45475</v>
      </c>
      <c r="C3035" s="1" t="n">
        <v>45566</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27896-2024</t>
        </is>
      </c>
      <c r="B3036" s="1" t="n">
        <v>45476</v>
      </c>
      <c r="C3036" s="1" t="n">
        <v>45566</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27830-2024</t>
        </is>
      </c>
      <c r="B3037" s="1" t="n">
        <v>45475</v>
      </c>
      <c r="C3037" s="1" t="n">
        <v>45566</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27864-2024</t>
        </is>
      </c>
      <c r="B3038" s="1" t="n">
        <v>45475</v>
      </c>
      <c r="C3038" s="1" t="n">
        <v>45566</v>
      </c>
      <c r="D3038" t="inlineStr">
        <is>
          <t>VÄSTERBOTTENS LÄN</t>
        </is>
      </c>
      <c r="E3038" t="inlineStr">
        <is>
          <t>SKELLEFTEÅ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27933-2024</t>
        </is>
      </c>
      <c r="B3039" s="1" t="n">
        <v>45476</v>
      </c>
      <c r="C3039" s="1" t="n">
        <v>45566</v>
      </c>
      <c r="D3039" t="inlineStr">
        <is>
          <t>VÄSTERBOTTENS LÄN</t>
        </is>
      </c>
      <c r="E3039" t="inlineStr">
        <is>
          <t>SKELLEFTEÅ</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27851-2024</t>
        </is>
      </c>
      <c r="B3040" s="1" t="n">
        <v>45475</v>
      </c>
      <c r="C3040" s="1" t="n">
        <v>45566</v>
      </c>
      <c r="D3040" t="inlineStr">
        <is>
          <t>VÄSTERBOTTENS LÄN</t>
        </is>
      </c>
      <c r="E3040" t="inlineStr">
        <is>
          <t>SKELLEFTEÅ</t>
        </is>
      </c>
      <c r="F3040" t="inlineStr">
        <is>
          <t>Sveaskog</t>
        </is>
      </c>
      <c r="G3040" t="n">
        <v>13.3</v>
      </c>
      <c r="H3040" t="n">
        <v>0</v>
      </c>
      <c r="I3040" t="n">
        <v>0</v>
      </c>
      <c r="J3040" t="n">
        <v>0</v>
      </c>
      <c r="K3040" t="n">
        <v>0</v>
      </c>
      <c r="L3040" t="n">
        <v>0</v>
      </c>
      <c r="M3040" t="n">
        <v>0</v>
      </c>
      <c r="N3040" t="n">
        <v>0</v>
      </c>
      <c r="O3040" t="n">
        <v>0</v>
      </c>
      <c r="P3040" t="n">
        <v>0</v>
      </c>
      <c r="Q3040" t="n">
        <v>0</v>
      </c>
      <c r="R3040" s="2" t="inlineStr"/>
    </row>
    <row r="3041" ht="15" customHeight="1">
      <c r="A3041" t="inlineStr">
        <is>
          <t>A 27863-2024</t>
        </is>
      </c>
      <c r="B3041" s="1" t="n">
        <v>45475</v>
      </c>
      <c r="C3041" s="1" t="n">
        <v>45566</v>
      </c>
      <c r="D3041" t="inlineStr">
        <is>
          <t>VÄSTERBOTTENS LÄN</t>
        </is>
      </c>
      <c r="E3041" t="inlineStr">
        <is>
          <t>SKELLEFTEÅ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28054-2024</t>
        </is>
      </c>
      <c r="B3042" s="1" t="n">
        <v>45476</v>
      </c>
      <c r="C3042" s="1" t="n">
        <v>45566</v>
      </c>
      <c r="D3042" t="inlineStr">
        <is>
          <t>VÄSTERBOTTENS LÄN</t>
        </is>
      </c>
      <c r="E3042" t="inlineStr">
        <is>
          <t>SKELLEFTEÅ</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27990-2024</t>
        </is>
      </c>
      <c r="B3043" s="1" t="n">
        <v>45476</v>
      </c>
      <c r="C3043" s="1" t="n">
        <v>45566</v>
      </c>
      <c r="D3043" t="inlineStr">
        <is>
          <t>VÄSTERBOTTENS LÄN</t>
        </is>
      </c>
      <c r="E3043" t="inlineStr">
        <is>
          <t>SKELLEFTEÅ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28057-2024</t>
        </is>
      </c>
      <c r="B3044" s="1" t="n">
        <v>45476</v>
      </c>
      <c r="C3044" s="1" t="n">
        <v>45566</v>
      </c>
      <c r="D3044" t="inlineStr">
        <is>
          <t>VÄSTERBOTTENS LÄN</t>
        </is>
      </c>
      <c r="E3044" t="inlineStr">
        <is>
          <t>SKELLEFTEÅ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27980-2024</t>
        </is>
      </c>
      <c r="B3045" s="1" t="n">
        <v>45476</v>
      </c>
      <c r="C3045" s="1" t="n">
        <v>45566</v>
      </c>
      <c r="D3045" t="inlineStr">
        <is>
          <t>VÄSTERBOTTENS LÄN</t>
        </is>
      </c>
      <c r="E3045" t="inlineStr">
        <is>
          <t>SKELLEFTEÅ</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28353-2024</t>
        </is>
      </c>
      <c r="B3046" s="1" t="n">
        <v>45477</v>
      </c>
      <c r="C3046" s="1" t="n">
        <v>45566</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28493-2024</t>
        </is>
      </c>
      <c r="B3047" s="1" t="n">
        <v>45477</v>
      </c>
      <c r="C3047" s="1" t="n">
        <v>45566</v>
      </c>
      <c r="D3047" t="inlineStr">
        <is>
          <t>VÄSTERBOTTENS LÄN</t>
        </is>
      </c>
      <c r="E3047" t="inlineStr">
        <is>
          <t>SKELLEFTEÅ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28283-2024</t>
        </is>
      </c>
      <c r="B3048" s="1" t="n">
        <v>45477</v>
      </c>
      <c r="C3048" s="1" t="n">
        <v>45566</v>
      </c>
      <c r="D3048" t="inlineStr">
        <is>
          <t>VÄSTERBOTTENS LÄN</t>
        </is>
      </c>
      <c r="E3048" t="inlineStr">
        <is>
          <t>SKELLEFTEÅ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28435-2024</t>
        </is>
      </c>
      <c r="B3049" s="1" t="n">
        <v>45477</v>
      </c>
      <c r="C3049" s="1" t="n">
        <v>45566</v>
      </c>
      <c r="D3049" t="inlineStr">
        <is>
          <t>VÄSTERBOTTENS LÄN</t>
        </is>
      </c>
      <c r="E3049" t="inlineStr">
        <is>
          <t>SKELLEFTEÅ</t>
        </is>
      </c>
      <c r="F3049" t="inlineStr">
        <is>
          <t>Holmen skog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28273-2024</t>
        </is>
      </c>
      <c r="B3050" s="1" t="n">
        <v>45477</v>
      </c>
      <c r="C3050" s="1" t="n">
        <v>45566</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28356-2024</t>
        </is>
      </c>
      <c r="B3051" s="1" t="n">
        <v>45477</v>
      </c>
      <c r="C3051" s="1" t="n">
        <v>45566</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28308-2024</t>
        </is>
      </c>
      <c r="B3052" s="1" t="n">
        <v>45477</v>
      </c>
      <c r="C3052" s="1" t="n">
        <v>45566</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28630-2024</t>
        </is>
      </c>
      <c r="B3053" s="1" t="n">
        <v>45478</v>
      </c>
      <c r="C3053" s="1" t="n">
        <v>45566</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29125-2024</t>
        </is>
      </c>
      <c r="B3054" s="1" t="n">
        <v>45481</v>
      </c>
      <c r="C3054" s="1" t="n">
        <v>45566</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29124-2024</t>
        </is>
      </c>
      <c r="B3055" s="1" t="n">
        <v>45481</v>
      </c>
      <c r="C3055" s="1" t="n">
        <v>45566</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29154-2024</t>
        </is>
      </c>
      <c r="B3056" s="1" t="n">
        <v>45482</v>
      </c>
      <c r="C3056" s="1" t="n">
        <v>45566</v>
      </c>
      <c r="D3056" t="inlineStr">
        <is>
          <t>VÄSTERBOTTENS LÄN</t>
        </is>
      </c>
      <c r="E3056" t="inlineStr">
        <is>
          <t>SKELLEFTEÅ</t>
        </is>
      </c>
      <c r="F3056" t="inlineStr">
        <is>
          <t>Holmen skog AB</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29201-2024</t>
        </is>
      </c>
      <c r="B3057" s="1" t="n">
        <v>45482</v>
      </c>
      <c r="C3057" s="1" t="n">
        <v>45566</v>
      </c>
      <c r="D3057" t="inlineStr">
        <is>
          <t>VÄSTERBOTTENS LÄN</t>
        </is>
      </c>
      <c r="E3057" t="inlineStr">
        <is>
          <t>SKELLEFTEÅ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29160-2024</t>
        </is>
      </c>
      <c r="B3058" s="1" t="n">
        <v>45482</v>
      </c>
      <c r="C3058" s="1" t="n">
        <v>45566</v>
      </c>
      <c r="D3058" t="inlineStr">
        <is>
          <t>VÄSTERBOTTENS LÄN</t>
        </is>
      </c>
      <c r="E3058" t="inlineStr">
        <is>
          <t>SKELLEFTEÅ</t>
        </is>
      </c>
      <c r="F3058" t="inlineStr">
        <is>
          <t>Holmen skog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29167-2024</t>
        </is>
      </c>
      <c r="B3059" s="1" t="n">
        <v>45482</v>
      </c>
      <c r="C3059" s="1" t="n">
        <v>45566</v>
      </c>
      <c r="D3059" t="inlineStr">
        <is>
          <t>VÄSTERBOTTENS LÄN</t>
        </is>
      </c>
      <c r="E3059" t="inlineStr">
        <is>
          <t>SKELLEFTEÅ</t>
        </is>
      </c>
      <c r="F3059" t="inlineStr">
        <is>
          <t>Holmen skog AB</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29326-2024</t>
        </is>
      </c>
      <c r="B3060" s="1" t="n">
        <v>45483</v>
      </c>
      <c r="C3060" s="1" t="n">
        <v>45566</v>
      </c>
      <c r="D3060" t="inlineStr">
        <is>
          <t>VÄSTERBOTTENS LÄN</t>
        </is>
      </c>
      <c r="E3060" t="inlineStr">
        <is>
          <t>SKELLEFTEÅ</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29323-2024</t>
        </is>
      </c>
      <c r="B3061" s="1" t="n">
        <v>45483</v>
      </c>
      <c r="C3061" s="1" t="n">
        <v>45566</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29321-2024</t>
        </is>
      </c>
      <c r="B3062" s="1" t="n">
        <v>45483</v>
      </c>
      <c r="C3062" s="1" t="n">
        <v>45566</v>
      </c>
      <c r="D3062" t="inlineStr">
        <is>
          <t>VÄSTERBOTTENS LÄN</t>
        </is>
      </c>
      <c r="E3062" t="inlineStr">
        <is>
          <t>SKELLEFTEÅ</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29579-2024</t>
        </is>
      </c>
      <c r="B3063" s="1" t="n">
        <v>45484</v>
      </c>
      <c r="C3063" s="1" t="n">
        <v>45566</v>
      </c>
      <c r="D3063" t="inlineStr">
        <is>
          <t>VÄSTERBOTTENS LÄN</t>
        </is>
      </c>
      <c r="E3063" t="inlineStr">
        <is>
          <t>SKELLEFTEÅ</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29654-2024</t>
        </is>
      </c>
      <c r="B3064" s="1" t="n">
        <v>45485</v>
      </c>
      <c r="C3064" s="1" t="n">
        <v>45566</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30012-2024</t>
        </is>
      </c>
      <c r="B3065" s="1" t="n">
        <v>45488</v>
      </c>
      <c r="C3065" s="1" t="n">
        <v>45566</v>
      </c>
      <c r="D3065" t="inlineStr">
        <is>
          <t>VÄSTERBOTTENS LÄN</t>
        </is>
      </c>
      <c r="E3065" t="inlineStr">
        <is>
          <t>SKELLEFTEÅ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30014-2024</t>
        </is>
      </c>
      <c r="B3066" s="1" t="n">
        <v>45488</v>
      </c>
      <c r="C3066" s="1" t="n">
        <v>45566</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30395-2024</t>
        </is>
      </c>
      <c r="B3067" s="1" t="n">
        <v>45491</v>
      </c>
      <c r="C3067" s="1" t="n">
        <v>45566</v>
      </c>
      <c r="D3067" t="inlineStr">
        <is>
          <t>VÄSTERBOTTENS LÄN</t>
        </is>
      </c>
      <c r="E3067" t="inlineStr">
        <is>
          <t>SKELLEFTEÅ</t>
        </is>
      </c>
      <c r="F3067" t="inlineStr">
        <is>
          <t>Holmen skog AB</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30508-2024</t>
        </is>
      </c>
      <c r="B3068" s="1" t="n">
        <v>45492</v>
      </c>
      <c r="C3068" s="1" t="n">
        <v>45566</v>
      </c>
      <c r="D3068" t="inlineStr">
        <is>
          <t>VÄSTERBOTTENS LÄN</t>
        </is>
      </c>
      <c r="E3068" t="inlineStr">
        <is>
          <t>SKELLEFTEÅ</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30650-2024</t>
        </is>
      </c>
      <c r="B3069" s="1" t="n">
        <v>45495</v>
      </c>
      <c r="C3069" s="1" t="n">
        <v>45566</v>
      </c>
      <c r="D3069" t="inlineStr">
        <is>
          <t>VÄSTERBOTTENS LÄN</t>
        </is>
      </c>
      <c r="E3069" t="inlineStr">
        <is>
          <t>SKELLEFTEÅ</t>
        </is>
      </c>
      <c r="F3069" t="inlineStr">
        <is>
          <t>Holmen skog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30900-2024</t>
        </is>
      </c>
      <c r="B3070" s="1" t="n">
        <v>45498</v>
      </c>
      <c r="C3070" s="1" t="n">
        <v>45566</v>
      </c>
      <c r="D3070" t="inlineStr">
        <is>
          <t>VÄSTERBOTTENS LÄN</t>
        </is>
      </c>
      <c r="E3070" t="inlineStr">
        <is>
          <t>SKELLEFTEÅ</t>
        </is>
      </c>
      <c r="G3070" t="n">
        <v>17.5</v>
      </c>
      <c r="H3070" t="n">
        <v>0</v>
      </c>
      <c r="I3070" t="n">
        <v>0</v>
      </c>
      <c r="J3070" t="n">
        <v>0</v>
      </c>
      <c r="K3070" t="n">
        <v>0</v>
      </c>
      <c r="L3070" t="n">
        <v>0</v>
      </c>
      <c r="M3070" t="n">
        <v>0</v>
      </c>
      <c r="N3070" t="n">
        <v>0</v>
      </c>
      <c r="O3070" t="n">
        <v>0</v>
      </c>
      <c r="P3070" t="n">
        <v>0</v>
      </c>
      <c r="Q3070" t="n">
        <v>0</v>
      </c>
      <c r="R3070" s="2" t="inlineStr"/>
    </row>
    <row r="3071" ht="15" customHeight="1">
      <c r="A3071" t="inlineStr">
        <is>
          <t>A 30904-2024</t>
        </is>
      </c>
      <c r="B3071" s="1" t="n">
        <v>45498</v>
      </c>
      <c r="C3071" s="1" t="n">
        <v>45566</v>
      </c>
      <c r="D3071" t="inlineStr">
        <is>
          <t>VÄSTERBOTTENS LÄN</t>
        </is>
      </c>
      <c r="E3071" t="inlineStr">
        <is>
          <t>SKELLEFTEÅ</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30901-2024</t>
        </is>
      </c>
      <c r="B3072" s="1" t="n">
        <v>45498</v>
      </c>
      <c r="C3072" s="1" t="n">
        <v>45566</v>
      </c>
      <c r="D3072" t="inlineStr">
        <is>
          <t>VÄSTERBOTTENS LÄN</t>
        </is>
      </c>
      <c r="E3072" t="inlineStr">
        <is>
          <t>SKELLEFTEÅ</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30897-2024</t>
        </is>
      </c>
      <c r="B3073" s="1" t="n">
        <v>45498</v>
      </c>
      <c r="C3073" s="1" t="n">
        <v>45566</v>
      </c>
      <c r="D3073" t="inlineStr">
        <is>
          <t>VÄSTERBOTTENS LÄN</t>
        </is>
      </c>
      <c r="E3073" t="inlineStr">
        <is>
          <t>SKELLEFTEÅ</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30986-2024</t>
        </is>
      </c>
      <c r="B3074" s="1" t="n">
        <v>45499</v>
      </c>
      <c r="C3074" s="1" t="n">
        <v>45566</v>
      </c>
      <c r="D3074" t="inlineStr">
        <is>
          <t>VÄSTERBOTTENS LÄN</t>
        </is>
      </c>
      <c r="E3074" t="inlineStr">
        <is>
          <t>SKELLEFTEÅ</t>
        </is>
      </c>
      <c r="F3074" t="inlineStr">
        <is>
          <t>Sveaskog</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31103-2024</t>
        </is>
      </c>
      <c r="B3075" s="1" t="n">
        <v>45502</v>
      </c>
      <c r="C3075" s="1" t="n">
        <v>45566</v>
      </c>
      <c r="D3075" t="inlineStr">
        <is>
          <t>VÄSTERBOTTENS LÄN</t>
        </is>
      </c>
      <c r="E3075" t="inlineStr">
        <is>
          <t>SKELLEFTEÅ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31179-2024</t>
        </is>
      </c>
      <c r="B3076" s="1" t="n">
        <v>45503</v>
      </c>
      <c r="C3076" s="1" t="n">
        <v>45566</v>
      </c>
      <c r="D3076" t="inlineStr">
        <is>
          <t>VÄSTERBOTTENS LÄN</t>
        </is>
      </c>
      <c r="E3076" t="inlineStr">
        <is>
          <t>SKELLEFTEÅ</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31197-2024</t>
        </is>
      </c>
      <c r="B3077" s="1" t="n">
        <v>45503</v>
      </c>
      <c r="C3077" s="1" t="n">
        <v>45566</v>
      </c>
      <c r="D3077" t="inlineStr">
        <is>
          <t>VÄSTERBOTTENS LÄN</t>
        </is>
      </c>
      <c r="E3077" t="inlineStr">
        <is>
          <t>SKELLEFTEÅ</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31167-2024</t>
        </is>
      </c>
      <c r="B3078" s="1" t="n">
        <v>45503</v>
      </c>
      <c r="C3078" s="1" t="n">
        <v>45566</v>
      </c>
      <c r="D3078" t="inlineStr">
        <is>
          <t>VÄSTERBOTTENS LÄN</t>
        </is>
      </c>
      <c r="E3078" t="inlineStr">
        <is>
          <t>SKELLEFTEÅ</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31392-2024</t>
        </is>
      </c>
      <c r="B3079" s="1" t="n">
        <v>45505</v>
      </c>
      <c r="C3079" s="1" t="n">
        <v>45566</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31384-2024</t>
        </is>
      </c>
      <c r="B3080" s="1" t="n">
        <v>45505</v>
      </c>
      <c r="C3080" s="1" t="n">
        <v>45566</v>
      </c>
      <c r="D3080" t="inlineStr">
        <is>
          <t>VÄSTERBOTTENS LÄN</t>
        </is>
      </c>
      <c r="E3080" t="inlineStr">
        <is>
          <t>SKELLEFTEÅ</t>
        </is>
      </c>
      <c r="G3080" t="n">
        <v>19.9</v>
      </c>
      <c r="H3080" t="n">
        <v>0</v>
      </c>
      <c r="I3080" t="n">
        <v>0</v>
      </c>
      <c r="J3080" t="n">
        <v>0</v>
      </c>
      <c r="K3080" t="n">
        <v>0</v>
      </c>
      <c r="L3080" t="n">
        <v>0</v>
      </c>
      <c r="M3080" t="n">
        <v>0</v>
      </c>
      <c r="N3080" t="n">
        <v>0</v>
      </c>
      <c r="O3080" t="n">
        <v>0</v>
      </c>
      <c r="P3080" t="n">
        <v>0</v>
      </c>
      <c r="Q3080" t="n">
        <v>0</v>
      </c>
      <c r="R3080" s="2" t="inlineStr"/>
    </row>
    <row r="3081" ht="15" customHeight="1">
      <c r="A3081" t="inlineStr">
        <is>
          <t>A 31689-2024</t>
        </is>
      </c>
      <c r="B3081" s="1" t="n">
        <v>45507</v>
      </c>
      <c r="C3081" s="1" t="n">
        <v>45566</v>
      </c>
      <c r="D3081" t="inlineStr">
        <is>
          <t>VÄSTERBOTTENS LÄN</t>
        </is>
      </c>
      <c r="E3081" t="inlineStr">
        <is>
          <t>SKELLEFTEÅ</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31809-2024</t>
        </is>
      </c>
      <c r="B3082" s="1" t="n">
        <v>45509</v>
      </c>
      <c r="C3082" s="1" t="n">
        <v>45566</v>
      </c>
      <c r="D3082" t="inlineStr">
        <is>
          <t>VÄSTERBOTTENS LÄN</t>
        </is>
      </c>
      <c r="E3082" t="inlineStr">
        <is>
          <t>SKELLEFTEÅ</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31872-2024</t>
        </is>
      </c>
      <c r="B3083" s="1" t="n">
        <v>45510</v>
      </c>
      <c r="C3083" s="1" t="n">
        <v>45566</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31871-2024</t>
        </is>
      </c>
      <c r="B3084" s="1" t="n">
        <v>45510</v>
      </c>
      <c r="C3084" s="1" t="n">
        <v>45566</v>
      </c>
      <c r="D3084" t="inlineStr">
        <is>
          <t>VÄSTERBOTTENS LÄN</t>
        </is>
      </c>
      <c r="E3084" t="inlineStr">
        <is>
          <t>SKELLEFTEÅ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31874-2024</t>
        </is>
      </c>
      <c r="B3085" s="1" t="n">
        <v>45509</v>
      </c>
      <c r="C3085" s="1" t="n">
        <v>45566</v>
      </c>
      <c r="D3085" t="inlineStr">
        <is>
          <t>VÄSTERBOTTENS LÄN</t>
        </is>
      </c>
      <c r="E3085" t="inlineStr">
        <is>
          <t>SKELLEFTEÅ</t>
        </is>
      </c>
      <c r="G3085" t="n">
        <v>137.5</v>
      </c>
      <c r="H3085" t="n">
        <v>0</v>
      </c>
      <c r="I3085" t="n">
        <v>0</v>
      </c>
      <c r="J3085" t="n">
        <v>0</v>
      </c>
      <c r="K3085" t="n">
        <v>0</v>
      </c>
      <c r="L3085" t="n">
        <v>0</v>
      </c>
      <c r="M3085" t="n">
        <v>0</v>
      </c>
      <c r="N3085" t="n">
        <v>0</v>
      </c>
      <c r="O3085" t="n">
        <v>0</v>
      </c>
      <c r="P3085" t="n">
        <v>0</v>
      </c>
      <c r="Q3085" t="n">
        <v>0</v>
      </c>
      <c r="R3085" s="2" t="inlineStr"/>
    </row>
    <row r="3086" ht="15" customHeight="1">
      <c r="A3086" t="inlineStr">
        <is>
          <t>A 31975-2024</t>
        </is>
      </c>
      <c r="B3086" s="1" t="n">
        <v>45510</v>
      </c>
      <c r="C3086" s="1" t="n">
        <v>45566</v>
      </c>
      <c r="D3086" t="inlineStr">
        <is>
          <t>VÄSTERBOTTENS LÄN</t>
        </is>
      </c>
      <c r="E3086" t="inlineStr">
        <is>
          <t>SKELLEFTEÅ</t>
        </is>
      </c>
      <c r="F3086" t="inlineStr">
        <is>
          <t>Holmen skog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31966-2024</t>
        </is>
      </c>
      <c r="B3087" s="1" t="n">
        <v>45510</v>
      </c>
      <c r="C3087" s="1" t="n">
        <v>45566</v>
      </c>
      <c r="D3087" t="inlineStr">
        <is>
          <t>VÄSTERBOTTENS LÄN</t>
        </is>
      </c>
      <c r="E3087" t="inlineStr">
        <is>
          <t>SKELLEFTEÅ</t>
        </is>
      </c>
      <c r="F3087" t="inlineStr">
        <is>
          <t>Holmen skog AB</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32217-2024</t>
        </is>
      </c>
      <c r="B3088" s="1" t="n">
        <v>45512</v>
      </c>
      <c r="C3088" s="1" t="n">
        <v>45566</v>
      </c>
      <c r="D3088" t="inlineStr">
        <is>
          <t>VÄSTERBOTTENS LÄN</t>
        </is>
      </c>
      <c r="E3088" t="inlineStr">
        <is>
          <t>SKELLEFTEÅ</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32298-2024</t>
        </is>
      </c>
      <c r="B3089" s="1" t="n">
        <v>45512</v>
      </c>
      <c r="C3089" s="1" t="n">
        <v>45566</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32499-2024</t>
        </is>
      </c>
      <c r="B3090" s="1" t="n">
        <v>45513</v>
      </c>
      <c r="C3090" s="1" t="n">
        <v>45566</v>
      </c>
      <c r="D3090" t="inlineStr">
        <is>
          <t>VÄSTERBOTTENS LÄN</t>
        </is>
      </c>
      <c r="E3090" t="inlineStr">
        <is>
          <t>SKELLEFTEÅ</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32593-2024</t>
        </is>
      </c>
      <c r="B3091" s="1" t="n">
        <v>45513</v>
      </c>
      <c r="C3091" s="1" t="n">
        <v>45566</v>
      </c>
      <c r="D3091" t="inlineStr">
        <is>
          <t>VÄSTERBOTTENS LÄN</t>
        </is>
      </c>
      <c r="E3091" t="inlineStr">
        <is>
          <t>SKELLEFTEÅ</t>
        </is>
      </c>
      <c r="F3091" t="inlineStr">
        <is>
          <t>Holmen skog AB</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32914-2024</t>
        </is>
      </c>
      <c r="B3092" s="1" t="n">
        <v>45517</v>
      </c>
      <c r="C3092" s="1" t="n">
        <v>45566</v>
      </c>
      <c r="D3092" t="inlineStr">
        <is>
          <t>VÄSTERBOTTENS LÄN</t>
        </is>
      </c>
      <c r="E3092" t="inlineStr">
        <is>
          <t>SKELLEFTEÅ</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32918-2024</t>
        </is>
      </c>
      <c r="B3093" s="1" t="n">
        <v>45517</v>
      </c>
      <c r="C3093" s="1" t="n">
        <v>45566</v>
      </c>
      <c r="D3093" t="inlineStr">
        <is>
          <t>VÄSTERBOTTENS LÄN</t>
        </is>
      </c>
      <c r="E3093" t="inlineStr">
        <is>
          <t>SKELLEFTEÅ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32917-2024</t>
        </is>
      </c>
      <c r="B3094" s="1" t="n">
        <v>45517</v>
      </c>
      <c r="C3094" s="1" t="n">
        <v>45566</v>
      </c>
      <c r="D3094" t="inlineStr">
        <is>
          <t>VÄSTERBOTTENS LÄN</t>
        </is>
      </c>
      <c r="E3094" t="inlineStr">
        <is>
          <t>SKELLEFTEÅ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32916-2024</t>
        </is>
      </c>
      <c r="B3095" s="1" t="n">
        <v>45517</v>
      </c>
      <c r="C3095" s="1" t="n">
        <v>45566</v>
      </c>
      <c r="D3095" t="inlineStr">
        <is>
          <t>VÄSTERBOTTENS LÄN</t>
        </is>
      </c>
      <c r="E3095" t="inlineStr">
        <is>
          <t>SKELLEFTEÅ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32724-2024</t>
        </is>
      </c>
      <c r="B3096" s="1" t="n">
        <v>45516</v>
      </c>
      <c r="C3096" s="1" t="n">
        <v>45566</v>
      </c>
      <c r="D3096" t="inlineStr">
        <is>
          <t>VÄSTERBOTTENS LÄN</t>
        </is>
      </c>
      <c r="E3096" t="inlineStr">
        <is>
          <t>SKELLEFTEÅ</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32709-2024</t>
        </is>
      </c>
      <c r="B3097" s="1" t="n">
        <v>45516</v>
      </c>
      <c r="C3097" s="1" t="n">
        <v>45566</v>
      </c>
      <c r="D3097" t="inlineStr">
        <is>
          <t>VÄSTERBOTTENS LÄN</t>
        </is>
      </c>
      <c r="E3097" t="inlineStr">
        <is>
          <t>SKELLEFTEÅ</t>
        </is>
      </c>
      <c r="F3097" t="inlineStr">
        <is>
          <t>Holmen skog AB</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32919-2024</t>
        </is>
      </c>
      <c r="B3098" s="1" t="n">
        <v>45517</v>
      </c>
      <c r="C3098" s="1" t="n">
        <v>45566</v>
      </c>
      <c r="D3098" t="inlineStr">
        <is>
          <t>VÄSTERBOTTENS LÄN</t>
        </is>
      </c>
      <c r="E3098" t="inlineStr">
        <is>
          <t>SKELLEFTEÅ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33109-2024</t>
        </is>
      </c>
      <c r="B3099" s="1" t="n">
        <v>45517</v>
      </c>
      <c r="C3099" s="1" t="n">
        <v>45566</v>
      </c>
      <c r="D3099" t="inlineStr">
        <is>
          <t>VÄSTERBOTTENS LÄN</t>
        </is>
      </c>
      <c r="E3099" t="inlineStr">
        <is>
          <t>SKELLEFTEÅ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33204-2024</t>
        </is>
      </c>
      <c r="B3100" s="1" t="n">
        <v>45518</v>
      </c>
      <c r="C3100" s="1" t="n">
        <v>45566</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33530-2024</t>
        </is>
      </c>
      <c r="B3101" s="1" t="n">
        <v>45519</v>
      </c>
      <c r="C3101" s="1" t="n">
        <v>45566</v>
      </c>
      <c r="D3101" t="inlineStr">
        <is>
          <t>VÄSTERBOTTENS LÄN</t>
        </is>
      </c>
      <c r="E3101" t="inlineStr">
        <is>
          <t>SKELLEFTEÅ</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33538-2024</t>
        </is>
      </c>
      <c r="B3102" s="1" t="n">
        <v>45519</v>
      </c>
      <c r="C3102" s="1" t="n">
        <v>45566</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33442-2024</t>
        </is>
      </c>
      <c r="B3103" s="1" t="n">
        <v>45519</v>
      </c>
      <c r="C3103" s="1" t="n">
        <v>45566</v>
      </c>
      <c r="D3103" t="inlineStr">
        <is>
          <t>VÄSTERBOTTENS LÄN</t>
        </is>
      </c>
      <c r="E3103" t="inlineStr">
        <is>
          <t>SKELLEFTEÅ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33543-2024</t>
        </is>
      </c>
      <c r="B3104" s="1" t="n">
        <v>45519</v>
      </c>
      <c r="C3104" s="1" t="n">
        <v>45566</v>
      </c>
      <c r="D3104" t="inlineStr">
        <is>
          <t>VÄSTERBOTTENS LÄN</t>
        </is>
      </c>
      <c r="E3104" t="inlineStr">
        <is>
          <t>SKELLEFTEÅ</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33528-2024</t>
        </is>
      </c>
      <c r="B3105" s="1" t="n">
        <v>45519</v>
      </c>
      <c r="C3105" s="1" t="n">
        <v>45566</v>
      </c>
      <c r="D3105" t="inlineStr">
        <is>
          <t>VÄSTERBOTTENS LÄN</t>
        </is>
      </c>
      <c r="E3105" t="inlineStr">
        <is>
          <t>SKELLEFTEÅ</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33785-2024</t>
        </is>
      </c>
      <c r="B3106" s="1" t="n">
        <v>45520</v>
      </c>
      <c r="C3106" s="1" t="n">
        <v>45566</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33776-2024</t>
        </is>
      </c>
      <c r="B3107" s="1" t="n">
        <v>45520</v>
      </c>
      <c r="C3107" s="1" t="n">
        <v>45566</v>
      </c>
      <c r="D3107" t="inlineStr">
        <is>
          <t>VÄSTERBOTTENS LÄN</t>
        </is>
      </c>
      <c r="E3107" t="inlineStr">
        <is>
          <t>SKELLEFTEÅ</t>
        </is>
      </c>
      <c r="F3107" t="inlineStr">
        <is>
          <t>Sveaskog</t>
        </is>
      </c>
      <c r="G3107" t="n">
        <v>16.4</v>
      </c>
      <c r="H3107" t="n">
        <v>0</v>
      </c>
      <c r="I3107" t="n">
        <v>0</v>
      </c>
      <c r="J3107" t="n">
        <v>0</v>
      </c>
      <c r="K3107" t="n">
        <v>0</v>
      </c>
      <c r="L3107" t="n">
        <v>0</v>
      </c>
      <c r="M3107" t="n">
        <v>0</v>
      </c>
      <c r="N3107" t="n">
        <v>0</v>
      </c>
      <c r="O3107" t="n">
        <v>0</v>
      </c>
      <c r="P3107" t="n">
        <v>0</v>
      </c>
      <c r="Q3107" t="n">
        <v>0</v>
      </c>
      <c r="R3107" s="2" t="inlineStr"/>
    </row>
    <row r="3108" ht="15" customHeight="1">
      <c r="A3108" t="inlineStr">
        <is>
          <t>A 33941-2024</t>
        </is>
      </c>
      <c r="B3108" s="1" t="n">
        <v>45523</v>
      </c>
      <c r="C3108" s="1" t="n">
        <v>45566</v>
      </c>
      <c r="D3108" t="inlineStr">
        <is>
          <t>VÄSTERBOTTENS LÄN</t>
        </is>
      </c>
      <c r="E3108" t="inlineStr">
        <is>
          <t>SKELLEFTEÅ</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34242-2024</t>
        </is>
      </c>
      <c r="B3109" s="1" t="n">
        <v>45524</v>
      </c>
      <c r="C3109" s="1" t="n">
        <v>45566</v>
      </c>
      <c r="D3109" t="inlineStr">
        <is>
          <t>VÄSTERBOTTENS LÄN</t>
        </is>
      </c>
      <c r="E3109" t="inlineStr">
        <is>
          <t>SKELLEFTEÅ</t>
        </is>
      </c>
      <c r="F3109" t="inlineStr">
        <is>
          <t>Sveaskog</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34158-2024</t>
        </is>
      </c>
      <c r="B3110" s="1" t="n">
        <v>45524</v>
      </c>
      <c r="C3110" s="1" t="n">
        <v>45566</v>
      </c>
      <c r="D3110" t="inlineStr">
        <is>
          <t>VÄSTERBOTTENS LÄN</t>
        </is>
      </c>
      <c r="E3110" t="inlineStr">
        <is>
          <t>SKELLEFTEÅ</t>
        </is>
      </c>
      <c r="F3110" t="inlineStr">
        <is>
          <t>Sveaskog</t>
        </is>
      </c>
      <c r="G3110" t="n">
        <v>14.7</v>
      </c>
      <c r="H3110" t="n">
        <v>0</v>
      </c>
      <c r="I3110" t="n">
        <v>0</v>
      </c>
      <c r="J3110" t="n">
        <v>0</v>
      </c>
      <c r="K3110" t="n">
        <v>0</v>
      </c>
      <c r="L3110" t="n">
        <v>0</v>
      </c>
      <c r="M3110" t="n">
        <v>0</v>
      </c>
      <c r="N3110" t="n">
        <v>0</v>
      </c>
      <c r="O3110" t="n">
        <v>0</v>
      </c>
      <c r="P3110" t="n">
        <v>0</v>
      </c>
      <c r="Q3110" t="n">
        <v>0</v>
      </c>
      <c r="R3110" s="2" t="inlineStr"/>
    </row>
    <row r="3111" ht="15" customHeight="1">
      <c r="A3111" t="inlineStr">
        <is>
          <t>A 34332-2024</t>
        </is>
      </c>
      <c r="B3111" s="1" t="n">
        <v>45524</v>
      </c>
      <c r="C3111" s="1" t="n">
        <v>45566</v>
      </c>
      <c r="D3111" t="inlineStr">
        <is>
          <t>VÄSTERBOTTENS LÄN</t>
        </is>
      </c>
      <c r="E3111" t="inlineStr">
        <is>
          <t>SKELLEFTEÅ</t>
        </is>
      </c>
      <c r="F3111" t="inlineStr">
        <is>
          <t>Sveaskog</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34614-2024</t>
        </is>
      </c>
      <c r="B3112" s="1" t="n">
        <v>45526</v>
      </c>
      <c r="C3112" s="1" t="n">
        <v>45566</v>
      </c>
      <c r="D3112" t="inlineStr">
        <is>
          <t>VÄSTERBOTTENS LÄN</t>
        </is>
      </c>
      <c r="E3112" t="inlineStr">
        <is>
          <t>SKELLEFTEÅ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34622-2024</t>
        </is>
      </c>
      <c r="B3113" s="1" t="n">
        <v>45526</v>
      </c>
      <c r="C3113" s="1" t="n">
        <v>45566</v>
      </c>
      <c r="D3113" t="inlineStr">
        <is>
          <t>VÄSTERBOTTENS LÄN</t>
        </is>
      </c>
      <c r="E3113" t="inlineStr">
        <is>
          <t>SKELLEFTEÅ</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34631-2024</t>
        </is>
      </c>
      <c r="B3114" s="1" t="n">
        <v>45526</v>
      </c>
      <c r="C3114" s="1" t="n">
        <v>45566</v>
      </c>
      <c r="D3114" t="inlineStr">
        <is>
          <t>VÄSTERBOTTENS LÄN</t>
        </is>
      </c>
      <c r="E3114" t="inlineStr">
        <is>
          <t>SKELLEFTEÅ</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34644-2024</t>
        </is>
      </c>
      <c r="B3115" s="1" t="n">
        <v>45526</v>
      </c>
      <c r="C3115" s="1" t="n">
        <v>45566</v>
      </c>
      <c r="D3115" t="inlineStr">
        <is>
          <t>VÄSTERBOTTENS LÄN</t>
        </is>
      </c>
      <c r="E3115" t="inlineStr">
        <is>
          <t>SKELLEFTEÅ</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34821-2024</t>
        </is>
      </c>
      <c r="B3116" s="1" t="n">
        <v>45526</v>
      </c>
      <c r="C3116" s="1" t="n">
        <v>45566</v>
      </c>
      <c r="D3116" t="inlineStr">
        <is>
          <t>VÄSTERBOTTENS LÄN</t>
        </is>
      </c>
      <c r="E3116" t="inlineStr">
        <is>
          <t>SKELLEFTEÅ</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34615-2024</t>
        </is>
      </c>
      <c r="B3117" s="1" t="n">
        <v>45526</v>
      </c>
      <c r="C3117" s="1" t="n">
        <v>45566</v>
      </c>
      <c r="D3117" t="inlineStr">
        <is>
          <t>VÄSTERBOTTENS LÄN</t>
        </is>
      </c>
      <c r="E3117" t="inlineStr">
        <is>
          <t>SKELLEFTEÅ</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34713-2024</t>
        </is>
      </c>
      <c r="B3118" s="1" t="n">
        <v>45526</v>
      </c>
      <c r="C3118" s="1" t="n">
        <v>45566</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34714-2024</t>
        </is>
      </c>
      <c r="B3119" s="1" t="n">
        <v>45526</v>
      </c>
      <c r="C3119" s="1" t="n">
        <v>45566</v>
      </c>
      <c r="D3119" t="inlineStr">
        <is>
          <t>VÄSTERBOTTENS LÄN</t>
        </is>
      </c>
      <c r="E3119" t="inlineStr">
        <is>
          <t>SKELLEFTEÅ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34694-2024</t>
        </is>
      </c>
      <c r="B3120" s="1" t="n">
        <v>45526</v>
      </c>
      <c r="C3120" s="1" t="n">
        <v>45566</v>
      </c>
      <c r="D3120" t="inlineStr">
        <is>
          <t>VÄSTERBOTTENS LÄN</t>
        </is>
      </c>
      <c r="E3120" t="inlineStr">
        <is>
          <t>SKELLEFTEÅ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34690-2024</t>
        </is>
      </c>
      <c r="B3121" s="1" t="n">
        <v>45526</v>
      </c>
      <c r="C3121" s="1" t="n">
        <v>45566</v>
      </c>
      <c r="D3121" t="inlineStr">
        <is>
          <t>VÄSTERBOTTENS LÄN</t>
        </is>
      </c>
      <c r="E3121" t="inlineStr">
        <is>
          <t>SKELLEFTEÅ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34608-2024</t>
        </is>
      </c>
      <c r="B3122" s="1" t="n">
        <v>45526</v>
      </c>
      <c r="C3122" s="1" t="n">
        <v>45566</v>
      </c>
      <c r="D3122" t="inlineStr">
        <is>
          <t>VÄSTERBOTTENS LÄN</t>
        </is>
      </c>
      <c r="E3122" t="inlineStr">
        <is>
          <t>SKELLEFTEÅ</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34739-2024</t>
        </is>
      </c>
      <c r="B3123" s="1" t="n">
        <v>45526</v>
      </c>
      <c r="C3123" s="1" t="n">
        <v>45566</v>
      </c>
      <c r="D3123" t="inlineStr">
        <is>
          <t>VÄSTERBOTTENS LÄN</t>
        </is>
      </c>
      <c r="E3123" t="inlineStr">
        <is>
          <t>SKELLEFTEÅ</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35035-2024</t>
        </is>
      </c>
      <c r="B3124" s="1" t="n">
        <v>45527</v>
      </c>
      <c r="C3124" s="1" t="n">
        <v>45566</v>
      </c>
      <c r="D3124" t="inlineStr">
        <is>
          <t>VÄSTERBOTTENS LÄN</t>
        </is>
      </c>
      <c r="E3124" t="inlineStr">
        <is>
          <t>SKELLEFTEÅ</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34874-2024</t>
        </is>
      </c>
      <c r="B3125" s="1" t="n">
        <v>45527</v>
      </c>
      <c r="C3125" s="1" t="n">
        <v>45566</v>
      </c>
      <c r="D3125" t="inlineStr">
        <is>
          <t>VÄSTERBOTTENS LÄN</t>
        </is>
      </c>
      <c r="E3125" t="inlineStr">
        <is>
          <t>SKELLEFTEÅ</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34998-2024</t>
        </is>
      </c>
      <c r="B3126" s="1" t="n">
        <v>45527</v>
      </c>
      <c r="C3126" s="1" t="n">
        <v>45566</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35114-2024</t>
        </is>
      </c>
      <c r="B3127" s="1" t="n">
        <v>45530</v>
      </c>
      <c r="C3127" s="1" t="n">
        <v>45566</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35213-2024</t>
        </is>
      </c>
      <c r="B3128" s="1" t="n">
        <v>45530</v>
      </c>
      <c r="C3128" s="1" t="n">
        <v>45566</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35135-2024</t>
        </is>
      </c>
      <c r="B3129" s="1" t="n">
        <v>45530</v>
      </c>
      <c r="C3129" s="1" t="n">
        <v>45566</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35168-2024</t>
        </is>
      </c>
      <c r="B3130" s="1" t="n">
        <v>45530</v>
      </c>
      <c r="C3130" s="1" t="n">
        <v>45566</v>
      </c>
      <c r="D3130" t="inlineStr">
        <is>
          <t>VÄSTERBOTTENS LÄN</t>
        </is>
      </c>
      <c r="E3130" t="inlineStr">
        <is>
          <t>SKELLEFTEÅ</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35216-2024</t>
        </is>
      </c>
      <c r="B3131" s="1" t="n">
        <v>45530</v>
      </c>
      <c r="C3131" s="1" t="n">
        <v>45566</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35208-2024</t>
        </is>
      </c>
      <c r="B3132" s="1" t="n">
        <v>45530</v>
      </c>
      <c r="C3132" s="1" t="n">
        <v>45566</v>
      </c>
      <c r="D3132" t="inlineStr">
        <is>
          <t>VÄSTERBOTTENS LÄN</t>
        </is>
      </c>
      <c r="E3132" t="inlineStr">
        <is>
          <t>SKELLEFTEÅ</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35435-2024</t>
        </is>
      </c>
      <c r="B3133" s="1" t="n">
        <v>45531</v>
      </c>
      <c r="C3133" s="1" t="n">
        <v>45566</v>
      </c>
      <c r="D3133" t="inlineStr">
        <is>
          <t>VÄSTERBOTTENS LÄN</t>
        </is>
      </c>
      <c r="E3133" t="inlineStr">
        <is>
          <t>SKELLEFTEÅ</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35800-2024</t>
        </is>
      </c>
      <c r="B3134" s="1" t="n">
        <v>45532</v>
      </c>
      <c r="C3134" s="1" t="n">
        <v>45566</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35807-2024</t>
        </is>
      </c>
      <c r="B3135" s="1" t="n">
        <v>45532</v>
      </c>
      <c r="C3135" s="1" t="n">
        <v>45566</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35881-2024</t>
        </is>
      </c>
      <c r="B3136" s="1" t="n">
        <v>45533</v>
      </c>
      <c r="C3136" s="1" t="n">
        <v>45566</v>
      </c>
      <c r="D3136" t="inlineStr">
        <is>
          <t>VÄSTERBOTTENS LÄN</t>
        </is>
      </c>
      <c r="E3136" t="inlineStr">
        <is>
          <t>SKELLEFTEÅ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35880-2024</t>
        </is>
      </c>
      <c r="B3137" s="1" t="n">
        <v>45533</v>
      </c>
      <c r="C3137" s="1" t="n">
        <v>45566</v>
      </c>
      <c r="D3137" t="inlineStr">
        <is>
          <t>VÄSTERBOTTENS LÄN</t>
        </is>
      </c>
      <c r="E3137" t="inlineStr">
        <is>
          <t>SKELLEFTEÅ</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36201-2024</t>
        </is>
      </c>
      <c r="B3138" s="1" t="n">
        <v>45534</v>
      </c>
      <c r="C3138" s="1" t="n">
        <v>45566</v>
      </c>
      <c r="D3138" t="inlineStr">
        <is>
          <t>VÄSTERBOTTENS LÄN</t>
        </is>
      </c>
      <c r="E3138" t="inlineStr">
        <is>
          <t>SKELLEFTEÅ</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36213-2024</t>
        </is>
      </c>
      <c r="B3139" s="1" t="n">
        <v>45534</v>
      </c>
      <c r="C3139" s="1" t="n">
        <v>45566</v>
      </c>
      <c r="D3139" t="inlineStr">
        <is>
          <t>VÄSTERBOTTENS LÄN</t>
        </is>
      </c>
      <c r="E3139" t="inlineStr">
        <is>
          <t>SKELLEFTEÅ</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36122-2024</t>
        </is>
      </c>
      <c r="B3140" s="1" t="n">
        <v>45534</v>
      </c>
      <c r="C3140" s="1" t="n">
        <v>45566</v>
      </c>
      <c r="D3140" t="inlineStr">
        <is>
          <t>VÄSTERBOTTENS LÄN</t>
        </is>
      </c>
      <c r="E3140" t="inlineStr">
        <is>
          <t>SKELLEFTEÅ</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36222-2024</t>
        </is>
      </c>
      <c r="B3141" s="1" t="n">
        <v>45534</v>
      </c>
      <c r="C3141" s="1" t="n">
        <v>45566</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36216-2024</t>
        </is>
      </c>
      <c r="B3142" s="1" t="n">
        <v>45534</v>
      </c>
      <c r="C3142" s="1" t="n">
        <v>45566</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36297-2024</t>
        </is>
      </c>
      <c r="B3143" s="1" t="n">
        <v>45534</v>
      </c>
      <c r="C3143" s="1" t="n">
        <v>45566</v>
      </c>
      <c r="D3143" t="inlineStr">
        <is>
          <t>VÄSTERBOTTENS LÄN</t>
        </is>
      </c>
      <c r="E3143" t="inlineStr">
        <is>
          <t>SKELLEFTEÅ</t>
        </is>
      </c>
      <c r="F3143" t="inlineStr">
        <is>
          <t>Sveaskog</t>
        </is>
      </c>
      <c r="G3143" t="n">
        <v>20.9</v>
      </c>
      <c r="H3143" t="n">
        <v>0</v>
      </c>
      <c r="I3143" t="n">
        <v>0</v>
      </c>
      <c r="J3143" t="n">
        <v>0</v>
      </c>
      <c r="K3143" t="n">
        <v>0</v>
      </c>
      <c r="L3143" t="n">
        <v>0</v>
      </c>
      <c r="M3143" t="n">
        <v>0</v>
      </c>
      <c r="N3143" t="n">
        <v>0</v>
      </c>
      <c r="O3143" t="n">
        <v>0</v>
      </c>
      <c r="P3143" t="n">
        <v>0</v>
      </c>
      <c r="Q3143" t="n">
        <v>0</v>
      </c>
      <c r="R3143" s="2" t="inlineStr"/>
    </row>
    <row r="3144" ht="15" customHeight="1">
      <c r="A3144" t="inlineStr">
        <is>
          <t>A 36329-2024</t>
        </is>
      </c>
      <c r="B3144" s="1" t="n">
        <v>45534</v>
      </c>
      <c r="C3144" s="1" t="n">
        <v>45566</v>
      </c>
      <c r="D3144" t="inlineStr">
        <is>
          <t>VÄSTERBOTTENS LÄN</t>
        </is>
      </c>
      <c r="E3144" t="inlineStr">
        <is>
          <t>SKELLEFTEÅ</t>
        </is>
      </c>
      <c r="F3144" t="inlineStr">
        <is>
          <t>Holmen skog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36351-2024</t>
        </is>
      </c>
      <c r="B3145" s="1" t="n">
        <v>45534</v>
      </c>
      <c r="C3145" s="1" t="n">
        <v>45566</v>
      </c>
      <c r="D3145" t="inlineStr">
        <is>
          <t>VÄSTERBOTTENS LÄN</t>
        </is>
      </c>
      <c r="E3145" t="inlineStr">
        <is>
          <t>SKELLEFTEÅ</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36379-2024</t>
        </is>
      </c>
      <c r="B3146" s="1" t="n">
        <v>45534</v>
      </c>
      <c r="C3146" s="1" t="n">
        <v>45566</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36339-2024</t>
        </is>
      </c>
      <c r="B3147" s="1" t="n">
        <v>45534</v>
      </c>
      <c r="C3147" s="1" t="n">
        <v>45566</v>
      </c>
      <c r="D3147" t="inlineStr">
        <is>
          <t>VÄSTERBOTTENS LÄN</t>
        </is>
      </c>
      <c r="E3147" t="inlineStr">
        <is>
          <t>SKELLEFTEÅ</t>
        </is>
      </c>
      <c r="F3147" t="inlineStr">
        <is>
          <t>SCA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36513-2024</t>
        </is>
      </c>
      <c r="B3148" s="1" t="n">
        <v>45537</v>
      </c>
      <c r="C3148" s="1" t="n">
        <v>45566</v>
      </c>
      <c r="D3148" t="inlineStr">
        <is>
          <t>VÄSTERBOTTENS LÄN</t>
        </is>
      </c>
      <c r="E3148" t="inlineStr">
        <is>
          <t>SKELLEFTEÅ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36533-2024</t>
        </is>
      </c>
      <c r="B3149" s="1" t="n">
        <v>45537</v>
      </c>
      <c r="C3149" s="1" t="n">
        <v>45566</v>
      </c>
      <c r="D3149" t="inlineStr">
        <is>
          <t>VÄSTERBOTTENS LÄN</t>
        </is>
      </c>
      <c r="E3149" t="inlineStr">
        <is>
          <t>SKELLEFTEÅ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36537-2024</t>
        </is>
      </c>
      <c r="B3150" s="1" t="n">
        <v>45537</v>
      </c>
      <c r="C3150" s="1" t="n">
        <v>45566</v>
      </c>
      <c r="D3150" t="inlineStr">
        <is>
          <t>VÄSTERBOTTENS LÄN</t>
        </is>
      </c>
      <c r="E3150" t="inlineStr">
        <is>
          <t>SKELLEFTEÅ</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45566</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45566</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36698-2024</t>
        </is>
      </c>
      <c r="B3153" s="1" t="n">
        <v>45537</v>
      </c>
      <c r="C3153" s="1" t="n">
        <v>45566</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36794-2024</t>
        </is>
      </c>
      <c r="B3154" s="1" t="n">
        <v>45538</v>
      </c>
      <c r="C3154" s="1" t="n">
        <v>45566</v>
      </c>
      <c r="D3154" t="inlineStr">
        <is>
          <t>VÄSTERBOTTENS LÄN</t>
        </is>
      </c>
      <c r="E3154" t="inlineStr">
        <is>
          <t>SKELLEFTEÅ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36806-2024</t>
        </is>
      </c>
      <c r="B3155" s="1" t="n">
        <v>45538</v>
      </c>
      <c r="C3155" s="1" t="n">
        <v>45566</v>
      </c>
      <c r="D3155" t="inlineStr">
        <is>
          <t>VÄSTERBOTTENS LÄN</t>
        </is>
      </c>
      <c r="E3155" t="inlineStr">
        <is>
          <t>SKELLEFTEÅ</t>
        </is>
      </c>
      <c r="F3155" t="inlineStr">
        <is>
          <t>Sveaskog</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36824-2024</t>
        </is>
      </c>
      <c r="B3156" s="1" t="n">
        <v>45538</v>
      </c>
      <c r="C3156" s="1" t="n">
        <v>45566</v>
      </c>
      <c r="D3156" t="inlineStr">
        <is>
          <t>VÄSTERBOTTENS LÄN</t>
        </is>
      </c>
      <c r="E3156" t="inlineStr">
        <is>
          <t>SKELLEFTEÅ</t>
        </is>
      </c>
      <c r="F3156" t="inlineStr">
        <is>
          <t>Sveaskog</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36867-2024</t>
        </is>
      </c>
      <c r="B3157" s="1" t="n">
        <v>45538</v>
      </c>
      <c r="C3157" s="1" t="n">
        <v>45566</v>
      </c>
      <c r="D3157" t="inlineStr">
        <is>
          <t>VÄSTERBOTTENS LÄN</t>
        </is>
      </c>
      <c r="E3157" t="inlineStr">
        <is>
          <t>SKELLEFTEÅ</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36895-2024</t>
        </is>
      </c>
      <c r="B3158" s="1" t="n">
        <v>45538</v>
      </c>
      <c r="C3158" s="1" t="n">
        <v>45566</v>
      </c>
      <c r="D3158" t="inlineStr">
        <is>
          <t>VÄSTERBOTTENS LÄN</t>
        </is>
      </c>
      <c r="E3158" t="inlineStr">
        <is>
          <t>SKELLEFTEÅ</t>
        </is>
      </c>
      <c r="F3158" t="inlineStr">
        <is>
          <t>Holmen skog AB</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45566</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45566</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45566</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45566</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45566</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37139-2024</t>
        </is>
      </c>
      <c r="B3164" s="1" t="n">
        <v>45539</v>
      </c>
      <c r="C3164" s="1" t="n">
        <v>45566</v>
      </c>
      <c r="D3164" t="inlineStr">
        <is>
          <t>VÄSTERBOTTENS LÄN</t>
        </is>
      </c>
      <c r="E3164" t="inlineStr">
        <is>
          <t>SKELLEFTEÅ</t>
        </is>
      </c>
      <c r="F3164" t="inlineStr">
        <is>
          <t>Holmen skog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37298-2024</t>
        </is>
      </c>
      <c r="B3165" s="1" t="n">
        <v>45540</v>
      </c>
      <c r="C3165" s="1" t="n">
        <v>45566</v>
      </c>
      <c r="D3165" t="inlineStr">
        <is>
          <t>VÄSTERBOTTENS LÄN</t>
        </is>
      </c>
      <c r="E3165" t="inlineStr">
        <is>
          <t>SKELLEFTEÅ</t>
        </is>
      </c>
      <c r="F3165" t="inlineStr">
        <is>
          <t>Holmen skog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37320-2024</t>
        </is>
      </c>
      <c r="B3166" s="1" t="n">
        <v>45540</v>
      </c>
      <c r="C3166" s="1" t="n">
        <v>45566</v>
      </c>
      <c r="D3166" t="inlineStr">
        <is>
          <t>VÄSTERBOTTENS LÄN</t>
        </is>
      </c>
      <c r="E3166" t="inlineStr">
        <is>
          <t>SKELLEFTEÅ</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37499-2024</t>
        </is>
      </c>
      <c r="B3167" s="1" t="n">
        <v>45541</v>
      </c>
      <c r="C3167" s="1" t="n">
        <v>45566</v>
      </c>
      <c r="D3167" t="inlineStr">
        <is>
          <t>VÄSTERBOTTENS LÄN</t>
        </is>
      </c>
      <c r="E3167" t="inlineStr">
        <is>
          <t>SKELLEFTEÅ</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37547-2024</t>
        </is>
      </c>
      <c r="B3168" s="1" t="n">
        <v>45541</v>
      </c>
      <c r="C3168" s="1" t="n">
        <v>45566</v>
      </c>
      <c r="D3168" t="inlineStr">
        <is>
          <t>VÄSTERBOTTENS LÄN</t>
        </is>
      </c>
      <c r="E3168" t="inlineStr">
        <is>
          <t>SKELLEFTEÅ</t>
        </is>
      </c>
      <c r="F3168" t="inlineStr">
        <is>
          <t>Holmen skog AB</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37760-2024</t>
        </is>
      </c>
      <c r="B3169" s="1" t="n">
        <v>45541</v>
      </c>
      <c r="C3169" s="1" t="n">
        <v>45566</v>
      </c>
      <c r="D3169" t="inlineStr">
        <is>
          <t>VÄSTERBOTTENS LÄN</t>
        </is>
      </c>
      <c r="E3169" t="inlineStr">
        <is>
          <t>SKELLEFTEÅ</t>
        </is>
      </c>
      <c r="F3169" t="inlineStr">
        <is>
          <t>Sveaskog</t>
        </is>
      </c>
      <c r="G3169" t="n">
        <v>27.6</v>
      </c>
      <c r="H3169" t="n">
        <v>0</v>
      </c>
      <c r="I3169" t="n">
        <v>0</v>
      </c>
      <c r="J3169" t="n">
        <v>0</v>
      </c>
      <c r="K3169" t="n">
        <v>0</v>
      </c>
      <c r="L3169" t="n">
        <v>0</v>
      </c>
      <c r="M3169" t="n">
        <v>0</v>
      </c>
      <c r="N3169" t="n">
        <v>0</v>
      </c>
      <c r="O3169" t="n">
        <v>0</v>
      </c>
      <c r="P3169" t="n">
        <v>0</v>
      </c>
      <c r="Q3169" t="n">
        <v>0</v>
      </c>
      <c r="R3169" s="2" t="inlineStr"/>
    </row>
    <row r="3170" ht="15" customHeight="1">
      <c r="A3170" t="inlineStr">
        <is>
          <t>A 37892-2024</t>
        </is>
      </c>
      <c r="B3170" s="1" t="n">
        <v>45544</v>
      </c>
      <c r="C3170" s="1" t="n">
        <v>45566</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37946-2024</t>
        </is>
      </c>
      <c r="B3171" s="1" t="n">
        <v>45544</v>
      </c>
      <c r="C3171" s="1" t="n">
        <v>45566</v>
      </c>
      <c r="D3171" t="inlineStr">
        <is>
          <t>VÄSTERBOTTENS LÄN</t>
        </is>
      </c>
      <c r="E3171" t="inlineStr">
        <is>
          <t>SKELLEFTEÅ</t>
        </is>
      </c>
      <c r="F3171" t="inlineStr">
        <is>
          <t>Holmen skog AB</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38023-2024</t>
        </is>
      </c>
      <c r="B3172" s="1" t="n">
        <v>45544</v>
      </c>
      <c r="C3172" s="1" t="n">
        <v>45566</v>
      </c>
      <c r="D3172" t="inlineStr">
        <is>
          <t>VÄSTERBOTTENS LÄN</t>
        </is>
      </c>
      <c r="E3172" t="inlineStr">
        <is>
          <t>SKELLEFTEÅ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38398-2024</t>
        </is>
      </c>
      <c r="B3173" s="1" t="n">
        <v>45546</v>
      </c>
      <c r="C3173" s="1" t="n">
        <v>45566</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38430-2024</t>
        </is>
      </c>
      <c r="B3174" s="1" t="n">
        <v>45546</v>
      </c>
      <c r="C3174" s="1" t="n">
        <v>45566</v>
      </c>
      <c r="D3174" t="inlineStr">
        <is>
          <t>VÄSTERBOTTENS LÄN</t>
        </is>
      </c>
      <c r="E3174" t="inlineStr">
        <is>
          <t>SKELLEFTEÅ</t>
        </is>
      </c>
      <c r="F3174" t="inlineStr">
        <is>
          <t>Holmen skog AB</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38432-2024</t>
        </is>
      </c>
      <c r="B3175" s="1" t="n">
        <v>45546</v>
      </c>
      <c r="C3175" s="1" t="n">
        <v>45566</v>
      </c>
      <c r="D3175" t="inlineStr">
        <is>
          <t>VÄSTERBOTTENS LÄN</t>
        </is>
      </c>
      <c r="E3175" t="inlineStr">
        <is>
          <t>SKELLEFTEÅ</t>
        </is>
      </c>
      <c r="F3175" t="inlineStr">
        <is>
          <t>Holmen skog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38493-2024</t>
        </is>
      </c>
      <c r="B3176" s="1" t="n">
        <v>45546</v>
      </c>
      <c r="C3176" s="1" t="n">
        <v>45566</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38503-2024</t>
        </is>
      </c>
      <c r="B3177" s="1" t="n">
        <v>45546</v>
      </c>
      <c r="C3177" s="1" t="n">
        <v>45566</v>
      </c>
      <c r="D3177" t="inlineStr">
        <is>
          <t>VÄSTERBOTTENS LÄN</t>
        </is>
      </c>
      <c r="E3177" t="inlineStr">
        <is>
          <t>SKELLEFTEÅ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38445-2024</t>
        </is>
      </c>
      <c r="B3178" s="1" t="n">
        <v>45546</v>
      </c>
      <c r="C3178" s="1" t="n">
        <v>45566</v>
      </c>
      <c r="D3178" t="inlineStr">
        <is>
          <t>VÄSTERBOTTENS LÄN</t>
        </is>
      </c>
      <c r="E3178" t="inlineStr">
        <is>
          <t>SKELLEFTEÅ</t>
        </is>
      </c>
      <c r="F3178" t="inlineStr">
        <is>
          <t>Holmen skog AB</t>
        </is>
      </c>
      <c r="G3178" t="n">
        <v>20.4</v>
      </c>
      <c r="H3178" t="n">
        <v>0</v>
      </c>
      <c r="I3178" t="n">
        <v>0</v>
      </c>
      <c r="J3178" t="n">
        <v>0</v>
      </c>
      <c r="K3178" t="n">
        <v>0</v>
      </c>
      <c r="L3178" t="n">
        <v>0</v>
      </c>
      <c r="M3178" t="n">
        <v>0</v>
      </c>
      <c r="N3178" t="n">
        <v>0</v>
      </c>
      <c r="O3178" t="n">
        <v>0</v>
      </c>
      <c r="P3178" t="n">
        <v>0</v>
      </c>
      <c r="Q3178" t="n">
        <v>0</v>
      </c>
      <c r="R3178" s="2" t="inlineStr"/>
    </row>
    <row r="3179" ht="15" customHeight="1">
      <c r="A3179" t="inlineStr">
        <is>
          <t>A 38532-2024</t>
        </is>
      </c>
      <c r="B3179" s="1" t="n">
        <v>45546</v>
      </c>
      <c r="C3179" s="1" t="n">
        <v>45566</v>
      </c>
      <c r="D3179" t="inlineStr">
        <is>
          <t>VÄSTERBOTTENS LÄN</t>
        </is>
      </c>
      <c r="E3179" t="inlineStr">
        <is>
          <t>SKELLEFTEÅ</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38568-2024</t>
        </is>
      </c>
      <c r="B3180" s="1" t="n">
        <v>45546</v>
      </c>
      <c r="C3180" s="1" t="n">
        <v>45566</v>
      </c>
      <c r="D3180" t="inlineStr">
        <is>
          <t>VÄSTERBOTTENS LÄN</t>
        </is>
      </c>
      <c r="E3180" t="inlineStr">
        <is>
          <t>SKELLEFTEÅ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38588-2024</t>
        </is>
      </c>
      <c r="B3181" s="1" t="n">
        <v>45546</v>
      </c>
      <c r="C3181" s="1" t="n">
        <v>45566</v>
      </c>
      <c r="D3181" t="inlineStr">
        <is>
          <t>VÄSTERBOTTENS LÄN</t>
        </is>
      </c>
      <c r="E3181" t="inlineStr">
        <is>
          <t>SKELLEFTEÅ</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38496-2024</t>
        </is>
      </c>
      <c r="B3182" s="1" t="n">
        <v>45546</v>
      </c>
      <c r="C3182" s="1" t="n">
        <v>45566</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38558-2024</t>
        </is>
      </c>
      <c r="B3183" s="1" t="n">
        <v>45546</v>
      </c>
      <c r="C3183" s="1" t="n">
        <v>45566</v>
      </c>
      <c r="D3183" t="inlineStr">
        <is>
          <t>VÄSTERBOTTENS LÄN</t>
        </is>
      </c>
      <c r="E3183" t="inlineStr">
        <is>
          <t>SKELLEFTEÅ</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38616-2024</t>
        </is>
      </c>
      <c r="B3184" s="1" t="n">
        <v>45546</v>
      </c>
      <c r="C3184" s="1" t="n">
        <v>45566</v>
      </c>
      <c r="D3184" t="inlineStr">
        <is>
          <t>VÄSTERBOTTENS LÄN</t>
        </is>
      </c>
      <c r="E3184" t="inlineStr">
        <is>
          <t>SKELLEFTEÅ</t>
        </is>
      </c>
      <c r="F3184" t="inlineStr">
        <is>
          <t>Holmen skog AB</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38620-2024</t>
        </is>
      </c>
      <c r="B3185" s="1" t="n">
        <v>45546</v>
      </c>
      <c r="C3185" s="1" t="n">
        <v>45566</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38635-2024</t>
        </is>
      </c>
      <c r="B3186" s="1" t="n">
        <v>45546</v>
      </c>
      <c r="C3186" s="1" t="n">
        <v>45566</v>
      </c>
      <c r="D3186" t="inlineStr">
        <is>
          <t>VÄSTERBOTTENS LÄN</t>
        </is>
      </c>
      <c r="E3186" t="inlineStr">
        <is>
          <t>SKELLEFTEÅ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38637-2024</t>
        </is>
      </c>
      <c r="B3187" s="1" t="n">
        <v>45546</v>
      </c>
      <c r="C3187" s="1" t="n">
        <v>45566</v>
      </c>
      <c r="D3187" t="inlineStr">
        <is>
          <t>VÄSTERBOTTENS LÄN</t>
        </is>
      </c>
      <c r="E3187" t="inlineStr">
        <is>
          <t>SKELLEFTEÅ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38657-2024</t>
        </is>
      </c>
      <c r="B3188" s="1" t="n">
        <v>45546</v>
      </c>
      <c r="C3188" s="1" t="n">
        <v>45566</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38706-2024</t>
        </is>
      </c>
      <c r="B3189" s="1" t="n">
        <v>45547</v>
      </c>
      <c r="C3189" s="1" t="n">
        <v>45566</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38935-2024</t>
        </is>
      </c>
      <c r="B3190" s="1" t="n">
        <v>45548</v>
      </c>
      <c r="C3190" s="1" t="n">
        <v>45566</v>
      </c>
      <c r="D3190" t="inlineStr">
        <is>
          <t>VÄSTERBOTTENS LÄN</t>
        </is>
      </c>
      <c r="E3190" t="inlineStr">
        <is>
          <t>SKELLEFTEÅ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38957-2024</t>
        </is>
      </c>
      <c r="B3191" s="1" t="n">
        <v>45548</v>
      </c>
      <c r="C3191" s="1" t="n">
        <v>45566</v>
      </c>
      <c r="D3191" t="inlineStr">
        <is>
          <t>VÄSTERBOTTENS LÄN</t>
        </is>
      </c>
      <c r="E3191" t="inlineStr">
        <is>
          <t>SKELLEFTEÅ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39054-2024</t>
        </is>
      </c>
      <c r="B3192" s="1" t="n">
        <v>45548</v>
      </c>
      <c r="C3192" s="1" t="n">
        <v>45566</v>
      </c>
      <c r="D3192" t="inlineStr">
        <is>
          <t>VÄSTERBOTTENS LÄN</t>
        </is>
      </c>
      <c r="E3192" t="inlineStr">
        <is>
          <t>SKELLEFTEÅ</t>
        </is>
      </c>
      <c r="F3192" t="inlineStr">
        <is>
          <t>Sveaskog</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39133-2024</t>
        </is>
      </c>
      <c r="B3193" s="1" t="n">
        <v>45548</v>
      </c>
      <c r="C3193" s="1" t="n">
        <v>45566</v>
      </c>
      <c r="D3193" t="inlineStr">
        <is>
          <t>VÄSTERBOTTENS LÄN</t>
        </is>
      </c>
      <c r="E3193" t="inlineStr">
        <is>
          <t>SKELLEFTEÅ</t>
        </is>
      </c>
      <c r="F3193" t="inlineStr">
        <is>
          <t>Sveaskog</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39146-2024</t>
        </is>
      </c>
      <c r="B3194" s="1" t="n">
        <v>45548</v>
      </c>
      <c r="C3194" s="1" t="n">
        <v>45566</v>
      </c>
      <c r="D3194" t="inlineStr">
        <is>
          <t>VÄSTERBOTTENS LÄN</t>
        </is>
      </c>
      <c r="E3194" t="inlineStr">
        <is>
          <t>SKELLEFTEÅ</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39444-2024</t>
        </is>
      </c>
      <c r="B3195" s="1" t="n">
        <v>45551</v>
      </c>
      <c r="C3195" s="1" t="n">
        <v>45566</v>
      </c>
      <c r="D3195" t="inlineStr">
        <is>
          <t>VÄSTERBOTTENS LÄN</t>
        </is>
      </c>
      <c r="E3195" t="inlineStr">
        <is>
          <t>SKELLEFTEÅ</t>
        </is>
      </c>
      <c r="F3195" t="inlineStr">
        <is>
          <t>Kommuner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39465-2024</t>
        </is>
      </c>
      <c r="B3196" s="1" t="n">
        <v>45551</v>
      </c>
      <c r="C3196" s="1" t="n">
        <v>45566</v>
      </c>
      <c r="D3196" t="inlineStr">
        <is>
          <t>VÄSTERBOTTENS LÄN</t>
        </is>
      </c>
      <c r="E3196" t="inlineStr">
        <is>
          <t>SKELLEFTEÅ</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45566</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45566</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45566</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39691-2024</t>
        </is>
      </c>
      <c r="B3200" s="1" t="n">
        <v>45552</v>
      </c>
      <c r="C3200" s="1" t="n">
        <v>45566</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39765-2024</t>
        </is>
      </c>
      <c r="B3201" s="1" t="n">
        <v>45552</v>
      </c>
      <c r="C3201" s="1" t="n">
        <v>45566</v>
      </c>
      <c r="D3201" t="inlineStr">
        <is>
          <t>VÄSTERBOTTENS LÄN</t>
        </is>
      </c>
      <c r="E3201" t="inlineStr">
        <is>
          <t>SKELLEFTEÅ</t>
        </is>
      </c>
      <c r="F3201" t="inlineStr">
        <is>
          <t>Sveaskog</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45566</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39794-2024</t>
        </is>
      </c>
      <c r="B3203" s="1" t="n">
        <v>45553</v>
      </c>
      <c r="C3203" s="1" t="n">
        <v>45566</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39870-2024</t>
        </is>
      </c>
      <c r="B3204" s="1" t="n">
        <v>45553</v>
      </c>
      <c r="C3204" s="1" t="n">
        <v>45566</v>
      </c>
      <c r="D3204" t="inlineStr">
        <is>
          <t>VÄSTERBOTTENS LÄN</t>
        </is>
      </c>
      <c r="E3204" t="inlineStr">
        <is>
          <t>SKELLEFTEÅ</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39852-2024</t>
        </is>
      </c>
      <c r="B3205" s="1" t="n">
        <v>45553</v>
      </c>
      <c r="C3205" s="1" t="n">
        <v>45566</v>
      </c>
      <c r="D3205" t="inlineStr">
        <is>
          <t>VÄSTERBOTTENS LÄN</t>
        </is>
      </c>
      <c r="E3205" t="inlineStr">
        <is>
          <t>SKELLEFTEÅ</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40072-2024</t>
        </is>
      </c>
      <c r="B3206" s="1" t="n">
        <v>45554</v>
      </c>
      <c r="C3206" s="1" t="n">
        <v>45566</v>
      </c>
      <c r="D3206" t="inlineStr">
        <is>
          <t>VÄSTERBOTTENS LÄN</t>
        </is>
      </c>
      <c r="E3206" t="inlineStr">
        <is>
          <t>SKELLEFTEÅ</t>
        </is>
      </c>
      <c r="F3206" t="inlineStr">
        <is>
          <t>Holmen skog AB</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40253-2024</t>
        </is>
      </c>
      <c r="B3207" s="1" t="n">
        <v>45554</v>
      </c>
      <c r="C3207" s="1" t="n">
        <v>45566</v>
      </c>
      <c r="D3207" t="inlineStr">
        <is>
          <t>VÄSTERBOTTENS LÄN</t>
        </is>
      </c>
      <c r="E3207" t="inlineStr">
        <is>
          <t>SKELLEFTEÅ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40118-2024</t>
        </is>
      </c>
      <c r="B3208" s="1" t="n">
        <v>45554</v>
      </c>
      <c r="C3208" s="1" t="n">
        <v>45566</v>
      </c>
      <c r="D3208" t="inlineStr">
        <is>
          <t>VÄSTERBOTTENS LÄN</t>
        </is>
      </c>
      <c r="E3208" t="inlineStr">
        <is>
          <t>SKELLEFTEÅ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40122-2024</t>
        </is>
      </c>
      <c r="B3209" s="1" t="n">
        <v>45554</v>
      </c>
      <c r="C3209" s="1" t="n">
        <v>45566</v>
      </c>
      <c r="D3209" t="inlineStr">
        <is>
          <t>VÄSTERBOTTENS LÄN</t>
        </is>
      </c>
      <c r="E3209" t="inlineStr">
        <is>
          <t>SKELLEFTEÅ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40198-2024</t>
        </is>
      </c>
      <c r="B3210" s="1" t="n">
        <v>45554</v>
      </c>
      <c r="C3210" s="1" t="n">
        <v>45566</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40093-2024</t>
        </is>
      </c>
      <c r="B3211" s="1" t="n">
        <v>45554</v>
      </c>
      <c r="C3211" s="1" t="n">
        <v>45566</v>
      </c>
      <c r="D3211" t="inlineStr">
        <is>
          <t>VÄSTERBOTTENS LÄN</t>
        </is>
      </c>
      <c r="E3211" t="inlineStr">
        <is>
          <t>SKELLEFTEÅ</t>
        </is>
      </c>
      <c r="F3211" t="inlineStr">
        <is>
          <t>Holmen skog AB</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40205-2024</t>
        </is>
      </c>
      <c r="B3212" s="1" t="n">
        <v>45554</v>
      </c>
      <c r="C3212" s="1" t="n">
        <v>45566</v>
      </c>
      <c r="D3212" t="inlineStr">
        <is>
          <t>VÄSTERBOTTENS LÄN</t>
        </is>
      </c>
      <c r="E3212" t="inlineStr">
        <is>
          <t>SKELLEFTEÅ</t>
        </is>
      </c>
      <c r="F3212" t="inlineStr">
        <is>
          <t>Holmen skog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40183-2024</t>
        </is>
      </c>
      <c r="B3213" s="1" t="n">
        <v>45554</v>
      </c>
      <c r="C3213" s="1" t="n">
        <v>45566</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40248-2024</t>
        </is>
      </c>
      <c r="B3214" s="1" t="n">
        <v>45554</v>
      </c>
      <c r="C3214" s="1" t="n">
        <v>45566</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40347-2024</t>
        </is>
      </c>
      <c r="B3215" s="1" t="n">
        <v>45555</v>
      </c>
      <c r="C3215" s="1" t="n">
        <v>45566</v>
      </c>
      <c r="D3215" t="inlineStr">
        <is>
          <t>VÄSTERBOTTENS LÄN</t>
        </is>
      </c>
      <c r="E3215" t="inlineStr">
        <is>
          <t>SKELLEFTEÅ</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40511-2024</t>
        </is>
      </c>
      <c r="B3216" s="1" t="n">
        <v>45555</v>
      </c>
      <c r="C3216" s="1" t="n">
        <v>45566</v>
      </c>
      <c r="D3216" t="inlineStr">
        <is>
          <t>VÄSTERBOTTENS LÄN</t>
        </is>
      </c>
      <c r="E3216" t="inlineStr">
        <is>
          <t>SKELLEFTEÅ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40765-2024</t>
        </is>
      </c>
      <c r="B3217" s="1" t="n">
        <v>45558</v>
      </c>
      <c r="C3217" s="1" t="n">
        <v>45566</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40797-2024</t>
        </is>
      </c>
      <c r="B3218" s="1" t="n">
        <v>45558</v>
      </c>
      <c r="C3218" s="1" t="n">
        <v>45566</v>
      </c>
      <c r="D3218" t="inlineStr">
        <is>
          <t>VÄSTERBOTTENS LÄN</t>
        </is>
      </c>
      <c r="E3218" t="inlineStr">
        <is>
          <t>SKELLEFTEÅ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40798-2024</t>
        </is>
      </c>
      <c r="B3219" s="1" t="n">
        <v>45558</v>
      </c>
      <c r="C3219" s="1" t="n">
        <v>45566</v>
      </c>
      <c r="D3219" t="inlineStr">
        <is>
          <t>VÄSTERBOTTENS LÄN</t>
        </is>
      </c>
      <c r="E3219" t="inlineStr">
        <is>
          <t>SKELLEFTEÅ</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45566</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40787-2024</t>
        </is>
      </c>
      <c r="B3221" s="1" t="n">
        <v>45558</v>
      </c>
      <c r="C3221" s="1" t="n">
        <v>45566</v>
      </c>
      <c r="D3221" t="inlineStr">
        <is>
          <t>VÄSTERBOTTENS LÄN</t>
        </is>
      </c>
      <c r="E3221" t="inlineStr">
        <is>
          <t>SKELLEFTEÅ</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40857-2024</t>
        </is>
      </c>
      <c r="B3222" s="1" t="n">
        <v>45558</v>
      </c>
      <c r="C3222" s="1" t="n">
        <v>45566</v>
      </c>
      <c r="D3222" t="inlineStr">
        <is>
          <t>VÄSTERBOTTENS LÄN</t>
        </is>
      </c>
      <c r="E3222" t="inlineStr">
        <is>
          <t>SKELLEFTEÅ</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40967-2024</t>
        </is>
      </c>
      <c r="B3223" s="1" t="n">
        <v>45558</v>
      </c>
      <c r="C3223" s="1" t="n">
        <v>45566</v>
      </c>
      <c r="D3223" t="inlineStr">
        <is>
          <t>VÄSTERBOTTENS LÄN</t>
        </is>
      </c>
      <c r="E3223" t="inlineStr">
        <is>
          <t>SKELLEFTEÅ</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40966-2024</t>
        </is>
      </c>
      <c r="B3224" s="1" t="n">
        <v>45558</v>
      </c>
      <c r="C3224" s="1" t="n">
        <v>45566</v>
      </c>
      <c r="D3224" t="inlineStr">
        <is>
          <t>VÄSTERBOTTENS LÄN</t>
        </is>
      </c>
      <c r="E3224" t="inlineStr">
        <is>
          <t>SKELLEFTEÅ</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40800-2024</t>
        </is>
      </c>
      <c r="B3225" s="1" t="n">
        <v>45558</v>
      </c>
      <c r="C3225" s="1" t="n">
        <v>45566</v>
      </c>
      <c r="D3225" t="inlineStr">
        <is>
          <t>VÄSTERBOTTENS LÄN</t>
        </is>
      </c>
      <c r="E3225" t="inlineStr">
        <is>
          <t>SKELLEFTEÅ</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40927-2024</t>
        </is>
      </c>
      <c r="B3226" s="1" t="n">
        <v>45558</v>
      </c>
      <c r="C3226" s="1" t="n">
        <v>45566</v>
      </c>
      <c r="D3226" t="inlineStr">
        <is>
          <t>VÄSTERBOTTENS LÄN</t>
        </is>
      </c>
      <c r="E3226" t="inlineStr">
        <is>
          <t>SKELLEFTEÅ</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45566</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41033-2024</t>
        </is>
      </c>
      <c r="B3228" s="1" t="n">
        <v>45559</v>
      </c>
      <c r="C3228" s="1" t="n">
        <v>45566</v>
      </c>
      <c r="D3228" t="inlineStr">
        <is>
          <t>VÄSTERBOTTENS LÄN</t>
        </is>
      </c>
      <c r="E3228" t="inlineStr">
        <is>
          <t>SKELLEFTEÅ</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41037-2024</t>
        </is>
      </c>
      <c r="B3229" s="1" t="n">
        <v>45559</v>
      </c>
      <c r="C3229" s="1" t="n">
        <v>45566</v>
      </c>
      <c r="D3229" t="inlineStr">
        <is>
          <t>VÄSTERBOTTENS LÄN</t>
        </is>
      </c>
      <c r="E3229" t="inlineStr">
        <is>
          <t>SKELLEFTEÅ</t>
        </is>
      </c>
      <c r="F3229" t="inlineStr">
        <is>
          <t>Sveaskog</t>
        </is>
      </c>
      <c r="G3229" t="n">
        <v>22.5</v>
      </c>
      <c r="H3229" t="n">
        <v>0</v>
      </c>
      <c r="I3229" t="n">
        <v>0</v>
      </c>
      <c r="J3229" t="n">
        <v>0</v>
      </c>
      <c r="K3229" t="n">
        <v>0</v>
      </c>
      <c r="L3229" t="n">
        <v>0</v>
      </c>
      <c r="M3229" t="n">
        <v>0</v>
      </c>
      <c r="N3229" t="n">
        <v>0</v>
      </c>
      <c r="O3229" t="n">
        <v>0</v>
      </c>
      <c r="P3229" t="n">
        <v>0</v>
      </c>
      <c r="Q3229" t="n">
        <v>0</v>
      </c>
      <c r="R3229" s="2" t="inlineStr"/>
    </row>
    <row r="3230" ht="15" customHeight="1">
      <c r="A3230" t="inlineStr">
        <is>
          <t>A 41072-2024</t>
        </is>
      </c>
      <c r="B3230" s="1" t="n">
        <v>45559</v>
      </c>
      <c r="C3230" s="1" t="n">
        <v>45566</v>
      </c>
      <c r="D3230" t="inlineStr">
        <is>
          <t>VÄSTERBOTTENS LÄN</t>
        </is>
      </c>
      <c r="E3230" t="inlineStr">
        <is>
          <t>SKELLEFTEÅ</t>
        </is>
      </c>
      <c r="F3230" t="inlineStr">
        <is>
          <t>Holmen skog AB</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41133-2024</t>
        </is>
      </c>
      <c r="B3231" s="1" t="n">
        <v>45559</v>
      </c>
      <c r="C3231" s="1" t="n">
        <v>45566</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41155-2024</t>
        </is>
      </c>
      <c r="B3232" s="1" t="n">
        <v>45559</v>
      </c>
      <c r="C3232" s="1" t="n">
        <v>45566</v>
      </c>
      <c r="D3232" t="inlineStr">
        <is>
          <t>VÄSTERBOTTENS LÄN</t>
        </is>
      </c>
      <c r="E3232" t="inlineStr">
        <is>
          <t>SKELLEFTEÅ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41038-2024</t>
        </is>
      </c>
      <c r="B3233" s="1" t="n">
        <v>45559</v>
      </c>
      <c r="C3233" s="1" t="n">
        <v>45566</v>
      </c>
      <c r="D3233" t="inlineStr">
        <is>
          <t>VÄSTERBOTTENS LÄN</t>
        </is>
      </c>
      <c r="E3233" t="inlineStr">
        <is>
          <t>SKELLEFTEÅ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41118-2024</t>
        </is>
      </c>
      <c r="B3234" s="1" t="n">
        <v>45559</v>
      </c>
      <c r="C3234" s="1" t="n">
        <v>45566</v>
      </c>
      <c r="D3234" t="inlineStr">
        <is>
          <t>VÄSTERBOTTENS LÄN</t>
        </is>
      </c>
      <c r="E3234" t="inlineStr">
        <is>
          <t>SKELLEFTEÅ</t>
        </is>
      </c>
      <c r="F3234" t="inlineStr">
        <is>
          <t>Holmen skog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41112-2024</t>
        </is>
      </c>
      <c r="B3235" s="1" t="n">
        <v>45559</v>
      </c>
      <c r="C3235" s="1" t="n">
        <v>45566</v>
      </c>
      <c r="D3235" t="inlineStr">
        <is>
          <t>VÄSTERBOTTENS LÄN</t>
        </is>
      </c>
      <c r="E3235" t="inlineStr">
        <is>
          <t>SKELLEFTEÅ</t>
        </is>
      </c>
      <c r="F3235" t="inlineStr">
        <is>
          <t>Holmen skog AB</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41190-2024</t>
        </is>
      </c>
      <c r="B3236" s="1" t="n">
        <v>45559</v>
      </c>
      <c r="C3236" s="1" t="n">
        <v>45566</v>
      </c>
      <c r="D3236" t="inlineStr">
        <is>
          <t>VÄSTERBOTTENS LÄN</t>
        </is>
      </c>
      <c r="E3236" t="inlineStr">
        <is>
          <t>SKELLEFTEÅ</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41198-2024</t>
        </is>
      </c>
      <c r="B3237" s="1" t="n">
        <v>45559</v>
      </c>
      <c r="C3237" s="1" t="n">
        <v>45566</v>
      </c>
      <c r="D3237" t="inlineStr">
        <is>
          <t>VÄSTERBOTTENS LÄN</t>
        </is>
      </c>
      <c r="E3237" t="inlineStr">
        <is>
          <t>SKELLEFTEÅ</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45566</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41056-2024</t>
        </is>
      </c>
      <c r="B3239" s="1" t="n">
        <v>45559</v>
      </c>
      <c r="C3239" s="1" t="n">
        <v>45566</v>
      </c>
      <c r="D3239" t="inlineStr">
        <is>
          <t>VÄSTERBOTTENS LÄN</t>
        </is>
      </c>
      <c r="E3239" t="inlineStr">
        <is>
          <t>SKELLEFTEÅ</t>
        </is>
      </c>
      <c r="F3239" t="inlineStr">
        <is>
          <t>Holmen skog AB</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41064-2024</t>
        </is>
      </c>
      <c r="B3240" s="1" t="n">
        <v>45559</v>
      </c>
      <c r="C3240" s="1" t="n">
        <v>45566</v>
      </c>
      <c r="D3240" t="inlineStr">
        <is>
          <t>VÄSTERBOTTENS LÄN</t>
        </is>
      </c>
      <c r="E3240" t="inlineStr">
        <is>
          <t>SKELLEFTEÅ</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41226-2024</t>
        </is>
      </c>
      <c r="B3241" s="1" t="n">
        <v>45559</v>
      </c>
      <c r="C3241" s="1" t="n">
        <v>45566</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41245-2024</t>
        </is>
      </c>
      <c r="B3242" s="1" t="n">
        <v>45559</v>
      </c>
      <c r="C3242" s="1" t="n">
        <v>45566</v>
      </c>
      <c r="D3242" t="inlineStr">
        <is>
          <t>VÄSTERBOTTENS LÄN</t>
        </is>
      </c>
      <c r="E3242" t="inlineStr">
        <is>
          <t>SKELLEFTEÅ</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41297-2024</t>
        </is>
      </c>
      <c r="B3243" s="1" t="n">
        <v>45559</v>
      </c>
      <c r="C3243" s="1" t="n">
        <v>45566</v>
      </c>
      <c r="D3243" t="inlineStr">
        <is>
          <t>VÄSTERBOTTENS LÄN</t>
        </is>
      </c>
      <c r="E3243" t="inlineStr">
        <is>
          <t>SKELLEFTEÅ</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41304-2024</t>
        </is>
      </c>
      <c r="B3244" s="1" t="n">
        <v>45559</v>
      </c>
      <c r="C3244" s="1" t="n">
        <v>45566</v>
      </c>
      <c r="D3244" t="inlineStr">
        <is>
          <t>VÄSTERBOTTENS LÄN</t>
        </is>
      </c>
      <c r="E3244" t="inlineStr">
        <is>
          <t>SKELLEFTEÅ</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41320-2024</t>
        </is>
      </c>
      <c r="B3245" s="1" t="n">
        <v>45559</v>
      </c>
      <c r="C3245" s="1" t="n">
        <v>45566</v>
      </c>
      <c r="D3245" t="inlineStr">
        <is>
          <t>VÄSTERBOTTENS LÄN</t>
        </is>
      </c>
      <c r="E3245" t="inlineStr">
        <is>
          <t>SKELLEFTEÅ</t>
        </is>
      </c>
      <c r="G3245" t="n">
        <v>24.7</v>
      </c>
      <c r="H3245" t="n">
        <v>0</v>
      </c>
      <c r="I3245" t="n">
        <v>0</v>
      </c>
      <c r="J3245" t="n">
        <v>0</v>
      </c>
      <c r="K3245" t="n">
        <v>0</v>
      </c>
      <c r="L3245" t="n">
        <v>0</v>
      </c>
      <c r="M3245" t="n">
        <v>0</v>
      </c>
      <c r="N3245" t="n">
        <v>0</v>
      </c>
      <c r="O3245" t="n">
        <v>0</v>
      </c>
      <c r="P3245" t="n">
        <v>0</v>
      </c>
      <c r="Q3245" t="n">
        <v>0</v>
      </c>
      <c r="R3245" s="2" t="inlineStr"/>
    </row>
    <row r="3246" ht="15" customHeight="1">
      <c r="A3246" t="inlineStr">
        <is>
          <t>A 41242-2024</t>
        </is>
      </c>
      <c r="B3246" s="1" t="n">
        <v>45559</v>
      </c>
      <c r="C3246" s="1" t="n">
        <v>45566</v>
      </c>
      <c r="D3246" t="inlineStr">
        <is>
          <t>VÄSTERBOTTENS LÄN</t>
        </is>
      </c>
      <c r="E3246" t="inlineStr">
        <is>
          <t>SKELLEFTEÅ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41246-2024</t>
        </is>
      </c>
      <c r="B3247" s="1" t="n">
        <v>45559</v>
      </c>
      <c r="C3247" s="1" t="n">
        <v>45566</v>
      </c>
      <c r="D3247" t="inlineStr">
        <is>
          <t>VÄSTERBOTTENS LÄN</t>
        </is>
      </c>
      <c r="E3247" t="inlineStr">
        <is>
          <t>SKELLEFTEÅ</t>
        </is>
      </c>
      <c r="G3247" t="n">
        <v>28.9</v>
      </c>
      <c r="H3247" t="n">
        <v>0</v>
      </c>
      <c r="I3247" t="n">
        <v>0</v>
      </c>
      <c r="J3247" t="n">
        <v>0</v>
      </c>
      <c r="K3247" t="n">
        <v>0</v>
      </c>
      <c r="L3247" t="n">
        <v>0</v>
      </c>
      <c r="M3247" t="n">
        <v>0</v>
      </c>
      <c r="N3247" t="n">
        <v>0</v>
      </c>
      <c r="O3247" t="n">
        <v>0</v>
      </c>
      <c r="P3247" t="n">
        <v>0</v>
      </c>
      <c r="Q3247" t="n">
        <v>0</v>
      </c>
      <c r="R3247" s="2" t="inlineStr"/>
    </row>
    <row r="3248" ht="15" customHeight="1">
      <c r="A3248" t="inlineStr">
        <is>
          <t>A 41319-2024</t>
        </is>
      </c>
      <c r="B3248" s="1" t="n">
        <v>45559</v>
      </c>
      <c r="C3248" s="1" t="n">
        <v>45566</v>
      </c>
      <c r="D3248" t="inlineStr">
        <is>
          <t>VÄSTERBOTTENS LÄN</t>
        </is>
      </c>
      <c r="E3248" t="inlineStr">
        <is>
          <t>SKELLEFTEÅ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41582-2024</t>
        </is>
      </c>
      <c r="B3249" s="1" t="n">
        <v>45560</v>
      </c>
      <c r="C3249" s="1" t="n">
        <v>45566</v>
      </c>
      <c r="D3249" t="inlineStr">
        <is>
          <t>VÄSTERBOTTENS LÄN</t>
        </is>
      </c>
      <c r="E3249" t="inlineStr">
        <is>
          <t>SKELLEFTEÅ</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41710-2024</t>
        </is>
      </c>
      <c r="B3250" s="1" t="n">
        <v>45560</v>
      </c>
      <c r="C3250" s="1" t="n">
        <v>45566</v>
      </c>
      <c r="D3250" t="inlineStr">
        <is>
          <t>VÄSTERBOTTENS LÄN</t>
        </is>
      </c>
      <c r="E3250" t="inlineStr">
        <is>
          <t>SKELLEFTEÅ</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41642-2024</t>
        </is>
      </c>
      <c r="B3251" s="1" t="n">
        <v>45560</v>
      </c>
      <c r="C3251" s="1" t="n">
        <v>45566</v>
      </c>
      <c r="D3251" t="inlineStr">
        <is>
          <t>VÄSTERBOTTENS LÄN</t>
        </is>
      </c>
      <c r="E3251" t="inlineStr">
        <is>
          <t>SKELLEFTEÅ</t>
        </is>
      </c>
      <c r="F3251" t="inlineStr">
        <is>
          <t>Holmen skog AB</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45566</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41794-2024</t>
        </is>
      </c>
      <c r="B3253" s="1" t="n">
        <v>45561</v>
      </c>
      <c r="C3253" s="1" t="n">
        <v>45566</v>
      </c>
      <c r="D3253" t="inlineStr">
        <is>
          <t>VÄSTERBOTTENS LÄN</t>
        </is>
      </c>
      <c r="E3253" t="inlineStr">
        <is>
          <t>SKELLEFTEÅ</t>
        </is>
      </c>
      <c r="F3253" t="inlineStr">
        <is>
          <t>Kommuner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42216-2024</t>
        </is>
      </c>
      <c r="B3254" s="1" t="n">
        <v>45562</v>
      </c>
      <c r="C3254" s="1" t="n">
        <v>45566</v>
      </c>
      <c r="D3254" t="inlineStr">
        <is>
          <t>VÄSTERBOTTENS LÄN</t>
        </is>
      </c>
      <c r="E3254" t="inlineStr">
        <is>
          <t>SKELLEFTEÅ</t>
        </is>
      </c>
      <c r="F3254" t="inlineStr">
        <is>
          <t>Holmen skog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42249-2024</t>
        </is>
      </c>
      <c r="B3255" s="1" t="n">
        <v>45562</v>
      </c>
      <c r="C3255" s="1" t="n">
        <v>45566</v>
      </c>
      <c r="D3255" t="inlineStr">
        <is>
          <t>VÄSTERBOTTENS LÄN</t>
        </is>
      </c>
      <c r="E3255" t="inlineStr">
        <is>
          <t>SKELLEFTEÅ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42223-2024</t>
        </is>
      </c>
      <c r="B3256" s="1" t="n">
        <v>45562</v>
      </c>
      <c r="C3256" s="1" t="n">
        <v>45566</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42248-2024</t>
        </is>
      </c>
      <c r="B3257" s="1" t="n">
        <v>45562</v>
      </c>
      <c r="C3257" s="1" t="n">
        <v>45566</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42297-2024</t>
        </is>
      </c>
      <c r="B3258" s="1" t="n">
        <v>45562</v>
      </c>
      <c r="C3258" s="1" t="n">
        <v>45566</v>
      </c>
      <c r="D3258" t="inlineStr">
        <is>
          <t>VÄSTERBOTTENS LÄN</t>
        </is>
      </c>
      <c r="E3258" t="inlineStr">
        <is>
          <t>SKELLEFTEÅ</t>
        </is>
      </c>
      <c r="G3258" t="n">
        <v>14.4</v>
      </c>
      <c r="H3258" t="n">
        <v>0</v>
      </c>
      <c r="I3258" t="n">
        <v>0</v>
      </c>
      <c r="J3258" t="n">
        <v>0</v>
      </c>
      <c r="K3258" t="n">
        <v>0</v>
      </c>
      <c r="L3258" t="n">
        <v>0</v>
      </c>
      <c r="M3258" t="n">
        <v>0</v>
      </c>
      <c r="N3258" t="n">
        <v>0</v>
      </c>
      <c r="O3258" t="n">
        <v>0</v>
      </c>
      <c r="P3258" t="n">
        <v>0</v>
      </c>
      <c r="Q3258" t="n">
        <v>0</v>
      </c>
      <c r="R3258" s="2" t="inlineStr"/>
    </row>
    <row r="3259" ht="15" customHeight="1">
      <c r="A3259" t="inlineStr">
        <is>
          <t>A 42507-2024</t>
        </is>
      </c>
      <c r="B3259" s="1" t="n">
        <v>45565</v>
      </c>
      <c r="C3259" s="1" t="n">
        <v>45566</v>
      </c>
      <c r="D3259" t="inlineStr">
        <is>
          <t>VÄSTERBOTTENS LÄN</t>
        </is>
      </c>
      <c r="E3259" t="inlineStr">
        <is>
          <t>SKELLEFTEÅ</t>
        </is>
      </c>
      <c r="G3259" t="n">
        <v>10.8</v>
      </c>
      <c r="H3259" t="n">
        <v>0</v>
      </c>
      <c r="I3259" t="n">
        <v>0</v>
      </c>
      <c r="J3259" t="n">
        <v>0</v>
      </c>
      <c r="K3259" t="n">
        <v>0</v>
      </c>
      <c r="L3259" t="n">
        <v>0</v>
      </c>
      <c r="M3259" t="n">
        <v>0</v>
      </c>
      <c r="N3259" t="n">
        <v>0</v>
      </c>
      <c r="O3259" t="n">
        <v>0</v>
      </c>
      <c r="P3259" t="n">
        <v>0</v>
      </c>
      <c r="Q3259" t="n">
        <v>0</v>
      </c>
      <c r="R3259" s="2" t="inlineStr"/>
    </row>
    <row r="3260" ht="15" customHeight="1">
      <c r="A3260" t="inlineStr">
        <is>
          <t>A 42559-2024</t>
        </is>
      </c>
      <c r="B3260" s="1" t="n">
        <v>45565</v>
      </c>
      <c r="C3260" s="1" t="n">
        <v>45566</v>
      </c>
      <c r="D3260" t="inlineStr">
        <is>
          <t>VÄSTERBOTTENS LÄN</t>
        </is>
      </c>
      <c r="E3260" t="inlineStr">
        <is>
          <t>SKELLEFTEÅ</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42599-2024</t>
        </is>
      </c>
      <c r="B3261" s="1" t="n">
        <v>45565</v>
      </c>
      <c r="C3261" s="1" t="n">
        <v>45566</v>
      </c>
      <c r="D3261" t="inlineStr">
        <is>
          <t>VÄSTERBOTTENS LÄN</t>
        </is>
      </c>
      <c r="E3261" t="inlineStr">
        <is>
          <t>SKELLEFTEÅ</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45566</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42610-2024</t>
        </is>
      </c>
      <c r="B3263" s="1" t="n">
        <v>45565</v>
      </c>
      <c r="C3263" s="1" t="n">
        <v>45566</v>
      </c>
      <c r="D3263" t="inlineStr">
        <is>
          <t>VÄSTERBOTTENS LÄN</t>
        </is>
      </c>
      <c r="E3263" t="inlineStr">
        <is>
          <t>SKELLEFTEÅ</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42548-2024</t>
        </is>
      </c>
      <c r="B3264" s="1" t="n">
        <v>45565</v>
      </c>
      <c r="C3264" s="1" t="n">
        <v>45566</v>
      </c>
      <c r="D3264" t="inlineStr">
        <is>
          <t>VÄSTERBOTTENS LÄN</t>
        </is>
      </c>
      <c r="E3264" t="inlineStr">
        <is>
          <t>SKELLEFTEÅ</t>
        </is>
      </c>
      <c r="G3264" t="n">
        <v>4.7</v>
      </c>
      <c r="H3264" t="n">
        <v>0</v>
      </c>
      <c r="I3264" t="n">
        <v>0</v>
      </c>
      <c r="J3264" t="n">
        <v>0</v>
      </c>
      <c r="K3264" t="n">
        <v>0</v>
      </c>
      <c r="L3264" t="n">
        <v>0</v>
      </c>
      <c r="M3264" t="n">
        <v>0</v>
      </c>
      <c r="N3264" t="n">
        <v>0</v>
      </c>
      <c r="O3264" t="n">
        <v>0</v>
      </c>
      <c r="P3264" t="n">
        <v>0</v>
      </c>
      <c r="Q3264" t="n">
        <v>0</v>
      </c>
      <c r="R3264" s="2" t="inlineStr"/>
    </row>
    <row r="3265">
      <c r="A3265" t="inlineStr">
        <is>
          <t>A 42560-2024</t>
        </is>
      </c>
      <c r="B3265" s="1" t="n">
        <v>45565</v>
      </c>
      <c r="C3265" s="1" t="n">
        <v>45566</v>
      </c>
      <c r="D3265" t="inlineStr">
        <is>
          <t>VÄSTERBOTTENS LÄN</t>
        </is>
      </c>
      <c r="E3265" t="inlineStr">
        <is>
          <t>SKELLEFTEÅ</t>
        </is>
      </c>
      <c r="G3265" t="n">
        <v>8.699999999999999</v>
      </c>
      <c r="H3265" t="n">
        <v>0</v>
      </c>
      <c r="I3265" t="n">
        <v>0</v>
      </c>
      <c r="J3265" t="n">
        <v>0</v>
      </c>
      <c r="K3265" t="n">
        <v>0</v>
      </c>
      <c r="L3265" t="n">
        <v>0</v>
      </c>
      <c r="M3265" t="n">
        <v>0</v>
      </c>
      <c r="N3265" t="n">
        <v>0</v>
      </c>
      <c r="O3265" t="n">
        <v>0</v>
      </c>
      <c r="P3265" t="n">
        <v>0</v>
      </c>
      <c r="Q3265" t="n">
        <v>0</v>
      </c>
      <c r="R3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2024-10-01T12:20:22Z</dcterms:created>
  <dcterms:modified xmlns:dcterms="http://purl.org/dc/terms/" xmlns:xsi="http://www.w3.org/2001/XMLSchema-instance" xsi:type="dcterms:W3CDTF">2024-10-01T12:20:25Z</dcterms:modified>
</cp:coreProperties>
</file>